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EB021C79-8B7C-4EDB-8A08-2804D4C4451E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06" i="1" l="1"/>
  <c r="AY31" i="1"/>
  <c r="CL128" i="1"/>
  <c r="CL31" i="1"/>
  <c r="CM28" i="1" s="1"/>
  <c r="CL20" i="1"/>
  <c r="CL22" i="1"/>
  <c r="CL25" i="1" s="1"/>
  <c r="CL13" i="1"/>
  <c r="CL15" i="1"/>
  <c r="CL14" i="1" s="1"/>
  <c r="CL6" i="1"/>
  <c r="CL8" i="1"/>
  <c r="CL113" i="1"/>
  <c r="CL114" i="1"/>
  <c r="CL115" i="1"/>
  <c r="CL116" i="1"/>
  <c r="CL101" i="1"/>
  <c r="CL92" i="1"/>
  <c r="CL84" i="1"/>
  <c r="CL75" i="1"/>
  <c r="CL64" i="1"/>
  <c r="CL65" i="1"/>
  <c r="CL66" i="1"/>
  <c r="CL67" i="1"/>
  <c r="CL41" i="1"/>
  <c r="CL406" i="1"/>
  <c r="AI147" i="1"/>
  <c r="AI146" i="1"/>
  <c r="AI145" i="1"/>
  <c r="CL18" i="1" l="1"/>
  <c r="CL11" i="1"/>
  <c r="CL21" i="1"/>
  <c r="CL7" i="1"/>
  <c r="CM74" i="1"/>
  <c r="CN74" i="1" s="1"/>
  <c r="CO74" i="1" s="1"/>
  <c r="CP74" i="1" s="1"/>
  <c r="CQ74" i="1" s="1"/>
  <c r="CR74" i="1" s="1"/>
  <c r="CS74" i="1" s="1"/>
  <c r="CT74" i="1" s="1"/>
  <c r="CU74" i="1" s="1"/>
  <c r="CV74" i="1" s="1"/>
  <c r="CW74" i="1" s="1"/>
  <c r="CX74" i="1" s="1"/>
  <c r="CY74" i="1" s="1"/>
  <c r="CZ74" i="1" s="1"/>
  <c r="DA74" i="1" s="1"/>
  <c r="DB74" i="1" s="1"/>
  <c r="CM83" i="1"/>
  <c r="CN83" i="1" s="1"/>
  <c r="CO83" i="1" s="1"/>
  <c r="CP83" i="1" s="1"/>
  <c r="CQ83" i="1" s="1"/>
  <c r="CR83" i="1" s="1"/>
  <c r="CS83" i="1" s="1"/>
  <c r="CT83" i="1" s="1"/>
  <c r="CU83" i="1" s="1"/>
  <c r="CV83" i="1" s="1"/>
  <c r="CW83" i="1" s="1"/>
  <c r="CX83" i="1" s="1"/>
  <c r="CY83" i="1" s="1"/>
  <c r="CZ83" i="1" s="1"/>
  <c r="DA83" i="1" s="1"/>
  <c r="DB83" i="1" s="1"/>
  <c r="CK116" i="1"/>
  <c r="CM65" i="1"/>
  <c r="CN65" i="1" s="1"/>
  <c r="CO65" i="1" s="1"/>
  <c r="CP65" i="1" s="1"/>
  <c r="CQ65" i="1" s="1"/>
  <c r="CR65" i="1" s="1"/>
  <c r="CS65" i="1" s="1"/>
  <c r="CT65" i="1" s="1"/>
  <c r="CU65" i="1" s="1"/>
  <c r="CV65" i="1" s="1"/>
  <c r="CW65" i="1" s="1"/>
  <c r="CX65" i="1" s="1"/>
  <c r="CY65" i="1" s="1"/>
  <c r="CZ65" i="1" s="1"/>
  <c r="DA65" i="1" s="1"/>
  <c r="DB65" i="1" s="1"/>
  <c r="CK129" i="1"/>
  <c r="CK128" i="1"/>
  <c r="CK127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CK113" i="1"/>
  <c r="CN105" i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DB105" i="1" s="1"/>
  <c r="CK115" i="1"/>
  <c r="CK114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CJ116" i="1"/>
  <c r="CJ115" i="1"/>
  <c r="Z106" i="1"/>
  <c r="AA106" i="1"/>
  <c r="CJ114" i="1"/>
  <c r="CK92" i="1"/>
  <c r="CK84" i="1"/>
  <c r="CK75" i="1"/>
  <c r="CK64" i="1"/>
  <c r="CK65" i="1"/>
  <c r="CK66" i="1"/>
  <c r="CK67" i="1"/>
  <c r="CJ31" i="1"/>
  <c r="CK28" i="1" s="1"/>
  <c r="CK31" i="1"/>
  <c r="CL28" i="1" s="1"/>
  <c r="CK20" i="1"/>
  <c r="CK22" i="1"/>
  <c r="CK13" i="1"/>
  <c r="CK15" i="1"/>
  <c r="CK41" i="1"/>
  <c r="CK6" i="1"/>
  <c r="CM84" i="1" l="1"/>
  <c r="CM106" i="1"/>
  <c r="CN106" i="1" s="1"/>
  <c r="CO106" i="1" s="1"/>
  <c r="CP106" i="1" s="1"/>
  <c r="CQ106" i="1" s="1"/>
  <c r="CR106" i="1" s="1"/>
  <c r="CK18" i="1"/>
  <c r="CM18" i="1" s="1"/>
  <c r="CN18" i="1" s="1"/>
  <c r="CO18" i="1" s="1"/>
  <c r="CP18" i="1" s="1"/>
  <c r="CQ18" i="1" s="1"/>
  <c r="CR18" i="1" s="1"/>
  <c r="CS18" i="1" s="1"/>
  <c r="CT18" i="1" s="1"/>
  <c r="CU18" i="1" s="1"/>
  <c r="CV18" i="1" s="1"/>
  <c r="CW18" i="1" s="1"/>
  <c r="CX18" i="1" s="1"/>
  <c r="CY18" i="1" s="1"/>
  <c r="CZ18" i="1" s="1"/>
  <c r="DA18" i="1" s="1"/>
  <c r="DB18" i="1" s="1"/>
  <c r="CK21" i="1"/>
  <c r="CK14" i="1"/>
  <c r="CN84" i="1" l="1"/>
  <c r="AB106" i="1"/>
  <c r="CS106" i="1"/>
  <c r="CT106" i="1" s="1"/>
  <c r="CU106" i="1" s="1"/>
  <c r="CV106" i="1" s="1"/>
  <c r="CW106" i="1" s="1"/>
  <c r="CX106" i="1" s="1"/>
  <c r="CY106" i="1" s="1"/>
  <c r="CO84" i="1" l="1"/>
  <c r="AC106" i="1"/>
  <c r="AD106" i="1"/>
  <c r="CZ106" i="1"/>
  <c r="DA106" i="1" s="1"/>
  <c r="DB106" i="1" s="1"/>
  <c r="CP84" i="1" l="1"/>
  <c r="AE106" i="1"/>
  <c r="CQ84" i="1" l="1"/>
  <c r="CR84" i="1" l="1"/>
  <c r="CS84" i="1" l="1"/>
  <c r="CT84" i="1" l="1"/>
  <c r="CU84" i="1" l="1"/>
  <c r="CV84" i="1" l="1"/>
  <c r="CW84" i="1" l="1"/>
  <c r="CX84" i="1" l="1"/>
  <c r="CY84" i="1" l="1"/>
  <c r="CZ84" i="1" l="1"/>
  <c r="DA84" i="1" l="1"/>
  <c r="DB84" i="1" l="1"/>
  <c r="AE176" i="1"/>
  <c r="AD176" i="1"/>
  <c r="AC176" i="1"/>
  <c r="AB176" i="1"/>
  <c r="AB183" i="1"/>
  <c r="AC183" i="1"/>
  <c r="AD183" i="1"/>
  <c r="AE183" i="1"/>
  <c r="AB184" i="1"/>
  <c r="AC184" i="1"/>
  <c r="AD184" i="1"/>
  <c r="AE184" i="1"/>
  <c r="AB187" i="1"/>
  <c r="AC187" i="1"/>
  <c r="AD187" i="1"/>
  <c r="AE187" i="1"/>
  <c r="AB186" i="1"/>
  <c r="AC186" i="1"/>
  <c r="AD186" i="1"/>
  <c r="AE186" i="1"/>
  <c r="AB185" i="1"/>
  <c r="AC185" i="1"/>
  <c r="AD185" i="1"/>
  <c r="AE185" i="1"/>
  <c r="AF10" i="1" l="1"/>
  <c r="AF8" i="1"/>
  <c r="V139" i="1"/>
  <c r="U139" i="1"/>
  <c r="T139" i="1"/>
  <c r="S139" i="1"/>
  <c r="V138" i="1"/>
  <c r="U138" i="1"/>
  <c r="T138" i="1"/>
  <c r="S138" i="1"/>
  <c r="V137" i="1"/>
  <c r="V140" i="1" s="1"/>
  <c r="U137" i="1"/>
  <c r="U140" i="1" s="1"/>
  <c r="T137" i="1"/>
  <c r="T140" i="1" s="1"/>
  <c r="S137" i="1"/>
  <c r="S140" i="1" s="1"/>
  <c r="Z133" i="1"/>
  <c r="Z134" i="1"/>
  <c r="Z132" i="1"/>
  <c r="W128" i="1"/>
  <c r="X128" i="1"/>
  <c r="Y128" i="1"/>
  <c r="Z128" i="1"/>
  <c r="W129" i="1"/>
  <c r="X129" i="1"/>
  <c r="Y129" i="1"/>
  <c r="Z129" i="1"/>
  <c r="W127" i="1"/>
  <c r="X127" i="1"/>
  <c r="Y127" i="1"/>
  <c r="Z127" i="1"/>
  <c r="Z117" i="1"/>
  <c r="AA117" i="1"/>
  <c r="AB117" i="1"/>
  <c r="AC117" i="1"/>
  <c r="AD117" i="1"/>
  <c r="AE117" i="1"/>
  <c r="Y115" i="1"/>
  <c r="X115" i="1"/>
  <c r="W115" i="1"/>
  <c r="Y114" i="1"/>
  <c r="X114" i="1"/>
  <c r="W114" i="1"/>
  <c r="Y113" i="1"/>
  <c r="X113" i="1"/>
  <c r="W113" i="1"/>
  <c r="Y109" i="1"/>
  <c r="Y116" i="1" s="1"/>
  <c r="X109" i="1"/>
  <c r="X116" i="1" s="1"/>
  <c r="W109" i="1"/>
  <c r="W116" i="1" s="1"/>
  <c r="Z107" i="1"/>
  <c r="Z108" i="1"/>
  <c r="Z104" i="1"/>
  <c r="Y101" i="1"/>
  <c r="X101" i="1"/>
  <c r="W101" i="1"/>
  <c r="Z97" i="1"/>
  <c r="Z98" i="1"/>
  <c r="Z99" i="1"/>
  <c r="Z100" i="1"/>
  <c r="Z96" i="1"/>
  <c r="Y92" i="1"/>
  <c r="X92" i="1"/>
  <c r="W92" i="1"/>
  <c r="Z88" i="1"/>
  <c r="Z89" i="1"/>
  <c r="Z90" i="1"/>
  <c r="Z91" i="1"/>
  <c r="Z87" i="1"/>
  <c r="Y84" i="1"/>
  <c r="X84" i="1"/>
  <c r="W84" i="1"/>
  <c r="Z80" i="1"/>
  <c r="Z81" i="1"/>
  <c r="AA81" i="1"/>
  <c r="AB81" i="1"/>
  <c r="AC81" i="1"/>
  <c r="AD81" i="1"/>
  <c r="AE81" i="1"/>
  <c r="Z82" i="1"/>
  <c r="AA82" i="1"/>
  <c r="AB82" i="1"/>
  <c r="AC82" i="1"/>
  <c r="AD82" i="1"/>
  <c r="AE82" i="1"/>
  <c r="Z83" i="1"/>
  <c r="AA83" i="1"/>
  <c r="AB83" i="1"/>
  <c r="AC83" i="1"/>
  <c r="AD83" i="1"/>
  <c r="AE83" i="1"/>
  <c r="Z79" i="1"/>
  <c r="Z70" i="1"/>
  <c r="Z71" i="1"/>
  <c r="Z72" i="1"/>
  <c r="AA72" i="1"/>
  <c r="Z73" i="1"/>
  <c r="Z74" i="1"/>
  <c r="Y75" i="1"/>
  <c r="X75" i="1"/>
  <c r="W75" i="1"/>
  <c r="V75" i="1"/>
  <c r="U75" i="1"/>
  <c r="AB72" i="1"/>
  <c r="AC72" i="1"/>
  <c r="AD72" i="1"/>
  <c r="AE72" i="1"/>
  <c r="Y67" i="1"/>
  <c r="X67" i="1"/>
  <c r="W67" i="1"/>
  <c r="V67" i="1"/>
  <c r="U67" i="1"/>
  <c r="Y66" i="1"/>
  <c r="X66" i="1"/>
  <c r="W66" i="1"/>
  <c r="V66" i="1"/>
  <c r="U66" i="1"/>
  <c r="Y65" i="1"/>
  <c r="X65" i="1"/>
  <c r="W65" i="1"/>
  <c r="V65" i="1"/>
  <c r="U65" i="1"/>
  <c r="Y64" i="1"/>
  <c r="X64" i="1"/>
  <c r="W64" i="1"/>
  <c r="V64" i="1"/>
  <c r="U64" i="1"/>
  <c r="Y49" i="1"/>
  <c r="Y112" i="1" s="1"/>
  <c r="X49" i="1"/>
  <c r="X112" i="1" s="1"/>
  <c r="W49" i="1"/>
  <c r="V49" i="1"/>
  <c r="U49" i="1"/>
  <c r="Y54" i="1"/>
  <c r="X54" i="1"/>
  <c r="W54" i="1"/>
  <c r="V54" i="1"/>
  <c r="U54" i="1"/>
  <c r="AE58" i="1"/>
  <c r="AD58" i="1"/>
  <c r="AC58" i="1"/>
  <c r="AB58" i="1"/>
  <c r="AA58" i="1"/>
  <c r="Z58" i="1"/>
  <c r="AE57" i="1"/>
  <c r="AD57" i="1"/>
  <c r="AC57" i="1"/>
  <c r="AB57" i="1"/>
  <c r="AA57" i="1"/>
  <c r="Z57" i="1"/>
  <c r="AE56" i="1"/>
  <c r="AD56" i="1"/>
  <c r="AC56" i="1"/>
  <c r="AB56" i="1"/>
  <c r="AA56" i="1"/>
  <c r="Z56" i="1"/>
  <c r="Z55" i="1"/>
  <c r="Z51" i="1"/>
  <c r="Z52" i="1"/>
  <c r="Z53" i="1"/>
  <c r="Z50" i="1"/>
  <c r="Y41" i="1"/>
  <c r="X41" i="1"/>
  <c r="W41" i="1"/>
  <c r="V41" i="1"/>
  <c r="Z43" i="1"/>
  <c r="AA43" i="1"/>
  <c r="AB43" i="1"/>
  <c r="AC43" i="1"/>
  <c r="AD43" i="1"/>
  <c r="AE43" i="1"/>
  <c r="Z44" i="1"/>
  <c r="AA44" i="1"/>
  <c r="AB44" i="1"/>
  <c r="AC44" i="1"/>
  <c r="AD44" i="1"/>
  <c r="AE44" i="1"/>
  <c r="AE42" i="1"/>
  <c r="AD42" i="1"/>
  <c r="AC42" i="1"/>
  <c r="AB42" i="1"/>
  <c r="AA42" i="1"/>
  <c r="Z42" i="1"/>
  <c r="Y36" i="1"/>
  <c r="X36" i="1"/>
  <c r="W36" i="1"/>
  <c r="V36" i="1"/>
  <c r="U36" i="1"/>
  <c r="U45" i="1" s="1"/>
  <c r="T36" i="1"/>
  <c r="Z38" i="1"/>
  <c r="Z39" i="1"/>
  <c r="Z40" i="1"/>
  <c r="Z37" i="1"/>
  <c r="Y31" i="1"/>
  <c r="X31" i="1"/>
  <c r="W31" i="1"/>
  <c r="V31" i="1"/>
  <c r="U31" i="1"/>
  <c r="T31" i="1"/>
  <c r="Z26" i="1"/>
  <c r="Y25" i="1"/>
  <c r="X25" i="1"/>
  <c r="W25" i="1"/>
  <c r="V25" i="1"/>
  <c r="U25" i="1"/>
  <c r="Y24" i="1"/>
  <c r="X24" i="1"/>
  <c r="W24" i="1"/>
  <c r="V24" i="1"/>
  <c r="U24" i="1"/>
  <c r="Z20" i="1"/>
  <c r="Y18" i="1"/>
  <c r="X18" i="1"/>
  <c r="W18" i="1"/>
  <c r="V18" i="1"/>
  <c r="U18" i="1"/>
  <c r="Y17" i="1"/>
  <c r="X17" i="1"/>
  <c r="W17" i="1"/>
  <c r="V17" i="1"/>
  <c r="U17" i="1"/>
  <c r="Y11" i="1"/>
  <c r="X11" i="1"/>
  <c r="W11" i="1"/>
  <c r="V11" i="1"/>
  <c r="U11" i="1"/>
  <c r="Y10" i="1"/>
  <c r="X10" i="1"/>
  <c r="W10" i="1"/>
  <c r="V10" i="1"/>
  <c r="U10" i="1"/>
  <c r="Z13" i="1"/>
  <c r="Z6" i="1"/>
  <c r="X33" i="1" l="1"/>
  <c r="W33" i="1"/>
  <c r="Y33" i="1"/>
  <c r="V33" i="1"/>
  <c r="U33" i="1"/>
  <c r="Y45" i="1"/>
  <c r="Z101" i="1"/>
  <c r="Z75" i="1"/>
  <c r="W45" i="1"/>
  <c r="Z67" i="1"/>
  <c r="V45" i="1"/>
  <c r="U59" i="1"/>
  <c r="Y59" i="1"/>
  <c r="X118" i="1"/>
  <c r="Z41" i="1"/>
  <c r="AD41" i="1"/>
  <c r="AC41" i="1"/>
  <c r="Z65" i="1"/>
  <c r="Z84" i="1"/>
  <c r="Z64" i="1"/>
  <c r="Z54" i="1"/>
  <c r="X59" i="1"/>
  <c r="Z66" i="1"/>
  <c r="Z92" i="1"/>
  <c r="Z109" i="1"/>
  <c r="V63" i="1"/>
  <c r="W59" i="1"/>
  <c r="W112" i="1"/>
  <c r="W118" i="1" s="1"/>
  <c r="W63" i="1"/>
  <c r="Z36" i="1"/>
  <c r="X45" i="1"/>
  <c r="AB41" i="1"/>
  <c r="X63" i="1"/>
  <c r="Y118" i="1"/>
  <c r="Z49" i="1"/>
  <c r="U63" i="1"/>
  <c r="Y63" i="1"/>
  <c r="V59" i="1"/>
  <c r="AA41" i="1"/>
  <c r="AE41" i="1"/>
  <c r="CL133" i="1"/>
  <c r="CL134" i="1"/>
  <c r="CL132" i="1"/>
  <c r="CK104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CJ101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CJ92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CJ84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CJ75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CJ67" i="1"/>
  <c r="CJ66" i="1"/>
  <c r="CJ65" i="1"/>
  <c r="CJ6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CJ49" i="1"/>
  <c r="CJ112" i="1" s="1"/>
  <c r="CI49" i="1"/>
  <c r="CI112" i="1" s="1"/>
  <c r="CH49" i="1"/>
  <c r="CH112" i="1" s="1"/>
  <c r="CG49" i="1"/>
  <c r="CG112" i="1" s="1"/>
  <c r="CF49" i="1"/>
  <c r="CF112" i="1" s="1"/>
  <c r="CE49" i="1"/>
  <c r="CE112" i="1" s="1"/>
  <c r="CD49" i="1"/>
  <c r="CD112" i="1" s="1"/>
  <c r="CC49" i="1"/>
  <c r="CC112" i="1" s="1"/>
  <c r="CB49" i="1"/>
  <c r="CB112" i="1" s="1"/>
  <c r="CA49" i="1"/>
  <c r="CA112" i="1" s="1"/>
  <c r="BZ49" i="1"/>
  <c r="BZ112" i="1" s="1"/>
  <c r="BY49" i="1"/>
  <c r="BY112" i="1" s="1"/>
  <c r="BX49" i="1"/>
  <c r="BX112" i="1" s="1"/>
  <c r="BW49" i="1"/>
  <c r="BW112" i="1" s="1"/>
  <c r="BV49" i="1"/>
  <c r="BV112" i="1" s="1"/>
  <c r="BU49" i="1"/>
  <c r="BU112" i="1" s="1"/>
  <c r="BT49" i="1"/>
  <c r="BT112" i="1" s="1"/>
  <c r="BS49" i="1"/>
  <c r="BS112" i="1" s="1"/>
  <c r="BR49" i="1"/>
  <c r="BQ49" i="1"/>
  <c r="BP49" i="1"/>
  <c r="BO49" i="1"/>
  <c r="BN49" i="1"/>
  <c r="BM49" i="1"/>
  <c r="BL49" i="1"/>
  <c r="BK49" i="1"/>
  <c r="AA26" i="1"/>
  <c r="CI31" i="1"/>
  <c r="CJ28" i="1" s="1"/>
  <c r="CH31" i="1"/>
  <c r="CI28" i="1" s="1"/>
  <c r="CG31" i="1"/>
  <c r="CF31" i="1"/>
  <c r="CE31" i="1"/>
  <c r="CF28" i="1" s="1"/>
  <c r="CD31" i="1"/>
  <c r="CE28" i="1" s="1"/>
  <c r="CC31" i="1"/>
  <c r="CD28" i="1" s="1"/>
  <c r="CB31" i="1"/>
  <c r="CA31" i="1"/>
  <c r="CB28" i="1" s="1"/>
  <c r="BZ31" i="1"/>
  <c r="CA28" i="1" s="1"/>
  <c r="BY31" i="1"/>
  <c r="BZ28" i="1" s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CI20" i="1"/>
  <c r="CI21" i="1" s="1"/>
  <c r="CH20" i="1"/>
  <c r="CH21" i="1" s="1"/>
  <c r="CL24" i="1" s="1"/>
  <c r="CG20" i="1"/>
  <c r="CF20" i="1"/>
  <c r="CF21" i="1" s="1"/>
  <c r="CE20" i="1"/>
  <c r="CE21" i="1" s="1"/>
  <c r="CD20" i="1"/>
  <c r="CD21" i="1" s="1"/>
  <c r="CC20" i="1"/>
  <c r="CC21" i="1" s="1"/>
  <c r="CB20" i="1"/>
  <c r="CB21" i="1" s="1"/>
  <c r="CA20" i="1"/>
  <c r="CA21" i="1" s="1"/>
  <c r="BZ20" i="1"/>
  <c r="BZ21" i="1" s="1"/>
  <c r="BY20" i="1"/>
  <c r="BY21" i="1" s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CJ22" i="1"/>
  <c r="CJ20" i="1"/>
  <c r="BL13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CI13" i="1"/>
  <c r="CI14" i="1" s="1"/>
  <c r="CH13" i="1"/>
  <c r="CH14" i="1" s="1"/>
  <c r="CL17" i="1" s="1"/>
  <c r="CG13" i="1"/>
  <c r="CG14" i="1" s="1"/>
  <c r="CF13" i="1"/>
  <c r="CF14" i="1" s="1"/>
  <c r="CE13" i="1"/>
  <c r="CE14" i="1" s="1"/>
  <c r="CD13" i="1"/>
  <c r="CD14" i="1" s="1"/>
  <c r="CC13" i="1"/>
  <c r="CC14" i="1" s="1"/>
  <c r="CB13" i="1"/>
  <c r="CB14" i="1" s="1"/>
  <c r="CA13" i="1"/>
  <c r="CA14" i="1" s="1"/>
  <c r="BZ13" i="1"/>
  <c r="BZ14" i="1" s="1"/>
  <c r="BY13" i="1"/>
  <c r="BY14" i="1" s="1"/>
  <c r="BX13" i="1"/>
  <c r="BX14" i="1" s="1"/>
  <c r="BW13" i="1"/>
  <c r="BW14" i="1" s="1"/>
  <c r="BV13" i="1"/>
  <c r="BV14" i="1" s="1"/>
  <c r="BU13" i="1"/>
  <c r="BU14" i="1" s="1"/>
  <c r="BT13" i="1"/>
  <c r="BT14" i="1" s="1"/>
  <c r="BS13" i="1"/>
  <c r="BS14" i="1" s="1"/>
  <c r="BR13" i="1"/>
  <c r="BR14" i="1" s="1"/>
  <c r="BQ13" i="1"/>
  <c r="BQ14" i="1" s="1"/>
  <c r="BP13" i="1"/>
  <c r="BP14" i="1" s="1"/>
  <c r="BO13" i="1"/>
  <c r="BO14" i="1" s="1"/>
  <c r="BN13" i="1"/>
  <c r="BN14" i="1" s="1"/>
  <c r="BM13" i="1"/>
  <c r="BL14" i="1"/>
  <c r="CJ15" i="1"/>
  <c r="CJ13" i="1"/>
  <c r="BK8" i="1"/>
  <c r="BK6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CI6" i="1"/>
  <c r="CI7" i="1" s="1"/>
  <c r="CH6" i="1"/>
  <c r="CG6" i="1"/>
  <c r="CG7" i="1" s="1"/>
  <c r="CF6" i="1"/>
  <c r="CE6" i="1"/>
  <c r="CE7" i="1" s="1"/>
  <c r="CD6" i="1"/>
  <c r="CD7" i="1" s="1"/>
  <c r="CC6" i="1"/>
  <c r="CC7" i="1" s="1"/>
  <c r="CB6" i="1"/>
  <c r="CB7" i="1" s="1"/>
  <c r="CA6" i="1"/>
  <c r="CA7" i="1" s="1"/>
  <c r="BZ6" i="1"/>
  <c r="BZ7" i="1" s="1"/>
  <c r="BY6" i="1"/>
  <c r="BY7" i="1" s="1"/>
  <c r="BX6" i="1"/>
  <c r="BX7" i="1" s="1"/>
  <c r="BW6" i="1"/>
  <c r="BV6" i="1"/>
  <c r="BV7" i="1" s="1"/>
  <c r="BU6" i="1"/>
  <c r="BU7" i="1" s="1"/>
  <c r="BT6" i="1"/>
  <c r="BT7" i="1" s="1"/>
  <c r="BS6" i="1"/>
  <c r="BS7" i="1" s="1"/>
  <c r="BR6" i="1"/>
  <c r="BR7" i="1" s="1"/>
  <c r="BQ6" i="1"/>
  <c r="BQ7" i="1" s="1"/>
  <c r="BP6" i="1"/>
  <c r="BP7" i="1" s="1"/>
  <c r="BO6" i="1"/>
  <c r="BO7" i="1" s="1"/>
  <c r="BN6" i="1"/>
  <c r="BN7" i="1" s="1"/>
  <c r="BM6" i="1"/>
  <c r="BM7" i="1" s="1"/>
  <c r="BL6" i="1"/>
  <c r="BL7" i="1" s="1"/>
  <c r="CJ8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CJ41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CJ6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303" i="1"/>
  <c r="AB165" i="1"/>
  <c r="AC165" i="1"/>
  <c r="AD165" i="1"/>
  <c r="AE165" i="1"/>
  <c r="AB179" i="1"/>
  <c r="AC179" i="1"/>
  <c r="AD179" i="1"/>
  <c r="AE179" i="1"/>
  <c r="AE178" i="1"/>
  <c r="AD178" i="1"/>
  <c r="AC178" i="1"/>
  <c r="AB178" i="1"/>
  <c r="AJ376" i="1"/>
  <c r="AB50" i="2"/>
  <c r="AA316" i="1" s="1"/>
  <c r="AB28" i="2"/>
  <c r="AB78" i="2"/>
  <c r="AA327" i="1" s="1"/>
  <c r="AF54" i="2"/>
  <c r="AC20" i="2"/>
  <c r="AF51" i="2"/>
  <c r="AD35" i="2"/>
  <c r="AD32" i="2"/>
  <c r="AF107" i="2"/>
  <c r="AE18" i="2"/>
  <c r="AE89" i="2"/>
  <c r="AF52" i="2"/>
  <c r="AD42" i="2"/>
  <c r="AF84" i="2"/>
  <c r="AE6" i="2"/>
  <c r="AB66" i="2"/>
  <c r="AD56" i="2"/>
  <c r="AF49" i="2"/>
  <c r="AB35" i="2"/>
  <c r="AA213" i="1" s="1"/>
  <c r="AD110" i="2"/>
  <c r="AB52" i="2"/>
  <c r="AA318" i="1" s="1"/>
  <c r="AF108" i="2"/>
  <c r="AC70" i="2"/>
  <c r="AD55" i="2"/>
  <c r="AF53" i="2"/>
  <c r="AD89" i="2"/>
  <c r="AE14" i="2"/>
  <c r="AD77" i="2"/>
  <c r="AD60" i="2"/>
  <c r="AF60" i="2"/>
  <c r="AF40" i="2"/>
  <c r="AF61" i="2"/>
  <c r="AC54" i="2"/>
  <c r="AC77" i="2"/>
  <c r="AE52" i="2"/>
  <c r="AF23" i="2"/>
  <c r="AC29" i="2"/>
  <c r="AD88" i="2"/>
  <c r="AE88" i="2"/>
  <c r="AB69" i="2"/>
  <c r="AE55" i="2"/>
  <c r="AD8" i="2"/>
  <c r="AD90" i="2"/>
  <c r="AC30" i="2"/>
  <c r="AC7" i="2"/>
  <c r="AE5" i="2"/>
  <c r="AF104" i="2"/>
  <c r="AE30" i="2"/>
  <c r="AB98" i="2"/>
  <c r="AF65" i="2"/>
  <c r="AE31" i="2"/>
  <c r="AB46" i="2"/>
  <c r="AB47" i="2"/>
  <c r="AA291" i="1" s="1"/>
  <c r="AE53" i="2"/>
  <c r="AE83" i="2"/>
  <c r="AC11" i="2"/>
  <c r="AE13" i="2"/>
  <c r="AD109" i="2"/>
  <c r="AE41" i="2"/>
  <c r="AE65" i="2"/>
  <c r="AD68" i="2"/>
  <c r="AC64" i="2"/>
  <c r="AF48" i="2"/>
  <c r="AB12" i="2"/>
  <c r="AA171" i="1" s="1"/>
  <c r="AE26" i="2"/>
  <c r="AE109" i="2"/>
  <c r="AF11" i="2"/>
  <c r="AC15" i="2"/>
  <c r="AE21" i="2"/>
  <c r="AC8" i="2"/>
  <c r="AE49" i="2"/>
  <c r="AE81" i="2"/>
  <c r="AB71" i="2"/>
  <c r="AA307" i="1" s="1"/>
  <c r="AF70" i="2"/>
  <c r="AC9" i="2"/>
  <c r="AF30" i="2"/>
  <c r="AF20" i="2"/>
  <c r="AE94" i="2"/>
  <c r="AC87" i="2"/>
  <c r="AD96" i="2"/>
  <c r="AD34" i="2"/>
  <c r="AF109" i="2"/>
  <c r="AC96" i="2"/>
  <c r="AC48" i="2"/>
  <c r="AB7" i="2"/>
  <c r="AA165" i="1" s="1"/>
  <c r="AE76" i="2"/>
  <c r="AB70" i="2"/>
  <c r="AF76" i="2"/>
  <c r="AC23" i="2"/>
  <c r="AE40" i="2"/>
  <c r="AC66" i="2"/>
  <c r="AD13" i="2"/>
  <c r="AB5" i="2"/>
  <c r="AD76" i="2"/>
  <c r="AB80" i="2"/>
  <c r="AA314" i="1" s="1"/>
  <c r="AF56" i="2"/>
  <c r="AE25" i="2"/>
  <c r="AF43" i="2"/>
  <c r="AE34" i="2"/>
  <c r="AC27" i="2"/>
  <c r="AE48" i="2"/>
  <c r="AC74" i="2"/>
  <c r="AF24" i="2"/>
  <c r="AF7" i="2"/>
  <c r="AB79" i="2"/>
  <c r="AA313" i="1" s="1"/>
  <c r="AF86" i="2"/>
  <c r="AC5" i="2"/>
  <c r="AD58" i="2"/>
  <c r="AF8" i="2"/>
  <c r="AD51" i="2"/>
  <c r="AB18" i="2"/>
  <c r="AA182" i="1" s="1"/>
  <c r="AC31" i="2"/>
  <c r="AE56" i="2"/>
  <c r="AC82" i="2"/>
  <c r="AB34" i="2"/>
  <c r="AD10" i="2"/>
  <c r="AF81" i="2"/>
  <c r="AD91" i="2"/>
  <c r="AC25" i="2"/>
  <c r="AF72" i="2"/>
  <c r="AD44" i="2"/>
  <c r="AB32" i="2"/>
  <c r="AA207" i="1" s="1"/>
  <c r="AD61" i="2"/>
  <c r="AF6" i="2"/>
  <c r="AB48" i="2"/>
  <c r="AA292" i="1" s="1"/>
  <c r="AF10" i="2"/>
  <c r="AD69" i="2"/>
  <c r="AF12" i="2"/>
  <c r="AC12" i="2"/>
  <c r="AC105" i="2"/>
  <c r="AC21" i="2"/>
  <c r="AC50" i="2"/>
  <c r="AE17" i="2"/>
  <c r="AB21" i="2"/>
  <c r="AD92" i="2"/>
  <c r="AC32" i="2"/>
  <c r="AB6" i="2"/>
  <c r="AA164" i="1" s="1"/>
  <c r="AE27" i="2"/>
  <c r="AD62" i="2"/>
  <c r="AC28" i="2"/>
  <c r="AB92" i="2"/>
  <c r="AC18" i="2"/>
  <c r="AF58" i="2"/>
  <c r="AB55" i="2"/>
  <c r="AB90" i="2"/>
  <c r="AD33" i="2"/>
  <c r="AC10" i="2"/>
  <c r="AD79" i="2"/>
  <c r="AE91" i="2"/>
  <c r="AE68" i="2"/>
  <c r="AC22" i="2"/>
  <c r="AC86" i="2"/>
  <c r="AB61" i="2"/>
  <c r="AE69" i="2"/>
  <c r="AD95" i="2"/>
  <c r="AC49" i="2"/>
  <c r="AC42" i="2"/>
  <c r="AC65" i="2"/>
  <c r="AC98" i="2"/>
  <c r="AB59" i="2"/>
  <c r="AF15" i="2"/>
  <c r="AB87" i="2"/>
  <c r="AA293" i="1" s="1"/>
  <c r="AF106" i="2"/>
  <c r="AC17" i="2"/>
  <c r="AC67" i="2"/>
  <c r="AD72" i="2"/>
  <c r="AC46" i="2"/>
  <c r="AC69" i="2"/>
  <c r="AC110" i="2"/>
  <c r="AD64" i="2"/>
  <c r="AD18" i="2"/>
  <c r="AF89" i="2"/>
  <c r="AE33" i="2"/>
  <c r="AB53" i="2"/>
  <c r="AC44" i="2"/>
  <c r="AB83" i="2"/>
  <c r="AA331" i="1" s="1"/>
  <c r="AC73" i="2"/>
  <c r="AF69" i="2"/>
  <c r="AF98" i="2"/>
  <c r="AE20" i="2"/>
  <c r="AE11" i="2"/>
  <c r="AB57" i="2"/>
  <c r="AA322" i="1" s="1"/>
  <c r="AE99" i="2"/>
  <c r="AF79" i="2"/>
  <c r="AF94" i="2"/>
  <c r="AB19" i="2"/>
  <c r="AA179" i="1" s="1"/>
  <c r="AE24" i="2"/>
  <c r="AF90" i="2"/>
  <c r="AE28" i="2"/>
  <c r="AF63" i="2"/>
  <c r="AB8" i="2"/>
  <c r="AB51" i="2"/>
  <c r="AA317" i="1" s="1"/>
  <c r="AD73" i="2"/>
  <c r="AB45" i="2"/>
  <c r="AA289" i="1" s="1"/>
  <c r="AF29" i="2"/>
  <c r="AC58" i="2"/>
  <c r="AC81" i="2"/>
  <c r="AC63" i="2"/>
  <c r="AD80" i="2"/>
  <c r="AD26" i="2"/>
  <c r="AF97" i="2"/>
  <c r="AC72" i="2"/>
  <c r="AC33" i="2"/>
  <c r="AE110" i="2"/>
  <c r="AF93" i="2"/>
  <c r="AE60" i="2"/>
  <c r="AD9" i="2"/>
  <c r="AC85" i="2"/>
  <c r="AC71" i="2"/>
  <c r="AF85" i="2"/>
  <c r="AB29" i="2"/>
  <c r="AA209" i="1" s="1"/>
  <c r="AD104" i="2"/>
  <c r="AC80" i="2"/>
  <c r="AC40" i="2"/>
  <c r="AC75" i="2"/>
  <c r="AF77" i="2"/>
  <c r="AF28" i="2"/>
  <c r="AD59" i="2"/>
  <c r="AB14" i="2"/>
  <c r="AA177" i="1" s="1"/>
  <c r="AC89" i="2"/>
  <c r="AC79" i="2"/>
  <c r="AB91" i="2"/>
  <c r="AF31" i="2"/>
  <c r="AB107" i="2"/>
  <c r="AA240" i="1" s="1"/>
  <c r="AC88" i="2"/>
  <c r="AD52" i="2"/>
  <c r="AC84" i="2"/>
  <c r="AB73" i="2"/>
  <c r="AA310" i="1" s="1"/>
  <c r="AD25" i="2"/>
  <c r="AE106" i="2"/>
  <c r="AE98" i="2"/>
  <c r="AF105" i="2"/>
  <c r="AB40" i="2"/>
  <c r="AB113" i="2"/>
  <c r="AA236" i="1" s="1"/>
  <c r="AC108" i="2"/>
  <c r="AC52" i="2"/>
  <c r="AF66" i="2"/>
  <c r="AD15" i="2"/>
  <c r="AC68" i="2"/>
  <c r="AB30" i="2"/>
  <c r="AA201" i="1" s="1"/>
  <c r="AD11" i="2"/>
  <c r="AB16" i="2"/>
  <c r="AD108" i="2"/>
  <c r="AF42" i="2"/>
  <c r="AC97" i="2"/>
  <c r="AC36" i="2"/>
  <c r="AC56" i="2"/>
  <c r="AD27" i="2"/>
  <c r="AB99" i="2"/>
  <c r="AD66" i="2"/>
  <c r="AF78" i="2"/>
  <c r="AF36" i="2"/>
  <c r="AF22" i="2"/>
  <c r="AF41" i="2"/>
  <c r="AC93" i="2"/>
  <c r="AD45" i="2"/>
  <c r="AC109" i="2"/>
  <c r="AC60" i="2"/>
  <c r="AB77" i="2"/>
  <c r="AA312" i="1" s="1"/>
  <c r="AA347" i="1" s="1"/>
  <c r="AD12" i="2"/>
  <c r="AF83" i="2"/>
  <c r="AB104" i="2"/>
  <c r="AC57" i="2"/>
  <c r="AE71" i="2"/>
  <c r="AB62" i="2"/>
  <c r="AA298" i="1" s="1"/>
  <c r="AB49" i="2"/>
  <c r="AA330" i="1" s="1"/>
  <c r="AD46" i="2"/>
  <c r="AC47" i="2"/>
  <c r="AF26" i="2"/>
  <c r="AF50" i="2"/>
  <c r="AB20" i="2"/>
  <c r="AB74" i="2"/>
  <c r="AD17" i="2"/>
  <c r="AB112" i="2"/>
  <c r="AA235" i="1" s="1"/>
  <c r="AC26" i="2"/>
  <c r="AD54" i="2"/>
  <c r="AF55" i="2"/>
  <c r="AF57" i="2"/>
  <c r="AD71" i="2"/>
  <c r="AD50" i="2"/>
  <c r="AD53" i="2"/>
  <c r="AD31" i="2"/>
  <c r="AF80" i="2"/>
  <c r="AB22" i="2"/>
  <c r="AB76" i="2"/>
  <c r="AA311" i="1" s="1"/>
  <c r="AA346" i="1" s="1"/>
  <c r="AB36" i="2"/>
  <c r="AF87" i="2"/>
  <c r="AF59" i="2"/>
  <c r="AF64" i="2"/>
  <c r="AF82" i="2"/>
  <c r="AB64" i="2"/>
  <c r="AA300" i="1" s="1"/>
  <c r="AB56" i="2"/>
  <c r="AA294" i="1" s="1"/>
  <c r="AF45" i="2"/>
  <c r="AD85" i="2"/>
  <c r="AB23" i="2"/>
  <c r="AA197" i="1" s="1"/>
  <c r="AD94" i="2"/>
  <c r="AD21" i="2"/>
  <c r="AB17" i="2"/>
  <c r="AA178" i="1" s="1"/>
  <c r="AD78" i="2"/>
  <c r="AD47" i="2"/>
  <c r="AD49" i="2"/>
  <c r="AC92" i="2"/>
  <c r="AD41" i="2"/>
  <c r="AB65" i="2"/>
  <c r="AE59" i="2"/>
  <c r="AD107" i="2"/>
  <c r="AC34" i="2"/>
  <c r="AE8" i="2"/>
  <c r="AF62" i="2"/>
  <c r="AF96" i="2"/>
  <c r="AB41" i="2"/>
  <c r="AA284" i="1" s="1"/>
  <c r="AA287" i="1" s="1"/>
  <c r="AE42" i="2"/>
  <c r="AE92" i="2"/>
  <c r="AE73" i="2"/>
  <c r="AF67" i="2"/>
  <c r="AB68" i="2"/>
  <c r="AA303" i="1" s="1"/>
  <c r="AE35" i="2"/>
  <c r="AC53" i="2"/>
  <c r="AE12" i="2"/>
  <c r="AC6" i="2"/>
  <c r="AD105" i="2"/>
  <c r="AF47" i="2"/>
  <c r="AE67" i="2"/>
  <c r="AC45" i="2"/>
  <c r="AD98" i="2"/>
  <c r="AB88" i="2"/>
  <c r="AD70" i="2"/>
  <c r="AF74" i="2"/>
  <c r="AE75" i="2"/>
  <c r="AE64" i="2"/>
  <c r="AE16" i="2"/>
  <c r="AC14" i="2"/>
  <c r="AB110" i="2"/>
  <c r="AA229" i="1" s="1"/>
  <c r="AD63" i="2"/>
  <c r="AF33" i="2"/>
  <c r="AB109" i="2"/>
  <c r="AE107" i="2"/>
  <c r="AB25" i="2"/>
  <c r="AA198" i="1" s="1"/>
  <c r="AB106" i="2"/>
  <c r="AA239" i="1" s="1"/>
  <c r="AE63" i="2"/>
  <c r="AE32" i="2"/>
  <c r="AF18" i="2"/>
  <c r="AF75" i="2"/>
  <c r="AB84" i="2"/>
  <c r="AE7" i="2"/>
  <c r="AE72" i="2"/>
  <c r="AB15" i="2"/>
  <c r="AA180" i="1" s="1"/>
  <c r="AD86" i="2"/>
  <c r="AF110" i="2"/>
  <c r="AD97" i="2"/>
  <c r="AC99" i="2"/>
  <c r="AE43" i="2"/>
  <c r="AE62" i="2"/>
  <c r="AE93" i="2"/>
  <c r="AF71" i="2"/>
  <c r="AC106" i="2"/>
  <c r="AD99" i="2"/>
  <c r="AF17" i="2"/>
  <c r="AB89" i="2"/>
  <c r="AE19" i="2"/>
  <c r="AC62" i="2"/>
  <c r="AD19" i="2"/>
  <c r="AE47" i="2"/>
  <c r="AE66" i="2"/>
  <c r="AE105" i="2"/>
  <c r="AD74" i="2"/>
  <c r="AC24" i="2"/>
  <c r="AD67" i="2"/>
  <c r="AE44" i="2"/>
  <c r="AD20" i="2"/>
  <c r="AF91" i="2"/>
  <c r="AE54" i="2"/>
  <c r="AC78" i="2"/>
  <c r="AB43" i="2"/>
  <c r="AA286" i="1" s="1"/>
  <c r="AE51" i="2"/>
  <c r="AE70" i="2"/>
  <c r="AF5" i="2"/>
  <c r="AD81" i="2"/>
  <c r="AB58" i="2"/>
  <c r="AB60" i="2"/>
  <c r="AB94" i="2"/>
  <c r="AE22" i="2"/>
  <c r="AF88" i="2"/>
  <c r="AB63" i="2"/>
  <c r="AA299" i="1" s="1"/>
  <c r="AD65" i="2"/>
  <c r="AD43" i="2"/>
  <c r="AE104" i="2"/>
  <c r="AE10" i="2"/>
  <c r="AB105" i="2"/>
  <c r="AF25" i="2"/>
  <c r="AB97" i="2"/>
  <c r="AE79" i="2"/>
  <c r="AB9" i="2"/>
  <c r="AE50" i="2"/>
  <c r="AD5" i="2"/>
  <c r="AE78" i="2"/>
  <c r="AB11" i="2"/>
  <c r="AA169" i="1" s="1"/>
  <c r="AD82" i="2"/>
  <c r="AD22" i="2"/>
  <c r="AC104" i="2"/>
  <c r="AD28" i="2"/>
  <c r="AF99" i="2"/>
  <c r="AE87" i="2"/>
  <c r="AD14" i="2"/>
  <c r="AB72" i="2"/>
  <c r="AA309" i="1" s="1"/>
  <c r="AB10" i="2"/>
  <c r="AE82" i="2"/>
  <c r="AF13" i="2"/>
  <c r="AB85" i="2"/>
  <c r="AA337" i="1" s="1"/>
  <c r="AD6" i="2"/>
  <c r="AC16" i="2"/>
  <c r="AC83" i="2"/>
  <c r="AB31" i="2"/>
  <c r="AD106" i="2"/>
  <c r="AE95" i="2"/>
  <c r="AF19" i="2"/>
  <c r="AD83" i="2"/>
  <c r="AF16" i="2"/>
  <c r="AE86" i="2"/>
  <c r="AD16" i="2"/>
  <c r="AB33" i="2"/>
  <c r="AC19" i="2"/>
  <c r="AE29" i="2"/>
  <c r="AC43" i="2"/>
  <c r="AE57" i="2"/>
  <c r="AE97" i="2"/>
  <c r="AF73" i="2"/>
  <c r="AD75" i="2"/>
  <c r="AB54" i="2"/>
  <c r="AA320" i="1" s="1"/>
  <c r="AF34" i="2"/>
  <c r="AE45" i="2"/>
  <c r="AD48" i="2"/>
  <c r="AD84" i="2"/>
  <c r="AB96" i="2"/>
  <c r="AE61" i="2"/>
  <c r="AC59" i="2"/>
  <c r="AB67" i="2"/>
  <c r="AA304" i="1" s="1"/>
  <c r="AE84" i="2"/>
  <c r="AE36" i="2"/>
  <c r="AF92" i="2"/>
  <c r="AC94" i="2"/>
  <c r="AE74" i="2"/>
  <c r="AE90" i="2"/>
  <c r="AE15" i="2"/>
  <c r="AC41" i="2"/>
  <c r="AD23" i="2"/>
  <c r="AB81" i="2"/>
  <c r="AE80" i="2"/>
  <c r="AD36" i="2"/>
  <c r="AE96" i="2"/>
  <c r="AE23" i="2"/>
  <c r="AD30" i="2"/>
  <c r="AB108" i="2"/>
  <c r="AA241" i="1" s="1"/>
  <c r="AB26" i="2"/>
  <c r="AC95" i="2"/>
  <c r="AF21" i="2"/>
  <c r="AB93" i="2"/>
  <c r="AA339" i="1" s="1"/>
  <c r="AF46" i="2"/>
  <c r="AD93" i="2"/>
  <c r="AB42" i="2"/>
  <c r="AA285" i="1" s="1"/>
  <c r="AE108" i="2"/>
  <c r="AE58" i="2"/>
  <c r="AF35" i="2"/>
  <c r="AC51" i="2"/>
  <c r="AF32" i="2"/>
  <c r="AC107" i="2"/>
  <c r="AD24" i="2"/>
  <c r="AF95" i="2"/>
  <c r="AF27" i="2"/>
  <c r="AC55" i="2"/>
  <c r="AD87" i="2"/>
  <c r="AF44" i="2"/>
  <c r="AD7" i="2"/>
  <c r="AF68" i="2"/>
  <c r="AB44" i="2"/>
  <c r="AC76" i="2"/>
  <c r="AD40" i="2"/>
  <c r="AF14" i="2"/>
  <c r="AB27" i="2"/>
  <c r="AA194" i="1" s="1"/>
  <c r="AD57" i="2"/>
  <c r="AC35" i="2"/>
  <c r="AC61" i="2"/>
  <c r="AC90" i="2"/>
  <c r="AB13" i="2"/>
  <c r="AA181" i="1" s="1"/>
  <c r="AC13" i="2"/>
  <c r="AE9" i="2"/>
  <c r="AD29" i="2"/>
  <c r="AB75" i="2"/>
  <c r="AA326" i="1" s="1"/>
  <c r="AB95" i="2"/>
  <c r="AA338" i="1" s="1"/>
  <c r="AC91" i="2"/>
  <c r="AB86" i="2"/>
  <c r="AA302" i="1" s="1"/>
  <c r="AE85" i="2"/>
  <c r="AB82" i="2"/>
  <c r="AE46" i="2"/>
  <c r="AF9" i="2"/>
  <c r="AE77" i="2"/>
  <c r="AB24" i="2"/>
  <c r="AA208" i="1" l="1"/>
  <c r="AA398" i="1"/>
  <c r="AA166" i="1"/>
  <c r="AA419" i="1"/>
  <c r="AA342" i="1"/>
  <c r="AA340" i="1"/>
  <c r="AA420" i="1"/>
  <c r="AA361" i="1"/>
  <c r="AA301" i="1"/>
  <c r="AA305" i="1" s="1"/>
  <c r="AA315" i="1"/>
  <c r="AA350" i="1"/>
  <c r="AA328" i="1"/>
  <c r="AA295" i="1"/>
  <c r="AA321" i="1"/>
  <c r="AA323" i="1" s="1"/>
  <c r="AA188" i="1"/>
  <c r="AA189" i="1" s="1"/>
  <c r="AF113" i="2"/>
  <c r="AB111" i="2"/>
  <c r="AF112" i="2"/>
  <c r="AF111" i="2"/>
  <c r="AD111" i="2"/>
  <c r="AD113" i="2"/>
  <c r="BX21" i="1"/>
  <c r="BW21" i="1"/>
  <c r="BV21" i="1"/>
  <c r="BU21" i="1"/>
  <c r="BT21" i="1"/>
  <c r="BS21" i="1"/>
  <c r="BR21" i="1"/>
  <c r="BQ21" i="1"/>
  <c r="BP21" i="1"/>
  <c r="BO21" i="1"/>
  <c r="BN21" i="1"/>
  <c r="BL21" i="1"/>
  <c r="BW7" i="1"/>
  <c r="CC28" i="1"/>
  <c r="CJ33" i="1"/>
  <c r="CJ142" i="1" s="1"/>
  <c r="CG28" i="1"/>
  <c r="CK33" i="1"/>
  <c r="CK142" i="1" s="1"/>
  <c r="CH28" i="1"/>
  <c r="CG21" i="1"/>
  <c r="CG5" i="1" s="1"/>
  <c r="CM64" i="1"/>
  <c r="CN64" i="1" s="1"/>
  <c r="BM14" i="1"/>
  <c r="BQ17" i="1" s="1"/>
  <c r="CK17" i="1"/>
  <c r="CM17" i="1" s="1"/>
  <c r="CN17" i="1" s="1"/>
  <c r="CO17" i="1" s="1"/>
  <c r="CP17" i="1" s="1"/>
  <c r="CQ17" i="1" s="1"/>
  <c r="CR17" i="1" s="1"/>
  <c r="CS17" i="1" s="1"/>
  <c r="CT17" i="1" s="1"/>
  <c r="CU17" i="1" s="1"/>
  <c r="CV17" i="1" s="1"/>
  <c r="CW17" i="1" s="1"/>
  <c r="CX17" i="1" s="1"/>
  <c r="CY17" i="1" s="1"/>
  <c r="CZ17" i="1" s="1"/>
  <c r="DA17" i="1" s="1"/>
  <c r="DB17" i="1" s="1"/>
  <c r="AA84" i="1"/>
  <c r="Z45" i="1"/>
  <c r="Z113" i="1"/>
  <c r="CM133" i="1"/>
  <c r="CN133" i="1" s="1"/>
  <c r="CO133" i="1" s="1"/>
  <c r="CP133" i="1" s="1"/>
  <c r="AA133" i="1"/>
  <c r="CD33" i="1"/>
  <c r="CD142" i="1" s="1"/>
  <c r="CM132" i="1"/>
  <c r="CN132" i="1" s="1"/>
  <c r="CO132" i="1" s="1"/>
  <c r="CP132" i="1" s="1"/>
  <c r="AA132" i="1"/>
  <c r="CM134" i="1"/>
  <c r="CN134" i="1" s="1"/>
  <c r="CO134" i="1" s="1"/>
  <c r="CP134" i="1" s="1"/>
  <c r="AA134" i="1"/>
  <c r="Z63" i="1"/>
  <c r="CM100" i="1"/>
  <c r="AA70" i="1"/>
  <c r="CM129" i="1"/>
  <c r="BF33" i="1"/>
  <c r="BN33" i="1"/>
  <c r="BV33" i="1"/>
  <c r="BV142" i="1" s="1"/>
  <c r="Z114" i="1"/>
  <c r="Z115" i="1"/>
  <c r="CM99" i="1"/>
  <c r="CM87" i="1"/>
  <c r="CN87" i="1" s="1"/>
  <c r="CM88" i="1"/>
  <c r="CM128" i="1"/>
  <c r="Z59" i="1"/>
  <c r="CL104" i="1"/>
  <c r="CM104" i="1" s="1"/>
  <c r="CM96" i="1"/>
  <c r="CN96" i="1" s="1"/>
  <c r="CM89" i="1"/>
  <c r="Z116" i="1"/>
  <c r="CM98" i="1"/>
  <c r="CM107" i="1"/>
  <c r="CM97" i="1"/>
  <c r="CM90" i="1"/>
  <c r="CM127" i="1"/>
  <c r="Z15" i="1"/>
  <c r="Z18" i="1" s="1"/>
  <c r="CM21" i="1"/>
  <c r="Z22" i="1"/>
  <c r="Z25" i="1" s="1"/>
  <c r="BJ33" i="1"/>
  <c r="BR33" i="1"/>
  <c r="BZ33" i="1"/>
  <c r="BZ142" i="1" s="1"/>
  <c r="CH33" i="1"/>
  <c r="CH142" i="1" s="1"/>
  <c r="Z8" i="1"/>
  <c r="Z11" i="1" s="1"/>
  <c r="Z14" i="1"/>
  <c r="BC33" i="1"/>
  <c r="BG33" i="1"/>
  <c r="BK33" i="1"/>
  <c r="BO33" i="1"/>
  <c r="BS33" i="1"/>
  <c r="BS142" i="1" s="1"/>
  <c r="BW33" i="1"/>
  <c r="BW142" i="1" s="1"/>
  <c r="CA33" i="1"/>
  <c r="CA142" i="1" s="1"/>
  <c r="CE33" i="1"/>
  <c r="CE142" i="1" s="1"/>
  <c r="CI33" i="1"/>
  <c r="CI142" i="1" s="1"/>
  <c r="CM40" i="1"/>
  <c r="BD33" i="1"/>
  <c r="BH33" i="1"/>
  <c r="BL33" i="1"/>
  <c r="BP33" i="1"/>
  <c r="BT33" i="1"/>
  <c r="BT142" i="1" s="1"/>
  <c r="BX33" i="1"/>
  <c r="BX142" i="1" s="1"/>
  <c r="CB33" i="1"/>
  <c r="CB142" i="1" s="1"/>
  <c r="CF33" i="1"/>
  <c r="CF142" i="1" s="1"/>
  <c r="BE33" i="1"/>
  <c r="BI33" i="1"/>
  <c r="BM33" i="1"/>
  <c r="BQ33" i="1"/>
  <c r="BU33" i="1"/>
  <c r="BU142" i="1" s="1"/>
  <c r="BY33" i="1"/>
  <c r="BY142" i="1" s="1"/>
  <c r="CC33" i="1"/>
  <c r="CC142" i="1" s="1"/>
  <c r="CG33" i="1"/>
  <c r="CG142" i="1" s="1"/>
  <c r="BT118" i="1"/>
  <c r="CB118" i="1"/>
  <c r="CF118" i="1"/>
  <c r="BX118" i="1"/>
  <c r="CJ118" i="1"/>
  <c r="AA73" i="1"/>
  <c r="BM21" i="1"/>
  <c r="BW118" i="1"/>
  <c r="CI118" i="1"/>
  <c r="CA118" i="1"/>
  <c r="BN59" i="1"/>
  <c r="BR59" i="1"/>
  <c r="BV59" i="1"/>
  <c r="BZ59" i="1"/>
  <c r="CD59" i="1"/>
  <c r="CH59" i="1"/>
  <c r="CK109" i="1"/>
  <c r="BS118" i="1"/>
  <c r="CE118" i="1"/>
  <c r="BV118" i="1"/>
  <c r="Z112" i="1"/>
  <c r="BU118" i="1"/>
  <c r="BY118" i="1"/>
  <c r="CC118" i="1"/>
  <c r="CG118" i="1"/>
  <c r="CK101" i="1"/>
  <c r="CJ59" i="1"/>
  <c r="BO59" i="1"/>
  <c r="BW59" i="1"/>
  <c r="CA59" i="1"/>
  <c r="CI59" i="1"/>
  <c r="BK63" i="1"/>
  <c r="BS63" i="1"/>
  <c r="CE63" i="1"/>
  <c r="CJ63" i="1"/>
  <c r="BV63" i="1"/>
  <c r="BL63" i="1"/>
  <c r="BP63" i="1"/>
  <c r="BT63" i="1"/>
  <c r="BX63" i="1"/>
  <c r="CB63" i="1"/>
  <c r="CF63" i="1"/>
  <c r="BZ63" i="1"/>
  <c r="BM63" i="1"/>
  <c r="BQ63" i="1"/>
  <c r="BU63" i="1"/>
  <c r="BY63" i="1"/>
  <c r="CC63" i="1"/>
  <c r="CG63" i="1"/>
  <c r="BN63" i="1"/>
  <c r="CD63" i="1"/>
  <c r="BR63" i="1"/>
  <c r="CH63" i="1"/>
  <c r="BS59" i="1"/>
  <c r="CE59" i="1"/>
  <c r="BL59" i="1"/>
  <c r="BP59" i="1"/>
  <c r="BT59" i="1"/>
  <c r="BX59" i="1"/>
  <c r="CB59" i="1"/>
  <c r="CF59" i="1"/>
  <c r="BK59" i="1"/>
  <c r="BO63" i="1"/>
  <c r="BW63" i="1"/>
  <c r="CA63" i="1"/>
  <c r="CI63" i="1"/>
  <c r="BM59" i="1"/>
  <c r="BQ59" i="1"/>
  <c r="BU59" i="1"/>
  <c r="BY59" i="1"/>
  <c r="CC59" i="1"/>
  <c r="CG59" i="1"/>
  <c r="CH7" i="1"/>
  <c r="BL45" i="1"/>
  <c r="BP45" i="1"/>
  <c r="BT45" i="1"/>
  <c r="BX45" i="1"/>
  <c r="CB45" i="1"/>
  <c r="CB30" i="1" s="1"/>
  <c r="CB29" i="1" s="1"/>
  <c r="CB32" i="1" s="1"/>
  <c r="CF45" i="1"/>
  <c r="CF30" i="1" s="1"/>
  <c r="CF29" i="1" s="1"/>
  <c r="CA25" i="1"/>
  <c r="BK45" i="1"/>
  <c r="BO45" i="1"/>
  <c r="BS45" i="1"/>
  <c r="BW45" i="1"/>
  <c r="CA45" i="1"/>
  <c r="CA30" i="1" s="1"/>
  <c r="CA29" i="1" s="1"/>
  <c r="CA32" i="1" s="1"/>
  <c r="CE45" i="1"/>
  <c r="CE30" i="1" s="1"/>
  <c r="CE29" i="1" s="1"/>
  <c r="CE25" i="1"/>
  <c r="BU10" i="1"/>
  <c r="BY10" i="1"/>
  <c r="CG10" i="1"/>
  <c r="BU17" i="1"/>
  <c r="CG17" i="1"/>
  <c r="BN45" i="1"/>
  <c r="BR45" i="1"/>
  <c r="BV45" i="1"/>
  <c r="BZ45" i="1"/>
  <c r="BZ30" i="1" s="1"/>
  <c r="BZ29" i="1" s="1"/>
  <c r="CD45" i="1"/>
  <c r="CD30" i="1" s="1"/>
  <c r="CD29" i="1" s="1"/>
  <c r="CH45" i="1"/>
  <c r="CH30" i="1" s="1"/>
  <c r="BR10" i="1"/>
  <c r="BV10" i="1"/>
  <c r="BZ10" i="1"/>
  <c r="CD10" i="1"/>
  <c r="BR17" i="1"/>
  <c r="BV17" i="1"/>
  <c r="BZ17" i="1"/>
  <c r="CD17" i="1"/>
  <c r="CH17" i="1"/>
  <c r="BY17" i="1"/>
  <c r="BQ10" i="1"/>
  <c r="CC10" i="1"/>
  <c r="CC17" i="1"/>
  <c r="CJ21" i="1"/>
  <c r="CN21" i="1" s="1"/>
  <c r="CR21" i="1" s="1"/>
  <c r="CV21" i="1" s="1"/>
  <c r="CZ21" i="1" s="1"/>
  <c r="BR11" i="1"/>
  <c r="CD11" i="1"/>
  <c r="BZ18" i="1"/>
  <c r="CD18" i="1"/>
  <c r="BM45" i="1"/>
  <c r="BQ45" i="1"/>
  <c r="BU45" i="1"/>
  <c r="BY45" i="1"/>
  <c r="CC45" i="1"/>
  <c r="CC30" i="1" s="1"/>
  <c r="CG45" i="1"/>
  <c r="CG30" i="1" s="1"/>
  <c r="CJ11" i="1"/>
  <c r="CN11" i="1" s="1"/>
  <c r="CR11" i="1" s="1"/>
  <c r="CV11" i="1" s="1"/>
  <c r="CZ11" i="1" s="1"/>
  <c r="BS10" i="1"/>
  <c r="CE10" i="1"/>
  <c r="CI10" i="1"/>
  <c r="BS11" i="1"/>
  <c r="BW11" i="1"/>
  <c r="CA11" i="1"/>
  <c r="CE11" i="1"/>
  <c r="CI11" i="1"/>
  <c r="CM11" i="1" s="1"/>
  <c r="CQ11" i="1" s="1"/>
  <c r="CU11" i="1" s="1"/>
  <c r="CY11" i="1" s="1"/>
  <c r="CJ14" i="1"/>
  <c r="BS17" i="1"/>
  <c r="BW17" i="1"/>
  <c r="CA17" i="1"/>
  <c r="CE17" i="1"/>
  <c r="CI17" i="1"/>
  <c r="BS18" i="1"/>
  <c r="BW18" i="1"/>
  <c r="CA18" i="1"/>
  <c r="CE18" i="1"/>
  <c r="CI18" i="1"/>
  <c r="BV11" i="1"/>
  <c r="CH11" i="1"/>
  <c r="BV18" i="1"/>
  <c r="CH18" i="1"/>
  <c r="CI45" i="1"/>
  <c r="CI30" i="1" s="1"/>
  <c r="CI29" i="1" s="1"/>
  <c r="BP10" i="1"/>
  <c r="BT10" i="1"/>
  <c r="BX10" i="1"/>
  <c r="CB10" i="1"/>
  <c r="BP11" i="1"/>
  <c r="BT11" i="1"/>
  <c r="BX11" i="1"/>
  <c r="CB11" i="1"/>
  <c r="BK7" i="1"/>
  <c r="BP17" i="1"/>
  <c r="BT17" i="1"/>
  <c r="BX17" i="1"/>
  <c r="CB17" i="1"/>
  <c r="CF17" i="1"/>
  <c r="BP18" i="1"/>
  <c r="BT18" i="1"/>
  <c r="BX18" i="1"/>
  <c r="CB18" i="1"/>
  <c r="CF18" i="1"/>
  <c r="BZ11" i="1"/>
  <c r="BR18" i="1"/>
  <c r="BQ11" i="1"/>
  <c r="BU11" i="1"/>
  <c r="BY11" i="1"/>
  <c r="CC11" i="1"/>
  <c r="CG11" i="1"/>
  <c r="BQ18" i="1"/>
  <c r="BU18" i="1"/>
  <c r="BY18" i="1"/>
  <c r="CC18" i="1"/>
  <c r="CG18" i="1"/>
  <c r="BS25" i="1"/>
  <c r="BW25" i="1"/>
  <c r="CI25" i="1"/>
  <c r="CM25" i="1" s="1"/>
  <c r="CQ25" i="1" s="1"/>
  <c r="CU25" i="1" s="1"/>
  <c r="CY25" i="1" s="1"/>
  <c r="CM26" i="1"/>
  <c r="CN26" i="1" s="1"/>
  <c r="BR25" i="1"/>
  <c r="BZ25" i="1"/>
  <c r="CH25" i="1"/>
  <c r="CP25" i="1" s="1"/>
  <c r="CT25" i="1" s="1"/>
  <c r="CX25" i="1" s="1"/>
  <c r="DB25" i="1" s="1"/>
  <c r="CF7" i="1"/>
  <c r="CF10" i="1" s="1"/>
  <c r="CF11" i="1"/>
  <c r="CF24" i="1"/>
  <c r="BP25" i="1"/>
  <c r="BT25" i="1"/>
  <c r="BX25" i="1"/>
  <c r="CB25" i="1"/>
  <c r="CF25" i="1"/>
  <c r="CJ18" i="1"/>
  <c r="BV25" i="1"/>
  <c r="CD25" i="1"/>
  <c r="CJ7" i="1"/>
  <c r="BQ25" i="1"/>
  <c r="BU25" i="1"/>
  <c r="BY25" i="1"/>
  <c r="CC25" i="1"/>
  <c r="CG25" i="1"/>
  <c r="CC24" i="1"/>
  <c r="CD24" i="1"/>
  <c r="CH24" i="1"/>
  <c r="CE24" i="1"/>
  <c r="CI24" i="1"/>
  <c r="CJ25" i="1"/>
  <c r="CN25" i="1" s="1"/>
  <c r="CR25" i="1" s="1"/>
  <c r="CV25" i="1" s="1"/>
  <c r="CZ25" i="1" s="1"/>
  <c r="B1" i="9"/>
  <c r="AC113" i="2"/>
  <c r="AE113" i="2"/>
  <c r="AC112" i="2"/>
  <c r="AE112" i="2"/>
  <c r="L1" i="9"/>
  <c r="AE111" i="2"/>
  <c r="AC111" i="2"/>
  <c r="AD112" i="2"/>
  <c r="A1" i="9"/>
  <c r="BQ24" i="1" l="1"/>
  <c r="AA411" i="1"/>
  <c r="AA260" i="1"/>
  <c r="AA172" i="1"/>
  <c r="AA349" i="1"/>
  <c r="AA324" i="1"/>
  <c r="AA413" i="1"/>
  <c r="AA415" i="1"/>
  <c r="AA332" i="1"/>
  <c r="AA296" i="1"/>
  <c r="AA335" i="1"/>
  <c r="AA276" i="1" s="1"/>
  <c r="AA352" i="1"/>
  <c r="AA351" i="1" s="1"/>
  <c r="AA199" i="1"/>
  <c r="AA195" i="1"/>
  <c r="CH29" i="1"/>
  <c r="CC29" i="1"/>
  <c r="CC32" i="1" s="1"/>
  <c r="BW10" i="1"/>
  <c r="CA10" i="1"/>
  <c r="BX24" i="1"/>
  <c r="BT24" i="1"/>
  <c r="CB24" i="1"/>
  <c r="BY24" i="1"/>
  <c r="BR24" i="1"/>
  <c r="BV24" i="1"/>
  <c r="BZ24" i="1"/>
  <c r="BP24" i="1"/>
  <c r="BU24" i="1"/>
  <c r="BS24" i="1"/>
  <c r="BW24" i="1"/>
  <c r="CA24" i="1"/>
  <c r="CL10" i="1"/>
  <c r="CM10" i="1" s="1"/>
  <c r="CI32" i="1"/>
  <c r="CF32" i="1"/>
  <c r="CG24" i="1"/>
  <c r="CD32" i="1"/>
  <c r="CG29" i="1"/>
  <c r="Z21" i="1"/>
  <c r="Z23" i="1" s="1"/>
  <c r="AA20" i="1" s="1"/>
  <c r="CE32" i="1"/>
  <c r="CP14" i="1"/>
  <c r="CT14" i="1" s="1"/>
  <c r="CX14" i="1" s="1"/>
  <c r="DB14" i="1" s="1"/>
  <c r="CM14" i="1"/>
  <c r="CQ14" i="1" s="1"/>
  <c r="AA91" i="1"/>
  <c r="CM67" i="1"/>
  <c r="CN67" i="1" s="1"/>
  <c r="CM79" i="1"/>
  <c r="CM80" i="1" s="1"/>
  <c r="AA80" i="1"/>
  <c r="CO64" i="1"/>
  <c r="CO14" i="1"/>
  <c r="CS14" i="1" s="1"/>
  <c r="CW14" i="1" s="1"/>
  <c r="DA14" i="1" s="1"/>
  <c r="AA90" i="1"/>
  <c r="AA99" i="1"/>
  <c r="AA79" i="1"/>
  <c r="AA96" i="1"/>
  <c r="AA98" i="1"/>
  <c r="AA100" i="1"/>
  <c r="CM101" i="1"/>
  <c r="AA107" i="1"/>
  <c r="AA88" i="1"/>
  <c r="CM109" i="1"/>
  <c r="AA87" i="1"/>
  <c r="AA108" i="1"/>
  <c r="AA129" i="1"/>
  <c r="CQ134" i="1"/>
  <c r="CR134" i="1" s="1"/>
  <c r="CS134" i="1" s="1"/>
  <c r="CT134" i="1" s="1"/>
  <c r="AB134" i="1"/>
  <c r="CN104" i="1"/>
  <c r="CO104" i="1" s="1"/>
  <c r="Z118" i="1"/>
  <c r="AA127" i="1"/>
  <c r="AA97" i="1"/>
  <c r="AA74" i="1"/>
  <c r="CQ132" i="1"/>
  <c r="CR132" i="1" s="1"/>
  <c r="CS132" i="1" s="1"/>
  <c r="CT132" i="1" s="1"/>
  <c r="AB132" i="1"/>
  <c r="CQ133" i="1"/>
  <c r="CR133" i="1" s="1"/>
  <c r="CS133" i="1" s="1"/>
  <c r="CT133" i="1" s="1"/>
  <c r="AB133" i="1"/>
  <c r="CN89" i="1"/>
  <c r="CO89" i="1" s="1"/>
  <c r="CP89" i="1" s="1"/>
  <c r="CQ89" i="1" s="1"/>
  <c r="CN90" i="1"/>
  <c r="CO90" i="1" s="1"/>
  <c r="CP90" i="1" s="1"/>
  <c r="CQ90" i="1" s="1"/>
  <c r="CN107" i="1"/>
  <c r="CO107" i="1" s="1"/>
  <c r="CP107" i="1" s="1"/>
  <c r="CQ107" i="1" s="1"/>
  <c r="CN108" i="1"/>
  <c r="CO108" i="1" s="1"/>
  <c r="CP108" i="1" s="1"/>
  <c r="CQ108" i="1" s="1"/>
  <c r="CN98" i="1"/>
  <c r="CO98" i="1" s="1"/>
  <c r="CP98" i="1" s="1"/>
  <c r="CQ98" i="1" s="1"/>
  <c r="CN129" i="1"/>
  <c r="CO129" i="1" s="1"/>
  <c r="CP129" i="1" s="1"/>
  <c r="CQ129" i="1" s="1"/>
  <c r="CN100" i="1"/>
  <c r="CO100" i="1" s="1"/>
  <c r="CP100" i="1" s="1"/>
  <c r="CQ100" i="1" s="1"/>
  <c r="CN128" i="1"/>
  <c r="CO128" i="1" s="1"/>
  <c r="CP128" i="1" s="1"/>
  <c r="CQ128" i="1" s="1"/>
  <c r="CM70" i="1"/>
  <c r="CL109" i="1"/>
  <c r="CN127" i="1"/>
  <c r="CO127" i="1" s="1"/>
  <c r="CP127" i="1" s="1"/>
  <c r="CQ127" i="1" s="1"/>
  <c r="CN97" i="1"/>
  <c r="CO97" i="1" s="1"/>
  <c r="CP97" i="1" s="1"/>
  <c r="CQ97" i="1" s="1"/>
  <c r="AB84" i="1"/>
  <c r="AA89" i="1"/>
  <c r="AA104" i="1"/>
  <c r="AA128" i="1"/>
  <c r="CN88" i="1"/>
  <c r="CO88" i="1" s="1"/>
  <c r="CP88" i="1" s="1"/>
  <c r="CQ88" i="1" s="1"/>
  <c r="CN99" i="1"/>
  <c r="CO99" i="1" s="1"/>
  <c r="CP99" i="1" s="1"/>
  <c r="CQ99" i="1" s="1"/>
  <c r="Z7" i="1"/>
  <c r="Z17" i="1"/>
  <c r="Z16" i="1"/>
  <c r="AA13" i="1" s="1"/>
  <c r="CQ21" i="1"/>
  <c r="CN40" i="1"/>
  <c r="CO40" i="1" s="1"/>
  <c r="CP40" i="1" s="1"/>
  <c r="AA40" i="1"/>
  <c r="CH118" i="1"/>
  <c r="AA115" i="1"/>
  <c r="BZ118" i="1"/>
  <c r="CM91" i="1"/>
  <c r="CM116" i="1" s="1"/>
  <c r="CD118" i="1"/>
  <c r="CO87" i="1"/>
  <c r="CO96" i="1"/>
  <c r="CJ24" i="1"/>
  <c r="CH10" i="1"/>
  <c r="CJ17" i="1"/>
  <c r="CN14" i="1"/>
  <c r="CR14" i="1" s="1"/>
  <c r="CV14" i="1" s="1"/>
  <c r="CZ14" i="1" s="1"/>
  <c r="CJ10" i="1"/>
  <c r="CO26" i="1"/>
  <c r="DB406" i="1"/>
  <c r="DA406" i="1"/>
  <c r="CZ406" i="1"/>
  <c r="CY406" i="1"/>
  <c r="CX406" i="1"/>
  <c r="CW406" i="1"/>
  <c r="CV406" i="1"/>
  <c r="CU406" i="1"/>
  <c r="CT406" i="1"/>
  <c r="CS406" i="1"/>
  <c r="CR406" i="1"/>
  <c r="CQ406" i="1"/>
  <c r="CP406" i="1"/>
  <c r="CO406" i="1"/>
  <c r="CN406" i="1"/>
  <c r="CM406" i="1"/>
  <c r="CK406" i="1"/>
  <c r="CK303" i="1"/>
  <c r="CM303" i="1" s="1"/>
  <c r="CN303" i="1" s="1"/>
  <c r="CO303" i="1" s="1"/>
  <c r="CP303" i="1" s="1"/>
  <c r="CQ303" i="1" s="1"/>
  <c r="CR303" i="1" s="1"/>
  <c r="CS303" i="1" s="1"/>
  <c r="CT303" i="1" s="1"/>
  <c r="CU303" i="1" s="1"/>
  <c r="CV303" i="1" s="1"/>
  <c r="CW303" i="1" s="1"/>
  <c r="CX303" i="1" s="1"/>
  <c r="CY303" i="1" s="1"/>
  <c r="CZ303" i="1" s="1"/>
  <c r="DA303" i="1" s="1"/>
  <c r="DB303" i="1" s="1"/>
  <c r="CH319" i="1"/>
  <c r="CJ406" i="1"/>
  <c r="Z406" i="1"/>
  <c r="CH32" i="1" l="1"/>
  <c r="CG32" i="1"/>
  <c r="AA173" i="1"/>
  <c r="AA190" i="1"/>
  <c r="AA348" i="1"/>
  <c r="AA353" i="1"/>
  <c r="AA333" i="1"/>
  <c r="Z24" i="1"/>
  <c r="CN10" i="1"/>
  <c r="CM7" i="1"/>
  <c r="AA53" i="1"/>
  <c r="AA67" i="1" s="1"/>
  <c r="AA14" i="1"/>
  <c r="AA17" i="1" s="1"/>
  <c r="AA116" i="1"/>
  <c r="CM53" i="1"/>
  <c r="CN79" i="1"/>
  <c r="CN80" i="1" s="1"/>
  <c r="CP64" i="1"/>
  <c r="CQ64" i="1" s="1"/>
  <c r="CO67" i="1"/>
  <c r="CP67" i="1" s="1"/>
  <c r="CP53" i="1" s="1"/>
  <c r="AB74" i="1"/>
  <c r="AA101" i="1"/>
  <c r="AB90" i="1"/>
  <c r="CN109" i="1"/>
  <c r="AB128" i="1"/>
  <c r="AB129" i="1"/>
  <c r="AB108" i="1"/>
  <c r="AB89" i="1"/>
  <c r="AA92" i="1"/>
  <c r="CU132" i="1"/>
  <c r="CV132" i="1" s="1"/>
  <c r="CW132" i="1" s="1"/>
  <c r="CX132" i="1" s="1"/>
  <c r="AC132" i="1"/>
  <c r="CU133" i="1"/>
  <c r="CV133" i="1" s="1"/>
  <c r="CW133" i="1" s="1"/>
  <c r="CX133" i="1" s="1"/>
  <c r="AC133" i="1"/>
  <c r="CQ40" i="1"/>
  <c r="CN53" i="1"/>
  <c r="CN101" i="1"/>
  <c r="AB99" i="1"/>
  <c r="AB97" i="1"/>
  <c r="CU134" i="1"/>
  <c r="CV134" i="1" s="1"/>
  <c r="CW134" i="1" s="1"/>
  <c r="CX134" i="1" s="1"/>
  <c r="AC134" i="1"/>
  <c r="AB40" i="1"/>
  <c r="CR88" i="1"/>
  <c r="CS88" i="1" s="1"/>
  <c r="CT88" i="1" s="1"/>
  <c r="CU88" i="1" s="1"/>
  <c r="AB127" i="1"/>
  <c r="CR100" i="1"/>
  <c r="CS100" i="1" s="1"/>
  <c r="CT100" i="1" s="1"/>
  <c r="CU100" i="1" s="1"/>
  <c r="AB98" i="1"/>
  <c r="AB107" i="1"/>
  <c r="CR127" i="1"/>
  <c r="CS127" i="1" s="1"/>
  <c r="CT127" i="1" s="1"/>
  <c r="CU127" i="1" s="1"/>
  <c r="CR98" i="1"/>
  <c r="CS98" i="1" s="1"/>
  <c r="CT98" i="1" s="1"/>
  <c r="CU98" i="1" s="1"/>
  <c r="CR107" i="1"/>
  <c r="CS107" i="1" s="1"/>
  <c r="CT107" i="1" s="1"/>
  <c r="CU107" i="1" s="1"/>
  <c r="CR99" i="1"/>
  <c r="CS99" i="1" s="1"/>
  <c r="CT99" i="1" s="1"/>
  <c r="CU99" i="1" s="1"/>
  <c r="AA109" i="1"/>
  <c r="CR129" i="1"/>
  <c r="CS129" i="1" s="1"/>
  <c r="CT129" i="1" s="1"/>
  <c r="CU129" i="1" s="1"/>
  <c r="CR108" i="1"/>
  <c r="CS108" i="1" s="1"/>
  <c r="CT108" i="1" s="1"/>
  <c r="CU108" i="1" s="1"/>
  <c r="CR89" i="1"/>
  <c r="CS89" i="1" s="1"/>
  <c r="CT89" i="1" s="1"/>
  <c r="CU89" i="1" s="1"/>
  <c r="AB88" i="1"/>
  <c r="CR97" i="1"/>
  <c r="CS97" i="1" s="1"/>
  <c r="CT97" i="1" s="1"/>
  <c r="CU97" i="1" s="1"/>
  <c r="CN70" i="1"/>
  <c r="CO70" i="1" s="1"/>
  <c r="CP70" i="1" s="1"/>
  <c r="CQ70" i="1" s="1"/>
  <c r="CR128" i="1"/>
  <c r="CS128" i="1" s="1"/>
  <c r="CT128" i="1" s="1"/>
  <c r="CU128" i="1" s="1"/>
  <c r="AB100" i="1"/>
  <c r="CR90" i="1"/>
  <c r="CS90" i="1" s="1"/>
  <c r="CT90" i="1" s="1"/>
  <c r="CU90" i="1" s="1"/>
  <c r="AC84" i="1"/>
  <c r="AB14" i="1"/>
  <c r="CU14" i="1"/>
  <c r="AC14" i="1"/>
  <c r="CU21" i="1"/>
  <c r="Z10" i="1"/>
  <c r="Z9" i="1"/>
  <c r="CN91" i="1"/>
  <c r="CN116" i="1" s="1"/>
  <c r="CM92" i="1"/>
  <c r="CP87" i="1"/>
  <c r="AB87" i="1" s="1"/>
  <c r="CP96" i="1"/>
  <c r="AB96" i="1" s="1"/>
  <c r="CO101" i="1"/>
  <c r="CP104" i="1"/>
  <c r="AB104" i="1" s="1"/>
  <c r="CO109" i="1"/>
  <c r="CP26" i="1"/>
  <c r="AB26" i="1" s="1"/>
  <c r="CI406" i="1"/>
  <c r="CG303" i="1"/>
  <c r="CG406" i="1"/>
  <c r="CH406" i="1"/>
  <c r="AB169" i="1"/>
  <c r="AC169" i="1"/>
  <c r="AD169" i="1"/>
  <c r="AE169" i="1"/>
  <c r="AB170" i="1"/>
  <c r="AC170" i="1"/>
  <c r="AD170" i="1"/>
  <c r="AE170" i="1"/>
  <c r="AB181" i="1"/>
  <c r="AC181" i="1"/>
  <c r="AD181" i="1"/>
  <c r="AE181" i="1"/>
  <c r="AB182" i="1"/>
  <c r="AC182" i="1"/>
  <c r="AD182" i="1"/>
  <c r="AE182" i="1"/>
  <c r="AB209" i="1"/>
  <c r="AC209" i="1"/>
  <c r="AD209" i="1"/>
  <c r="AE209" i="1"/>
  <c r="AB326" i="1"/>
  <c r="AC326" i="1"/>
  <c r="AD326" i="1"/>
  <c r="AE326" i="1"/>
  <c r="AB340" i="1"/>
  <c r="AC340" i="1"/>
  <c r="AD340" i="1"/>
  <c r="AE340" i="1"/>
  <c r="CE303" i="1"/>
  <c r="CE406" i="1"/>
  <c r="CF406" i="1"/>
  <c r="AI364" i="1"/>
  <c r="AI369" i="1"/>
  <c r="AI373" i="1"/>
  <c r="AI376" i="1"/>
  <c r="AI406" i="1"/>
  <c r="Y406" i="1"/>
  <c r="AM303" i="1"/>
  <c r="AO303" i="1"/>
  <c r="AQ303" i="1"/>
  <c r="AS303" i="1"/>
  <c r="AU303" i="1"/>
  <c r="AW303" i="1"/>
  <c r="AY303" i="1"/>
  <c r="BA303" i="1"/>
  <c r="BC303" i="1"/>
  <c r="BE303" i="1"/>
  <c r="BG303" i="1"/>
  <c r="BI303" i="1"/>
  <c r="BK303" i="1"/>
  <c r="BM303" i="1"/>
  <c r="BO303" i="1"/>
  <c r="BQ303" i="1"/>
  <c r="BS303" i="1"/>
  <c r="BU303" i="1"/>
  <c r="BW303" i="1"/>
  <c r="BY303" i="1"/>
  <c r="CA303" i="1"/>
  <c r="CC303" i="1"/>
  <c r="CD406" i="1"/>
  <c r="CC406" i="1"/>
  <c r="AJ406" i="1"/>
  <c r="AK406" i="1"/>
  <c r="AL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99" i="1" l="1"/>
  <c r="AA400" i="1" s="1"/>
  <c r="AA196" i="1"/>
  <c r="AA279" i="1"/>
  <c r="AA191" i="1"/>
  <c r="AB17" i="1"/>
  <c r="CO10" i="1"/>
  <c r="CP10" i="1" s="1"/>
  <c r="CN7" i="1"/>
  <c r="CO53" i="1"/>
  <c r="AB53" i="1" s="1"/>
  <c r="AB67" i="1" s="1"/>
  <c r="CO79" i="1"/>
  <c r="CP79" i="1" s="1"/>
  <c r="CQ67" i="1"/>
  <c r="CR67" i="1" s="1"/>
  <c r="CR64" i="1"/>
  <c r="AD84" i="1"/>
  <c r="AC129" i="1"/>
  <c r="AC127" i="1"/>
  <c r="AC90" i="1"/>
  <c r="AC128" i="1"/>
  <c r="AC89" i="1"/>
  <c r="CR40" i="1"/>
  <c r="AB109" i="1"/>
  <c r="AB101" i="1"/>
  <c r="CY134" i="1"/>
  <c r="CZ134" i="1" s="1"/>
  <c r="DA134" i="1" s="1"/>
  <c r="DB134" i="1" s="1"/>
  <c r="AE134" i="1" s="1"/>
  <c r="AD134" i="1"/>
  <c r="CY133" i="1"/>
  <c r="CZ133" i="1" s="1"/>
  <c r="DA133" i="1" s="1"/>
  <c r="DB133" i="1" s="1"/>
  <c r="AE133" i="1" s="1"/>
  <c r="AD133" i="1"/>
  <c r="AC97" i="1"/>
  <c r="AC107" i="1"/>
  <c r="AC88" i="1"/>
  <c r="CY132" i="1"/>
  <c r="CZ132" i="1" s="1"/>
  <c r="DA132" i="1" s="1"/>
  <c r="DB132" i="1" s="1"/>
  <c r="AE132" i="1" s="1"/>
  <c r="AD132" i="1"/>
  <c r="CV90" i="1"/>
  <c r="CW90" i="1" s="1"/>
  <c r="CX90" i="1" s="1"/>
  <c r="CY90" i="1" s="1"/>
  <c r="CV128" i="1"/>
  <c r="CW128" i="1" s="1"/>
  <c r="CX128" i="1" s="1"/>
  <c r="CY128" i="1" s="1"/>
  <c r="CV97" i="1"/>
  <c r="CW97" i="1" s="1"/>
  <c r="CX97" i="1" s="1"/>
  <c r="CY97" i="1" s="1"/>
  <c r="CV89" i="1"/>
  <c r="CW89" i="1" s="1"/>
  <c r="CX89" i="1" s="1"/>
  <c r="CY89" i="1" s="1"/>
  <c r="CV129" i="1"/>
  <c r="CW129" i="1" s="1"/>
  <c r="CX129" i="1" s="1"/>
  <c r="CY129" i="1" s="1"/>
  <c r="AC99" i="1"/>
  <c r="CV107" i="1"/>
  <c r="CW107" i="1" s="1"/>
  <c r="CX107" i="1" s="1"/>
  <c r="CY107" i="1" s="1"/>
  <c r="CV127" i="1"/>
  <c r="CW127" i="1" s="1"/>
  <c r="CX127" i="1" s="1"/>
  <c r="CY127" i="1" s="1"/>
  <c r="AC100" i="1"/>
  <c r="CV88" i="1"/>
  <c r="CW88" i="1" s="1"/>
  <c r="CX88" i="1" s="1"/>
  <c r="CY88" i="1" s="1"/>
  <c r="AB70" i="1"/>
  <c r="AC108" i="1"/>
  <c r="CV99" i="1"/>
  <c r="CW99" i="1" s="1"/>
  <c r="CX99" i="1" s="1"/>
  <c r="CY99" i="1" s="1"/>
  <c r="AC98" i="1"/>
  <c r="CV100" i="1"/>
  <c r="CW100" i="1" s="1"/>
  <c r="CX100" i="1" s="1"/>
  <c r="CY100" i="1" s="1"/>
  <c r="CR70" i="1"/>
  <c r="CS70" i="1" s="1"/>
  <c r="CT70" i="1" s="1"/>
  <c r="CU70" i="1" s="1"/>
  <c r="CV108" i="1"/>
  <c r="CW108" i="1" s="1"/>
  <c r="CX108" i="1" s="1"/>
  <c r="CY108" i="1" s="1"/>
  <c r="CV98" i="1"/>
  <c r="CW98" i="1" s="1"/>
  <c r="CX98" i="1" s="1"/>
  <c r="CY98" i="1" s="1"/>
  <c r="Z31" i="1"/>
  <c r="Z33" i="1" s="1"/>
  <c r="AA6" i="1"/>
  <c r="AC17" i="1"/>
  <c r="CY21" i="1"/>
  <c r="CY14" i="1"/>
  <c r="AE14" i="1" s="1"/>
  <c r="AD14" i="1"/>
  <c r="AD17" i="1" s="1"/>
  <c r="CO91" i="1"/>
  <c r="CO116" i="1" s="1"/>
  <c r="CN92" i="1"/>
  <c r="CQ87" i="1"/>
  <c r="CQ96" i="1"/>
  <c r="CP101" i="1"/>
  <c r="CQ104" i="1"/>
  <c r="CP109" i="1"/>
  <c r="CQ26" i="1"/>
  <c r="Y1" i="1"/>
  <c r="Z1" i="1" s="1"/>
  <c r="AA200" i="1" l="1"/>
  <c r="AA217" i="1"/>
  <c r="CQ10" i="1"/>
  <c r="CP7" i="1"/>
  <c r="CO80" i="1"/>
  <c r="CQ53" i="1"/>
  <c r="CS64" i="1"/>
  <c r="CR53" i="1"/>
  <c r="CQ79" i="1"/>
  <c r="CP80" i="1"/>
  <c r="AB79" i="1"/>
  <c r="CS67" i="1"/>
  <c r="CT67" i="1" s="1"/>
  <c r="CU67" i="1" s="1"/>
  <c r="AC70" i="1"/>
  <c r="CS40" i="1"/>
  <c r="CT40" i="1" s="1"/>
  <c r="AE84" i="1"/>
  <c r="AD98" i="1"/>
  <c r="AD108" i="1"/>
  <c r="AD100" i="1"/>
  <c r="AD99" i="1"/>
  <c r="AD107" i="1"/>
  <c r="AD127" i="1"/>
  <c r="AE17" i="1"/>
  <c r="CZ98" i="1"/>
  <c r="DA98" i="1" s="1"/>
  <c r="DB98" i="1" s="1"/>
  <c r="CZ108" i="1"/>
  <c r="DA108" i="1" s="1"/>
  <c r="DB108" i="1" s="1"/>
  <c r="CZ107" i="1"/>
  <c r="DA107" i="1" s="1"/>
  <c r="DB107" i="1" s="1"/>
  <c r="AD89" i="1"/>
  <c r="AD128" i="1"/>
  <c r="CZ88" i="1"/>
  <c r="DA88" i="1" s="1"/>
  <c r="DB88" i="1" s="1"/>
  <c r="CZ97" i="1"/>
  <c r="DA97" i="1" s="1"/>
  <c r="DB97" i="1" s="1"/>
  <c r="CZ90" i="1"/>
  <c r="DA90" i="1" s="1"/>
  <c r="DB90" i="1" s="1"/>
  <c r="CZ89" i="1"/>
  <c r="DA89" i="1" s="1"/>
  <c r="DB89" i="1" s="1"/>
  <c r="CZ128" i="1"/>
  <c r="DA128" i="1" s="1"/>
  <c r="DB128" i="1" s="1"/>
  <c r="CV70" i="1"/>
  <c r="CW70" i="1" s="1"/>
  <c r="CX70" i="1" s="1"/>
  <c r="CY70" i="1" s="1"/>
  <c r="CZ100" i="1"/>
  <c r="DA100" i="1" s="1"/>
  <c r="DB100" i="1" s="1"/>
  <c r="CZ99" i="1"/>
  <c r="DA99" i="1" s="1"/>
  <c r="DB99" i="1" s="1"/>
  <c r="AD88" i="1"/>
  <c r="CZ127" i="1"/>
  <c r="DA127" i="1" s="1"/>
  <c r="DB127" i="1" s="1"/>
  <c r="AD129" i="1"/>
  <c r="AD97" i="1"/>
  <c r="AD90" i="1"/>
  <c r="CZ129" i="1"/>
  <c r="DA129" i="1" s="1"/>
  <c r="DB129" i="1" s="1"/>
  <c r="CP91" i="1"/>
  <c r="CO92" i="1"/>
  <c r="AB73" i="1"/>
  <c r="AC74" i="1"/>
  <c r="CM13" i="1"/>
  <c r="CM15" i="1" s="1"/>
  <c r="CR87" i="1"/>
  <c r="CQ101" i="1"/>
  <c r="CR96" i="1"/>
  <c r="CQ109" i="1"/>
  <c r="CR104" i="1"/>
  <c r="CR26" i="1"/>
  <c r="AA1" i="1"/>
  <c r="AB1" i="1" s="1"/>
  <c r="AC1" i="1" s="1"/>
  <c r="AD1" i="1" s="1"/>
  <c r="AE1" i="1" s="1"/>
  <c r="AA202" i="1" l="1"/>
  <c r="AA203" i="1"/>
  <c r="CR10" i="1"/>
  <c r="CQ7" i="1"/>
  <c r="AB80" i="1"/>
  <c r="CT53" i="1"/>
  <c r="AB91" i="1"/>
  <c r="AB92" i="1" s="1"/>
  <c r="CP116" i="1"/>
  <c r="AB116" i="1" s="1"/>
  <c r="CQ80" i="1"/>
  <c r="CR79" i="1"/>
  <c r="CV67" i="1"/>
  <c r="CT64" i="1"/>
  <c r="CU64" i="1" s="1"/>
  <c r="AE128" i="1"/>
  <c r="AE129" i="1"/>
  <c r="AE100" i="1"/>
  <c r="CS53" i="1"/>
  <c r="AE89" i="1"/>
  <c r="AE99" i="1"/>
  <c r="AD70" i="1"/>
  <c r="AE127" i="1"/>
  <c r="CZ70" i="1"/>
  <c r="DA70" i="1" s="1"/>
  <c r="DB70" i="1" s="1"/>
  <c r="AE90" i="1"/>
  <c r="AE88" i="1"/>
  <c r="AE108" i="1"/>
  <c r="AE97" i="1"/>
  <c r="AE107" i="1"/>
  <c r="AE98" i="1"/>
  <c r="AC40" i="1"/>
  <c r="CM38" i="1"/>
  <c r="AA15" i="1"/>
  <c r="AA39" i="1"/>
  <c r="AB115" i="1"/>
  <c r="CQ91" i="1"/>
  <c r="CQ116" i="1" s="1"/>
  <c r="CP92" i="1"/>
  <c r="CM16" i="1"/>
  <c r="CN13" i="1" s="1"/>
  <c r="CS87" i="1"/>
  <c r="CR101" i="1"/>
  <c r="CS96" i="1"/>
  <c r="CS104" i="1"/>
  <c r="CR109" i="1"/>
  <c r="CU40" i="1"/>
  <c r="CS26" i="1"/>
  <c r="A1" i="3"/>
  <c r="AA204" i="1" l="1"/>
  <c r="AA412" i="1" s="1"/>
  <c r="AA401" i="1"/>
  <c r="AA210" i="1"/>
  <c r="CS10" i="1"/>
  <c r="CT10" i="1" s="1"/>
  <c r="CR7" i="1"/>
  <c r="AA52" i="1"/>
  <c r="AA66" i="1" s="1"/>
  <c r="AC53" i="1"/>
  <c r="AC67" i="1" s="1"/>
  <c r="CV64" i="1"/>
  <c r="CW64" i="1" s="1"/>
  <c r="CS79" i="1"/>
  <c r="CR80" i="1"/>
  <c r="CW67" i="1"/>
  <c r="AE70" i="1"/>
  <c r="CM51" i="1"/>
  <c r="AA38" i="1"/>
  <c r="AA18" i="1"/>
  <c r="AA16" i="1"/>
  <c r="AB13" i="1" s="1"/>
  <c r="CU53" i="1"/>
  <c r="CR91" i="1"/>
  <c r="CR116" i="1" s="1"/>
  <c r="CQ92" i="1"/>
  <c r="CT87" i="1"/>
  <c r="AC87" i="1" s="1"/>
  <c r="CT96" i="1"/>
  <c r="AC96" i="1" s="1"/>
  <c r="AC101" i="1" s="1"/>
  <c r="CS101" i="1"/>
  <c r="CT104" i="1"/>
  <c r="AC104" i="1" s="1"/>
  <c r="AC109" i="1" s="1"/>
  <c r="CS109" i="1"/>
  <c r="CN15" i="1"/>
  <c r="CV40" i="1"/>
  <c r="CV53" i="1" s="1"/>
  <c r="CT26" i="1"/>
  <c r="AC26" i="1" s="1"/>
  <c r="A1" i="6"/>
  <c r="A1" i="4"/>
  <c r="AA109" i="2"/>
  <c r="Z21" i="2"/>
  <c r="AA47" i="2"/>
  <c r="Y34" i="2"/>
  <c r="AA52" i="2"/>
  <c r="Y65" i="2"/>
  <c r="AA90" i="2"/>
  <c r="AA16" i="2"/>
  <c r="AA107" i="2"/>
  <c r="Y98" i="2"/>
  <c r="Y64" i="2"/>
  <c r="AA91" i="2"/>
  <c r="Z84" i="2"/>
  <c r="AA40" i="2"/>
  <c r="Z24" i="2"/>
  <c r="AA71" i="2"/>
  <c r="AA108" i="2"/>
  <c r="AA110" i="2"/>
  <c r="AA83" i="2"/>
  <c r="Y67" i="2"/>
  <c r="AA62" i="2"/>
  <c r="Y48" i="2"/>
  <c r="Z12" i="2"/>
  <c r="Z13" i="2"/>
  <c r="Z35" i="2"/>
  <c r="AA57" i="2"/>
  <c r="Y32" i="2"/>
  <c r="AA63" i="2"/>
  <c r="Y75" i="2"/>
  <c r="Y81" i="2"/>
  <c r="Y55" i="2"/>
  <c r="Y44" i="2"/>
  <c r="AA17" i="2"/>
  <c r="Y79" i="2"/>
  <c r="Y28" i="2"/>
  <c r="Y9" i="2"/>
  <c r="AA43" i="2"/>
  <c r="AA9" i="2"/>
  <c r="Y31" i="2"/>
  <c r="AA88" i="2"/>
  <c r="Y85" i="2"/>
  <c r="Z29" i="2"/>
  <c r="AA78" i="2"/>
  <c r="AA59" i="2"/>
  <c r="AA7" i="2"/>
  <c r="AA28" i="2"/>
  <c r="Z82" i="2"/>
  <c r="AA50" i="2"/>
  <c r="V6" i="2"/>
  <c r="Z49" i="2"/>
  <c r="Z58" i="2"/>
  <c r="AA24" i="2"/>
  <c r="Z8" i="2"/>
  <c r="AA74" i="2"/>
  <c r="Y21" i="2"/>
  <c r="Z98" i="2"/>
  <c r="Y11" i="2"/>
  <c r="Y43" i="2"/>
  <c r="Z55" i="2"/>
  <c r="Z97" i="2"/>
  <c r="Y13" i="2"/>
  <c r="Z110" i="2"/>
  <c r="AA31" i="2"/>
  <c r="AA44" i="2"/>
  <c r="Y16" i="2"/>
  <c r="AA95" i="2"/>
  <c r="Z9" i="2"/>
  <c r="AA5" i="2"/>
  <c r="Z68" i="2"/>
  <c r="Y99" i="2"/>
  <c r="Y29" i="2"/>
  <c r="AA11" i="2"/>
  <c r="Z30" i="2"/>
  <c r="Z7" i="2"/>
  <c r="AA99" i="2"/>
  <c r="AA21" i="2"/>
  <c r="Y30" i="2"/>
  <c r="Z44" i="2"/>
  <c r="Y46" i="2"/>
  <c r="Y35" i="2"/>
  <c r="AA30" i="2"/>
  <c r="AA97" i="2"/>
  <c r="Z64" i="2"/>
  <c r="Y8" i="2"/>
  <c r="Y53" i="2"/>
  <c r="Z86" i="2"/>
  <c r="AA51" i="2"/>
  <c r="Z43" i="2"/>
  <c r="Z57" i="2"/>
  <c r="Y22" i="2"/>
  <c r="AA49" i="2"/>
  <c r="Y56" i="2"/>
  <c r="Y74" i="2"/>
  <c r="AA32" i="2"/>
  <c r="Z22" i="2"/>
  <c r="Z73" i="2"/>
  <c r="AA35" i="2"/>
  <c r="Z48" i="2"/>
  <c r="Z90" i="2"/>
  <c r="Y71" i="2"/>
  <c r="Z27" i="2"/>
  <c r="AA106" i="2"/>
  <c r="Y17" i="2"/>
  <c r="Y25" i="2"/>
  <c r="Y54" i="2"/>
  <c r="Z5" i="2"/>
  <c r="AA81" i="2"/>
  <c r="AA25" i="2"/>
  <c r="AA65" i="2"/>
  <c r="Y47" i="2"/>
  <c r="Z67" i="2"/>
  <c r="Z33" i="2"/>
  <c r="Z32" i="2"/>
  <c r="Y78" i="2"/>
  <c r="Y49" i="2"/>
  <c r="AA27" i="2"/>
  <c r="Y24" i="2"/>
  <c r="Z75" i="2"/>
  <c r="Y15" i="2"/>
  <c r="Y50" i="2"/>
  <c r="Y59" i="2"/>
  <c r="Z109" i="2"/>
  <c r="Z63" i="2"/>
  <c r="AA89" i="2"/>
  <c r="AA22" i="2"/>
  <c r="Z18" i="2"/>
  <c r="X6" i="2"/>
  <c r="C4" i="2"/>
  <c r="Z11" i="2"/>
  <c r="AA19" i="2"/>
  <c r="Y107" i="2"/>
  <c r="Z99" i="2"/>
  <c r="Y77" i="2"/>
  <c r="Y80" i="2"/>
  <c r="AA53" i="2"/>
  <c r="AA48" i="2"/>
  <c r="Z66" i="2"/>
  <c r="Z92" i="2"/>
  <c r="Y62" i="2"/>
  <c r="Y66" i="2"/>
  <c r="Y76" i="2"/>
  <c r="Y95" i="2"/>
  <c r="AA104" i="2"/>
  <c r="AA87" i="2"/>
  <c r="Z19" i="2"/>
  <c r="Y23" i="2"/>
  <c r="Y105" i="2"/>
  <c r="Z70" i="2"/>
  <c r="AA77" i="2"/>
  <c r="AA76" i="2"/>
  <c r="Z108" i="2"/>
  <c r="AA70" i="2"/>
  <c r="Y57" i="2"/>
  <c r="AA20" i="2"/>
  <c r="Y69" i="2"/>
  <c r="Y108" i="2"/>
  <c r="Y12" i="2"/>
  <c r="Y109" i="2"/>
  <c r="Z69" i="2"/>
  <c r="Z62" i="2"/>
  <c r="Y110" i="2"/>
  <c r="Z53" i="2"/>
  <c r="AA23" i="2"/>
  <c r="Y73" i="2"/>
  <c r="Z28" i="2"/>
  <c r="AA42" i="2"/>
  <c r="C5" i="2"/>
  <c r="AA56" i="2"/>
  <c r="Y97" i="2"/>
  <c r="Y88" i="2"/>
  <c r="Z56" i="2"/>
  <c r="Y86" i="2"/>
  <c r="Z107" i="2"/>
  <c r="Z94" i="2"/>
  <c r="Y19" i="2"/>
  <c r="AA98" i="2"/>
  <c r="Y26" i="2"/>
  <c r="Z60" i="2"/>
  <c r="AA55" i="2"/>
  <c r="Y6" i="2"/>
  <c r="Z88" i="2"/>
  <c r="Z31" i="2"/>
  <c r="AA34" i="2"/>
  <c r="AA61" i="2"/>
  <c r="Y40" i="2"/>
  <c r="Y96" i="2"/>
  <c r="Z16" i="2"/>
  <c r="Y60" i="2"/>
  <c r="AA60" i="2"/>
  <c r="Y84" i="2"/>
  <c r="AA29" i="2"/>
  <c r="Y41" i="2"/>
  <c r="Y20" i="2"/>
  <c r="AA69" i="2"/>
  <c r="AA14" i="2"/>
  <c r="Z6" i="2"/>
  <c r="AA66" i="2"/>
  <c r="AA13" i="2"/>
  <c r="Y36" i="2"/>
  <c r="Y63" i="2"/>
  <c r="Y92" i="2"/>
  <c r="Z76" i="2"/>
  <c r="Z14" i="2"/>
  <c r="AA75" i="2"/>
  <c r="AA93" i="2"/>
  <c r="Z46" i="2"/>
  <c r="AA8" i="2"/>
  <c r="Y89" i="2"/>
  <c r="Z85" i="2"/>
  <c r="AA96" i="2"/>
  <c r="AA80" i="2"/>
  <c r="Z72" i="2"/>
  <c r="AA45" i="2"/>
  <c r="Y33" i="2"/>
  <c r="Z71" i="2"/>
  <c r="Z51" i="2"/>
  <c r="AA68" i="2"/>
  <c r="Y87" i="2"/>
  <c r="AA105" i="2"/>
  <c r="Z25" i="2"/>
  <c r="AA41" i="2"/>
  <c r="Y10" i="2"/>
  <c r="AA86" i="2"/>
  <c r="Z20" i="2"/>
  <c r="Y82" i="2"/>
  <c r="Y106" i="2"/>
  <c r="AA6" i="2"/>
  <c r="Z95" i="2"/>
  <c r="Z96" i="2"/>
  <c r="AA58" i="2"/>
  <c r="Z42" i="2"/>
  <c r="Z54" i="2"/>
  <c r="AA64" i="2"/>
  <c r="Y52" i="2"/>
  <c r="AA67" i="2"/>
  <c r="AA84" i="2"/>
  <c r="Z15" i="2"/>
  <c r="Z74" i="2"/>
  <c r="Y90" i="2"/>
  <c r="Y94" i="2"/>
  <c r="Z93" i="2"/>
  <c r="Y68" i="2"/>
  <c r="Y42" i="2"/>
  <c r="AA15" i="2"/>
  <c r="Y5" i="2"/>
  <c r="Z61" i="2"/>
  <c r="Y18" i="2"/>
  <c r="AA54" i="2"/>
  <c r="AA36" i="2"/>
  <c r="Z79" i="2"/>
  <c r="Z45" i="2"/>
  <c r="Z34" i="2"/>
  <c r="Y7" i="2"/>
  <c r="Z59" i="2"/>
  <c r="Z17" i="2"/>
  <c r="Y58" i="2"/>
  <c r="Z83" i="2"/>
  <c r="Z23" i="2"/>
  <c r="Z80" i="2"/>
  <c r="Z106" i="2"/>
  <c r="AA12" i="2"/>
  <c r="Z89" i="2"/>
  <c r="Z10" i="2"/>
  <c r="AA72" i="2"/>
  <c r="AA10" i="2"/>
  <c r="Z40" i="2"/>
  <c r="Z65" i="2"/>
  <c r="AA46" i="2"/>
  <c r="AA85" i="2"/>
  <c r="Z105" i="2"/>
  <c r="Z87" i="2"/>
  <c r="AA18" i="2"/>
  <c r="Z50" i="2"/>
  <c r="Y45" i="2"/>
  <c r="AA94" i="2"/>
  <c r="AA26" i="2"/>
  <c r="AA79" i="2"/>
  <c r="Y51" i="2"/>
  <c r="Z81" i="2"/>
  <c r="AA33" i="2"/>
  <c r="AA82" i="2"/>
  <c r="Y14" i="2"/>
  <c r="Z41" i="2"/>
  <c r="AA92" i="2"/>
  <c r="Z47" i="2"/>
  <c r="Z77" i="2"/>
  <c r="Y70" i="2"/>
  <c r="Z104" i="2"/>
  <c r="Y83" i="2"/>
  <c r="Z26" i="2"/>
  <c r="Z52" i="2"/>
  <c r="Z36" i="2"/>
  <c r="Y93" i="2"/>
  <c r="Z78" i="2"/>
  <c r="W6" i="2"/>
  <c r="Y104" i="2"/>
  <c r="Y61" i="2"/>
  <c r="AA73" i="2"/>
  <c r="Z91" i="2"/>
  <c r="Y27" i="2"/>
  <c r="Y91" i="2"/>
  <c r="Y72" i="2"/>
  <c r="FF6" i="4" a="1"/>
  <c r="FB15" i="4" a="1"/>
  <c r="FC6" i="4" a="1"/>
  <c r="FF16" i="4" a="1"/>
  <c r="FA16" i="4" a="1"/>
  <c r="FA13" i="4" a="1"/>
  <c r="FD11" i="4" a="1"/>
  <c r="FD14" i="4" a="1"/>
  <c r="FA6" i="4" a="1"/>
  <c r="FA15" i="4" a="1"/>
  <c r="EZ13" i="4" a="1"/>
  <c r="EY6" i="4" a="1"/>
  <c r="EY8" i="4" a="1"/>
  <c r="FA14" i="4" a="1"/>
  <c r="FF5" i="4" a="1"/>
  <c r="FE16" i="4" a="1"/>
  <c r="FA7" i="4" a="1"/>
  <c r="EZ6" i="4" a="1"/>
  <c r="FD6" i="4" a="1"/>
  <c r="FE12" i="4" a="1"/>
  <c r="EZ15" i="4" a="1"/>
  <c r="FD5" i="4" a="1"/>
  <c r="FD12" i="4" a="1"/>
  <c r="FF11" i="4" a="1"/>
  <c r="FF13" i="4" a="1"/>
  <c r="FB5" i="4" a="1"/>
  <c r="EY13" i="4" a="1"/>
  <c r="FE8" i="4" a="1"/>
  <c r="EX8" i="4" a="1"/>
  <c r="FB14" i="4" a="1"/>
  <c r="FC7" i="4" a="1"/>
  <c r="EY11" i="4" a="1"/>
  <c r="FB12" i="4" a="1"/>
  <c r="EY12" i="4" a="1"/>
  <c r="EX14" i="4" a="1"/>
  <c r="FF15" i="4" a="1"/>
  <c r="FA5" i="4" a="1"/>
  <c r="FB11" i="4" a="1"/>
  <c r="EX16" i="4" a="1"/>
  <c r="EX6" i="4" a="1"/>
  <c r="FC11" i="4" a="1"/>
  <c r="EZ12" i="4" a="1"/>
  <c r="FD7" i="4" a="1"/>
  <c r="FC16" i="4" a="1"/>
  <c r="FF12" i="4" a="1"/>
  <c r="EZ7" i="4" a="1"/>
  <c r="EX9" i="4" a="1"/>
  <c r="EY7" i="4" a="1"/>
  <c r="EZ16" i="4" a="1"/>
  <c r="FE15" i="4" a="1"/>
  <c r="FB9" i="4" a="1"/>
  <c r="FA8" i="4" a="1"/>
  <c r="EY15" i="4" a="1"/>
  <c r="EZ8" i="4" a="1"/>
  <c r="EY5" i="4" a="1"/>
  <c r="FC5" i="4" a="1"/>
  <c r="FE9" i="4" a="1"/>
  <c r="FE7" i="4" a="1"/>
  <c r="FC14" i="4" a="1"/>
  <c r="FC15" i="4" a="1"/>
  <c r="EX15" i="4" a="1"/>
  <c r="FF14" i="4" a="1"/>
  <c r="FB16" i="4" a="1"/>
  <c r="EZ5" i="4" a="1"/>
  <c r="FC9" i="4" a="1"/>
  <c r="FD15" i="4" a="1"/>
  <c r="EX7" i="4" a="1"/>
  <c r="EZ14" i="4" a="1"/>
  <c r="FE13" i="4" a="1"/>
  <c r="EX12" i="4" a="1"/>
  <c r="FF9" i="4" a="1"/>
  <c r="FE5" i="4" a="1"/>
  <c r="FC12" i="4" a="1"/>
  <c r="FD8" i="4" a="1"/>
  <c r="FC13" i="4" a="1"/>
  <c r="EZ9" i="4" a="1"/>
  <c r="FE14" i="4" a="1"/>
  <c r="FF8" i="4" a="1"/>
  <c r="FB13" i="4" a="1"/>
  <c r="FE6" i="4" a="1"/>
  <c r="FB7" i="4" a="1"/>
  <c r="FA12" i="4" a="1"/>
  <c r="FF7" i="4" a="1"/>
  <c r="FD16" i="4" a="1"/>
  <c r="EX5" i="4" a="1"/>
  <c r="FB6" i="4" a="1"/>
  <c r="EY14" i="4" a="1"/>
  <c r="FE11" i="4" a="1"/>
  <c r="EX13" i="4" a="1"/>
  <c r="FC8" i="4" a="1"/>
  <c r="FA11" i="4" a="1"/>
  <c r="EX11" i="4" a="1"/>
  <c r="FD13" i="4" a="1"/>
  <c r="EY16" i="4" a="1"/>
  <c r="EZ11" i="4" a="1"/>
  <c r="EY9" i="4" a="1"/>
  <c r="FB8" i="4" a="1"/>
  <c r="FD9" i="4" a="1"/>
  <c r="FA9" i="4" a="1"/>
  <c r="AA214" i="1" l="1"/>
  <c r="AA360" i="1"/>
  <c r="AA362" i="1" s="1"/>
  <c r="AA216" i="1"/>
  <c r="CU10" i="1"/>
  <c r="CT7" i="1"/>
  <c r="CX64" i="1"/>
  <c r="CY64" i="1" s="1"/>
  <c r="CZ64" i="1" s="1"/>
  <c r="CT79" i="1"/>
  <c r="AC79" i="1" s="1"/>
  <c r="CS80" i="1"/>
  <c r="CX67" i="1"/>
  <c r="CY67" i="1" s="1"/>
  <c r="CZ67" i="1" s="1"/>
  <c r="AA51" i="1"/>
  <c r="AA65" i="1" s="1"/>
  <c r="AA114" i="1"/>
  <c r="Z171" i="1"/>
  <c r="Z198" i="1"/>
  <c r="Y197" i="1"/>
  <c r="X198" i="1"/>
  <c r="Y171" i="1"/>
  <c r="Y198" i="1"/>
  <c r="X171" i="1"/>
  <c r="X197" i="1"/>
  <c r="Z197" i="1"/>
  <c r="CN38" i="1"/>
  <c r="CS91" i="1"/>
  <c r="CS116" i="1" s="1"/>
  <c r="CR92" i="1"/>
  <c r="CU87" i="1"/>
  <c r="CU96" i="1"/>
  <c r="CT101" i="1"/>
  <c r="CU104" i="1"/>
  <c r="CT109" i="1"/>
  <c r="CN16" i="1"/>
  <c r="CO13" i="1" s="1"/>
  <c r="CW40" i="1"/>
  <c r="CW53" i="1" s="1"/>
  <c r="CU26" i="1"/>
  <c r="Z209" i="1"/>
  <c r="X293" i="1"/>
  <c r="X321" i="1" s="1"/>
  <c r="Z289" i="1"/>
  <c r="CH289" i="1" s="1"/>
  <c r="CI289" i="1" s="1"/>
  <c r="Z180" i="1"/>
  <c r="Z322" i="1"/>
  <c r="CH322" i="1" s="1"/>
  <c r="X229" i="1"/>
  <c r="Y285" i="1"/>
  <c r="X209" i="1"/>
  <c r="Y178" i="1"/>
  <c r="X299" i="1"/>
  <c r="X284" i="1"/>
  <c r="Y284" i="1"/>
  <c r="Y165" i="1"/>
  <c r="Z338" i="1"/>
  <c r="Z240" i="1"/>
  <c r="Z146" i="1" s="1"/>
  <c r="Y317" i="1"/>
  <c r="Y299" i="1"/>
  <c r="X320" i="1"/>
  <c r="Y286" i="1"/>
  <c r="Y339" i="1"/>
  <c r="Y327" i="1"/>
  <c r="Z326" i="1"/>
  <c r="X182" i="1"/>
  <c r="X313" i="1"/>
  <c r="Y294" i="1"/>
  <c r="X240" i="1"/>
  <c r="X146" i="1" s="1"/>
  <c r="Z331" i="1"/>
  <c r="CH331" i="1" s="1"/>
  <c r="CI331" i="1" s="1"/>
  <c r="X338" i="1"/>
  <c r="Y208" i="1"/>
  <c r="Z330" i="1"/>
  <c r="CH330" i="1" s="1"/>
  <c r="CI330" i="1" s="1"/>
  <c r="Y318" i="1"/>
  <c r="X318" i="1"/>
  <c r="X194" i="1"/>
  <c r="X76" i="1" s="1"/>
  <c r="Z304" i="1"/>
  <c r="CH304" i="1" s="1"/>
  <c r="CI304" i="1" s="1"/>
  <c r="Y194" i="1"/>
  <c r="Y76" i="1" s="1"/>
  <c r="Y307" i="1"/>
  <c r="Z286" i="1"/>
  <c r="CH286" i="1" s="1"/>
  <c r="X302" i="1"/>
  <c r="X298" i="1" s="1"/>
  <c r="Y293" i="1"/>
  <c r="Y321" i="1" s="1"/>
  <c r="Y207" i="1"/>
  <c r="X304" i="1"/>
  <c r="Y331" i="1"/>
  <c r="X165" i="1"/>
  <c r="X339" i="1"/>
  <c r="Z194" i="1"/>
  <c r="Z76" i="1" s="1"/>
  <c r="X294" i="1"/>
  <c r="X292" i="1"/>
  <c r="Z208" i="1"/>
  <c r="Z318" i="1"/>
  <c r="CH318" i="1" s="1"/>
  <c r="X201" i="1"/>
  <c r="Z207" i="1"/>
  <c r="X312" i="1"/>
  <c r="Y289" i="1"/>
  <c r="X322" i="1"/>
  <c r="Z181" i="1"/>
  <c r="X289" i="1"/>
  <c r="Z300" i="1"/>
  <c r="CH300" i="1" s="1"/>
  <c r="CI300" i="1" s="1"/>
  <c r="Z307" i="1"/>
  <c r="AA369" i="1" s="1"/>
  <c r="X169" i="1"/>
  <c r="Y239" i="1"/>
  <c r="Y145" i="1" s="1"/>
  <c r="Y337" i="1"/>
  <c r="Z337" i="1"/>
  <c r="X291" i="1"/>
  <c r="Y213" i="1"/>
  <c r="Y182" i="1"/>
  <c r="Y326" i="1"/>
  <c r="Z285" i="1"/>
  <c r="CH285" i="1" s="1"/>
  <c r="CI285" i="1" s="1"/>
  <c r="Y322" i="1"/>
  <c r="Z241" i="1"/>
  <c r="Z147" i="1" s="1"/>
  <c r="Z310" i="1"/>
  <c r="CH310" i="1" s="1"/>
  <c r="Z294" i="1"/>
  <c r="CH294" i="1" s="1"/>
  <c r="CI294" i="1" s="1"/>
  <c r="Y310" i="1"/>
  <c r="Y164" i="1"/>
  <c r="Y46" i="1" s="1"/>
  <c r="X327" i="1"/>
  <c r="Y303" i="1"/>
  <c r="Y180" i="1"/>
  <c r="Z284" i="1"/>
  <c r="Y302" i="1"/>
  <c r="Y298" i="1" s="1"/>
  <c r="Y209" i="1"/>
  <c r="X307" i="1"/>
  <c r="Y179" i="1"/>
  <c r="X180" i="1"/>
  <c r="X316" i="1"/>
  <c r="X239" i="1"/>
  <c r="X145" i="1" s="1"/>
  <c r="Y314" i="1"/>
  <c r="Y338" i="1"/>
  <c r="Z311" i="1"/>
  <c r="Z299" i="1"/>
  <c r="CH299" i="1" s="1"/>
  <c r="Y313" i="1"/>
  <c r="Z169" i="1"/>
  <c r="Z164" i="1"/>
  <c r="Z46" i="1" s="1"/>
  <c r="Y312" i="1"/>
  <c r="Z213" i="1"/>
  <c r="Z316" i="1"/>
  <c r="CH316" i="1" s="1"/>
  <c r="Z302" i="1"/>
  <c r="Y169" i="1"/>
  <c r="Y330" i="1"/>
  <c r="X208" i="1"/>
  <c r="X314" i="1"/>
  <c r="Z313" i="1"/>
  <c r="CH313" i="1" s="1"/>
  <c r="Z201" i="1"/>
  <c r="Y177" i="1"/>
  <c r="X330" i="1"/>
  <c r="Z292" i="1"/>
  <c r="CH292" i="1" s="1"/>
  <c r="CI292" i="1" s="1"/>
  <c r="X241" i="1"/>
  <c r="X147" i="1" s="1"/>
  <c r="X179" i="1"/>
  <c r="X285" i="1"/>
  <c r="Y229" i="1"/>
  <c r="Z239" i="1"/>
  <c r="Z145" i="1" s="1"/>
  <c r="X178" i="1"/>
  <c r="X286" i="1"/>
  <c r="Y240" i="1"/>
  <c r="Y146" i="1" s="1"/>
  <c r="Z293" i="1"/>
  <c r="CH293" i="1" s="1"/>
  <c r="CI293" i="1" s="1"/>
  <c r="Y291" i="1"/>
  <c r="X164" i="1"/>
  <c r="Y309" i="1"/>
  <c r="X213" i="1"/>
  <c r="Z291" i="1"/>
  <c r="CH291" i="1" s="1"/>
  <c r="CI291" i="1" s="1"/>
  <c r="Y300" i="1"/>
  <c r="Y181" i="1"/>
  <c r="X207" i="1"/>
  <c r="Z339" i="1"/>
  <c r="Y316" i="1"/>
  <c r="Z327" i="1"/>
  <c r="CH327" i="1" s="1"/>
  <c r="X309" i="1"/>
  <c r="Y320" i="1"/>
  <c r="Y201" i="1"/>
  <c r="Z165" i="1"/>
  <c r="Z317" i="1"/>
  <c r="CH317" i="1" s="1"/>
  <c r="Y241" i="1"/>
  <c r="Y147" i="1" s="1"/>
  <c r="X303" i="1"/>
  <c r="Z303" i="1"/>
  <c r="CH303" i="1" s="1"/>
  <c r="CI303" i="1" s="1"/>
  <c r="Z314" i="1"/>
  <c r="CH314" i="1" s="1"/>
  <c r="X300" i="1"/>
  <c r="Z177" i="1"/>
  <c r="Z312" i="1"/>
  <c r="CH312" i="1" s="1"/>
  <c r="Z309" i="1"/>
  <c r="CH309" i="1" s="1"/>
  <c r="X326" i="1"/>
  <c r="X317" i="1"/>
  <c r="Y292" i="1"/>
  <c r="Z178" i="1"/>
  <c r="Z179" i="1"/>
  <c r="Z229" i="1"/>
  <c r="Z182" i="1"/>
  <c r="X311" i="1"/>
  <c r="Y304" i="1"/>
  <c r="Y311" i="1"/>
  <c r="X331" i="1"/>
  <c r="X181" i="1"/>
  <c r="X177" i="1"/>
  <c r="Z320" i="1"/>
  <c r="CH320" i="1" s="1"/>
  <c r="X310" i="1"/>
  <c r="X337" i="1"/>
  <c r="JP9" i="4" s="1"/>
  <c r="JP16" i="4" s="1"/>
  <c r="JO16" i="4" s="1"/>
  <c r="JO9" i="4" s="1"/>
  <c r="JN9" i="4" s="1"/>
  <c r="JN16" i="4" s="1"/>
  <c r="Z111" i="2"/>
  <c r="AA111" i="2"/>
  <c r="Y112" i="2"/>
  <c r="AA112" i="2"/>
  <c r="AA113" i="2"/>
  <c r="Z112" i="2"/>
  <c r="Y111" i="2"/>
  <c r="Z113" i="2"/>
  <c r="Y113" i="2"/>
  <c r="GX6" i="4" a="1"/>
  <c r="GV14" i="4" a="1"/>
  <c r="FQ9" i="4" a="1"/>
  <c r="FR9" i="4" a="1"/>
  <c r="FR16" i="4" a="1"/>
  <c r="GX13" i="4" a="1"/>
  <c r="FS13" i="4" a="1"/>
  <c r="HE5" i="4" a="1"/>
  <c r="GQ14" i="4" a="1"/>
  <c r="HB9" i="4" a="1"/>
  <c r="FQ16" i="4" a="1"/>
  <c r="FK5" i="4" a="1"/>
  <c r="FJ13" i="4" a="1"/>
  <c r="FY9" i="4" a="1"/>
  <c r="GV9" i="4" a="1"/>
  <c r="GR15" i="4" a="1"/>
  <c r="GY6" i="4" a="1"/>
  <c r="FI12" i="4" a="1"/>
  <c r="GT16" i="4" a="1"/>
  <c r="GL9" i="4" a="1"/>
  <c r="FM9" i="4" a="1"/>
  <c r="GM13" i="4" a="1"/>
  <c r="FV16" i="4" a="1"/>
  <c r="GP13" i="4" a="1"/>
  <c r="GU11" i="4" a="1"/>
  <c r="GC16" i="4" a="1"/>
  <c r="GO13" i="4" a="1"/>
  <c r="GD7" i="4" a="1"/>
  <c r="HC6" i="4" a="1"/>
  <c r="GA5" i="4" a="1"/>
  <c r="HB14" i="4" a="1"/>
  <c r="FS6" i="4" a="1"/>
  <c r="GI5" i="4" a="1"/>
  <c r="HE12" i="4" a="1"/>
  <c r="HC12" i="4" a="1"/>
  <c r="FY14" i="4" a="1"/>
  <c r="GS6" i="4" a="1"/>
  <c r="GH12" i="4" a="1"/>
  <c r="HH13" i="4" a="1"/>
  <c r="GE8" i="4" a="1"/>
  <c r="FW14" i="4" a="1"/>
  <c r="HG13" i="4" a="1"/>
  <c r="FV9" i="4" a="1"/>
  <c r="FL16" i="4" a="1"/>
  <c r="GP8" i="4" a="1"/>
  <c r="HC9" i="4" a="1"/>
  <c r="FR6" i="4" a="1"/>
  <c r="FJ12" i="4" a="1"/>
  <c r="HG14" i="4" a="1"/>
  <c r="FK7" i="4" a="1"/>
  <c r="GB15" i="4" a="1"/>
  <c r="FO11" i="4" a="1"/>
  <c r="FV15" i="4" a="1"/>
  <c r="FZ9" i="4" a="1"/>
  <c r="GJ12" i="4" a="1"/>
  <c r="FS12" i="4" a="1"/>
  <c r="GR14" i="4" a="1"/>
  <c r="FG12" i="4" a="1"/>
  <c r="GU5" i="4" a="1"/>
  <c r="FW12" i="4" a="1"/>
  <c r="GU16" i="4" a="1"/>
  <c r="GZ13" i="4" a="1"/>
  <c r="GW15" i="4" a="1"/>
  <c r="GR6" i="4" a="1"/>
  <c r="HG8" i="4" a="1"/>
  <c r="GQ13" i="4" a="1"/>
  <c r="FN16" i="4" a="1"/>
  <c r="FG9" i="4" a="1"/>
  <c r="GV15" i="4" a="1"/>
  <c r="HE15" i="4" a="1"/>
  <c r="GB11" i="4" a="1"/>
  <c r="FQ5" i="4" a="1"/>
  <c r="FO7" i="4" a="1"/>
  <c r="GB12" i="4" a="1"/>
  <c r="GI9" i="4" a="1"/>
  <c r="HF16" i="4" a="1"/>
  <c r="GQ5" i="4" a="1"/>
  <c r="FQ8" i="4" a="1"/>
  <c r="HH7" i="4" a="1"/>
  <c r="HH5" i="4" a="1"/>
  <c r="FM12" i="4" a="1"/>
  <c r="FR14" i="4" a="1"/>
  <c r="FT11" i="4" a="1"/>
  <c r="GG16" i="4" a="1"/>
  <c r="GE6" i="4" a="1"/>
  <c r="GH6" i="4" a="1"/>
  <c r="FL9" i="4" a="1"/>
  <c r="GM15" i="4" a="1"/>
  <c r="GF11" i="4" a="1"/>
  <c r="GL8" i="4" a="1"/>
  <c r="GT5" i="4" a="1"/>
  <c r="GY7" i="4" a="1"/>
  <c r="HC7" i="4" a="1"/>
  <c r="FP7" i="4" a="1"/>
  <c r="FV5" i="4" a="1"/>
  <c r="GU7" i="4" a="1"/>
  <c r="FX11" i="4" a="1"/>
  <c r="HB5" i="4" a="1"/>
  <c r="FP15" i="4" a="1"/>
  <c r="GX11" i="4" a="1"/>
  <c r="HD12" i="4" a="1"/>
  <c r="GC13" i="4" a="1"/>
  <c r="FL11" i="4" a="1"/>
  <c r="FY16" i="4" a="1"/>
  <c r="GB9" i="4" a="1"/>
  <c r="GL14" i="4" a="1"/>
  <c r="FY6" i="4" a="1"/>
  <c r="GI12" i="4" a="1"/>
  <c r="GW5" i="4" a="1"/>
  <c r="FP5" i="4" a="1"/>
  <c r="FQ14" i="4" a="1"/>
  <c r="FP13" i="4" a="1"/>
  <c r="GS9" i="4" a="1"/>
  <c r="GC8" i="4" a="1"/>
  <c r="GA11" i="4" a="1"/>
  <c r="FI5" i="4" a="1"/>
  <c r="GW7" i="4" a="1"/>
  <c r="GD15" i="4" a="1"/>
  <c r="FX8" i="4" a="1"/>
  <c r="GU13" i="4" a="1"/>
  <c r="GZ12" i="4" a="1"/>
  <c r="FW11" i="4" a="1"/>
  <c r="HA12" i="4" a="1"/>
  <c r="GS5" i="4" a="1"/>
  <c r="FN11" i="4" a="1"/>
  <c r="GW13" i="4" a="1"/>
  <c r="GY12" i="4" a="1"/>
  <c r="GI8" i="4" a="1"/>
  <c r="FO14" i="4" a="1"/>
  <c r="FM5" i="4" a="1"/>
  <c r="HH9" i="4" a="1"/>
  <c r="GM14" i="4" a="1"/>
  <c r="HA6" i="4" a="1"/>
  <c r="FJ11" i="4" a="1"/>
  <c r="FN14" i="4" a="1"/>
  <c r="GH15" i="4" a="1"/>
  <c r="FW7" i="4" a="1"/>
  <c r="GT6" i="4" a="1"/>
  <c r="FH14" i="4" a="1"/>
  <c r="FV8" i="4" a="1"/>
  <c r="HH14" i="4" a="1"/>
  <c r="HC5" i="4" a="1"/>
  <c r="HC14" i="4" a="1"/>
  <c r="FU9" i="4" a="1"/>
  <c r="FK15" i="4" a="1"/>
  <c r="GE7" i="4" a="1"/>
  <c r="GI14" i="4" a="1"/>
  <c r="FW8" i="4" a="1"/>
  <c r="FW9" i="4" a="1"/>
  <c r="GL7" i="4" a="1"/>
  <c r="FL12" i="4" a="1"/>
  <c r="GP6" i="4" a="1"/>
  <c r="HA9" i="4" a="1"/>
  <c r="FH16" i="4" a="1"/>
  <c r="FJ14" i="4" a="1"/>
  <c r="GN5" i="4" a="1"/>
  <c r="GZ8" i="4" a="1"/>
  <c r="GL15" i="4" a="1"/>
  <c r="HG5" i="4" a="1"/>
  <c r="GK8" i="4" a="1"/>
  <c r="GT11" i="4" a="1"/>
  <c r="GG5" i="4" a="1"/>
  <c r="GP9" i="4" a="1"/>
  <c r="GN16" i="4" a="1"/>
  <c r="FT16" i="4" a="1"/>
  <c r="GO12" i="4" a="1"/>
  <c r="GW16" i="4" a="1"/>
  <c r="FW5" i="4" a="1"/>
  <c r="GM5" i="4" a="1"/>
  <c r="FL15" i="4" a="1"/>
  <c r="FW16" i="4" a="1"/>
  <c r="FP14" i="4" a="1"/>
  <c r="GC9" i="4" a="1"/>
  <c r="GJ6" i="4" a="1"/>
  <c r="GZ5" i="4" a="1"/>
  <c r="FM7" i="4" a="1"/>
  <c r="GO8" i="4" a="1"/>
  <c r="FR11" i="4" a="1"/>
  <c r="GH16" i="4" a="1"/>
  <c r="FH9" i="4" a="1"/>
  <c r="FN9" i="4" a="1"/>
  <c r="FK8" i="4" a="1"/>
  <c r="GV5" i="4" a="1"/>
  <c r="FH15" i="4" a="1"/>
  <c r="GB6" i="4" a="1"/>
  <c r="GA9" i="4" a="1"/>
  <c r="GA16" i="4" a="1"/>
  <c r="FY12" i="4" a="1"/>
  <c r="HF15" i="4" a="1"/>
  <c r="GS16" i="4" a="1"/>
  <c r="FI7" i="4" a="1"/>
  <c r="GW8" i="4" a="1"/>
  <c r="FU16" i="4" a="1"/>
  <c r="FY13" i="4" a="1"/>
  <c r="GL6" i="4" a="1"/>
  <c r="FG8" i="4" a="1"/>
  <c r="GS11" i="4" a="1"/>
  <c r="FG13" i="4" a="1"/>
  <c r="FO8" i="4" a="1"/>
  <c r="HA13" i="4" a="1"/>
  <c r="FO16" i="4" a="1"/>
  <c r="FT5" i="4" a="1"/>
  <c r="GX12" i="4" a="1"/>
  <c r="FU12" i="4" a="1"/>
  <c r="FH6" i="4" a="1"/>
  <c r="GE16" i="4" a="1"/>
  <c r="FK16" i="4" a="1"/>
  <c r="GG9" i="4" a="1"/>
  <c r="FU6" i="4" a="1"/>
  <c r="GZ9" i="4" a="1"/>
  <c r="GH11" i="4" a="1"/>
  <c r="HG11" i="4" a="1"/>
  <c r="GJ15" i="4" a="1"/>
  <c r="HF7" i="4" a="1"/>
  <c r="GN6" i="4" a="1"/>
  <c r="GW11" i="4" a="1"/>
  <c r="FH5" i="4" a="1"/>
  <c r="FP11" i="4" a="1"/>
  <c r="GI7" i="4" a="1"/>
  <c r="FM14" i="4" a="1"/>
  <c r="FS11" i="4" a="1"/>
  <c r="HD13" i="4" a="1"/>
  <c r="GK7" i="4" a="1"/>
  <c r="GH5" i="4" a="1"/>
  <c r="FT15" i="4" a="1"/>
  <c r="FV12" i="4" a="1"/>
  <c r="GL11" i="4" a="1"/>
  <c r="GN9" i="4" a="1"/>
  <c r="FP9" i="4" a="1"/>
  <c r="FU7" i="4" a="1"/>
  <c r="GA8" i="4" a="1"/>
  <c r="HH6" i="4" a="1"/>
  <c r="GC15" i="4" a="1"/>
  <c r="HF13" i="4" a="1"/>
  <c r="GD5" i="4" a="1"/>
  <c r="GC5" i="4" a="1"/>
  <c r="GF13" i="4" a="1"/>
  <c r="FO13" i="4" a="1"/>
  <c r="HF11" i="4" a="1"/>
  <c r="GZ7" i="4" a="1"/>
  <c r="GX15" i="4" a="1"/>
  <c r="GI6" i="4" a="1"/>
  <c r="FJ16" i="4" a="1"/>
  <c r="HB16" i="4" a="1"/>
  <c r="HB12" i="4" a="1"/>
  <c r="GX5" i="4" a="1"/>
  <c r="GG12" i="4" a="1"/>
  <c r="GG14" i="4" a="1"/>
  <c r="GS15" i="4" a="1"/>
  <c r="GW9" i="4" a="1"/>
  <c r="HH16" i="4" a="1"/>
  <c r="FU14" i="4" a="1"/>
  <c r="FM11" i="4" a="1"/>
  <c r="FS9" i="4" a="1"/>
  <c r="HD6" i="4" a="1"/>
  <c r="FP16" i="4" a="1"/>
  <c r="FG7" i="4" a="1"/>
  <c r="GK14" i="4" a="1"/>
  <c r="GM8" i="4" a="1"/>
  <c r="HB6" i="4" a="1"/>
  <c r="GD14" i="4" a="1"/>
  <c r="HB8" i="4" a="1"/>
  <c r="GF6" i="4" a="1"/>
  <c r="FQ12" i="4" a="1"/>
  <c r="GV16" i="4" a="1"/>
  <c r="FO9" i="4" a="1"/>
  <c r="GM12" i="4" a="1"/>
  <c r="FL14" i="4" a="1"/>
  <c r="FV11" i="4" a="1"/>
  <c r="GS14" i="4" a="1"/>
  <c r="FM13" i="4" a="1"/>
  <c r="GO16" i="4" a="1"/>
  <c r="FZ12" i="4" a="1"/>
  <c r="GI15" i="4" a="1"/>
  <c r="GV7" i="4" a="1"/>
  <c r="GO9" i="4" a="1"/>
  <c r="GE15" i="4" a="1"/>
  <c r="GB5" i="4" a="1"/>
  <c r="FM8" i="4" a="1"/>
  <c r="FP12" i="4" a="1"/>
  <c r="GI11" i="4" a="1"/>
  <c r="GK13" i="4" a="1"/>
  <c r="FI9" i="4" a="1"/>
  <c r="FU13" i="4" a="1"/>
  <c r="HD8" i="4" a="1"/>
  <c r="FH11" i="4" a="1"/>
  <c r="FZ5" i="4" a="1"/>
  <c r="FS7" i="4" a="1"/>
  <c r="GK6" i="4" a="1"/>
  <c r="FK14" i="4" a="1"/>
  <c r="FZ6" i="4" a="1"/>
  <c r="FP6" i="4" a="1"/>
  <c r="GK16" i="4" a="1"/>
  <c r="HG12" i="4" a="1"/>
  <c r="GC12" i="4" a="1"/>
  <c r="FX6" i="4" a="1"/>
  <c r="FS5" i="4" a="1"/>
  <c r="FY7" i="4" a="1"/>
  <c r="FS14" i="4" a="1"/>
  <c r="HD5" i="4" a="1"/>
  <c r="FN12" i="4" a="1"/>
  <c r="GM11" i="4" a="1"/>
  <c r="GZ11" i="4" a="1"/>
  <c r="HB7" i="4" a="1"/>
  <c r="GQ6" i="4" a="1"/>
  <c r="GX7" i="4" a="1"/>
  <c r="GF15" i="4" a="1"/>
  <c r="GU6" i="4" a="1"/>
  <c r="FT8" i="4" a="1"/>
  <c r="GN8" i="4" a="1"/>
  <c r="GP15" i="4" a="1"/>
  <c r="GE5" i="4" a="1"/>
  <c r="HF14" i="4" a="1"/>
  <c r="GR8" i="4" a="1"/>
  <c r="FS8" i="4" a="1"/>
  <c r="FI11" i="4" a="1"/>
  <c r="GJ13" i="4" a="1"/>
  <c r="HE7" i="4" a="1"/>
  <c r="FX16" i="4" a="1"/>
  <c r="GH7" i="4" a="1"/>
  <c r="HD9" i="4" a="1"/>
  <c r="GL5" i="4" a="1"/>
  <c r="HG6" i="4" a="1"/>
  <c r="GQ9" i="4" a="1"/>
  <c r="GN14" i="4" a="1"/>
  <c r="GK11" i="4" a="1"/>
  <c r="GQ11" i="4" a="1"/>
  <c r="GO5" i="4" a="1"/>
  <c r="HD16" i="4" a="1"/>
  <c r="GQ7" i="4" a="1"/>
  <c r="GL12" i="4" a="1"/>
  <c r="GI13" i="4" a="1"/>
  <c r="FS16" i="4" a="1"/>
  <c r="FG15" i="4" a="1"/>
  <c r="GB7" i="4" a="1"/>
  <c r="GR5" i="4" a="1"/>
  <c r="GU14" i="4" a="1"/>
  <c r="GH14" i="4" a="1"/>
  <c r="GN11" i="4" a="1"/>
  <c r="FW13" i="4" a="1"/>
  <c r="GQ12" i="4" a="1"/>
  <c r="HA14" i="4" a="1"/>
  <c r="GC6" i="4" a="1"/>
  <c r="GG8" i="4" a="1"/>
  <c r="FV14" i="4" a="1"/>
  <c r="FH8" i="4" a="1"/>
  <c r="FZ14" i="4" a="1"/>
  <c r="GJ8" i="4" a="1"/>
  <c r="GF14" i="4" a="1"/>
  <c r="GE13" i="4" a="1"/>
  <c r="GF5" i="4" a="1"/>
  <c r="FY11" i="4" a="1"/>
  <c r="FQ11" i="4" a="1"/>
  <c r="GD12" i="4" a="1"/>
  <c r="GY11" i="4" a="1"/>
  <c r="FN5" i="4" a="1"/>
  <c r="GP16" i="4" a="1"/>
  <c r="GU15" i="4" a="1"/>
  <c r="FX5" i="4" a="1"/>
  <c r="FK13" i="4" a="1"/>
  <c r="FV6" i="4" a="1"/>
  <c r="GT13" i="4" a="1"/>
  <c r="HF5" i="4" a="1"/>
  <c r="FK11" i="4" a="1"/>
  <c r="GS12" i="4" a="1"/>
  <c r="FX12" i="4" a="1"/>
  <c r="GJ11" i="4" a="1"/>
  <c r="GA14" i="4" a="1"/>
  <c r="GF16" i="4" a="1"/>
  <c r="GJ5" i="4" a="1"/>
  <c r="FG11" i="4" a="1"/>
  <c r="HE16" i="4" a="1"/>
  <c r="FY5" i="4" a="1"/>
  <c r="FL7" i="4" a="1"/>
  <c r="FU5" i="4" a="1"/>
  <c r="FU8" i="4" a="1"/>
  <c r="FJ5" i="4" a="1"/>
  <c r="FV13" i="4" a="1"/>
  <c r="FT6" i="4" a="1"/>
  <c r="FO5" i="4" a="1"/>
  <c r="FQ13" i="4" a="1"/>
  <c r="HC8" i="4" a="1"/>
  <c r="HE9" i="4" a="1"/>
  <c r="FI8" i="4" a="1"/>
  <c r="HA16" i="4" a="1"/>
  <c r="GD13" i="4" a="1"/>
  <c r="GZ14" i="4" a="1"/>
  <c r="FN13" i="4" a="1"/>
  <c r="FW15" i="4" a="1"/>
  <c r="FQ15" i="4" a="1"/>
  <c r="GR16" i="4" a="1"/>
  <c r="FR8" i="4" a="1"/>
  <c r="HG15" i="4" a="1"/>
  <c r="GS13" i="4" a="1"/>
  <c r="FL13" i="4" a="1"/>
  <c r="FQ6" i="4" a="1"/>
  <c r="FJ7" i="4" a="1"/>
  <c r="FP8" i="4" a="1"/>
  <c r="FG16" i="4" a="1"/>
  <c r="HF6" i="4" a="1"/>
  <c r="HD14" i="4" a="1"/>
  <c r="GY14" i="4" a="1"/>
  <c r="FR12" i="4" a="1"/>
  <c r="FU11" i="4" a="1"/>
  <c r="GG7" i="4" a="1"/>
  <c r="GE9" i="4" a="1"/>
  <c r="GY13" i="4" a="1"/>
  <c r="FX15" i="4" a="1"/>
  <c r="GA13" i="4" a="1"/>
  <c r="GP7" i="4" a="1"/>
  <c r="GB8" i="4" a="1"/>
  <c r="GJ7" i="4" a="1"/>
  <c r="FJ8" i="4" a="1"/>
  <c r="FX7" i="4" a="1"/>
  <c r="FJ9" i="4" a="1"/>
  <c r="FO6" i="4" a="1"/>
  <c r="FN15" i="4" a="1"/>
  <c r="FM6" i="4" a="1"/>
  <c r="HA11" i="4" a="1"/>
  <c r="FU15" i="4" a="1"/>
  <c r="GR7" i="4" a="1"/>
  <c r="HD15" i="4" a="1"/>
  <c r="GJ16" i="4" a="1"/>
  <c r="GN12" i="4" a="1"/>
  <c r="GP12" i="4" a="1"/>
  <c r="GG13" i="4" a="1"/>
  <c r="HA5" i="4" a="1"/>
  <c r="HH12" i="4" a="1"/>
  <c r="GF8" i="4" a="1"/>
  <c r="HE13" i="4" a="1"/>
  <c r="GT8" i="4" a="1"/>
  <c r="FG5" i="4" a="1"/>
  <c r="GD9" i="4" a="1"/>
  <c r="GO7" i="4" a="1"/>
  <c r="GX9" i="4" a="1"/>
  <c r="FX9" i="4" a="1"/>
  <c r="HC15" i="4" a="1"/>
  <c r="FR15" i="4" a="1"/>
  <c r="FZ11" i="4" a="1"/>
  <c r="FJ15" i="4" a="1"/>
  <c r="FK6" i="4" a="1"/>
  <c r="FN7" i="4" a="1"/>
  <c r="GC14" i="4" a="1"/>
  <c r="GE14" i="4" a="1"/>
  <c r="FS15" i="4" a="1"/>
  <c r="HB15" i="4" a="1"/>
  <c r="GM7" i="4" a="1"/>
  <c r="GS8" i="4" a="1"/>
  <c r="GF12" i="4" a="1"/>
  <c r="GQ16" i="4" a="1"/>
  <c r="HB11" i="4" a="1"/>
  <c r="FH13" i="4" a="1"/>
  <c r="HG7" i="4" a="1"/>
  <c r="HG9" i="4" a="1"/>
  <c r="GN13" i="4" a="1"/>
  <c r="GA12" i="4" a="1"/>
  <c r="HD11" i="4" a="1"/>
  <c r="FZ15" i="4" a="1"/>
  <c r="HH11" i="4" a="1"/>
  <c r="GD11" i="4" a="1"/>
  <c r="GU9" i="4" a="1"/>
  <c r="GA6" i="4" a="1"/>
  <c r="GK12" i="4" a="1"/>
  <c r="GB16" i="4" a="1"/>
  <c r="GT9" i="4" a="1"/>
  <c r="HD7" i="4" a="1"/>
  <c r="HG16" i="4" a="1"/>
  <c r="GN15" i="4" a="1"/>
  <c r="FH12" i="4" a="1"/>
  <c r="GE11" i="4" a="1"/>
  <c r="HC16" i="4" a="1"/>
  <c r="GV6" i="4" a="1"/>
  <c r="GO15" i="4" a="1"/>
  <c r="FL6" i="4" a="1"/>
  <c r="HE14" i="4" a="1"/>
  <c r="GH13" i="4" a="1"/>
  <c r="FN8" i="4" a="1"/>
  <c r="GY16" i="4" a="1"/>
  <c r="GH9" i="4" a="1"/>
  <c r="FO15" i="4" a="1"/>
  <c r="FR13" i="4" a="1"/>
  <c r="GB14" i="4" a="1"/>
  <c r="GO14" i="4" a="1"/>
  <c r="FT7" i="4" a="1"/>
  <c r="GV12" i="4" a="1"/>
  <c r="GP5" i="4" a="1"/>
  <c r="GK15" i="4" a="1"/>
  <c r="FI6" i="4" a="1"/>
  <c r="FH7" i="4" a="1"/>
  <c r="GC11" i="4" a="1"/>
  <c r="GJ9" i="4" a="1"/>
  <c r="FX14" i="4" a="1"/>
  <c r="FJ6" i="4" a="1"/>
  <c r="GO11" i="4" a="1"/>
  <c r="FZ13" i="4" a="1"/>
  <c r="FI13" i="4" a="1"/>
  <c r="GY9" i="4" a="1"/>
  <c r="GZ16" i="4" a="1"/>
  <c r="GZ6" i="4" a="1"/>
  <c r="FX13" i="4" a="1"/>
  <c r="GK5" i="4" a="1"/>
  <c r="FI16" i="4" a="1"/>
  <c r="GC7" i="4" a="1"/>
  <c r="GY8" i="4" a="1"/>
  <c r="FV7" i="4" a="1"/>
  <c r="GV8" i="4" a="1"/>
  <c r="GM6" i="4" a="1"/>
  <c r="FN6" i="4" a="1"/>
  <c r="FM15" i="4" a="1"/>
  <c r="GR12" i="4" a="1"/>
  <c r="HE8" i="4" a="1"/>
  <c r="GA15" i="4" a="1"/>
  <c r="GU12" i="4" a="1"/>
  <c r="GJ14" i="4" a="1"/>
  <c r="FK9" i="4" a="1"/>
  <c r="HF8" i="4" a="1"/>
  <c r="GD8" i="4" a="1"/>
  <c r="GT12" i="4" a="1"/>
  <c r="GL13" i="4" a="1"/>
  <c r="GQ15" i="4" a="1"/>
  <c r="FR7" i="4" a="1"/>
  <c r="HC11" i="4" a="1"/>
  <c r="FO12" i="4" a="1"/>
  <c r="GV11" i="4" a="1"/>
  <c r="HC13" i="4" a="1"/>
  <c r="FT13" i="4" a="1"/>
  <c r="FY15" i="4" a="1"/>
  <c r="HF9" i="4" a="1"/>
  <c r="GF7" i="4" a="1"/>
  <c r="FQ7" i="4" a="1"/>
  <c r="GM16" i="4" a="1"/>
  <c r="FW6" i="4" a="1"/>
  <c r="FL5" i="4" a="1"/>
  <c r="GE12" i="4" a="1"/>
  <c r="GQ8" i="4" a="1"/>
  <c r="GV13" i="4" a="1"/>
  <c r="GW14" i="4" a="1"/>
  <c r="HA7" i="4" a="1"/>
  <c r="GD6" i="4" a="1"/>
  <c r="GK9" i="4" a="1"/>
  <c r="GZ15" i="4" a="1"/>
  <c r="FZ7" i="4" a="1"/>
  <c r="GR13" i="4" a="1"/>
  <c r="GD16" i="4" a="1"/>
  <c r="GT15" i="4" a="1"/>
  <c r="FK12" i="4" a="1"/>
  <c r="GG6" i="4" a="1"/>
  <c r="GU8" i="4" a="1"/>
  <c r="GX8" i="4" a="1"/>
  <c r="GG15" i="4" a="1"/>
  <c r="HB13" i="4" a="1"/>
  <c r="GW12" i="4" a="1"/>
  <c r="GH8" i="4" a="1"/>
  <c r="HA8" i="4" a="1"/>
  <c r="FT14" i="4" a="1"/>
  <c r="FG6" i="4" a="1"/>
  <c r="GG11" i="4" a="1"/>
  <c r="FZ8" i="4" a="1"/>
  <c r="FZ16" i="4" a="1"/>
  <c r="HH15" i="4" a="1"/>
  <c r="FI15" i="4" a="1"/>
  <c r="GI16" i="4" a="1"/>
  <c r="GY5" i="4" a="1"/>
  <c r="FI14" i="4" a="1"/>
  <c r="GL16" i="4" a="1"/>
  <c r="GR9" i="4" a="1"/>
  <c r="GN7" i="4" a="1"/>
  <c r="FG14" i="4" a="1"/>
  <c r="FT9" i="4" a="1"/>
  <c r="GP14" i="4" a="1"/>
  <c r="FT12" i="4" a="1"/>
  <c r="GB13" i="4" a="1"/>
  <c r="HE11" i="4" a="1"/>
  <c r="GO6" i="4" a="1"/>
  <c r="GY15" i="4" a="1"/>
  <c r="FM16" i="4" a="1"/>
  <c r="GM9" i="4" a="1"/>
  <c r="GT14" i="4" a="1"/>
  <c r="GF9" i="4" a="1"/>
  <c r="GW6" i="4" a="1"/>
  <c r="HF12" i="4" a="1"/>
  <c r="GS7" i="4" a="1"/>
  <c r="GX14" i="4" a="1"/>
  <c r="GT7" i="4" a="1"/>
  <c r="GA7" i="4" a="1"/>
  <c r="HA15" i="4" a="1"/>
  <c r="FR5" i="4" a="1"/>
  <c r="FL8" i="4" a="1"/>
  <c r="GP11" i="4" a="1"/>
  <c r="GR11" i="4" a="1"/>
  <c r="HH8" i="4" a="1"/>
  <c r="HE6" i="4" a="1"/>
  <c r="GX16" i="4" a="1"/>
  <c r="FY8" i="4" a="1"/>
  <c r="CH307" i="1" l="1"/>
  <c r="CI307" i="1" s="1"/>
  <c r="CV10" i="1"/>
  <c r="CU7" i="1"/>
  <c r="DA67" i="1"/>
  <c r="DB67" i="1" s="1"/>
  <c r="DA64" i="1"/>
  <c r="DB64" i="1" s="1"/>
  <c r="CU79" i="1"/>
  <c r="CT80" i="1"/>
  <c r="AC80" i="1" s="1"/>
  <c r="X188" i="1"/>
  <c r="Z188" i="1"/>
  <c r="Y188" i="1"/>
  <c r="X346" i="1"/>
  <c r="KE16" i="4" s="1"/>
  <c r="JZ16" i="4" s="1"/>
  <c r="KH9" i="4" s="1"/>
  <c r="Z236" i="1"/>
  <c r="KG16" i="4" s="1"/>
  <c r="JQ16" i="4" s="1"/>
  <c r="KB16" i="4" s="1"/>
  <c r="KD9" i="4" s="1"/>
  <c r="JY9" i="4" s="1"/>
  <c r="KA16" i="4" s="1"/>
  <c r="JS16" i="4" s="1"/>
  <c r="KD16" i="4" s="1"/>
  <c r="KD21" i="4" s="1"/>
  <c r="JV16" i="4" s="1"/>
  <c r="KG9" i="4" s="1"/>
  <c r="JU9" i="4" s="1"/>
  <c r="KC9" i="4" s="1"/>
  <c r="JV9" i="4" s="1"/>
  <c r="JZ9" i="4" s="1"/>
  <c r="Z235" i="1"/>
  <c r="JW16" i="4" s="1"/>
  <c r="KH16" i="4" s="1"/>
  <c r="JR16" i="4" s="1"/>
  <c r="JX9" i="4" s="1"/>
  <c r="KB9" i="4" s="1"/>
  <c r="KE9" i="4" s="1"/>
  <c r="JY16" i="4" s="1"/>
  <c r="JY21" i="4" s="1"/>
  <c r="JT16" i="4" s="1"/>
  <c r="Y236" i="1"/>
  <c r="KC16" i="4" s="1"/>
  <c r="JU16" i="4" s="1"/>
  <c r="KF16" i="4" s="1"/>
  <c r="JX16" i="4" s="1"/>
  <c r="JW9" i="4" s="1"/>
  <c r="KA9" i="4" s="1"/>
  <c r="JS9" i="4" s="1"/>
  <c r="JQ9" i="4" s="1"/>
  <c r="KF9" i="4" s="1"/>
  <c r="JR9" i="4" s="1"/>
  <c r="JT9" i="4" s="1"/>
  <c r="X235" i="1"/>
  <c r="X398" i="1"/>
  <c r="X46" i="1"/>
  <c r="CN51" i="1"/>
  <c r="AC73" i="1"/>
  <c r="CT91" i="1"/>
  <c r="CS92" i="1"/>
  <c r="AD74" i="1"/>
  <c r="CV87" i="1"/>
  <c r="CU101" i="1"/>
  <c r="CV96" i="1"/>
  <c r="CU109" i="1"/>
  <c r="CV104" i="1"/>
  <c r="CO15" i="1"/>
  <c r="CX40" i="1"/>
  <c r="CX53" i="1" s="1"/>
  <c r="AD53" i="1" s="1"/>
  <c r="CV26" i="1"/>
  <c r="X315" i="1"/>
  <c r="X349" i="1" s="1"/>
  <c r="Y315" i="1"/>
  <c r="Y349" i="1" s="1"/>
  <c r="Y328" i="1"/>
  <c r="Z376" i="1" s="1"/>
  <c r="Z321" i="1"/>
  <c r="CH321" i="1" s="1"/>
  <c r="CH323" i="1" s="1"/>
  <c r="Z315" i="1"/>
  <c r="AA363" i="1" s="1"/>
  <c r="X350" i="1"/>
  <c r="X166" i="1"/>
  <c r="Y301" i="1"/>
  <c r="X347" i="1"/>
  <c r="Y340" i="1"/>
  <c r="Z419" i="1"/>
  <c r="X419" i="1"/>
  <c r="Y346" i="1"/>
  <c r="X340" i="1"/>
  <c r="CH326" i="1"/>
  <c r="CH328" i="1" s="1"/>
  <c r="CI376" i="1" s="1"/>
  <c r="Z328" i="1"/>
  <c r="AA376" i="1" s="1"/>
  <c r="X361" i="1"/>
  <c r="X420" i="1"/>
  <c r="Y361" i="1"/>
  <c r="Y420" i="1"/>
  <c r="Z420" i="1"/>
  <c r="Z361" i="1"/>
  <c r="Y419" i="1"/>
  <c r="Y166" i="1"/>
  <c r="Y398" i="1"/>
  <c r="Y350" i="1"/>
  <c r="CH284" i="1"/>
  <c r="Z287" i="1"/>
  <c r="AA374" i="1" s="1"/>
  <c r="CH311" i="1"/>
  <c r="CH315" i="1" s="1"/>
  <c r="Z346" i="1"/>
  <c r="Z398" i="1"/>
  <c r="Z347" i="1"/>
  <c r="Z350" i="1"/>
  <c r="CH302" i="1"/>
  <c r="CI302" i="1" s="1"/>
  <c r="Z298" i="1"/>
  <c r="Z301" i="1" s="1"/>
  <c r="Y323" i="1"/>
  <c r="X301" i="1"/>
  <c r="Y369" i="1"/>
  <c r="Y347" i="1"/>
  <c r="Z340" i="1"/>
  <c r="Z166" i="1"/>
  <c r="X323" i="1"/>
  <c r="Y287" i="1"/>
  <c r="X295" i="1"/>
  <c r="X328" i="1"/>
  <c r="X287" i="1"/>
  <c r="X342" i="1" s="1"/>
  <c r="Y295" i="1"/>
  <c r="KH15" i="4"/>
  <c r="CI295" i="1"/>
  <c r="Y235" i="1"/>
  <c r="X236" i="1"/>
  <c r="Z369" i="1"/>
  <c r="Z295" i="1"/>
  <c r="CI369" i="1"/>
  <c r="CH295" i="1"/>
  <c r="JP15" i="4"/>
  <c r="JP14" i="4"/>
  <c r="JP8" i="4"/>
  <c r="JP7" i="4"/>
  <c r="JP21" i="4"/>
  <c r="CJ239" i="1" s="1"/>
  <c r="JO21" i="4"/>
  <c r="CI239" i="1" s="1"/>
  <c r="JO7" i="4"/>
  <c r="JO15" i="4"/>
  <c r="JO14" i="4"/>
  <c r="JO8" i="4"/>
  <c r="JN21" i="4"/>
  <c r="CH239" i="1" s="1"/>
  <c r="JN15" i="4"/>
  <c r="JN14" i="4"/>
  <c r="JN7" i="4"/>
  <c r="JN8" i="4"/>
  <c r="BT28" i="3"/>
  <c r="BR40" i="3"/>
  <c r="BN11" i="3"/>
  <c r="BE12" i="3"/>
  <c r="BO16" i="3"/>
  <c r="BN37" i="3"/>
  <c r="BR38" i="3"/>
  <c r="BV12" i="3"/>
  <c r="BA10" i="3"/>
  <c r="BJ25" i="3"/>
  <c r="BG6" i="3"/>
  <c r="BL25" i="3"/>
  <c r="BH37" i="3"/>
  <c r="BM11" i="3"/>
  <c r="BD13" i="3"/>
  <c r="BH21" i="3"/>
  <c r="BC15" i="3"/>
  <c r="BH41" i="3"/>
  <c r="AB39" i="3"/>
  <c r="BD46" i="3"/>
  <c r="BE45" i="3"/>
  <c r="BV23" i="3"/>
  <c r="BH11" i="3"/>
  <c r="BG40" i="3"/>
  <c r="BD14" i="3"/>
  <c r="BO15" i="3"/>
  <c r="BE20" i="3"/>
  <c r="BO23" i="3"/>
  <c r="BN10" i="3"/>
  <c r="BP36" i="3"/>
  <c r="BD37" i="3"/>
  <c r="BG33" i="3"/>
  <c r="BN42" i="3"/>
  <c r="BR25" i="3"/>
  <c r="BE16" i="3"/>
  <c r="BL29" i="3"/>
  <c r="BN16" i="3"/>
  <c r="BG45" i="3"/>
  <c r="BD24" i="3"/>
  <c r="BS29" i="3"/>
  <c r="BK13" i="3"/>
  <c r="BC21" i="3"/>
  <c r="BJ31" i="3"/>
  <c r="BO10" i="3"/>
  <c r="BK28" i="3"/>
  <c r="BS11" i="3"/>
  <c r="BP17" i="3"/>
  <c r="BA14" i="3"/>
  <c r="BU32" i="3"/>
  <c r="BN14" i="3"/>
  <c r="BT27" i="3"/>
  <c r="BS41" i="3"/>
  <c r="BV41" i="3"/>
  <c r="BA19" i="3"/>
  <c r="BI39" i="3"/>
  <c r="BK16" i="3"/>
  <c r="BA38" i="3"/>
  <c r="BQ33" i="3"/>
  <c r="BE23" i="3"/>
  <c r="BO31" i="3"/>
  <c r="BD21" i="3"/>
  <c r="BS5" i="3"/>
  <c r="BM7" i="3"/>
  <c r="BE39" i="3"/>
  <c r="BC8" i="3"/>
  <c r="BP26" i="3"/>
  <c r="BH29" i="3"/>
  <c r="BP22" i="3"/>
  <c r="BF45" i="3"/>
  <c r="BA45" i="3"/>
  <c r="BG7" i="3"/>
  <c r="BT34" i="3"/>
  <c r="BP18" i="3"/>
  <c r="BP30" i="3"/>
  <c r="BO41" i="3"/>
  <c r="BT40" i="3"/>
  <c r="BI25" i="3"/>
  <c r="BF18" i="3"/>
  <c r="BF21" i="3"/>
  <c r="BG39" i="3"/>
  <c r="BK26" i="3"/>
  <c r="BF27" i="3"/>
  <c r="BH12" i="3"/>
  <c r="BT29" i="3"/>
  <c r="BQ45" i="3"/>
  <c r="BK10" i="3"/>
  <c r="BS13" i="3"/>
  <c r="BB36" i="3"/>
  <c r="BO32" i="3"/>
  <c r="BB22" i="3"/>
  <c r="BV17" i="3"/>
  <c r="BL13" i="3"/>
  <c r="BP23" i="3"/>
  <c r="BV30" i="3"/>
  <c r="BK27" i="3"/>
  <c r="BB18" i="3"/>
  <c r="BK40" i="3"/>
  <c r="BL30" i="3"/>
  <c r="BM5" i="3"/>
  <c r="BL33" i="3"/>
  <c r="BN12" i="3"/>
  <c r="BS34" i="3"/>
  <c r="BI12" i="3"/>
  <c r="BG13" i="3"/>
  <c r="BM32" i="3"/>
  <c r="BH28" i="3"/>
  <c r="BJ28" i="3"/>
  <c r="BV18" i="3"/>
  <c r="BR36" i="3"/>
  <c r="BR29" i="3"/>
  <c r="BD26" i="3"/>
  <c r="BE15" i="3"/>
  <c r="BS14" i="3"/>
  <c r="BS30" i="3"/>
  <c r="BR45" i="3"/>
  <c r="BI6" i="3"/>
  <c r="BM24" i="3"/>
  <c r="BB39" i="3"/>
  <c r="BM34" i="3"/>
  <c r="BC12" i="3"/>
  <c r="BH42" i="3"/>
  <c r="BD25" i="3"/>
  <c r="BS42" i="3"/>
  <c r="BN30" i="3"/>
  <c r="BD31" i="3"/>
  <c r="BU5" i="3"/>
  <c r="BP9" i="3"/>
  <c r="BH24" i="3"/>
  <c r="BD41" i="3"/>
  <c r="BU10" i="3"/>
  <c r="BT19" i="3"/>
  <c r="BA9" i="3"/>
  <c r="BU18" i="3"/>
  <c r="BN28" i="3"/>
  <c r="BJ17" i="3"/>
  <c r="BS21" i="3"/>
  <c r="BP21" i="3"/>
  <c r="BT41" i="3"/>
  <c r="BM12" i="3"/>
  <c r="BE46" i="3"/>
  <c r="BB6" i="3"/>
  <c r="BG41" i="3"/>
  <c r="BD12" i="3"/>
  <c r="BC17" i="3"/>
  <c r="BO17" i="3"/>
  <c r="BR31" i="3"/>
  <c r="BH26" i="3"/>
  <c r="BR28" i="3"/>
  <c r="BK24" i="3"/>
  <c r="BQ35" i="3"/>
  <c r="BN32" i="3"/>
  <c r="BK36" i="3"/>
  <c r="BH10" i="3"/>
  <c r="BB27" i="3"/>
  <c r="BM25" i="3"/>
  <c r="BC33" i="3"/>
  <c r="BP6" i="3"/>
  <c r="BB29" i="3"/>
  <c r="BR17" i="3"/>
  <c r="BU28" i="3"/>
  <c r="BR6" i="3"/>
  <c r="BB40" i="3"/>
  <c r="BB30" i="3"/>
  <c r="BS28" i="3"/>
  <c r="BN24" i="3"/>
  <c r="BE5" i="3"/>
  <c r="BG28" i="3"/>
  <c r="BI5" i="3"/>
  <c r="BA31" i="3"/>
  <c r="BU16" i="3"/>
  <c r="BB25" i="3"/>
  <c r="BJ41" i="3"/>
  <c r="BV25" i="3"/>
  <c r="BK21" i="3"/>
  <c r="BF19" i="3"/>
  <c r="BH20" i="3"/>
  <c r="BF40" i="3"/>
  <c r="BS38" i="3"/>
  <c r="BL5" i="3"/>
  <c r="BU9" i="3"/>
  <c r="BC35" i="3"/>
  <c r="BH9" i="3"/>
  <c r="BN19" i="3"/>
  <c r="BH39" i="3"/>
  <c r="BA23" i="3"/>
  <c r="BF24" i="3"/>
  <c r="BV21" i="3"/>
  <c r="BD42" i="3"/>
  <c r="BA32" i="3"/>
  <c r="BS31" i="3"/>
  <c r="BH27" i="3"/>
  <c r="BA41" i="3"/>
  <c r="BN45" i="3"/>
  <c r="BG35" i="3"/>
  <c r="BE19" i="3"/>
  <c r="BL11" i="3"/>
  <c r="BQ9" i="3"/>
  <c r="BP16" i="3"/>
  <c r="BB35" i="3"/>
  <c r="BG10" i="3"/>
  <c r="BO22" i="3"/>
  <c r="BV39" i="3"/>
  <c r="BK46" i="3"/>
  <c r="BR8" i="3"/>
  <c r="BO8" i="3"/>
  <c r="BF38" i="3"/>
  <c r="BT37" i="3"/>
  <c r="BE32" i="3"/>
  <c r="BH15" i="3"/>
  <c r="BN8" i="3"/>
  <c r="BC23" i="3"/>
  <c r="BB5" i="3"/>
  <c r="BR37" i="3"/>
  <c r="BI32" i="3"/>
  <c r="BQ20" i="3"/>
  <c r="BD27" i="3"/>
  <c r="BU23" i="3"/>
  <c r="BM19" i="3"/>
  <c r="BE37" i="3"/>
  <c r="BI22" i="3"/>
  <c r="BV15" i="3"/>
  <c r="BI18" i="3"/>
  <c r="BA22" i="3"/>
  <c r="BR5" i="3"/>
  <c r="BO33" i="3"/>
  <c r="BH14" i="3"/>
  <c r="BK5" i="3"/>
  <c r="BI26" i="3"/>
  <c r="BN15" i="3"/>
  <c r="BV38" i="3"/>
  <c r="BA26" i="3"/>
  <c r="BR13" i="3"/>
  <c r="BI24" i="3"/>
  <c r="BP5" i="3"/>
  <c r="BT20" i="3"/>
  <c r="BI16" i="3"/>
  <c r="BI41" i="3"/>
  <c r="BN25" i="3"/>
  <c r="BR20" i="3"/>
  <c r="BN23" i="3"/>
  <c r="BI40" i="3"/>
  <c r="BG30" i="3"/>
  <c r="BL7" i="3"/>
  <c r="BA33" i="3"/>
  <c r="BQ36" i="3"/>
  <c r="BR41" i="3"/>
  <c r="BB16" i="3"/>
  <c r="BN39" i="3"/>
  <c r="BK42" i="3"/>
  <c r="BC29" i="3"/>
  <c r="BQ19" i="3"/>
  <c r="BB32" i="3"/>
  <c r="BJ35" i="3"/>
  <c r="BB21" i="3"/>
  <c r="BV9" i="3"/>
  <c r="BK14" i="3"/>
  <c r="BN38" i="3"/>
  <c r="BC25" i="3"/>
  <c r="BC45" i="3"/>
  <c r="BL34" i="3"/>
  <c r="BV26" i="3"/>
  <c r="BQ7" i="3"/>
  <c r="BR30" i="3"/>
  <c r="BQ15" i="3"/>
  <c r="BJ32" i="3"/>
  <c r="BQ39" i="3"/>
  <c r="BB28" i="3"/>
  <c r="BB9" i="3"/>
  <c r="BE18" i="3"/>
  <c r="BH7" i="3"/>
  <c r="BT9" i="3"/>
  <c r="BK20" i="3"/>
  <c r="BM40" i="3"/>
  <c r="BP42" i="3"/>
  <c r="BL38" i="3"/>
  <c r="BR11" i="3"/>
  <c r="BO19" i="3"/>
  <c r="BM26" i="3"/>
  <c r="BJ5" i="3"/>
  <c r="BC40" i="3"/>
  <c r="BE41" i="3"/>
  <c r="BO35" i="3"/>
  <c r="BC37" i="3"/>
  <c r="BG37" i="3"/>
  <c r="BD36" i="3"/>
  <c r="BM10" i="3"/>
  <c r="BD34" i="3"/>
  <c r="BS6" i="3"/>
  <c r="BU40" i="3"/>
  <c r="BV10" i="3"/>
  <c r="BN20" i="3"/>
  <c r="BB46" i="3"/>
  <c r="BA30" i="3"/>
  <c r="BE26" i="3"/>
  <c r="BC14" i="3"/>
  <c r="BJ14" i="3"/>
  <c r="BU17" i="3"/>
  <c r="BN6" i="3"/>
  <c r="BG15" i="3"/>
  <c r="BA42" i="3"/>
  <c r="BM46" i="3"/>
  <c r="BQ16" i="3"/>
  <c r="BK15" i="3"/>
  <c r="BU29" i="3"/>
  <c r="BM33" i="3"/>
  <c r="BU19" i="3"/>
  <c r="BE31" i="3"/>
  <c r="BT6" i="3"/>
  <c r="BI20" i="3"/>
  <c r="BO38" i="3"/>
  <c r="BV22" i="3"/>
  <c r="BJ37" i="3"/>
  <c r="BA39" i="3"/>
  <c r="BK11" i="3"/>
  <c r="BS7" i="3"/>
  <c r="BD29" i="3"/>
  <c r="BR21" i="3"/>
  <c r="BC31" i="3"/>
  <c r="BB38" i="3"/>
  <c r="BU25" i="3"/>
  <c r="BS10" i="3"/>
  <c r="BK9" i="3"/>
  <c r="BS46" i="3"/>
  <c r="BS35" i="3"/>
  <c r="BU8" i="3"/>
  <c r="BO30" i="3"/>
  <c r="BL15" i="3"/>
  <c r="BM36" i="3"/>
  <c r="BL16" i="3"/>
  <c r="BJ27" i="3"/>
  <c r="BA28" i="3"/>
  <c r="BU6" i="3"/>
  <c r="BH22" i="3"/>
  <c r="BV42" i="3"/>
  <c r="BI34" i="3"/>
  <c r="BH6" i="3"/>
  <c r="BU37" i="3"/>
  <c r="BV31" i="3"/>
  <c r="BT45" i="3"/>
  <c r="BK35" i="3"/>
  <c r="BT10" i="3"/>
  <c r="BM42" i="3"/>
  <c r="BQ24" i="3"/>
  <c r="BF15" i="3"/>
  <c r="BU7" i="3"/>
  <c r="BK25" i="3"/>
  <c r="BP38" i="3"/>
  <c r="BP46" i="3"/>
  <c r="BT39" i="3"/>
  <c r="BB33" i="3"/>
  <c r="BD17" i="3"/>
  <c r="BD10" i="3"/>
  <c r="BR16" i="3"/>
  <c r="BQ11" i="3"/>
  <c r="BO26" i="3"/>
  <c r="BU35" i="3"/>
  <c r="BI27" i="3"/>
  <c r="BC16" i="3"/>
  <c r="BL31" i="3"/>
  <c r="BR32" i="3"/>
  <c r="BH17" i="3"/>
  <c r="BH45" i="3"/>
  <c r="BU13" i="3"/>
  <c r="BI37" i="3"/>
  <c r="BM29" i="3"/>
  <c r="BJ22" i="3"/>
  <c r="BP19" i="3"/>
  <c r="BN34" i="3"/>
  <c r="BS15" i="3"/>
  <c r="BS25" i="3"/>
  <c r="BA46" i="3"/>
  <c r="BN29" i="3"/>
  <c r="BG29" i="3"/>
  <c r="BN22" i="3"/>
  <c r="BE17" i="3"/>
  <c r="BI9" i="3"/>
  <c r="BF30" i="3"/>
  <c r="BF11" i="3"/>
  <c r="BD20" i="3"/>
  <c r="BO12" i="3"/>
  <c r="BP29" i="3"/>
  <c r="BM8" i="3"/>
  <c r="BL6" i="3"/>
  <c r="BP20" i="3"/>
  <c r="BF34" i="3"/>
  <c r="BH32" i="3"/>
  <c r="BD45" i="3"/>
  <c r="BF41" i="3"/>
  <c r="BM38" i="3"/>
  <c r="BJ16" i="3"/>
  <c r="BL26" i="3"/>
  <c r="BP14" i="3"/>
  <c r="BL8" i="3"/>
  <c r="BV37" i="3"/>
  <c r="BF13" i="3"/>
  <c r="BC38" i="3"/>
  <c r="BO42" i="3"/>
  <c r="BK23" i="3"/>
  <c r="BF37" i="3"/>
  <c r="BO18" i="3"/>
  <c r="BC22" i="3"/>
  <c r="BL32" i="3"/>
  <c r="BQ40" i="3"/>
  <c r="BJ26" i="3"/>
  <c r="BC32" i="3"/>
  <c r="BV28" i="3"/>
  <c r="BI10" i="3"/>
  <c r="BS36" i="3"/>
  <c r="BS26" i="3"/>
  <c r="BF20" i="3"/>
  <c r="BO25" i="3"/>
  <c r="BH23" i="3"/>
  <c r="BE34" i="3"/>
  <c r="BF23" i="3"/>
  <c r="BV29" i="3"/>
  <c r="BF14" i="3"/>
  <c r="BE42" i="3"/>
  <c r="BE21" i="3"/>
  <c r="BV11" i="3"/>
  <c r="BO27" i="3"/>
  <c r="BP45" i="3"/>
  <c r="BC10" i="3"/>
  <c r="BG46" i="3"/>
  <c r="BN13" i="3"/>
  <c r="BU36" i="3"/>
  <c r="BH33" i="3"/>
  <c r="BV46" i="3"/>
  <c r="BQ32" i="3"/>
  <c r="BJ12" i="3"/>
  <c r="BK31" i="3"/>
  <c r="BE38" i="3"/>
  <c r="BD28" i="3"/>
  <c r="BU42" i="3"/>
  <c r="BM15" i="3"/>
  <c r="BF26" i="3"/>
  <c r="BM14" i="3"/>
  <c r="BJ38" i="3"/>
  <c r="BQ10" i="3"/>
  <c r="BO9" i="3"/>
  <c r="BR39" i="3"/>
  <c r="BS8" i="3"/>
  <c r="BH46" i="3"/>
  <c r="BS23" i="3"/>
  <c r="BM28" i="3"/>
  <c r="BE33" i="3"/>
  <c r="BB7" i="3"/>
  <c r="BL39" i="3"/>
  <c r="BI33" i="3"/>
  <c r="BH40" i="3"/>
  <c r="BT12" i="3"/>
  <c r="BU39" i="3"/>
  <c r="BP40" i="3"/>
  <c r="BU24" i="3"/>
  <c r="BR7" i="3"/>
  <c r="BL10" i="3"/>
  <c r="BE8" i="3"/>
  <c r="BJ42" i="3"/>
  <c r="BE11" i="3"/>
  <c r="BB15" i="3"/>
  <c r="BT31" i="3"/>
  <c r="BT36" i="3"/>
  <c r="BI36" i="3"/>
  <c r="BI19" i="3"/>
  <c r="BK38" i="3"/>
  <c r="BS45" i="3"/>
  <c r="BS33" i="3"/>
  <c r="BG12" i="3"/>
  <c r="BD8" i="3"/>
  <c r="BP7" i="3"/>
  <c r="BF35" i="3"/>
  <c r="AY29" i="3"/>
  <c r="BM6" i="3"/>
  <c r="BQ5" i="3"/>
  <c r="BD9" i="3"/>
  <c r="BN9" i="3"/>
  <c r="BU33" i="3"/>
  <c r="BD38" i="3"/>
  <c r="BN18" i="3"/>
  <c r="BU34" i="3"/>
  <c r="BN46" i="3"/>
  <c r="BT7" i="3"/>
  <c r="BL18" i="3"/>
  <c r="BG17" i="3"/>
  <c r="BH13" i="3"/>
  <c r="BI7" i="3"/>
  <c r="BK17" i="3"/>
  <c r="BD30" i="3"/>
  <c r="BK22" i="3"/>
  <c r="BL23" i="3"/>
  <c r="BF9" i="3"/>
  <c r="BJ39" i="3"/>
  <c r="BJ29" i="3"/>
  <c r="BH38" i="3"/>
  <c r="BF32" i="3"/>
  <c r="BP25" i="3"/>
  <c r="BF39" i="3"/>
  <c r="BU14" i="3"/>
  <c r="BB19" i="3"/>
  <c r="BA37" i="3"/>
  <c r="BT25" i="3"/>
  <c r="BK45" i="3"/>
  <c r="BR18" i="3"/>
  <c r="BL20" i="3"/>
  <c r="BS16" i="3"/>
  <c r="BP31" i="3"/>
  <c r="BC30" i="3"/>
  <c r="BG11" i="3"/>
  <c r="BQ12" i="3"/>
  <c r="BQ34" i="3"/>
  <c r="BG20" i="3"/>
  <c r="BF31" i="3"/>
  <c r="BS19" i="3"/>
  <c r="BR12" i="3"/>
  <c r="BD5" i="3"/>
  <c r="BB37" i="3"/>
  <c r="BK19" i="3"/>
  <c r="BI38" i="3"/>
  <c r="BL40" i="3"/>
  <c r="BK29" i="3"/>
  <c r="BI11" i="3"/>
  <c r="BJ11" i="3"/>
  <c r="BV45" i="3"/>
  <c r="BM30" i="3"/>
  <c r="BP10" i="3"/>
  <c r="BP13" i="3"/>
  <c r="BL37" i="3"/>
  <c r="BR10" i="3"/>
  <c r="BL41" i="3"/>
  <c r="BO45" i="3"/>
  <c r="BH30" i="3"/>
  <c r="BO21" i="3"/>
  <c r="BP15" i="3"/>
  <c r="BA36" i="3"/>
  <c r="BI31" i="3"/>
  <c r="BS27" i="3"/>
  <c r="BB42" i="3"/>
  <c r="BG24" i="3"/>
  <c r="BQ41" i="3"/>
  <c r="BH19" i="3"/>
  <c r="BU66" i="3"/>
  <c r="BI29" i="3"/>
  <c r="BD11" i="3"/>
  <c r="BP32" i="3"/>
  <c r="BJ7" i="3"/>
  <c r="BJ45" i="3"/>
  <c r="BT42" i="3"/>
  <c r="BO6" i="3"/>
  <c r="BA24" i="3"/>
  <c r="BM37" i="3"/>
  <c r="BU45" i="3"/>
  <c r="BQ42" i="3"/>
  <c r="BH8" i="3"/>
  <c r="BG18" i="3"/>
  <c r="BL42" i="3"/>
  <c r="BL22" i="3"/>
  <c r="BQ23" i="3"/>
  <c r="BC7" i="3"/>
  <c r="BH31" i="3"/>
  <c r="BJ21" i="3"/>
  <c r="BQ38" i="3"/>
  <c r="BQ8" i="3"/>
  <c r="BA5" i="3"/>
  <c r="BK39" i="3"/>
  <c r="BF16" i="3"/>
  <c r="BE29" i="3"/>
  <c r="BJ33" i="3"/>
  <c r="BF36" i="3"/>
  <c r="BG36" i="3"/>
  <c r="BQ27" i="3"/>
  <c r="BU20" i="3"/>
  <c r="BR24" i="3"/>
  <c r="BM41" i="3"/>
  <c r="BI46" i="3"/>
  <c r="BJ34" i="3"/>
  <c r="BR15" i="3"/>
  <c r="BN33" i="3"/>
  <c r="BH25" i="3"/>
  <c r="BB17" i="3"/>
  <c r="BA6" i="3"/>
  <c r="BE13" i="3"/>
  <c r="BQ6" i="3"/>
  <c r="BQ22" i="3"/>
  <c r="BG25" i="3"/>
  <c r="BT15" i="3"/>
  <c r="BK7" i="3"/>
  <c r="BV8" i="3"/>
  <c r="BF6" i="3"/>
  <c r="BA8" i="3"/>
  <c r="BE85" i="3"/>
  <c r="BS18" i="3"/>
  <c r="BL12" i="3"/>
  <c r="BE30" i="3"/>
  <c r="BG21" i="3"/>
  <c r="BE25" i="3"/>
  <c r="BC42" i="3"/>
  <c r="BF29" i="3"/>
  <c r="BG22" i="3"/>
  <c r="BC27" i="3"/>
  <c r="BF46" i="3"/>
  <c r="BT26" i="3"/>
  <c r="BI14" i="3"/>
  <c r="BE7" i="3"/>
  <c r="BA17" i="3"/>
  <c r="BM17" i="3"/>
  <c r="BK32" i="3"/>
  <c r="BA35" i="3"/>
  <c r="BC36" i="3"/>
  <c r="BL36" i="3"/>
  <c r="BL17" i="3"/>
  <c r="BR34" i="3"/>
  <c r="BN35" i="3"/>
  <c r="BT16" i="3"/>
  <c r="BB41" i="3"/>
  <c r="BA34" i="3"/>
  <c r="BO36" i="3"/>
  <c r="BS17" i="3"/>
  <c r="BC6" i="3"/>
  <c r="BT30" i="3"/>
  <c r="BF10" i="3"/>
  <c r="BI13" i="3"/>
  <c r="BI28" i="3"/>
  <c r="BQ26" i="3"/>
  <c r="BO40" i="3"/>
  <c r="BG42" i="3"/>
  <c r="BV32" i="3"/>
  <c r="BS24" i="3"/>
  <c r="BT14" i="3"/>
  <c r="BJ9" i="3"/>
  <c r="BI23" i="3"/>
  <c r="BC19" i="3"/>
  <c r="BV14" i="3"/>
  <c r="BC41" i="3"/>
  <c r="BM18" i="3"/>
  <c r="BT17" i="3"/>
  <c r="BG19" i="3"/>
  <c r="BE28" i="3"/>
  <c r="BP12" i="3"/>
  <c r="BV7" i="3"/>
  <c r="BS9" i="3"/>
  <c r="BA27" i="3"/>
  <c r="BT13" i="3"/>
  <c r="BU26" i="3"/>
  <c r="BI45" i="3"/>
  <c r="BB14" i="3"/>
  <c r="BK6" i="3"/>
  <c r="BA13" i="3"/>
  <c r="BR22" i="3"/>
  <c r="BL45" i="3"/>
  <c r="BT21" i="3"/>
  <c r="BF8" i="3"/>
  <c r="BR35" i="3"/>
  <c r="BM20" i="3"/>
  <c r="BR33" i="3"/>
  <c r="BJ13" i="3"/>
  <c r="BR23" i="3"/>
  <c r="BI15" i="3"/>
  <c r="BS20" i="3"/>
  <c r="BQ17" i="3"/>
  <c r="BN26" i="3"/>
  <c r="BB26" i="3"/>
  <c r="BC24" i="3"/>
  <c r="BK18" i="3"/>
  <c r="BC39" i="3"/>
  <c r="BP34" i="3"/>
  <c r="BJ30" i="3"/>
  <c r="BF22" i="3"/>
  <c r="BP27" i="3"/>
  <c r="BB12" i="3"/>
  <c r="BU12" i="3"/>
  <c r="BK8" i="3"/>
  <c r="BS22" i="3"/>
  <c r="BJ19" i="3"/>
  <c r="BL21" i="3"/>
  <c r="BI42" i="3"/>
  <c r="BL46" i="3"/>
  <c r="BG38" i="3"/>
  <c r="BA20" i="3"/>
  <c r="BP37" i="3"/>
  <c r="BP39" i="3"/>
  <c r="BN41" i="3"/>
  <c r="BS37" i="3"/>
  <c r="BF5" i="3"/>
  <c r="BF42" i="3"/>
  <c r="BF12" i="3"/>
  <c r="BQ14" i="3"/>
  <c r="BH35" i="3"/>
  <c r="BI30" i="3"/>
  <c r="BK33" i="3"/>
  <c r="BO7" i="3"/>
  <c r="BE36" i="3"/>
  <c r="BC34" i="3"/>
  <c r="BL28" i="3"/>
  <c r="BE27" i="3"/>
  <c r="BR9" i="3"/>
  <c r="BO24" i="3"/>
  <c r="BJ6" i="3"/>
  <c r="BF25" i="3"/>
  <c r="BV34" i="3"/>
  <c r="BI35" i="3"/>
  <c r="BC20" i="3"/>
  <c r="BG27" i="3"/>
  <c r="BG31" i="3"/>
  <c r="BJ10" i="3"/>
  <c r="BN7" i="3"/>
  <c r="BD7" i="3"/>
  <c r="BF7" i="3"/>
  <c r="BA21" i="3"/>
  <c r="BD23" i="3"/>
  <c r="BP24" i="3"/>
  <c r="BB24" i="3"/>
  <c r="BS12" i="3"/>
  <c r="BO39" i="3"/>
  <c r="BQ25" i="3"/>
  <c r="BB20" i="3"/>
  <c r="BG5" i="3"/>
  <c r="BA12" i="3"/>
  <c r="BD32" i="3"/>
  <c r="BM31" i="3"/>
  <c r="BN21" i="3"/>
  <c r="BK41" i="3"/>
  <c r="BT24" i="3"/>
  <c r="BU38" i="3"/>
  <c r="BL19" i="3"/>
  <c r="BU11" i="3"/>
  <c r="BV24" i="3"/>
  <c r="BA18" i="3"/>
  <c r="BV40" i="3"/>
  <c r="BJ24" i="3"/>
  <c r="BM39" i="3"/>
  <c r="BV33" i="3"/>
  <c r="BQ37" i="3"/>
  <c r="BO5" i="3"/>
  <c r="BA40" i="3"/>
  <c r="BU30" i="3"/>
  <c r="BE24" i="3"/>
  <c r="BP35" i="3"/>
  <c r="BS40" i="3"/>
  <c r="BJ36" i="3"/>
  <c r="BG14" i="3"/>
  <c r="BM27" i="3"/>
  <c r="BT38" i="3"/>
  <c r="BU31" i="3"/>
  <c r="BK30" i="3"/>
  <c r="BG34" i="3"/>
  <c r="BG66" i="3"/>
  <c r="BI21" i="3"/>
  <c r="BT23" i="3"/>
  <c r="BK34" i="3"/>
  <c r="BT8" i="3"/>
  <c r="BN27" i="3"/>
  <c r="BP28" i="3"/>
  <c r="BT18" i="3"/>
  <c r="BB34" i="3"/>
  <c r="AV10" i="3"/>
  <c r="BV5" i="3"/>
  <c r="BR27" i="3"/>
  <c r="BO20" i="3"/>
  <c r="BD40" i="3"/>
  <c r="BE40" i="3"/>
  <c r="BA29" i="3"/>
  <c r="BR14" i="3"/>
  <c r="BC18" i="3"/>
  <c r="BM23" i="3"/>
  <c r="BV6" i="3"/>
  <c r="BT5" i="3"/>
  <c r="BD19" i="3"/>
  <c r="BJ40" i="3"/>
  <c r="BV16" i="3"/>
  <c r="BF33" i="3"/>
  <c r="BV13" i="3"/>
  <c r="BH36" i="3"/>
  <c r="BU46" i="3"/>
  <c r="BN36" i="3"/>
  <c r="BK37" i="3"/>
  <c r="BJ23" i="3"/>
  <c r="BT32" i="3"/>
  <c r="BU15" i="3"/>
  <c r="BJ15" i="3"/>
  <c r="BN31" i="3"/>
  <c r="BI8" i="3"/>
  <c r="BC13" i="3"/>
  <c r="BG16" i="3"/>
  <c r="BH16" i="3"/>
  <c r="BM16" i="3"/>
  <c r="BC46" i="3"/>
  <c r="BI17" i="3"/>
  <c r="BQ46" i="3"/>
  <c r="BT22" i="3"/>
  <c r="BO29" i="3"/>
  <c r="BQ28" i="3"/>
  <c r="BL24" i="3"/>
  <c r="BP8" i="3"/>
  <c r="BE10" i="3"/>
  <c r="BE6" i="3"/>
  <c r="BB45" i="3"/>
  <c r="BU21" i="3"/>
  <c r="BB10" i="3"/>
  <c r="BB8" i="3"/>
  <c r="BD33" i="3"/>
  <c r="BC11" i="3"/>
  <c r="BB31" i="3"/>
  <c r="BC5" i="3"/>
  <c r="BV19" i="3"/>
  <c r="BL14" i="3"/>
  <c r="BM22" i="3"/>
  <c r="BQ18" i="3"/>
  <c r="BB13" i="3"/>
  <c r="BL27" i="3"/>
  <c r="BH34" i="3"/>
  <c r="BM9" i="3"/>
  <c r="BJ18" i="3"/>
  <c r="BA7" i="3"/>
  <c r="BD18" i="3"/>
  <c r="BO13" i="3"/>
  <c r="BH5" i="3"/>
  <c r="BQ21" i="3"/>
  <c r="BC28" i="3"/>
  <c r="BS39" i="3"/>
  <c r="BG23" i="3"/>
  <c r="BQ30" i="3"/>
  <c r="BA15" i="3"/>
  <c r="BA16" i="3"/>
  <c r="BJ20" i="3"/>
  <c r="BD22" i="3"/>
  <c r="BN40" i="3"/>
  <c r="BQ13" i="3"/>
  <c r="BE9" i="3"/>
  <c r="BG32" i="3"/>
  <c r="BT35" i="3"/>
  <c r="BR42" i="3"/>
  <c r="BV36" i="3"/>
  <c r="BN5" i="3"/>
  <c r="BG8" i="3"/>
  <c r="BP11" i="3"/>
  <c r="BO37" i="3"/>
  <c r="BT46" i="3"/>
  <c r="BV20" i="3"/>
  <c r="BP41" i="3"/>
  <c r="BM13" i="3"/>
  <c r="BL35" i="3"/>
  <c r="BM21" i="3"/>
  <c r="BJ8" i="3"/>
  <c r="BM45" i="3"/>
  <c r="BD35" i="3"/>
  <c r="BB23" i="3"/>
  <c r="BO34" i="3"/>
  <c r="BD39" i="3"/>
  <c r="BF28" i="3"/>
  <c r="BD16" i="3"/>
  <c r="BP33" i="3"/>
  <c r="BU27" i="3"/>
  <c r="BD6" i="3"/>
  <c r="BR26" i="3"/>
  <c r="BN17" i="3"/>
  <c r="BF17" i="3"/>
  <c r="BU22" i="3"/>
  <c r="BE14" i="3"/>
  <c r="BV35" i="3"/>
  <c r="BQ29" i="3"/>
  <c r="BV27" i="3"/>
  <c r="BO46" i="3"/>
  <c r="BT33" i="3"/>
  <c r="BG26" i="3"/>
  <c r="BR46" i="3"/>
  <c r="BL9" i="3"/>
  <c r="BG9" i="3"/>
  <c r="BM35" i="3"/>
  <c r="BA25" i="3"/>
  <c r="BT11" i="3"/>
  <c r="BE22" i="3"/>
  <c r="BQ31" i="3"/>
  <c r="BC26" i="3"/>
  <c r="BU41" i="3"/>
  <c r="BC9" i="3"/>
  <c r="BO28" i="3"/>
  <c r="BH18" i="3"/>
  <c r="BD15" i="3"/>
  <c r="BE35" i="3"/>
  <c r="BJ46" i="3"/>
  <c r="BA11" i="3"/>
  <c r="BO11" i="3"/>
  <c r="BS32" i="3"/>
  <c r="BB11" i="3"/>
  <c r="BR19" i="3"/>
  <c r="BO14" i="3"/>
  <c r="BK12" i="3"/>
  <c r="BO70" i="3"/>
  <c r="BI90" i="3"/>
  <c r="BQ84" i="3"/>
  <c r="BQ77" i="3"/>
  <c r="BA78" i="3"/>
  <c r="BA77" i="3"/>
  <c r="BA76" i="3"/>
  <c r="BM72" i="3"/>
  <c r="BB65" i="3"/>
  <c r="BB71" i="3"/>
  <c r="BU48" i="3"/>
  <c r="BP93" i="3"/>
  <c r="BQ95" i="3"/>
  <c r="BR63" i="3"/>
  <c r="BP69" i="3"/>
  <c r="BP82" i="3"/>
  <c r="BH47" i="3"/>
  <c r="BL84" i="3"/>
  <c r="BP58" i="3"/>
  <c r="BA93" i="3"/>
  <c r="BK72" i="3"/>
  <c r="BC90" i="3"/>
  <c r="BU97" i="3"/>
  <c r="BL60" i="3"/>
  <c r="BB59" i="3"/>
  <c r="BR94" i="3"/>
  <c r="BI86" i="3"/>
  <c r="BU63" i="3"/>
  <c r="BG65" i="3"/>
  <c r="BP65" i="3"/>
  <c r="BA60" i="3"/>
  <c r="BC94" i="3"/>
  <c r="BM56" i="3"/>
  <c r="BL77" i="3"/>
  <c r="BH96" i="3"/>
  <c r="BH94" i="3"/>
  <c r="BB91" i="3"/>
  <c r="BO62" i="3"/>
  <c r="BH93" i="3"/>
  <c r="BM66" i="3"/>
  <c r="BT79" i="3"/>
  <c r="BT83" i="3"/>
  <c r="BL57" i="3"/>
  <c r="BK83" i="3"/>
  <c r="BU64" i="3"/>
  <c r="BP78" i="3"/>
  <c r="BU80" i="3"/>
  <c r="BB83" i="3"/>
  <c r="BU84" i="3"/>
  <c r="BG57" i="3"/>
  <c r="BI78" i="3"/>
  <c r="BP59" i="3"/>
  <c r="BT85" i="3"/>
  <c r="BP87" i="3"/>
  <c r="BT70" i="3"/>
  <c r="BU68" i="3"/>
  <c r="BE57" i="3"/>
  <c r="BT76" i="3"/>
  <c r="BI60" i="3"/>
  <c r="BE77" i="3"/>
  <c r="BC83" i="3"/>
  <c r="BU67" i="3"/>
  <c r="BC68" i="3"/>
  <c r="BR64" i="3"/>
  <c r="BM87" i="3"/>
  <c r="BB69" i="3"/>
  <c r="BI73" i="3"/>
  <c r="BQ47" i="3"/>
  <c r="BG73" i="3"/>
  <c r="BC66" i="3"/>
  <c r="BQ63" i="3"/>
  <c r="BQ78" i="3"/>
  <c r="BN62" i="3"/>
  <c r="BA48" i="3"/>
  <c r="BR75" i="3"/>
  <c r="BA65" i="3"/>
  <c r="BE48" i="3"/>
  <c r="BH73" i="3"/>
  <c r="BB49" i="3"/>
  <c r="BC62" i="3"/>
  <c r="BA63" i="3"/>
  <c r="BL96" i="3"/>
  <c r="BD60" i="3"/>
  <c r="BA91" i="3"/>
  <c r="BP60" i="3"/>
  <c r="BK62" i="3"/>
  <c r="BK63" i="3"/>
  <c r="BA86" i="3"/>
  <c r="BI49" i="3"/>
  <c r="BG63" i="3"/>
  <c r="BO88" i="3"/>
  <c r="BI81" i="3"/>
  <c r="BR97" i="3"/>
  <c r="BB56" i="3"/>
  <c r="BR67" i="3"/>
  <c r="BC77" i="3"/>
  <c r="BT68" i="3"/>
  <c r="BC80" i="3"/>
  <c r="BP64" i="3"/>
  <c r="BT66" i="3"/>
  <c r="BI68" i="3"/>
  <c r="BT94" i="3"/>
  <c r="BL68" i="3"/>
  <c r="BC95" i="3"/>
  <c r="BE88" i="3"/>
  <c r="BD70" i="3"/>
  <c r="BL91" i="3"/>
  <c r="BC86" i="3"/>
  <c r="BP68" i="3"/>
  <c r="BT67" i="3"/>
  <c r="BR55" i="3"/>
  <c r="BU75" i="3"/>
  <c r="BB76" i="3"/>
  <c r="BT92" i="3"/>
  <c r="BP88" i="3"/>
  <c r="BO85" i="3"/>
  <c r="BU89" i="3"/>
  <c r="BQ83" i="3"/>
  <c r="BK64" i="3"/>
  <c r="BP81" i="3"/>
  <c r="BM48" i="3"/>
  <c r="BE68" i="3"/>
  <c r="BI84" i="3"/>
  <c r="BM49" i="3"/>
  <c r="BG89" i="3"/>
  <c r="BJ59" i="3"/>
  <c r="BM81" i="3"/>
  <c r="BA72" i="3"/>
  <c r="BO72" i="3"/>
  <c r="BP70" i="3"/>
  <c r="BL74" i="3"/>
  <c r="BR78" i="3"/>
  <c r="BQ86" i="3"/>
  <c r="BK74" i="3"/>
  <c r="BI65" i="3"/>
  <c r="BT62" i="3"/>
  <c r="BQ89" i="3"/>
  <c r="BJ67" i="3"/>
  <c r="BA67" i="3"/>
  <c r="BI57" i="3"/>
  <c r="BQ66" i="3"/>
  <c r="BH74" i="3"/>
  <c r="BQ61" i="3"/>
  <c r="BK77" i="3"/>
  <c r="BU96" i="3"/>
  <c r="BL79" i="3"/>
  <c r="BU78" i="3"/>
  <c r="BO89" i="3"/>
  <c r="BM82" i="3"/>
  <c r="BL75" i="3"/>
  <c r="BQ87" i="3"/>
  <c r="BO82" i="3"/>
  <c r="BM73" i="3"/>
  <c r="BM97" i="3"/>
  <c r="BR68" i="3"/>
  <c r="BK48" i="3"/>
  <c r="BT61" i="3"/>
  <c r="BP90" i="3"/>
  <c r="BO50" i="3"/>
  <c r="BU95" i="3"/>
  <c r="BN93" i="3"/>
  <c r="BR69" i="3"/>
  <c r="BA95" i="3"/>
  <c r="BI96" i="3"/>
  <c r="BB60" i="3"/>
  <c r="BC76" i="3"/>
  <c r="BB75" i="3"/>
  <c r="BE65" i="3"/>
  <c r="BK50" i="3"/>
  <c r="BI85" i="3"/>
  <c r="BE81" i="3"/>
  <c r="BR83" i="3"/>
  <c r="BC60" i="3"/>
  <c r="BK67" i="3"/>
  <c r="BG94" i="3"/>
  <c r="BP47" i="3"/>
  <c r="BA62" i="3"/>
  <c r="BU55" i="3"/>
  <c r="BU77" i="3"/>
  <c r="BC64" i="3"/>
  <c r="BQ88" i="3"/>
  <c r="BN86" i="3"/>
  <c r="BK58" i="3"/>
  <c r="BP67" i="3"/>
  <c r="BB50" i="3"/>
  <c r="BA64" i="3"/>
  <c r="BV66" i="3"/>
  <c r="BM90" i="3"/>
  <c r="BA66" i="3"/>
  <c r="BB80" i="3"/>
  <c r="BP79" i="3"/>
  <c r="BI56" i="3"/>
  <c r="BK70" i="3"/>
  <c r="BR56" i="3"/>
  <c r="BM70" i="3"/>
  <c r="BU69" i="3"/>
  <c r="BJ89" i="3"/>
  <c r="BK91" i="3"/>
  <c r="BJ60" i="3"/>
  <c r="BA58" i="3"/>
  <c r="BR54" i="3"/>
  <c r="BH87" i="3"/>
  <c r="BE71" i="3"/>
  <c r="BE47" i="3"/>
  <c r="BQ55" i="3"/>
  <c r="BM59" i="3"/>
  <c r="BI97" i="3"/>
  <c r="BE63" i="3"/>
  <c r="BQ93" i="3"/>
  <c r="BL85" i="3"/>
  <c r="BR57" i="3"/>
  <c r="BE59" i="3"/>
  <c r="BN82" i="3"/>
  <c r="BU47" i="3"/>
  <c r="BT84" i="3"/>
  <c r="BB48" i="3"/>
  <c r="BU83" i="3"/>
  <c r="BP77" i="3"/>
  <c r="BM71" i="3"/>
  <c r="BM92" i="3"/>
  <c r="BM60" i="3"/>
  <c r="BC57" i="3"/>
  <c r="BC91" i="3"/>
  <c r="BM80" i="3"/>
  <c r="BO83" i="3"/>
  <c r="BF89" i="3"/>
  <c r="BK73" i="3"/>
  <c r="BU76" i="3"/>
  <c r="BE86" i="3"/>
  <c r="BN80" i="3"/>
  <c r="BQ50" i="3"/>
  <c r="BQ82" i="3"/>
  <c r="BL90" i="3"/>
  <c r="BQ49" i="3"/>
  <c r="BC70" i="3"/>
  <c r="BJ57" i="3"/>
  <c r="BR79" i="3"/>
  <c r="BR66" i="3"/>
  <c r="BA79" i="3"/>
  <c r="BH90" i="3"/>
  <c r="BP80" i="3"/>
  <c r="BL58" i="3"/>
  <c r="BP91" i="3"/>
  <c r="BA57" i="3"/>
  <c r="BT86" i="3"/>
  <c r="BB58" i="3"/>
  <c r="BE96" i="3"/>
  <c r="BP73" i="3"/>
  <c r="BT78" i="3"/>
  <c r="BH49" i="3"/>
  <c r="BG74" i="3"/>
  <c r="BO96" i="3"/>
  <c r="BJ47" i="3"/>
  <c r="BO87" i="3"/>
  <c r="BP89" i="3"/>
  <c r="BU93" i="3"/>
  <c r="BN73" i="3"/>
  <c r="BJ61" i="3"/>
  <c r="BP66" i="3"/>
  <c r="BO63" i="3"/>
  <c r="BG67" i="3"/>
  <c r="BQ58" i="3"/>
  <c r="BI55" i="3"/>
  <c r="BK92" i="3"/>
  <c r="BO67" i="3"/>
  <c r="BL67" i="3"/>
  <c r="BM69" i="3"/>
  <c r="BR95" i="3"/>
  <c r="BM57" i="3"/>
  <c r="BQ71" i="3"/>
  <c r="BE75" i="3"/>
  <c r="BR60" i="3"/>
  <c r="BM86" i="3"/>
  <c r="BO80" i="3"/>
  <c r="BM50" i="3"/>
  <c r="BO78" i="3"/>
  <c r="BU57" i="3"/>
  <c r="BJ79" i="3"/>
  <c r="BQ70" i="3"/>
  <c r="BL83" i="3"/>
  <c r="BR61" i="3"/>
  <c r="BG50" i="3"/>
  <c r="BR62" i="3"/>
  <c r="BR70" i="3"/>
  <c r="BU70" i="3"/>
  <c r="BO68" i="3"/>
  <c r="BE56" i="3"/>
  <c r="BC84" i="3"/>
  <c r="BQ54" i="3"/>
  <c r="BU73" i="3"/>
  <c r="BA59" i="3"/>
  <c r="BN61" i="3"/>
  <c r="BG88" i="3"/>
  <c r="BL81" i="3"/>
  <c r="BT57" i="3"/>
  <c r="BK76" i="3"/>
  <c r="BE89" i="3"/>
  <c r="BC81" i="3"/>
  <c r="BB88" i="3"/>
  <c r="BB96" i="3"/>
  <c r="BR76" i="3"/>
  <c r="BM88" i="3"/>
  <c r="BA81" i="3"/>
  <c r="BE83" i="3"/>
  <c r="BL48" i="3"/>
  <c r="BO81" i="3"/>
  <c r="BH48" i="3"/>
  <c r="BQ72" i="3"/>
  <c r="BN66" i="3"/>
  <c r="BA85" i="3"/>
  <c r="BB62" i="3"/>
  <c r="BH56" i="3"/>
  <c r="BL62" i="3"/>
  <c r="BN69" i="3"/>
  <c r="BA70" i="3"/>
  <c r="BU90" i="3"/>
  <c r="BO97" i="3"/>
  <c r="BB55" i="3"/>
  <c r="BG75" i="3"/>
  <c r="BT77" i="3"/>
  <c r="BO64" i="3"/>
  <c r="BI48" i="3"/>
  <c r="BG64" i="3"/>
  <c r="BJ49" i="3"/>
  <c r="BE97" i="3"/>
  <c r="BU50" i="3"/>
  <c r="BB90" i="3"/>
  <c r="BJ84" i="3"/>
  <c r="BL50" i="3"/>
  <c r="BC87" i="3"/>
  <c r="BH64" i="3"/>
  <c r="BE69" i="3"/>
  <c r="BQ81" i="3"/>
  <c r="BO74" i="3"/>
  <c r="BA73" i="3"/>
  <c r="BT50" i="3"/>
  <c r="BJ55" i="3"/>
  <c r="BA74" i="3"/>
  <c r="BO65" i="3"/>
  <c r="BQ74" i="3"/>
  <c r="BR50" i="3"/>
  <c r="BH78" i="3"/>
  <c r="BU79" i="3"/>
  <c r="BA88" i="3"/>
  <c r="BM84" i="3"/>
  <c r="BT80" i="3"/>
  <c r="BI69" i="3"/>
  <c r="BN74" i="3"/>
  <c r="BT97" i="3"/>
  <c r="BQ57" i="3"/>
  <c r="BJ80" i="3"/>
  <c r="BT72" i="3"/>
  <c r="BT87" i="3"/>
  <c r="BH67" i="3"/>
  <c r="BB47" i="3"/>
  <c r="BJ74" i="3"/>
  <c r="BG93" i="3"/>
  <c r="BB81" i="3"/>
  <c r="BR74" i="3"/>
  <c r="BB79" i="3"/>
  <c r="BN57" i="3"/>
  <c r="BT58" i="3"/>
  <c r="BN94" i="3"/>
  <c r="BA97" i="3"/>
  <c r="BL76" i="3"/>
  <c r="BB74" i="3"/>
  <c r="BM68" i="3"/>
  <c r="BK80" i="3"/>
  <c r="BK56" i="3"/>
  <c r="BP94" i="3"/>
  <c r="BB57" i="3"/>
  <c r="BB67" i="3"/>
  <c r="BN70" i="3"/>
  <c r="BR84" i="3"/>
  <c r="BK60" i="3"/>
  <c r="BL69" i="3"/>
  <c r="BL64" i="3"/>
  <c r="BI63" i="3"/>
  <c r="BR89" i="3"/>
  <c r="BB73" i="3"/>
  <c r="BQ59" i="3"/>
  <c r="BM96" i="3"/>
  <c r="BG81" i="3"/>
  <c r="BJ83" i="3"/>
  <c r="BI71" i="3"/>
  <c r="BM55" i="3"/>
  <c r="BC49" i="3"/>
  <c r="BP74" i="3"/>
  <c r="BH58" i="3"/>
  <c r="BI58" i="3"/>
  <c r="BT69" i="3"/>
  <c r="BI94" i="3"/>
  <c r="BE87" i="3"/>
  <c r="BU62" i="3"/>
  <c r="BJ96" i="3"/>
  <c r="BE70" i="3"/>
  <c r="BU49" i="3"/>
  <c r="BH54" i="3"/>
  <c r="BP96" i="3"/>
  <c r="BM78" i="3"/>
  <c r="BU58" i="3"/>
  <c r="BQ60" i="3"/>
  <c r="BE54" i="3"/>
  <c r="BP62" i="3"/>
  <c r="BI66" i="3"/>
  <c r="BK75" i="3"/>
  <c r="BB93" i="3"/>
  <c r="BQ79" i="3"/>
  <c r="BE55" i="3"/>
  <c r="BA75" i="3"/>
  <c r="BJ93" i="3"/>
  <c r="BT47" i="3"/>
  <c r="BT48" i="3"/>
  <c r="BH72" i="3"/>
  <c r="BO84" i="3"/>
  <c r="BG85" i="3"/>
  <c r="BB92" i="3"/>
  <c r="BN64" i="3"/>
  <c r="BE62" i="3"/>
  <c r="BU74" i="3"/>
  <c r="BQ75" i="3"/>
  <c r="BO57" i="3"/>
  <c r="BM64" i="3"/>
  <c r="BR58" i="3"/>
  <c r="BA69" i="3"/>
  <c r="BN78" i="3"/>
  <c r="BR71" i="3"/>
  <c r="BM94" i="3"/>
  <c r="BO86" i="3"/>
  <c r="BJ71" i="3"/>
  <c r="BJ73" i="3"/>
  <c r="BO59" i="3"/>
  <c r="BU86" i="3"/>
  <c r="BC55" i="3"/>
  <c r="BE49" i="3"/>
  <c r="BC73" i="3"/>
  <c r="BU60" i="3"/>
  <c r="BT56" i="3"/>
  <c r="BL89" i="3"/>
  <c r="BN67" i="3"/>
  <c r="BN91" i="3"/>
  <c r="BK57" i="3"/>
  <c r="BT73" i="3"/>
  <c r="BH60" i="3"/>
  <c r="BG47" i="3"/>
  <c r="BK49" i="3"/>
  <c r="BB85" i="3"/>
  <c r="BK82" i="3"/>
  <c r="BU85" i="3"/>
  <c r="BM76" i="3"/>
  <c r="BM47" i="3"/>
  <c r="BG61" i="3"/>
  <c r="BJ86" i="3"/>
  <c r="BT49" i="3"/>
  <c r="BK87" i="3"/>
  <c r="BM54" i="3"/>
  <c r="BB70" i="3"/>
  <c r="BO58" i="3" l="1"/>
  <c r="BH89" i="3"/>
  <c r="BO95" i="3"/>
  <c r="BC96" i="3"/>
  <c r="AA355" i="1"/>
  <c r="AA167" i="1"/>
  <c r="AA373" i="1"/>
  <c r="AA372" i="1" s="1"/>
  <c r="AA416" i="1"/>
  <c r="BJ48" i="3"/>
  <c r="BN97" i="3"/>
  <c r="BN76" i="3"/>
  <c r="BA55" i="3"/>
  <c r="BI70" i="3"/>
  <c r="BB63" i="3"/>
  <c r="BJ81" i="3"/>
  <c r="BG79" i="3"/>
  <c r="BV50" i="3"/>
  <c r="BT81" i="3"/>
  <c r="BO79" i="3"/>
  <c r="BS64" i="3"/>
  <c r="BS81" i="3"/>
  <c r="BS61" i="3"/>
  <c r="BS82" i="3"/>
  <c r="BS48" i="3"/>
  <c r="BS79" i="3"/>
  <c r="BS74" i="3"/>
  <c r="BS90" i="3"/>
  <c r="BS87" i="3"/>
  <c r="BP92" i="3"/>
  <c r="BU71" i="3"/>
  <c r="BR87" i="3"/>
  <c r="BU72" i="3"/>
  <c r="BR59" i="3"/>
  <c r="BL80" i="3"/>
  <c r="BR86" i="3"/>
  <c r="BB77" i="3"/>
  <c r="BQ64" i="3"/>
  <c r="BU56" i="3"/>
  <c r="BI67" i="3"/>
  <c r="BQ94" i="3"/>
  <c r="BR77" i="3"/>
  <c r="BG69" i="3"/>
  <c r="BH68" i="3"/>
  <c r="BL97" i="3"/>
  <c r="BQ85" i="3"/>
  <c r="BG82" i="3"/>
  <c r="BJ70" i="3"/>
  <c r="BS91" i="3"/>
  <c r="BR80" i="3"/>
  <c r="BK81" i="3"/>
  <c r="BQ91" i="3"/>
  <c r="BS50" i="3"/>
  <c r="BR47" i="3"/>
  <c r="BJ88" i="3"/>
  <c r="BP61" i="3"/>
  <c r="BN88" i="3"/>
  <c r="BU94" i="3"/>
  <c r="BD75" i="3"/>
  <c r="BK79" i="3"/>
  <c r="BP49" i="3"/>
  <c r="BG68" i="3"/>
  <c r="BP48" i="3"/>
  <c r="BK88" i="3"/>
  <c r="BL87" i="3"/>
  <c r="BB86" i="3"/>
  <c r="BV72" i="3"/>
  <c r="BN87" i="3"/>
  <c r="BN83" i="3"/>
  <c r="BD69" i="3"/>
  <c r="BS54" i="3"/>
  <c r="BI54" i="3"/>
  <c r="BP55" i="3"/>
  <c r="BJ69" i="3"/>
  <c r="BD56" i="3"/>
  <c r="BV76" i="3"/>
  <c r="BH97" i="3"/>
  <c r="BH59" i="3"/>
  <c r="BQ92" i="3"/>
  <c r="BN92" i="3"/>
  <c r="BS49" i="3"/>
  <c r="BV96" i="3"/>
  <c r="BS77" i="3"/>
  <c r="BN89" i="3"/>
  <c r="BG96" i="3"/>
  <c r="BT74" i="3"/>
  <c r="BV75" i="3"/>
  <c r="BG90" i="3"/>
  <c r="BV47" i="3"/>
  <c r="BQ48" i="3"/>
  <c r="BG55" i="3"/>
  <c r="BN55" i="3"/>
  <c r="BQ90" i="3"/>
  <c r="BS67" i="3"/>
  <c r="BN58" i="3"/>
  <c r="BT75" i="3"/>
  <c r="BH83" i="3"/>
  <c r="BS47" i="3"/>
  <c r="BQ65" i="3"/>
  <c r="BV83" i="3"/>
  <c r="BN96" i="3"/>
  <c r="BV69" i="3"/>
  <c r="BS59" i="3"/>
  <c r="BD71" i="3"/>
  <c r="BV64" i="3"/>
  <c r="BS84" i="3"/>
  <c r="BN81" i="3"/>
  <c r="BN75" i="3"/>
  <c r="BH75" i="3"/>
  <c r="BH84" i="3"/>
  <c r="BV85" i="3"/>
  <c r="BH92" i="3"/>
  <c r="BD66" i="3"/>
  <c r="BN48" i="3"/>
  <c r="BS95" i="3"/>
  <c r="BV54" i="3"/>
  <c r="BD77" i="3"/>
  <c r="BS70" i="3"/>
  <c r="BS93" i="3"/>
  <c r="BS63" i="3"/>
  <c r="BV60" i="3"/>
  <c r="BS86" i="3"/>
  <c r="BD54" i="3"/>
  <c r="BS94" i="3"/>
  <c r="BS97" i="3"/>
  <c r="BS85" i="3"/>
  <c r="BS58" i="3"/>
  <c r="BV79" i="3"/>
  <c r="BD49" i="3"/>
  <c r="BV87" i="3"/>
  <c r="BV49" i="3"/>
  <c r="BS96" i="3"/>
  <c r="BS69" i="3"/>
  <c r="BV97" i="3"/>
  <c r="BD89" i="3"/>
  <c r="BV48" i="3"/>
  <c r="BD72" i="3"/>
  <c r="BS73" i="3"/>
  <c r="BS71" i="3"/>
  <c r="BS88" i="3"/>
  <c r="BV57" i="3"/>
  <c r="BV74" i="3"/>
  <c r="BS78" i="3"/>
  <c r="BV92" i="3"/>
  <c r="BS89" i="3"/>
  <c r="BS83" i="3"/>
  <c r="BV58" i="3"/>
  <c r="BD96" i="3"/>
  <c r="BV55" i="3"/>
  <c r="BD73" i="3"/>
  <c r="BD95" i="3"/>
  <c r="BS55" i="3"/>
  <c r="BV59" i="3"/>
  <c r="BD59" i="3"/>
  <c r="BD57" i="3"/>
  <c r="BD91" i="3"/>
  <c r="BV95" i="3"/>
  <c r="BS65" i="3"/>
  <c r="BD65" i="3"/>
  <c r="BS75" i="3"/>
  <c r="BD76" i="3"/>
  <c r="BS72" i="3"/>
  <c r="BS68" i="3"/>
  <c r="BD47" i="3"/>
  <c r="BS60" i="3"/>
  <c r="BV88" i="3"/>
  <c r="BV80" i="3"/>
  <c r="BD55" i="3"/>
  <c r="BD79" i="3"/>
  <c r="BD80" i="3"/>
  <c r="BD82" i="3"/>
  <c r="BV63" i="3"/>
  <c r="BS56" i="3"/>
  <c r="BS80" i="3"/>
  <c r="BV77" i="3"/>
  <c r="BD63" i="3"/>
  <c r="BD62" i="3"/>
  <c r="BH66" i="3"/>
  <c r="BF62" i="3"/>
  <c r="BH65" i="3"/>
  <c r="BO61" i="3"/>
  <c r="BN47" i="3"/>
  <c r="BQ67" i="3"/>
  <c r="BC50" i="3"/>
  <c r="BD68" i="3"/>
  <c r="BN56" i="3"/>
  <c r="BN49" i="3"/>
  <c r="BC88" i="3"/>
  <c r="BN90" i="3"/>
  <c r="BC74" i="3"/>
  <c r="BF93" i="3"/>
  <c r="BF60" i="3"/>
  <c r="BF86" i="3"/>
  <c r="BF67" i="3"/>
  <c r="BF92" i="3"/>
  <c r="BF73" i="3"/>
  <c r="BF87" i="3"/>
  <c r="BF84" i="3"/>
  <c r="BF69" i="3"/>
  <c r="BF77" i="3"/>
  <c r="BF75" i="3"/>
  <c r="BF47" i="3"/>
  <c r="BF50" i="3"/>
  <c r="BF79" i="3"/>
  <c r="BF83" i="3"/>
  <c r="BF81" i="3"/>
  <c r="BF61" i="3"/>
  <c r="BF55" i="3"/>
  <c r="BF48" i="3"/>
  <c r="BF57" i="3"/>
  <c r="BF95" i="3"/>
  <c r="BF66" i="3"/>
  <c r="BF74" i="3"/>
  <c r="BF49" i="3"/>
  <c r="BF70" i="3"/>
  <c r="BF63" i="3"/>
  <c r="BF58" i="3"/>
  <c r="BF88" i="3"/>
  <c r="BF76" i="3"/>
  <c r="BB89" i="3"/>
  <c r="BL93" i="3"/>
  <c r="BB84" i="3"/>
  <c r="BI59" i="3"/>
  <c r="BO60" i="3"/>
  <c r="BA47" i="3"/>
  <c r="BJ85" i="3"/>
  <c r="BH79" i="3"/>
  <c r="BE60" i="3"/>
  <c r="BK97" i="3"/>
  <c r="BJ82" i="3"/>
  <c r="BR72" i="3"/>
  <c r="BT90" i="3"/>
  <c r="BM62" i="3"/>
  <c r="BE58" i="3"/>
  <c r="BE90" i="3"/>
  <c r="BN77" i="3"/>
  <c r="BA56" i="3"/>
  <c r="BU88" i="3"/>
  <c r="BG84" i="3"/>
  <c r="BN63" i="3"/>
  <c r="BK55" i="3"/>
  <c r="BD86" i="3"/>
  <c r="BI75" i="3"/>
  <c r="BT88" i="3"/>
  <c r="BO49" i="3"/>
  <c r="BP54" i="3"/>
  <c r="BU82" i="3"/>
  <c r="BG58" i="3"/>
  <c r="BA89" i="3"/>
  <c r="BJ62" i="3"/>
  <c r="BM83" i="3"/>
  <c r="BL63" i="3"/>
  <c r="BC65" i="3"/>
  <c r="BC79" i="3"/>
  <c r="BI50" i="3"/>
  <c r="BG80" i="3"/>
  <c r="BI87" i="3"/>
  <c r="BV78" i="3"/>
  <c r="BK78" i="3"/>
  <c r="BO92" i="3"/>
  <c r="BN85" i="3"/>
  <c r="BF82" i="3"/>
  <c r="BA80" i="3"/>
  <c r="BR81" i="3"/>
  <c r="BC54" i="3"/>
  <c r="BI80" i="3"/>
  <c r="BP72" i="3"/>
  <c r="BM93" i="3"/>
  <c r="BE91" i="3"/>
  <c r="BV89" i="3"/>
  <c r="BE76" i="3"/>
  <c r="BA96" i="3"/>
  <c r="BT91" i="3"/>
  <c r="BH76" i="3"/>
  <c r="BK47" i="3"/>
  <c r="BR96" i="3"/>
  <c r="BU54" i="3"/>
  <c r="BL70" i="3"/>
  <c r="BV71" i="3"/>
  <c r="BM63" i="3"/>
  <c r="BF91" i="3"/>
  <c r="BQ73" i="3"/>
  <c r="BT82" i="3"/>
  <c r="BC82" i="3"/>
  <c r="BE64" i="3"/>
  <c r="BF94" i="3"/>
  <c r="BF65" i="3"/>
  <c r="BV86" i="3"/>
  <c r="BG72" i="3"/>
  <c r="BH61" i="3"/>
  <c r="BO56" i="3"/>
  <c r="BC71" i="3"/>
  <c r="BF59" i="3"/>
  <c r="BN65" i="3"/>
  <c r="BA54" i="3"/>
  <c r="BE78" i="3"/>
  <c r="BO94" i="3"/>
  <c r="BK61" i="3"/>
  <c r="BA50" i="3"/>
  <c r="BS62" i="3"/>
  <c r="BH91" i="3"/>
  <c r="BN50" i="3"/>
  <c r="BM77" i="3"/>
  <c r="BR73" i="3"/>
  <c r="BF85" i="3"/>
  <c r="BT59" i="3"/>
  <c r="BL71" i="3"/>
  <c r="BV73" i="3"/>
  <c r="BE74" i="3"/>
  <c r="BS57" i="3"/>
  <c r="BE82" i="3"/>
  <c r="BE93" i="3"/>
  <c r="BO77" i="3"/>
  <c r="BI95" i="3"/>
  <c r="BM61" i="3"/>
  <c r="BV62" i="3"/>
  <c r="BT96" i="3"/>
  <c r="BI74" i="3"/>
  <c r="BE50" i="3"/>
  <c r="BR88" i="3"/>
  <c r="BM75" i="3"/>
  <c r="BL94" i="3"/>
  <c r="BQ76" i="3"/>
  <c r="BD87" i="3"/>
  <c r="BJ64" i="3"/>
  <c r="BD74" i="3"/>
  <c r="BH82" i="3"/>
  <c r="BS92" i="3"/>
  <c r="BH88" i="3"/>
  <c r="BR48" i="3"/>
  <c r="BM58" i="3"/>
  <c r="BM79" i="3"/>
  <c r="BR92" i="3"/>
  <c r="BR49" i="3"/>
  <c r="BT55" i="3"/>
  <c r="BS66" i="3"/>
  <c r="BL66" i="3"/>
  <c r="BQ69" i="3"/>
  <c r="BD83" i="3"/>
  <c r="BR65" i="3"/>
  <c r="BU81" i="3"/>
  <c r="BN59" i="3"/>
  <c r="BJ90" i="3"/>
  <c r="BH77" i="3"/>
  <c r="BM89" i="3"/>
  <c r="BQ80" i="3"/>
  <c r="BJ87" i="3"/>
  <c r="BM91" i="3"/>
  <c r="BK86" i="3"/>
  <c r="BV93" i="3"/>
  <c r="BM67" i="3"/>
  <c r="BH57" i="3"/>
  <c r="BK90" i="3"/>
  <c r="BG70" i="3"/>
  <c r="BK93" i="3"/>
  <c r="BU61" i="3"/>
  <c r="BP83" i="3"/>
  <c r="BP85" i="3"/>
  <c r="BM65" i="3"/>
  <c r="BI79" i="3"/>
  <c r="BB87" i="3"/>
  <c r="BV68" i="3"/>
  <c r="BE66" i="3"/>
  <c r="BH70" i="3"/>
  <c r="BK66" i="3"/>
  <c r="BC58" i="3"/>
  <c r="BI47" i="3"/>
  <c r="BD97" i="3"/>
  <c r="BV70" i="3"/>
  <c r="BJ50" i="3"/>
  <c r="BH80" i="3"/>
  <c r="BQ62" i="3"/>
  <c r="BL55" i="3"/>
  <c r="BJ72" i="3"/>
  <c r="BJ65" i="3"/>
  <c r="BU87" i="3"/>
  <c r="BG49" i="3"/>
  <c r="BG77" i="3"/>
  <c r="BK96" i="3"/>
  <c r="BH50" i="3"/>
  <c r="BL92" i="3"/>
  <c r="BI89" i="3"/>
  <c r="BA90" i="3"/>
  <c r="BA94" i="3"/>
  <c r="BD78" i="3"/>
  <c r="BO75" i="3"/>
  <c r="BU59" i="3"/>
  <c r="BB95" i="3"/>
  <c r="BT93" i="3"/>
  <c r="BT89" i="3"/>
  <c r="BU92" i="3"/>
  <c r="BB72" i="3"/>
  <c r="BF90" i="3"/>
  <c r="BH69" i="3"/>
  <c r="BA82" i="3"/>
  <c r="BR91" i="3"/>
  <c r="BG76" i="3"/>
  <c r="BK65" i="3"/>
  <c r="BK69" i="3"/>
  <c r="BL73" i="3"/>
  <c r="BD85" i="3"/>
  <c r="BF54" i="3"/>
  <c r="BB82" i="3"/>
  <c r="BU91" i="3"/>
  <c r="BA83" i="3"/>
  <c r="BM74" i="3"/>
  <c r="BB61" i="3"/>
  <c r="BD88" i="3"/>
  <c r="BA92" i="3"/>
  <c r="BD58" i="3"/>
  <c r="BJ58" i="3"/>
  <c r="BD92" i="3"/>
  <c r="BN95" i="3"/>
  <c r="BF96" i="3"/>
  <c r="BK94" i="3"/>
  <c r="BU65" i="3"/>
  <c r="BB68" i="3"/>
  <c r="BP97" i="3"/>
  <c r="BC93" i="3"/>
  <c r="BV84" i="3"/>
  <c r="BD90" i="3"/>
  <c r="BH63" i="3"/>
  <c r="BH71" i="3"/>
  <c r="BQ97" i="3"/>
  <c r="BI76" i="3"/>
  <c r="BE80" i="3"/>
  <c r="BE67" i="3"/>
  <c r="BN72" i="3"/>
  <c r="BC48" i="3"/>
  <c r="BJ94" i="3"/>
  <c r="BB94" i="3"/>
  <c r="BM95" i="3"/>
  <c r="BF80" i="3"/>
  <c r="BA68" i="3"/>
  <c r="BL59" i="3"/>
  <c r="BQ96" i="3"/>
  <c r="BD67" i="3"/>
  <c r="BJ54" i="3"/>
  <c r="BJ78" i="3"/>
  <c r="BN71" i="3"/>
  <c r="BO91" i="3"/>
  <c r="BT64" i="3"/>
  <c r="BD50" i="3"/>
  <c r="BJ63" i="3"/>
  <c r="BP76" i="3"/>
  <c r="BM85" i="3"/>
  <c r="BL56" i="3"/>
  <c r="BC47" i="3"/>
  <c r="BP95" i="3"/>
  <c r="BL47" i="3"/>
  <c r="BK95" i="3"/>
  <c r="BB66" i="3"/>
  <c r="BO73" i="3"/>
  <c r="BC92" i="3"/>
  <c r="BD81" i="3"/>
  <c r="BC85" i="3"/>
  <c r="BG56" i="3"/>
  <c r="BH85" i="3"/>
  <c r="BG83" i="3"/>
  <c r="BR85" i="3"/>
  <c r="BL54" i="3"/>
  <c r="BI83" i="3"/>
  <c r="BP63" i="3"/>
  <c r="JT14" i="4"/>
  <c r="KC21" i="4"/>
  <c r="JW14" i="4"/>
  <c r="KA21" i="4"/>
  <c r="JU7" i="4"/>
  <c r="JV15" i="4"/>
  <c r="BK84" i="3"/>
  <c r="BP50" i="3"/>
  <c r="BG59" i="3"/>
  <c r="BH62" i="3"/>
  <c r="BQ56" i="3"/>
  <c r="BK59" i="3"/>
  <c r="BP75" i="3"/>
  <c r="BJ95" i="3"/>
  <c r="BE73" i="3"/>
  <c r="BO47" i="3"/>
  <c r="BC59" i="3"/>
  <c r="BR82" i="3"/>
  <c r="BI92" i="3"/>
  <c r="BP86" i="3"/>
  <c r="BG87" i="3"/>
  <c r="BA61" i="3"/>
  <c r="BO55" i="3"/>
  <c r="BC72" i="3"/>
  <c r="BK54" i="3"/>
  <c r="BI72" i="3"/>
  <c r="BG95" i="3"/>
  <c r="BD48" i="3"/>
  <c r="BB78" i="3"/>
  <c r="BV65" i="3"/>
  <c r="BF97" i="3"/>
  <c r="BR93" i="3"/>
  <c r="BF68" i="3"/>
  <c r="BC63" i="3"/>
  <c r="BJ76" i="3"/>
  <c r="BI82" i="3"/>
  <c r="BE61" i="3"/>
  <c r="BA87" i="3"/>
  <c r="BE72" i="3"/>
  <c r="BP71" i="3"/>
  <c r="BS76" i="3"/>
  <c r="BD61" i="3"/>
  <c r="BK68" i="3"/>
  <c r="BE94" i="3"/>
  <c r="BT95" i="3"/>
  <c r="BC67" i="3"/>
  <c r="BJ68" i="3"/>
  <c r="BJ77" i="3"/>
  <c r="BL49" i="3"/>
  <c r="BJ66" i="3"/>
  <c r="BN84" i="3"/>
  <c r="BA49" i="3"/>
  <c r="BI88" i="3"/>
  <c r="BA71" i="3"/>
  <c r="BJ56" i="3"/>
  <c r="BQ68" i="3"/>
  <c r="BL86" i="3"/>
  <c r="BT54" i="3"/>
  <c r="BB97" i="3"/>
  <c r="BF64" i="3"/>
  <c r="BG91" i="3"/>
  <c r="BC97" i="3"/>
  <c r="BE84" i="3"/>
  <c r="BA84" i="3"/>
  <c r="BG78" i="3"/>
  <c r="BT63" i="3"/>
  <c r="BI62" i="3"/>
  <c r="BP57" i="3"/>
  <c r="BN68" i="3"/>
  <c r="BE79" i="3"/>
  <c r="BO93" i="3"/>
  <c r="BC61" i="3"/>
  <c r="BI91" i="3"/>
  <c r="BO54" i="3"/>
  <c r="BD84" i="3"/>
  <c r="BB64" i="3"/>
  <c r="BV82" i="3"/>
  <c r="BV94" i="3"/>
  <c r="BJ75" i="3"/>
  <c r="BL95" i="3"/>
  <c r="BP56" i="3"/>
  <c r="BK89" i="3"/>
  <c r="BG97" i="3"/>
  <c r="BD94" i="3"/>
  <c r="BF71" i="3"/>
  <c r="BG62" i="3"/>
  <c r="BT60" i="3"/>
  <c r="BK85" i="3"/>
  <c r="BD93" i="3"/>
  <c r="BJ91" i="3"/>
  <c r="BI93" i="3"/>
  <c r="BG48" i="3"/>
  <c r="BD64" i="3"/>
  <c r="BV91" i="3"/>
  <c r="BJ97" i="3"/>
  <c r="BG71" i="3"/>
  <c r="BP84" i="3"/>
  <c r="BH55" i="3"/>
  <c r="BT65" i="3"/>
  <c r="BI61" i="3"/>
  <c r="BL78" i="3"/>
  <c r="BI77" i="3"/>
  <c r="BF56" i="3"/>
  <c r="BF72" i="3"/>
  <c r="BE95" i="3"/>
  <c r="BL88" i="3"/>
  <c r="BR90" i="3"/>
  <c r="BL61" i="3"/>
  <c r="BE92" i="3"/>
  <c r="BI64" i="3"/>
  <c r="BL72" i="3"/>
  <c r="BO69" i="3"/>
  <c r="BL65" i="3"/>
  <c r="BK71" i="3"/>
  <c r="BL82" i="3"/>
  <c r="BJ92" i="3"/>
  <c r="BB54" i="3"/>
  <c r="BO71" i="3"/>
  <c r="BV90" i="3"/>
  <c r="BH81" i="3"/>
  <c r="BN79" i="3"/>
  <c r="BG60" i="3"/>
  <c r="BC78" i="3"/>
  <c r="BO90" i="3"/>
  <c r="BG54" i="3"/>
  <c r="BF78" i="3"/>
  <c r="BO66" i="3"/>
  <c r="BV67" i="3"/>
  <c r="BC75" i="3"/>
  <c r="BG92" i="3"/>
  <c r="BG86" i="3"/>
  <c r="BC56" i="3"/>
  <c r="BC69" i="3"/>
  <c r="BV81" i="3"/>
  <c r="BN60" i="3"/>
  <c r="BO48" i="3"/>
  <c r="BV56" i="3"/>
  <c r="BH95" i="3"/>
  <c r="BO76" i="3"/>
  <c r="BN54" i="3"/>
  <c r="BT71" i="3"/>
  <c r="BH86" i="3"/>
  <c r="BC89" i="3"/>
  <c r="BV61" i="3"/>
  <c r="KC8" i="4"/>
  <c r="Z349" i="1"/>
  <c r="Z342" i="1"/>
  <c r="CJ145" i="1"/>
  <c r="CI145" i="1"/>
  <c r="CH145" i="1"/>
  <c r="CH171" i="1"/>
  <c r="CG171" i="1"/>
  <c r="CK208" i="1"/>
  <c r="CJ181" i="1"/>
  <c r="CG198" i="1"/>
  <c r="CK180" i="1"/>
  <c r="CL178" i="1"/>
  <c r="CJ164" i="1"/>
  <c r="CJ177" i="1"/>
  <c r="CL194" i="1"/>
  <c r="CH197" i="1"/>
  <c r="CJ208" i="1"/>
  <c r="CG177" i="1"/>
  <c r="CG181" i="1"/>
  <c r="CI194" i="1"/>
  <c r="CJ182" i="1"/>
  <c r="CI171" i="1"/>
  <c r="CH169" i="1"/>
  <c r="CK164" i="1"/>
  <c r="CK169" i="1"/>
  <c r="CI182" i="1"/>
  <c r="CG201" i="1"/>
  <c r="CB169" i="1"/>
  <c r="CH207" i="1"/>
  <c r="CG182" i="1"/>
  <c r="CG170" i="1"/>
  <c r="CH165" i="1"/>
  <c r="CJ197" i="1"/>
  <c r="CG179" i="1"/>
  <c r="CI165" i="1"/>
  <c r="CL198" i="1"/>
  <c r="CI207" i="1"/>
  <c r="CL170" i="1"/>
  <c r="CG165" i="1"/>
  <c r="CH170" i="1"/>
  <c r="CH180" i="1"/>
  <c r="CK194" i="1"/>
  <c r="CK76" i="1" s="1"/>
  <c r="CL169" i="1"/>
  <c r="CI164" i="1"/>
  <c r="CG207" i="1"/>
  <c r="CG208" i="1"/>
  <c r="CG178" i="1"/>
  <c r="CL201" i="1"/>
  <c r="CK198" i="1"/>
  <c r="CL164" i="1"/>
  <c r="CG164" i="1"/>
  <c r="CH178" i="1"/>
  <c r="CK201" i="1"/>
  <c r="CL177" i="1"/>
  <c r="CJ171" i="1"/>
  <c r="CE201" i="1"/>
  <c r="CL208" i="1"/>
  <c r="CH181" i="1"/>
  <c r="CK171" i="1"/>
  <c r="CJ194" i="1"/>
  <c r="CI169" i="1"/>
  <c r="CK179" i="1"/>
  <c r="CL180" i="1"/>
  <c r="CL197" i="1"/>
  <c r="CK207" i="1"/>
  <c r="CL165" i="1"/>
  <c r="CL207" i="1"/>
  <c r="CJ165" i="1"/>
  <c r="CL171" i="1"/>
  <c r="CK178" i="1"/>
  <c r="CI177" i="1"/>
  <c r="CJ169" i="1"/>
  <c r="CJ178" i="1"/>
  <c r="CL181" i="1"/>
  <c r="CG194" i="1"/>
  <c r="CJ201" i="1"/>
  <c r="CI180" i="1"/>
  <c r="CJ207" i="1"/>
  <c r="CK182" i="1"/>
  <c r="CH194" i="1"/>
  <c r="CI198" i="1"/>
  <c r="CH179" i="1"/>
  <c r="CI201" i="1"/>
  <c r="CH177" i="1"/>
  <c r="CI197" i="1"/>
  <c r="CH208" i="1"/>
  <c r="CG197" i="1"/>
  <c r="CI208" i="1"/>
  <c r="CH198" i="1"/>
  <c r="CH201" i="1"/>
  <c r="CI178" i="1"/>
  <c r="CJ170" i="1"/>
  <c r="CH164" i="1"/>
  <c r="CJ198" i="1"/>
  <c r="CI170" i="1"/>
  <c r="CK181" i="1"/>
  <c r="CH182" i="1"/>
  <c r="CL179" i="1"/>
  <c r="CL182" i="1"/>
  <c r="CJ179" i="1"/>
  <c r="CK197" i="1"/>
  <c r="CG180" i="1"/>
  <c r="CI179" i="1"/>
  <c r="CK177" i="1"/>
  <c r="CK165" i="1"/>
  <c r="CJ180" i="1"/>
  <c r="CI181" i="1"/>
  <c r="CG169" i="1"/>
  <c r="CK170" i="1"/>
  <c r="CK235" i="1"/>
  <c r="CI235" i="1"/>
  <c r="CL320" i="1"/>
  <c r="CH236" i="1"/>
  <c r="CJ300" i="1"/>
  <c r="CK300" i="1" s="1"/>
  <c r="CJ289" i="1"/>
  <c r="CK289" i="1" s="1"/>
  <c r="CH235" i="1"/>
  <c r="CI209" i="1"/>
  <c r="CL213" i="1"/>
  <c r="CH209" i="1"/>
  <c r="CL226" i="1"/>
  <c r="CI213" i="1"/>
  <c r="CH213" i="1"/>
  <c r="CL209" i="1"/>
  <c r="CK213" i="1"/>
  <c r="CJ225" i="1"/>
  <c r="CG213" i="1"/>
  <c r="CK209" i="1"/>
  <c r="CG209" i="1"/>
  <c r="CJ213" i="1"/>
  <c r="CK226" i="1"/>
  <c r="CJ209" i="1"/>
  <c r="CL225" i="1"/>
  <c r="CL227" i="1" s="1"/>
  <c r="CL121" i="1" s="1"/>
  <c r="CK225" i="1"/>
  <c r="CJ226" i="1"/>
  <c r="CI226" i="1" s="1"/>
  <c r="CH226" i="1" s="1"/>
  <c r="CG226" i="1" s="1"/>
  <c r="CF226" i="1" s="1"/>
  <c r="CE226" i="1" s="1"/>
  <c r="CD226" i="1" s="1"/>
  <c r="CC226" i="1" s="1"/>
  <c r="CB226" i="1" s="1"/>
  <c r="CA226" i="1" s="1"/>
  <c r="BZ226" i="1" s="1"/>
  <c r="BY226" i="1" s="1"/>
  <c r="BX226" i="1" s="1"/>
  <c r="BW226" i="1" s="1"/>
  <c r="BV226" i="1" s="1"/>
  <c r="BU226" i="1" s="1"/>
  <c r="BT226" i="1" s="1"/>
  <c r="BS226" i="1" s="1"/>
  <c r="BR226" i="1" s="1"/>
  <c r="BQ226" i="1" s="1"/>
  <c r="BP226" i="1" s="1"/>
  <c r="BO226" i="1" s="1"/>
  <c r="BN226" i="1" s="1"/>
  <c r="BM226" i="1" s="1"/>
  <c r="BL226" i="1" s="1"/>
  <c r="BK226" i="1" s="1"/>
  <c r="BJ226" i="1" s="1"/>
  <c r="BI226" i="1" s="1"/>
  <c r="BH226" i="1" s="1"/>
  <c r="BG226" i="1" s="1"/>
  <c r="BF226" i="1" s="1"/>
  <c r="BE226" i="1" s="1"/>
  <c r="BD226" i="1" s="1"/>
  <c r="BC226" i="1" s="1"/>
  <c r="BB226" i="1" s="1"/>
  <c r="BA226" i="1" s="1"/>
  <c r="AZ226" i="1" s="1"/>
  <c r="AY226" i="1" s="1"/>
  <c r="AX226" i="1" s="1"/>
  <c r="AW226" i="1" s="1"/>
  <c r="AV226" i="1" s="1"/>
  <c r="AU226" i="1" s="1"/>
  <c r="AT226" i="1" s="1"/>
  <c r="AS226" i="1" s="1"/>
  <c r="AR226" i="1" s="1"/>
  <c r="AQ226" i="1" s="1"/>
  <c r="AP226" i="1" s="1"/>
  <c r="AO226" i="1" s="1"/>
  <c r="AN226" i="1" s="1"/>
  <c r="AM226" i="1" s="1"/>
  <c r="AL226" i="1" s="1"/>
  <c r="AK226" i="1" s="1"/>
  <c r="AJ226" i="1" s="1"/>
  <c r="AI226" i="1" s="1"/>
  <c r="JS7" i="4"/>
  <c r="JS15" i="4"/>
  <c r="JX7" i="4"/>
  <c r="CW10" i="1"/>
  <c r="CX10" i="1" s="1"/>
  <c r="CV7" i="1"/>
  <c r="JX14" i="4"/>
  <c r="JV7" i="4"/>
  <c r="KA7" i="4"/>
  <c r="KB8" i="4"/>
  <c r="JQ7" i="4"/>
  <c r="KF15" i="4"/>
  <c r="JT21" i="4"/>
  <c r="JS14" i="4"/>
  <c r="JS19" i="4" s="1"/>
  <c r="KF21" i="4"/>
  <c r="JW15" i="4"/>
  <c r="AC91" i="1"/>
  <c r="AC92" i="1" s="1"/>
  <c r="CT116" i="1"/>
  <c r="AC116" i="1" s="1"/>
  <c r="CU80" i="1"/>
  <c r="CV79" i="1"/>
  <c r="JU8" i="4"/>
  <c r="KE8" i="4"/>
  <c r="JZ7" i="4"/>
  <c r="JU15" i="4"/>
  <c r="KC7" i="4"/>
  <c r="KD8" i="4"/>
  <c r="KC15" i="4"/>
  <c r="JQ14" i="4"/>
  <c r="JQ21" i="4"/>
  <c r="CK239" i="1" s="1"/>
  <c r="KH21" i="4"/>
  <c r="JZ15" i="4"/>
  <c r="JW8" i="4"/>
  <c r="KE7" i="4"/>
  <c r="KC14" i="4"/>
  <c r="JV21" i="4"/>
  <c r="JR8" i="4"/>
  <c r="JW7" i="4"/>
  <c r="KG7" i="4"/>
  <c r="KG15" i="4"/>
  <c r="JY8" i="4"/>
  <c r="JT7" i="4"/>
  <c r="JX8" i="4"/>
  <c r="KE21" i="4"/>
  <c r="JY7" i="4"/>
  <c r="JR21" i="4"/>
  <c r="CL239" i="1" s="1"/>
  <c r="JU21" i="4"/>
  <c r="KB15" i="4"/>
  <c r="KD7" i="4"/>
  <c r="JS8" i="4"/>
  <c r="KD14" i="4"/>
  <c r="KF8" i="4"/>
  <c r="JV14" i="4"/>
  <c r="JR7" i="4"/>
  <c r="KA14" i="4"/>
  <c r="JU14" i="4"/>
  <c r="KB14" i="4"/>
  <c r="KH8" i="4"/>
  <c r="KH20" i="4" s="1"/>
  <c r="KE15" i="4"/>
  <c r="KH7" i="4"/>
  <c r="JV8" i="4"/>
  <c r="KG21" i="4"/>
  <c r="KH14" i="4"/>
  <c r="JR14" i="4"/>
  <c r="KA15" i="4"/>
  <c r="JS21" i="4"/>
  <c r="KB7" i="4"/>
  <c r="JT8" i="4"/>
  <c r="KE14" i="4"/>
  <c r="JY15" i="4"/>
  <c r="KB21" i="4"/>
  <c r="JZ14" i="4"/>
  <c r="JT15" i="4"/>
  <c r="JZ21" i="4"/>
  <c r="KF14" i="4"/>
  <c r="KG8" i="4"/>
  <c r="KF7" i="4"/>
  <c r="JR15" i="4"/>
  <c r="X324" i="1"/>
  <c r="JQ15" i="4"/>
  <c r="JW21" i="4"/>
  <c r="JZ8" i="4"/>
  <c r="KG14" i="4"/>
  <c r="JX15" i="4"/>
  <c r="JQ8" i="4"/>
  <c r="KA8" i="4"/>
  <c r="JX21" i="4"/>
  <c r="JY14" i="4"/>
  <c r="KD15" i="4"/>
  <c r="CO38" i="1"/>
  <c r="AD40" i="1"/>
  <c r="AD67" i="1" s="1"/>
  <c r="CU91" i="1"/>
  <c r="CU116" i="1" s="1"/>
  <c r="CT92" i="1"/>
  <c r="AC115" i="1"/>
  <c r="CW87" i="1"/>
  <c r="CV101" i="1"/>
  <c r="CW96" i="1"/>
  <c r="CW104" i="1"/>
  <c r="CV109" i="1"/>
  <c r="Z363" i="1"/>
  <c r="CO16" i="1"/>
  <c r="CP13" i="1" s="1"/>
  <c r="Y363" i="1"/>
  <c r="X189" i="1"/>
  <c r="Z323" i="1"/>
  <c r="AA364" i="1" s="1"/>
  <c r="AA365" i="1" s="1"/>
  <c r="AA366" i="1" s="1"/>
  <c r="CY40" i="1"/>
  <c r="CW26" i="1"/>
  <c r="CH298" i="1"/>
  <c r="CI298" i="1" s="1"/>
  <c r="X260" i="1"/>
  <c r="X172" i="1"/>
  <c r="Y305" i="1"/>
  <c r="Y413" i="1" s="1"/>
  <c r="Y195" i="1"/>
  <c r="Z415" i="1"/>
  <c r="Z189" i="1"/>
  <c r="Y260" i="1"/>
  <c r="Y355" i="1"/>
  <c r="Y189" i="1"/>
  <c r="Y167" i="1"/>
  <c r="Y172" i="1"/>
  <c r="CI284" i="1"/>
  <c r="CH287" i="1"/>
  <c r="X296" i="1"/>
  <c r="Y348" i="1"/>
  <c r="Y352" i="1"/>
  <c r="Y324" i="1"/>
  <c r="X305" i="1"/>
  <c r="X195" i="1"/>
  <c r="X415" i="1"/>
  <c r="Y376" i="1"/>
  <c r="Z355" i="1"/>
  <c r="Z167" i="1"/>
  <c r="Z172" i="1"/>
  <c r="AA174" i="1" s="1"/>
  <c r="Z260" i="1"/>
  <c r="Y342" i="1"/>
  <c r="Y415" i="1"/>
  <c r="X199" i="1"/>
  <c r="X335" i="1"/>
  <c r="X276" i="1" s="1"/>
  <c r="CI373" i="1"/>
  <c r="X352" i="1"/>
  <c r="Y364" i="1"/>
  <c r="Y416" i="1"/>
  <c r="Y373" i="1"/>
  <c r="Y335" i="1"/>
  <c r="Y276" i="1" s="1"/>
  <c r="Y199" i="1"/>
  <c r="Y296" i="1"/>
  <c r="Z335" i="1"/>
  <c r="Z276" i="1" s="1"/>
  <c r="Z373" i="1"/>
  <c r="Z296" i="1"/>
  <c r="Z199" i="1"/>
  <c r="Z416" i="1"/>
  <c r="CH324" i="1"/>
  <c r="CH335" i="1"/>
  <c r="CI416" i="1"/>
  <c r="X348" i="1"/>
  <c r="Z305" i="1"/>
  <c r="AA370" i="1" s="1"/>
  <c r="AA368" i="1" s="1"/>
  <c r="AA377" i="1" s="1"/>
  <c r="AA378" i="1" s="1"/>
  <c r="Z195" i="1"/>
  <c r="JP20" i="4"/>
  <c r="CJ241" i="1" s="1"/>
  <c r="CJ147" i="1" s="1"/>
  <c r="JP19" i="4"/>
  <c r="CJ240" i="1" s="1"/>
  <c r="CJ146" i="1" s="1"/>
  <c r="JO19" i="4"/>
  <c r="CI240" i="1" s="1"/>
  <c r="CI146" i="1" s="1"/>
  <c r="JO20" i="4"/>
  <c r="CI241" i="1" s="1"/>
  <c r="CI147" i="1" s="1"/>
  <c r="JN20" i="4"/>
  <c r="CH241" i="1" s="1"/>
  <c r="CH147" i="1" s="1"/>
  <c r="JN19" i="4"/>
  <c r="CH240" i="1" s="1"/>
  <c r="CH146" i="1" s="1"/>
  <c r="AA380" i="1" l="1"/>
  <c r="JQ19" i="4"/>
  <c r="CK240" i="1" s="1"/>
  <c r="CJ310" i="1"/>
  <c r="CJ285" i="1"/>
  <c r="CK285" i="1" s="1"/>
  <c r="CJ320" i="1"/>
  <c r="CJ317" i="1"/>
  <c r="CJ302" i="1"/>
  <c r="CK302" i="1" s="1"/>
  <c r="CJ307" i="1"/>
  <c r="CJ369" i="1" s="1"/>
  <c r="CJ292" i="1"/>
  <c r="CK292" i="1" s="1"/>
  <c r="CJ321" i="1"/>
  <c r="CJ326" i="1"/>
  <c r="CJ330" i="1"/>
  <c r="CK330" i="1" s="1"/>
  <c r="CJ284" i="1"/>
  <c r="CK284" i="1" s="1"/>
  <c r="CJ312" i="1"/>
  <c r="CJ331" i="1"/>
  <c r="CK331" i="1" s="1"/>
  <c r="CJ235" i="1"/>
  <c r="CJ318" i="1"/>
  <c r="CL294" i="1"/>
  <c r="CM294" i="1" s="1"/>
  <c r="CN294" i="1" s="1"/>
  <c r="CO294" i="1" s="1"/>
  <c r="CP294" i="1" s="1"/>
  <c r="CQ294" i="1" s="1"/>
  <c r="CR294" i="1" s="1"/>
  <c r="CS294" i="1" s="1"/>
  <c r="CT294" i="1" s="1"/>
  <c r="CU294" i="1" s="1"/>
  <c r="CV294" i="1" s="1"/>
  <c r="CW294" i="1" s="1"/>
  <c r="CX294" i="1" s="1"/>
  <c r="CY294" i="1" s="1"/>
  <c r="CZ294" i="1" s="1"/>
  <c r="DA294" i="1" s="1"/>
  <c r="DB294" i="1" s="1"/>
  <c r="CL286" i="1"/>
  <c r="CL292" i="1"/>
  <c r="CL300" i="1"/>
  <c r="CM300" i="1" s="1"/>
  <c r="CN300" i="1" s="1"/>
  <c r="CO300" i="1" s="1"/>
  <c r="CP300" i="1" s="1"/>
  <c r="CL235" i="1"/>
  <c r="CL304" i="1"/>
  <c r="CL318" i="1"/>
  <c r="CL331" i="1"/>
  <c r="CL285" i="1"/>
  <c r="CJ301" i="1"/>
  <c r="CI236" i="1"/>
  <c r="CL311" i="1"/>
  <c r="CL327" i="1"/>
  <c r="Z348" i="1"/>
  <c r="CL236" i="1"/>
  <c r="CL307" i="1"/>
  <c r="CL313" i="1"/>
  <c r="CL319" i="1"/>
  <c r="CL322" i="1"/>
  <c r="CL291" i="1"/>
  <c r="CM291" i="1" s="1"/>
  <c r="CN291" i="1" s="1"/>
  <c r="CJ291" i="1"/>
  <c r="CK291" i="1" s="1"/>
  <c r="CL289" i="1"/>
  <c r="CM289" i="1" s="1"/>
  <c r="CN289" i="1" s="1"/>
  <c r="CO289" i="1" s="1"/>
  <c r="CP289" i="1" s="1"/>
  <c r="CQ289" i="1" s="1"/>
  <c r="CR289" i="1" s="1"/>
  <c r="CS289" i="1" s="1"/>
  <c r="CT289" i="1" s="1"/>
  <c r="CU289" i="1" s="1"/>
  <c r="CV289" i="1" s="1"/>
  <c r="CW289" i="1" s="1"/>
  <c r="CX289" i="1" s="1"/>
  <c r="CY289" i="1" s="1"/>
  <c r="CZ289" i="1" s="1"/>
  <c r="DA289" i="1" s="1"/>
  <c r="DB289" i="1" s="1"/>
  <c r="KC20" i="4"/>
  <c r="JW19" i="4"/>
  <c r="JT19" i="4"/>
  <c r="CL317" i="1"/>
  <c r="CJ294" i="1"/>
  <c r="CK294" i="1" s="1"/>
  <c r="CJ293" i="1"/>
  <c r="CK293" i="1" s="1"/>
  <c r="CJ322" i="1"/>
  <c r="CL312" i="1"/>
  <c r="CJ309" i="1"/>
  <c r="CK195" i="1"/>
  <c r="CL310" i="1"/>
  <c r="CJ311" i="1"/>
  <c r="CJ327" i="1"/>
  <c r="CJ236" i="1"/>
  <c r="CJ304" i="1"/>
  <c r="CK304" i="1" s="1"/>
  <c r="CJ319" i="1"/>
  <c r="CK236" i="1"/>
  <c r="CL326" i="1"/>
  <c r="CL314" i="1"/>
  <c r="CG236" i="1"/>
  <c r="CL330" i="1"/>
  <c r="CL321" i="1"/>
  <c r="CJ286" i="1"/>
  <c r="CJ314" i="1"/>
  <c r="CL293" i="1"/>
  <c r="JS20" i="4"/>
  <c r="KA19" i="4"/>
  <c r="JU19" i="4"/>
  <c r="KE20" i="4"/>
  <c r="JV20" i="4"/>
  <c r="JX19" i="4"/>
  <c r="CL419" i="1"/>
  <c r="CG235" i="1"/>
  <c r="CL302" i="1"/>
  <c r="CL316" i="1"/>
  <c r="CL284" i="1"/>
  <c r="CJ316" i="1"/>
  <c r="CL309" i="1"/>
  <c r="CL301" i="1"/>
  <c r="CJ313" i="1"/>
  <c r="JV19" i="4"/>
  <c r="CK145" i="1"/>
  <c r="CL145" i="1"/>
  <c r="CL273" i="1"/>
  <c r="CL269" i="1" s="1"/>
  <c r="Z364" i="1"/>
  <c r="CL350" i="1"/>
  <c r="CM350" i="1" s="1"/>
  <c r="CJ350" i="1"/>
  <c r="CK350" i="1" s="1"/>
  <c r="CI419" i="1"/>
  <c r="CQ300" i="1"/>
  <c r="CR300" i="1" s="1"/>
  <c r="CS300" i="1" s="1"/>
  <c r="CT300" i="1" s="1"/>
  <c r="AB300" i="1"/>
  <c r="CH166" i="1"/>
  <c r="CH398" i="1"/>
  <c r="CH347" i="1"/>
  <c r="CI347" i="1" s="1"/>
  <c r="CH46" i="1"/>
  <c r="CH350" i="1"/>
  <c r="CI350" i="1" s="1"/>
  <c r="CK260" i="1"/>
  <c r="CK227" i="1"/>
  <c r="CK121" i="1" s="1"/>
  <c r="CK188" i="1"/>
  <c r="CO177" i="1"/>
  <c r="CS177" i="1" s="1"/>
  <c r="CW177" i="1" s="1"/>
  <c r="DA177" i="1" s="1"/>
  <c r="CH420" i="1"/>
  <c r="CH361" i="1"/>
  <c r="CH76" i="1"/>
  <c r="CH352" i="1"/>
  <c r="CG76" i="1"/>
  <c r="CG361" i="1"/>
  <c r="CG420" i="1"/>
  <c r="CM177" i="1"/>
  <c r="CQ177" i="1" s="1"/>
  <c r="CU177" i="1" s="1"/>
  <c r="CY177" i="1" s="1"/>
  <c r="CI188" i="1"/>
  <c r="CG46" i="1"/>
  <c r="CG398" i="1"/>
  <c r="CJ260" i="1"/>
  <c r="CG166" i="1"/>
  <c r="CL76" i="1"/>
  <c r="CL420" i="1"/>
  <c r="CL361" i="1"/>
  <c r="CH419" i="1"/>
  <c r="CJ166" i="1"/>
  <c r="CJ398" i="1"/>
  <c r="CH188" i="1"/>
  <c r="CJ76" i="1"/>
  <c r="CJ361" i="1"/>
  <c r="CJ420" i="1"/>
  <c r="CI166" i="1"/>
  <c r="CI398" i="1"/>
  <c r="CI46" i="1"/>
  <c r="CL260" i="1"/>
  <c r="CL261" i="1" s="1"/>
  <c r="CK166" i="1"/>
  <c r="CI76" i="1"/>
  <c r="CI299" i="1"/>
  <c r="CJ299" i="1" s="1"/>
  <c r="CJ298" i="1" s="1"/>
  <c r="CK298" i="1" s="1"/>
  <c r="CI361" i="1"/>
  <c r="CI420" i="1"/>
  <c r="CH346" i="1"/>
  <c r="CI346" i="1" s="1"/>
  <c r="CK307" i="1"/>
  <c r="CL369" i="1" s="1"/>
  <c r="CJ347" i="1"/>
  <c r="CK347" i="1" s="1"/>
  <c r="CH349" i="1"/>
  <c r="CJ419" i="1"/>
  <c r="CP177" i="1"/>
  <c r="CT177" i="1" s="1"/>
  <c r="CX177" i="1" s="1"/>
  <c r="DB177" i="1" s="1"/>
  <c r="CL188" i="1"/>
  <c r="CL166" i="1"/>
  <c r="CL398" i="1"/>
  <c r="CG188" i="1"/>
  <c r="CN177" i="1"/>
  <c r="CR177" i="1" s="1"/>
  <c r="CV177" i="1" s="1"/>
  <c r="CZ177" i="1" s="1"/>
  <c r="CJ188" i="1"/>
  <c r="CG419" i="1"/>
  <c r="CI225" i="1"/>
  <c r="CJ227" i="1"/>
  <c r="CJ273" i="1" s="1"/>
  <c r="CJ269" i="1" s="1"/>
  <c r="KC19" i="4"/>
  <c r="JW20" i="4"/>
  <c r="CL138" i="1"/>
  <c r="CL139" i="1"/>
  <c r="CL137" i="1"/>
  <c r="CY10" i="1"/>
  <c r="CX7" i="1"/>
  <c r="KG20" i="4"/>
  <c r="JY19" i="4"/>
  <c r="KB20" i="4"/>
  <c r="JZ19" i="4"/>
  <c r="JZ20" i="4"/>
  <c r="KE19" i="4"/>
  <c r="KF20" i="4"/>
  <c r="CK146" i="1"/>
  <c r="CW79" i="1"/>
  <c r="CV80" i="1"/>
  <c r="JU20" i="4"/>
  <c r="JT20" i="4"/>
  <c r="KA20" i="4"/>
  <c r="KF19" i="4"/>
  <c r="KB19" i="4"/>
  <c r="JR20" i="4"/>
  <c r="CL241" i="1" s="1"/>
  <c r="JY20" i="4"/>
  <c r="KD20" i="4"/>
  <c r="KH19" i="4"/>
  <c r="KD19" i="4"/>
  <c r="KG19" i="4"/>
  <c r="JX20" i="4"/>
  <c r="JQ20" i="4"/>
  <c r="CK241" i="1" s="1"/>
  <c r="CK147" i="1" s="1"/>
  <c r="JR19" i="4"/>
  <c r="CL240" i="1" s="1"/>
  <c r="X332" i="1"/>
  <c r="X333" i="1" s="1"/>
  <c r="CY53" i="1"/>
  <c r="CO51" i="1"/>
  <c r="CV91" i="1"/>
  <c r="CV116" i="1" s="1"/>
  <c r="CU92" i="1"/>
  <c r="Z352" i="1"/>
  <c r="Z351" i="1" s="1"/>
  <c r="CX87" i="1"/>
  <c r="AD87" i="1" s="1"/>
  <c r="CX96" i="1"/>
  <c r="AD96" i="1" s="1"/>
  <c r="AD101" i="1" s="1"/>
  <c r="CW101" i="1"/>
  <c r="CX104" i="1"/>
  <c r="AD104" i="1" s="1"/>
  <c r="AD109" i="1" s="1"/>
  <c r="CW109" i="1"/>
  <c r="Z324" i="1"/>
  <c r="Z332" i="1" s="1"/>
  <c r="Z333" i="1" s="1"/>
  <c r="Y332" i="1"/>
  <c r="Y333" i="1" s="1"/>
  <c r="Y365" i="1"/>
  <c r="CP15" i="1"/>
  <c r="CZ40" i="1"/>
  <c r="CZ53" i="1" s="1"/>
  <c r="Y411" i="1"/>
  <c r="CH301" i="1"/>
  <c r="CI195" i="1" s="1"/>
  <c r="CX26" i="1"/>
  <c r="AD26" i="1" s="1"/>
  <c r="X413" i="1"/>
  <c r="Y174" i="1"/>
  <c r="X190" i="1"/>
  <c r="X173" i="1"/>
  <c r="Y190" i="1"/>
  <c r="Y60" i="1" s="1"/>
  <c r="Y173" i="1"/>
  <c r="CH415" i="1"/>
  <c r="CH296" i="1"/>
  <c r="X411" i="1"/>
  <c r="Y370" i="1"/>
  <c r="Y368" i="1" s="1"/>
  <c r="Z174" i="1"/>
  <c r="Z190" i="1"/>
  <c r="Z173" i="1"/>
  <c r="Y351" i="1"/>
  <c r="Y353" i="1"/>
  <c r="X351" i="1"/>
  <c r="X353" i="1"/>
  <c r="CI199" i="1"/>
  <c r="CH276" i="1"/>
  <c r="Z370" i="1"/>
  <c r="Z368" i="1" s="1"/>
  <c r="Z413" i="1"/>
  <c r="Z411" i="1"/>
  <c r="CL295" i="1" l="1"/>
  <c r="CL347" i="1"/>
  <c r="CM347" i="1" s="1"/>
  <c r="AA417" i="1"/>
  <c r="AA418" i="1" s="1"/>
  <c r="AA192" i="1"/>
  <c r="CH351" i="1"/>
  <c r="CI351" i="1" s="1"/>
  <c r="CI352" i="1" s="1"/>
  <c r="CL305" i="1"/>
  <c r="CL328" i="1"/>
  <c r="CM304" i="1"/>
  <c r="CN304" i="1" s="1"/>
  <c r="CO304" i="1" s="1"/>
  <c r="CP304" i="1" s="1"/>
  <c r="CQ304" i="1" s="1"/>
  <c r="CR304" i="1" s="1"/>
  <c r="CS304" i="1" s="1"/>
  <c r="CT304" i="1" s="1"/>
  <c r="CU304" i="1" s="1"/>
  <c r="CV304" i="1" s="1"/>
  <c r="CW304" i="1" s="1"/>
  <c r="CX304" i="1" s="1"/>
  <c r="CY304" i="1" s="1"/>
  <c r="CZ304" i="1" s="1"/>
  <c r="DA304" i="1" s="1"/>
  <c r="DB304" i="1" s="1"/>
  <c r="CL346" i="1"/>
  <c r="CM346" i="1" s="1"/>
  <c r="CL315" i="1"/>
  <c r="CL287" i="1"/>
  <c r="CJ323" i="1"/>
  <c r="CJ352" i="1" s="1"/>
  <c r="CJ328" i="1"/>
  <c r="CK376" i="1" s="1"/>
  <c r="CJ315" i="1"/>
  <c r="CJ349" i="1" s="1"/>
  <c r="CJ295" i="1"/>
  <c r="CJ416" i="1" s="1"/>
  <c r="CM331" i="1"/>
  <c r="CN331" i="1" s="1"/>
  <c r="CO331" i="1" s="1"/>
  <c r="CP331" i="1" s="1"/>
  <c r="CQ331" i="1" s="1"/>
  <c r="CR331" i="1" s="1"/>
  <c r="CS331" i="1" s="1"/>
  <c r="CT331" i="1" s="1"/>
  <c r="CU331" i="1" s="1"/>
  <c r="CV331" i="1" s="1"/>
  <c r="CW331" i="1" s="1"/>
  <c r="CX331" i="1" s="1"/>
  <c r="CY331" i="1" s="1"/>
  <c r="CZ331" i="1" s="1"/>
  <c r="DA331" i="1" s="1"/>
  <c r="DB331" i="1" s="1"/>
  <c r="CM285" i="1"/>
  <c r="CN285" i="1" s="1"/>
  <c r="CO285" i="1" s="1"/>
  <c r="CP285" i="1" s="1"/>
  <c r="CQ285" i="1" s="1"/>
  <c r="CR285" i="1" s="1"/>
  <c r="CS285" i="1" s="1"/>
  <c r="CT285" i="1" s="1"/>
  <c r="CU285" i="1" s="1"/>
  <c r="CV285" i="1" s="1"/>
  <c r="CW285" i="1" s="1"/>
  <c r="CX285" i="1" s="1"/>
  <c r="CY285" i="1" s="1"/>
  <c r="CZ285" i="1" s="1"/>
  <c r="DA285" i="1" s="1"/>
  <c r="DB285" i="1" s="1"/>
  <c r="CM307" i="1"/>
  <c r="CM292" i="1"/>
  <c r="CO291" i="1"/>
  <c r="CK261" i="1"/>
  <c r="CK265" i="1" s="1"/>
  <c r="CK369" i="1"/>
  <c r="CL323" i="1"/>
  <c r="CL352" i="1" s="1"/>
  <c r="CL351" i="1" s="1"/>
  <c r="CJ287" i="1"/>
  <c r="CJ346" i="1"/>
  <c r="CK346" i="1" s="1"/>
  <c r="CG189" i="1"/>
  <c r="CM302" i="1"/>
  <c r="CN302" i="1" s="1"/>
  <c r="CO302" i="1" s="1"/>
  <c r="CP302" i="1" s="1"/>
  <c r="CQ302" i="1" s="1"/>
  <c r="CR302" i="1" s="1"/>
  <c r="CS302" i="1" s="1"/>
  <c r="CT302" i="1" s="1"/>
  <c r="CU302" i="1" s="1"/>
  <c r="CV302" i="1" s="1"/>
  <c r="CW302" i="1" s="1"/>
  <c r="CX302" i="1" s="1"/>
  <c r="CY302" i="1" s="1"/>
  <c r="CZ302" i="1" s="1"/>
  <c r="DA302" i="1" s="1"/>
  <c r="DB302" i="1" s="1"/>
  <c r="CM293" i="1"/>
  <c r="CN293" i="1" s="1"/>
  <c r="CO293" i="1" s="1"/>
  <c r="CP293" i="1" s="1"/>
  <c r="CQ293" i="1" s="1"/>
  <c r="CR293" i="1" s="1"/>
  <c r="CS293" i="1" s="1"/>
  <c r="CT293" i="1" s="1"/>
  <c r="CU293" i="1" s="1"/>
  <c r="CV293" i="1" s="1"/>
  <c r="CW293" i="1" s="1"/>
  <c r="CX293" i="1" s="1"/>
  <c r="CY293" i="1" s="1"/>
  <c r="CZ293" i="1" s="1"/>
  <c r="DA293" i="1" s="1"/>
  <c r="DB293" i="1" s="1"/>
  <c r="CJ305" i="1"/>
  <c r="CM284" i="1"/>
  <c r="CN284" i="1" s="1"/>
  <c r="CO284" i="1" s="1"/>
  <c r="CP284" i="1" s="1"/>
  <c r="CQ284" i="1" s="1"/>
  <c r="CR284" i="1" s="1"/>
  <c r="CS284" i="1" s="1"/>
  <c r="CT284" i="1" s="1"/>
  <c r="CU284" i="1" s="1"/>
  <c r="CV284" i="1" s="1"/>
  <c r="CW284" i="1" s="1"/>
  <c r="CX284" i="1" s="1"/>
  <c r="CY284" i="1" s="1"/>
  <c r="CM330" i="1"/>
  <c r="CN330" i="1" s="1"/>
  <c r="CO330" i="1" s="1"/>
  <c r="CP330" i="1" s="1"/>
  <c r="CQ330" i="1" s="1"/>
  <c r="CR330" i="1" s="1"/>
  <c r="CS330" i="1" s="1"/>
  <c r="CT330" i="1" s="1"/>
  <c r="CU330" i="1" s="1"/>
  <c r="CV330" i="1" s="1"/>
  <c r="CW330" i="1" s="1"/>
  <c r="CX330" i="1" s="1"/>
  <c r="CM145" i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CK274" i="1"/>
  <c r="CK270" i="1" s="1"/>
  <c r="Z365" i="1"/>
  <c r="CK295" i="1"/>
  <c r="CK273" i="1"/>
  <c r="CK269" i="1" s="1"/>
  <c r="CL264" i="1"/>
  <c r="CU300" i="1"/>
  <c r="CV300" i="1" s="1"/>
  <c r="CW300" i="1" s="1"/>
  <c r="CX300" i="1" s="1"/>
  <c r="AC300" i="1"/>
  <c r="CN350" i="1"/>
  <c r="Z60" i="1"/>
  <c r="CJ189" i="1"/>
  <c r="CH348" i="1"/>
  <c r="CI348" i="1" s="1"/>
  <c r="CI349" i="1" s="1"/>
  <c r="CH189" i="1"/>
  <c r="CL189" i="1"/>
  <c r="CI301" i="1"/>
  <c r="CJ172" i="1"/>
  <c r="CK168" i="1"/>
  <c r="CL167" i="1"/>
  <c r="CH172" i="1"/>
  <c r="CI168" i="1"/>
  <c r="CL172" i="1"/>
  <c r="CL355" i="1"/>
  <c r="CH353" i="1"/>
  <c r="CK172" i="1"/>
  <c r="CL168" i="1"/>
  <c r="CL392" i="1"/>
  <c r="CI172" i="1"/>
  <c r="CJ168" i="1"/>
  <c r="CK189" i="1"/>
  <c r="CG172" i="1"/>
  <c r="CJ392" i="1"/>
  <c r="CH168" i="1"/>
  <c r="CK167" i="1"/>
  <c r="CI189" i="1"/>
  <c r="CK139" i="1"/>
  <c r="CK137" i="1"/>
  <c r="CK138" i="1"/>
  <c r="CJ121" i="1"/>
  <c r="CJ261" i="1"/>
  <c r="CJ275" i="1"/>
  <c r="CJ271" i="1" s="1"/>
  <c r="CH225" i="1"/>
  <c r="CI227" i="1"/>
  <c r="CI273" i="1" s="1"/>
  <c r="CI269" i="1" s="1"/>
  <c r="CJ274" i="1"/>
  <c r="CJ270" i="1" s="1"/>
  <c r="CL140" i="1"/>
  <c r="CL153" i="1" s="1"/>
  <c r="CL146" i="1"/>
  <c r="CL274" i="1"/>
  <c r="CL270" i="1" s="1"/>
  <c r="CL265" i="1"/>
  <c r="CL147" i="1"/>
  <c r="CL275" i="1"/>
  <c r="CL271" i="1" s="1"/>
  <c r="CL266" i="1"/>
  <c r="CZ10" i="1"/>
  <c r="CY7" i="1"/>
  <c r="CX79" i="1"/>
  <c r="AD79" i="1" s="1"/>
  <c r="CW80" i="1"/>
  <c r="CK275" i="1"/>
  <c r="CK271" i="1" s="1"/>
  <c r="CK266" i="1"/>
  <c r="X279" i="1"/>
  <c r="X60" i="1"/>
  <c r="CP38" i="1"/>
  <c r="AB15" i="1"/>
  <c r="DA145" i="1"/>
  <c r="Z353" i="1"/>
  <c r="AA356" i="1" s="1"/>
  <c r="AA357" i="1" s="1"/>
  <c r="CW91" i="1"/>
  <c r="CW116" i="1" s="1"/>
  <c r="CV92" i="1"/>
  <c r="CY87" i="1"/>
  <c r="CY96" i="1"/>
  <c r="CX101" i="1"/>
  <c r="CY104" i="1"/>
  <c r="CX109" i="1"/>
  <c r="CH305" i="1"/>
  <c r="CH332" i="1" s="1"/>
  <c r="CH333" i="1" s="1"/>
  <c r="CP16" i="1"/>
  <c r="DA40" i="1"/>
  <c r="DA53" i="1" s="1"/>
  <c r="CY26" i="1"/>
  <c r="Y417" i="1"/>
  <c r="Y418" i="1" s="1"/>
  <c r="X196" i="1"/>
  <c r="X200" i="1" s="1"/>
  <c r="Y192" i="1"/>
  <c r="X399" i="1"/>
  <c r="X400" i="1" s="1"/>
  <c r="X191" i="1"/>
  <c r="Y356" i="1"/>
  <c r="Y357" i="1" s="1"/>
  <c r="Y279" i="1"/>
  <c r="Y196" i="1"/>
  <c r="Y191" i="1"/>
  <c r="Y399" i="1"/>
  <c r="Y400" i="1" s="1"/>
  <c r="Z192" i="1"/>
  <c r="Z417" i="1"/>
  <c r="Z418" i="1" s="1"/>
  <c r="Z196" i="1"/>
  <c r="Z279" i="1"/>
  <c r="Z191" i="1"/>
  <c r="Z399" i="1"/>
  <c r="Z400" i="1" s="1"/>
  <c r="CK361" i="1"/>
  <c r="CK299" i="1"/>
  <c r="CM207" i="1"/>
  <c r="CN207" i="1" s="1"/>
  <c r="CO207" i="1" s="1"/>
  <c r="CP207" i="1" s="1"/>
  <c r="CQ207" i="1" s="1"/>
  <c r="CR207" i="1" s="1"/>
  <c r="CS207" i="1" s="1"/>
  <c r="CT207" i="1" s="1"/>
  <c r="CU207" i="1" s="1"/>
  <c r="CM208" i="1"/>
  <c r="CL413" i="1" l="1"/>
  <c r="CL296" i="1"/>
  <c r="CL335" i="1"/>
  <c r="CL415" i="1"/>
  <c r="CN347" i="1"/>
  <c r="CI319" i="1"/>
  <c r="CN346" i="1"/>
  <c r="CY330" i="1"/>
  <c r="CL349" i="1"/>
  <c r="CL411" i="1"/>
  <c r="CJ351" i="1"/>
  <c r="CK351" i="1" s="1"/>
  <c r="CK352" i="1" s="1"/>
  <c r="CK264" i="1"/>
  <c r="CJ324" i="1"/>
  <c r="CJ353" i="1"/>
  <c r="CJ373" i="1"/>
  <c r="CL373" i="1"/>
  <c r="CK416" i="1"/>
  <c r="CM369" i="1"/>
  <c r="CN307" i="1"/>
  <c r="CN292" i="1"/>
  <c r="CP291" i="1"/>
  <c r="CM189" i="1"/>
  <c r="CK373" i="1"/>
  <c r="CL416" i="1"/>
  <c r="CO347" i="1"/>
  <c r="CJ296" i="1"/>
  <c r="CJ411" i="1"/>
  <c r="CL324" i="1"/>
  <c r="CL332" i="1" s="1"/>
  <c r="CJ413" i="1"/>
  <c r="CJ415" i="1"/>
  <c r="CJ254" i="1"/>
  <c r="CJ256" i="1" s="1"/>
  <c r="CJ348" i="1"/>
  <c r="CK348" i="1" s="1"/>
  <c r="CK349" i="1" s="1"/>
  <c r="CK140" i="1"/>
  <c r="CK153" i="1" s="1"/>
  <c r="CM351" i="1"/>
  <c r="CM295" i="1"/>
  <c r="CM416" i="1" s="1"/>
  <c r="CZ284" i="1"/>
  <c r="CJ332" i="1"/>
  <c r="CL348" i="1"/>
  <c r="CM348" i="1" s="1"/>
  <c r="CN348" i="1" s="1"/>
  <c r="CO348" i="1" s="1"/>
  <c r="CL353" i="1"/>
  <c r="CL356" i="1" s="1"/>
  <c r="CI313" i="1"/>
  <c r="AD300" i="1"/>
  <c r="CY300" i="1"/>
  <c r="CZ300" i="1" s="1"/>
  <c r="DA300" i="1" s="1"/>
  <c r="DB300" i="1" s="1"/>
  <c r="AE300" i="1" s="1"/>
  <c r="CO350" i="1"/>
  <c r="Z356" i="1"/>
  <c r="Z357" i="1" s="1"/>
  <c r="CJ190" i="1"/>
  <c r="CJ173" i="1"/>
  <c r="CK175" i="1"/>
  <c r="CL173" i="1"/>
  <c r="CL190" i="1"/>
  <c r="CL174" i="1"/>
  <c r="CI175" i="1"/>
  <c r="CH190" i="1"/>
  <c r="CH173" i="1"/>
  <c r="CJ195" i="1"/>
  <c r="CN195" i="1" s="1"/>
  <c r="CO195" i="1" s="1"/>
  <c r="CP195" i="1" s="1"/>
  <c r="CQ195" i="1" s="1"/>
  <c r="CR195" i="1" s="1"/>
  <c r="CS195" i="1" s="1"/>
  <c r="CT195" i="1" s="1"/>
  <c r="CU195" i="1" s="1"/>
  <c r="CV195" i="1" s="1"/>
  <c r="CW195" i="1" s="1"/>
  <c r="CX195" i="1" s="1"/>
  <c r="CY195" i="1" s="1"/>
  <c r="CZ195" i="1" s="1"/>
  <c r="DA195" i="1" s="1"/>
  <c r="DB195" i="1" s="1"/>
  <c r="CI305" i="1"/>
  <c r="CJ370" i="1" s="1"/>
  <c r="CJ368" i="1" s="1"/>
  <c r="CL155" i="1"/>
  <c r="CG190" i="1"/>
  <c r="CH175" i="1"/>
  <c r="CG173" i="1"/>
  <c r="CK174" i="1"/>
  <c r="CL175" i="1"/>
  <c r="CK173" i="1"/>
  <c r="CK190" i="1"/>
  <c r="CI173" i="1"/>
  <c r="CJ175" i="1"/>
  <c r="CI190" i="1"/>
  <c r="CI121" i="1"/>
  <c r="CI275" i="1"/>
  <c r="CI271" i="1" s="1"/>
  <c r="CI274" i="1"/>
  <c r="CI270" i="1" s="1"/>
  <c r="CJ138" i="1"/>
  <c r="CJ137" i="1"/>
  <c r="CJ139" i="1"/>
  <c r="CJ122" i="1"/>
  <c r="CL154" i="1"/>
  <c r="CG225" i="1"/>
  <c r="CH227" i="1"/>
  <c r="CH273" i="1" s="1"/>
  <c r="CH269" i="1" s="1"/>
  <c r="CJ264" i="1"/>
  <c r="CJ265" i="1"/>
  <c r="CJ266" i="1"/>
  <c r="DA10" i="1"/>
  <c r="DB10" i="1" s="1"/>
  <c r="DB7" i="1" s="1"/>
  <c r="CZ7" i="1"/>
  <c r="CK301" i="1"/>
  <c r="CL195" i="1" s="1"/>
  <c r="CL299" i="1"/>
  <c r="CL298" i="1" s="1"/>
  <c r="CY79" i="1"/>
  <c r="CX80" i="1"/>
  <c r="AD80" i="1" s="1"/>
  <c r="CP51" i="1"/>
  <c r="AB38" i="1"/>
  <c r="CH413" i="1"/>
  <c r="DB145" i="1"/>
  <c r="AB18" i="1"/>
  <c r="AB16" i="1"/>
  <c r="AC13" i="1" s="1"/>
  <c r="CX91" i="1"/>
  <c r="CW92" i="1"/>
  <c r="AD73" i="1"/>
  <c r="AE74" i="1"/>
  <c r="CZ87" i="1"/>
  <c r="CY101" i="1"/>
  <c r="CZ96" i="1"/>
  <c r="CY109" i="1"/>
  <c r="CZ104" i="1"/>
  <c r="CQ13" i="1"/>
  <c r="DB40" i="1"/>
  <c r="DB53" i="1" s="1"/>
  <c r="AE53" i="1" s="1"/>
  <c r="X217" i="1"/>
  <c r="CZ26" i="1"/>
  <c r="Y217" i="1"/>
  <c r="Y200" i="1"/>
  <c r="Z217" i="1"/>
  <c r="Z200" i="1"/>
  <c r="X202" i="1"/>
  <c r="X203" i="1"/>
  <c r="AB207" i="1"/>
  <c r="AC207" i="1"/>
  <c r="CV207" i="1"/>
  <c r="CW207" i="1" s="1"/>
  <c r="CX207" i="1" s="1"/>
  <c r="CY207" i="1" s="1"/>
  <c r="AB197" i="1"/>
  <c r="CN208" i="1"/>
  <c r="CO208" i="1" s="1"/>
  <c r="CP208" i="1" s="1"/>
  <c r="CQ208" i="1" s="1"/>
  <c r="CL333" i="1" l="1"/>
  <c r="CN189" i="1"/>
  <c r="CO346" i="1"/>
  <c r="CZ330" i="1"/>
  <c r="CO307" i="1"/>
  <c r="CP307" i="1" s="1"/>
  <c r="CP369" i="1" s="1"/>
  <c r="CO292" i="1"/>
  <c r="CN295" i="1"/>
  <c r="CQ291" i="1"/>
  <c r="CN369" i="1"/>
  <c r="CJ257" i="1"/>
  <c r="CJ258" i="1"/>
  <c r="CK353" i="1"/>
  <c r="CJ333" i="1"/>
  <c r="CK154" i="1"/>
  <c r="CP347" i="1"/>
  <c r="CK155" i="1"/>
  <c r="CN351" i="1"/>
  <c r="CM352" i="1"/>
  <c r="CN416" i="1"/>
  <c r="CM373" i="1"/>
  <c r="CP350" i="1"/>
  <c r="CP346" i="1"/>
  <c r="DA284" i="1"/>
  <c r="DA330" i="1"/>
  <c r="CI370" i="1"/>
  <c r="CI368" i="1" s="1"/>
  <c r="CJ140" i="1"/>
  <c r="CJ153" i="1" s="1"/>
  <c r="CI60" i="1"/>
  <c r="CI399" i="1"/>
  <c r="CI400" i="1" s="1"/>
  <c r="CL279" i="1"/>
  <c r="CI191" i="1"/>
  <c r="CI196" i="1"/>
  <c r="CI200" i="1" s="1"/>
  <c r="CJ193" i="1"/>
  <c r="CL393" i="1"/>
  <c r="CI417" i="1"/>
  <c r="CI418" i="1" s="1"/>
  <c r="CL193" i="1"/>
  <c r="CK191" i="1"/>
  <c r="CK196" i="1"/>
  <c r="CK200" i="1" s="1"/>
  <c r="CL192" i="1"/>
  <c r="CH191" i="1"/>
  <c r="CI193" i="1"/>
  <c r="CH417" i="1"/>
  <c r="CH196" i="1"/>
  <c r="CH200" i="1" s="1"/>
  <c r="CH399" i="1"/>
  <c r="CH400" i="1" s="1"/>
  <c r="CK279" i="1"/>
  <c r="CH60" i="1"/>
  <c r="CM173" i="1"/>
  <c r="CN173" i="1" s="1"/>
  <c r="CO173" i="1" s="1"/>
  <c r="CG60" i="1"/>
  <c r="CG191" i="1"/>
  <c r="CK192" i="1"/>
  <c r="CG399" i="1"/>
  <c r="CG400" i="1" s="1"/>
  <c r="CJ279" i="1"/>
  <c r="CH193" i="1"/>
  <c r="CJ393" i="1"/>
  <c r="CG196" i="1"/>
  <c r="CG200" i="1" s="1"/>
  <c r="CL399" i="1"/>
  <c r="CL400" i="1" s="1"/>
  <c r="CL196" i="1"/>
  <c r="CL200" i="1" s="1"/>
  <c r="CL191" i="1"/>
  <c r="CL417" i="1"/>
  <c r="CL418" i="1" s="1"/>
  <c r="CJ60" i="1"/>
  <c r="CJ191" i="1"/>
  <c r="CJ399" i="1"/>
  <c r="CJ400" i="1" s="1"/>
  <c r="CK193" i="1"/>
  <c r="CJ196" i="1"/>
  <c r="CJ200" i="1" s="1"/>
  <c r="CJ417" i="1"/>
  <c r="CJ418" i="1" s="1"/>
  <c r="CF225" i="1"/>
  <c r="CE225" i="1" s="1"/>
  <c r="CG227" i="1"/>
  <c r="CG121" i="1" s="1"/>
  <c r="CI122" i="1"/>
  <c r="CI138" i="1"/>
  <c r="CI137" i="1"/>
  <c r="CI139" i="1"/>
  <c r="CH121" i="1"/>
  <c r="CH254" i="1"/>
  <c r="CH275" i="1"/>
  <c r="CH274" i="1"/>
  <c r="CO189" i="1"/>
  <c r="CK305" i="1"/>
  <c r="CK370" i="1" s="1"/>
  <c r="CK368" i="1" s="1"/>
  <c r="CM298" i="1"/>
  <c r="CN298" i="1" s="1"/>
  <c r="CO298" i="1" s="1"/>
  <c r="CP298" i="1" s="1"/>
  <c r="CY80" i="1"/>
  <c r="CZ79" i="1"/>
  <c r="AD91" i="1"/>
  <c r="AD92" i="1" s="1"/>
  <c r="CX116" i="1"/>
  <c r="AD116" i="1" s="1"/>
  <c r="AB51" i="1"/>
  <c r="AB65" i="1" s="1"/>
  <c r="AB114" i="1"/>
  <c r="AA75" i="1"/>
  <c r="AE40" i="1"/>
  <c r="AE67" i="1" s="1"/>
  <c r="CY91" i="1"/>
  <c r="CY116" i="1" s="1"/>
  <c r="CX92" i="1"/>
  <c r="AD115" i="1"/>
  <c r="CO369" i="1"/>
  <c r="DA87" i="1"/>
  <c r="CZ101" i="1"/>
  <c r="DA96" i="1"/>
  <c r="CZ109" i="1"/>
  <c r="DA104" i="1"/>
  <c r="CQ15" i="1"/>
  <c r="DA26" i="1"/>
  <c r="DB26" i="1" s="1"/>
  <c r="AE26" i="1" s="1"/>
  <c r="Y202" i="1"/>
  <c r="Y203" i="1"/>
  <c r="Y205" i="1" s="1"/>
  <c r="Z203" i="1"/>
  <c r="AA205" i="1" s="1"/>
  <c r="Z202" i="1"/>
  <c r="CM349" i="1"/>
  <c r="X401" i="1"/>
  <c r="X204" i="1"/>
  <c r="X412" i="1" s="1"/>
  <c r="X210" i="1"/>
  <c r="X119" i="1" s="1"/>
  <c r="AD207" i="1"/>
  <c r="AB208" i="1"/>
  <c r="CZ207" i="1"/>
  <c r="DA207" i="1" s="1"/>
  <c r="DB207" i="1" s="1"/>
  <c r="AE207" i="1" s="1"/>
  <c r="AC197" i="1"/>
  <c r="CR208" i="1"/>
  <c r="CS208" i="1" s="1"/>
  <c r="CT208" i="1" s="1"/>
  <c r="CU208" i="1" s="1"/>
  <c r="W6" i="6" a="1"/>
  <c r="EM7" i="4" a="1"/>
  <c r="EL6" i="4" a="1"/>
  <c r="EW7" i="4" a="1"/>
  <c r="E6" i="6" a="1"/>
  <c r="ES8" i="4" a="1"/>
  <c r="EV7" i="4" a="1"/>
  <c r="ES14" i="4" a="1"/>
  <c r="EV14" i="4" a="1"/>
  <c r="AB6" i="6" a="1"/>
  <c r="EU6" i="4" a="1"/>
  <c r="EL7" i="4" a="1"/>
  <c r="EM6" i="4" a="1"/>
  <c r="AW5" i="6" a="1"/>
  <c r="EM8" i="4" a="1"/>
  <c r="EW5" i="4" a="1"/>
  <c r="AB5" i="6" a="1"/>
  <c r="F5" i="6" a="1"/>
  <c r="EW15" i="4" a="1"/>
  <c r="J5" i="6" a="1"/>
  <c r="EP7" i="4" a="1"/>
  <c r="EP16" i="4" a="1"/>
  <c r="EM15" i="4" a="1"/>
  <c r="ER13" i="4" a="1"/>
  <c r="AE5" i="6" a="1"/>
  <c r="EP14" i="4" a="1"/>
  <c r="AI6" i="6" a="1"/>
  <c r="V6" i="6" a="1"/>
  <c r="L5" i="6" a="1"/>
  <c r="ER16" i="4" a="1"/>
  <c r="EU12" i="4" a="1"/>
  <c r="AG5" i="6" a="1"/>
  <c r="ET8" i="4" a="1"/>
  <c r="K5" i="6" a="1"/>
  <c r="AT5" i="6" a="1"/>
  <c r="EL15" i="4" a="1"/>
  <c r="AW6" i="6" a="1"/>
  <c r="EL11" i="4" a="1"/>
  <c r="AF6" i="6" a="1"/>
  <c r="EV11" i="4" a="1"/>
  <c r="AI5" i="6" a="1"/>
  <c r="AD5" i="6" a="1"/>
  <c r="AR6" i="6" a="1"/>
  <c r="EM9" i="4" a="1"/>
  <c r="EW6" i="4" a="1"/>
  <c r="P6" i="6" a="1"/>
  <c r="EO5" i="4" a="1"/>
  <c r="EO15" i="4" a="1"/>
  <c r="EO16" i="4" a="1"/>
  <c r="AS5" i="6" a="1"/>
  <c r="T6" i="6" a="1"/>
  <c r="EV12" i="4" a="1"/>
  <c r="U6" i="6" a="1"/>
  <c r="EQ7" i="4" a="1"/>
  <c r="ER14" i="4" a="1"/>
  <c r="ET6" i="4" a="1"/>
  <c r="EO7" i="4" a="1"/>
  <c r="EQ16" i="4" a="1"/>
  <c r="EO14" i="4" a="1"/>
  <c r="EU11" i="4" a="1"/>
  <c r="C6" i="4" a="1"/>
  <c r="EO8" i="4" a="1"/>
  <c r="EP13" i="4" a="1"/>
  <c r="EU9" i="4" a="1"/>
  <c r="AA5" i="6" a="1"/>
  <c r="X6" i="6" a="1"/>
  <c r="EQ14" i="4" a="1"/>
  <c r="AU5" i="6" a="1"/>
  <c r="ER12" i="4" a="1"/>
  <c r="AO6" i="6" a="1"/>
  <c r="G6" i="6" a="1"/>
  <c r="ET5" i="4" a="1"/>
  <c r="EW11" i="4" a="1"/>
  <c r="AV6" i="6" a="1"/>
  <c r="AA6" i="6" a="1"/>
  <c r="EW9" i="4" a="1"/>
  <c r="S6" i="6" a="1"/>
  <c r="EL13" i="4" a="1"/>
  <c r="AT6" i="6" a="1"/>
  <c r="ES13" i="4" a="1"/>
  <c r="P5" i="6" a="1"/>
  <c r="EQ13" i="4" a="1"/>
  <c r="EN9" i="4" a="1"/>
  <c r="D6" i="6" a="1"/>
  <c r="U5" i="6" a="1"/>
  <c r="AK5" i="6" a="1"/>
  <c r="EP5" i="4" a="1"/>
  <c r="EN6" i="4" a="1"/>
  <c r="EQ12" i="4" a="1"/>
  <c r="ES7" i="4" a="1"/>
  <c r="I5" i="6" a="1"/>
  <c r="EL9" i="4" a="1"/>
  <c r="AM5" i="6" a="1"/>
  <c r="L6" i="6" a="1"/>
  <c r="EP11" i="4" a="1"/>
  <c r="EW16" i="4" a="1"/>
  <c r="AH5" i="6" a="1"/>
  <c r="ET7" i="4" a="1"/>
  <c r="T5" i="6" a="1"/>
  <c r="EO13" i="4" a="1"/>
  <c r="EP8" i="4" a="1"/>
  <c r="ET12" i="4" a="1"/>
  <c r="EL8" i="4" a="1"/>
  <c r="AJ5" i="6" a="1"/>
  <c r="EN8" i="4" a="1"/>
  <c r="H6" i="6" a="1"/>
  <c r="O5" i="6" a="1"/>
  <c r="EP12" i="4" a="1"/>
  <c r="EO12" i="4" a="1"/>
  <c r="EN15" i="4" a="1"/>
  <c r="EW12" i="4" a="1"/>
  <c r="EQ11" i="4" a="1"/>
  <c r="C5" i="6" a="1"/>
  <c r="AG6" i="6" a="1"/>
  <c r="EN16" i="4" a="1"/>
  <c r="AN5" i="6" a="1"/>
  <c r="EP15" i="4" a="1"/>
  <c r="EU14" i="4" a="1"/>
  <c r="ER15" i="4" a="1"/>
  <c r="EW14" i="4" a="1"/>
  <c r="EQ6" i="4" a="1"/>
  <c r="EV15" i="4" a="1"/>
  <c r="ET16" i="4" a="1"/>
  <c r="EU13" i="4" a="1"/>
  <c r="ES11" i="4" a="1"/>
  <c r="EO9" i="4" a="1"/>
  <c r="AY5" i="6" a="1"/>
  <c r="AN6" i="6" a="1"/>
  <c r="EM11" i="4" a="1"/>
  <c r="R6" i="6" a="1"/>
  <c r="S5" i="6" a="1"/>
  <c r="AC6" i="6" a="1"/>
  <c r="EQ15" i="4" a="1"/>
  <c r="AP6" i="6" a="1"/>
  <c r="EN14" i="4" a="1"/>
  <c r="EL12" i="4" a="1"/>
  <c r="ER8" i="4" a="1"/>
  <c r="EL5" i="4" a="1"/>
  <c r="EO6" i="4" a="1"/>
  <c r="M6" i="6" a="1"/>
  <c r="AV5" i="6" a="1"/>
  <c r="EQ5" i="4" a="1"/>
  <c r="V5" i="6" a="1"/>
  <c r="AS6" i="6" a="1"/>
  <c r="EU16" i="4" a="1"/>
  <c r="EU5" i="4" a="1"/>
  <c r="ES12" i="4" a="1"/>
  <c r="ET13" i="4" a="1"/>
  <c r="AJ6" i="6" a="1"/>
  <c r="AX5" i="6" a="1"/>
  <c r="ET9" i="4" a="1"/>
  <c r="ER9" i="4" a="1"/>
  <c r="ES16" i="4" a="1"/>
  <c r="ET11" i="4" a="1"/>
  <c r="X5" i="6" a="1"/>
  <c r="AU6" i="6" a="1"/>
  <c r="AF5" i="6" a="1"/>
  <c r="AE6" i="6" a="1"/>
  <c r="EL16" i="4" a="1"/>
  <c r="EU7" i="4" a="1"/>
  <c r="EO11" i="4" a="1"/>
  <c r="N6" i="6" a="1"/>
  <c r="ES6" i="4" a="1"/>
  <c r="EM12" i="4" a="1"/>
  <c r="ES5" i="4" a="1"/>
  <c r="EU15" i="4" a="1"/>
  <c r="AL6" i="6" a="1"/>
  <c r="EV6" i="4" a="1"/>
  <c r="ER7" i="4" a="1"/>
  <c r="AM6" i="6" a="1"/>
  <c r="K6" i="6" a="1"/>
  <c r="G5" i="6" a="1"/>
  <c r="AD6" i="6" a="1"/>
  <c r="EV8" i="4" a="1"/>
  <c r="Q6" i="6" a="1"/>
  <c r="AX6" i="6" a="1"/>
  <c r="Q5" i="6" a="1"/>
  <c r="ET14" i="4" a="1"/>
  <c r="AH6" i="6" a="1"/>
  <c r="Y6" i="6" a="1"/>
  <c r="Z5" i="6" a="1"/>
  <c r="J6" i="6" a="1"/>
  <c r="EQ8" i="4" a="1"/>
  <c r="R5" i="6" a="1"/>
  <c r="M5" i="6" a="1"/>
  <c r="EM16" i="4" a="1"/>
  <c r="EN12" i="4" a="1"/>
  <c r="AR5" i="6" a="1"/>
  <c r="AQ5" i="6" a="1"/>
  <c r="EL14" i="4" a="1"/>
  <c r="E5" i="6" a="1"/>
  <c r="AK6" i="6" a="1"/>
  <c r="EN5" i="4" a="1"/>
  <c r="ER6" i="4" a="1"/>
  <c r="Z6" i="6" a="1"/>
  <c r="Y5" i="6" a="1"/>
  <c r="EQ9" i="4" a="1"/>
  <c r="D5" i="6" a="1"/>
  <c r="EU8" i="4" a="1"/>
  <c r="EW13" i="4" a="1"/>
  <c r="I6" i="6" a="1"/>
  <c r="ES15" i="4" a="1"/>
  <c r="EV16" i="4" a="1"/>
  <c r="EM13" i="4" a="1"/>
  <c r="EM14" i="4" a="1"/>
  <c r="N5" i="6" a="1"/>
  <c r="ER5" i="4" a="1"/>
  <c r="EV9" i="4" a="1"/>
  <c r="EN7" i="4" a="1"/>
  <c r="EM5" i="4" a="1"/>
  <c r="ET15" i="4" a="1"/>
  <c r="AO5" i="6" a="1"/>
  <c r="AC5" i="6" a="1"/>
  <c r="H5" i="6" a="1"/>
  <c r="EN13" i="4" a="1"/>
  <c r="C6" i="6" a="1"/>
  <c r="EP9" i="4" a="1"/>
  <c r="ER11" i="4" a="1"/>
  <c r="AL5" i="6" a="1"/>
  <c r="EV5" i="4" a="1"/>
  <c r="ES9" i="4" a="1"/>
  <c r="EN11" i="4" a="1"/>
  <c r="AP5" i="6" a="1"/>
  <c r="C5" i="4" a="1"/>
  <c r="F6" i="6" a="1"/>
  <c r="AY6" i="6" a="1"/>
  <c r="O6" i="6" a="1"/>
  <c r="EP6" i="4" a="1"/>
  <c r="EV13" i="4" a="1"/>
  <c r="AQ6" i="6" a="1"/>
  <c r="W5" i="6" a="1"/>
  <c r="EW8" i="4" a="1"/>
  <c r="AZ31" i="3"/>
  <c r="AW11" i="3"/>
  <c r="AT18" i="3"/>
  <c r="AW35" i="3"/>
  <c r="AZ27" i="3"/>
  <c r="AS20" i="3"/>
  <c r="AU34" i="3"/>
  <c r="AS21" i="3"/>
  <c r="AU23" i="3"/>
  <c r="AS41" i="3"/>
  <c r="AS19" i="3"/>
  <c r="AY30" i="3"/>
  <c r="AZ19" i="3"/>
  <c r="AT35" i="3"/>
  <c r="AS24" i="3"/>
  <c r="AT14" i="3"/>
  <c r="AT27" i="3"/>
  <c r="AV45" i="3"/>
  <c r="AT40" i="3"/>
  <c r="AY14" i="3"/>
  <c r="AS6" i="3"/>
  <c r="AF46" i="3"/>
  <c r="AV20" i="3"/>
  <c r="AV22" i="3"/>
  <c r="AX45" i="3"/>
  <c r="AY27" i="3"/>
  <c r="AW12" i="3"/>
  <c r="AT17" i="3"/>
  <c r="AX39" i="3"/>
  <c r="AT9" i="3"/>
  <c r="AW46" i="3"/>
  <c r="AX41" i="3"/>
  <c r="AZ21" i="3"/>
  <c r="AF17" i="3"/>
  <c r="AZ7" i="3"/>
  <c r="AZ45" i="3"/>
  <c r="AY25" i="3"/>
  <c r="AF31" i="3"/>
  <c r="AU15" i="3"/>
  <c r="AZ20" i="3"/>
  <c r="AS11" i="3"/>
  <c r="AV38" i="3"/>
  <c r="AU12" i="3"/>
  <c r="AF33" i="3"/>
  <c r="AY12" i="3"/>
  <c r="AW45" i="3"/>
  <c r="AF20" i="3"/>
  <c r="AS12" i="3"/>
  <c r="AV11" i="3"/>
  <c r="AF15" i="3"/>
  <c r="F45" i="3"/>
  <c r="AW6" i="3"/>
  <c r="AZ33" i="3"/>
  <c r="AS26" i="3"/>
  <c r="AV40" i="3"/>
  <c r="AV27" i="3"/>
  <c r="AV18" i="3"/>
  <c r="AS32" i="3"/>
  <c r="AZ26" i="3"/>
  <c r="AW14" i="3"/>
  <c r="AW21" i="3"/>
  <c r="AV36" i="3"/>
  <c r="AT28" i="3"/>
  <c r="AS5" i="3"/>
  <c r="AF32" i="3"/>
  <c r="AY19" i="3"/>
  <c r="AY31" i="3"/>
  <c r="AS10" i="3"/>
  <c r="AX42" i="3"/>
  <c r="AX13" i="3"/>
  <c r="AW42" i="3"/>
  <c r="AP7" i="3"/>
  <c r="AS34" i="3"/>
  <c r="AF25" i="3"/>
  <c r="AV39" i="3"/>
  <c r="AW9" i="3"/>
  <c r="AS27" i="3"/>
  <c r="AV37" i="3"/>
  <c r="AT42" i="3"/>
  <c r="AS23" i="3"/>
  <c r="AS35" i="3"/>
  <c r="AX21" i="3"/>
  <c r="AW17" i="3"/>
  <c r="AY10" i="3"/>
  <c r="AU41" i="3"/>
  <c r="AX15" i="3"/>
  <c r="AY20" i="3"/>
  <c r="AW15" i="3"/>
  <c r="AX31" i="3"/>
  <c r="AF42" i="3"/>
  <c r="AU35" i="3"/>
  <c r="AV12" i="3"/>
  <c r="AZ10" i="3"/>
  <c r="AT12" i="3"/>
  <c r="AU29" i="3"/>
  <c r="AU14" i="3"/>
  <c r="AW25" i="3"/>
  <c r="AT24" i="3"/>
  <c r="AZ24" i="3"/>
  <c r="AS13" i="3"/>
  <c r="AV25" i="3"/>
  <c r="AV30" i="3"/>
  <c r="AV16" i="3"/>
  <c r="AF8" i="3"/>
  <c r="AV35" i="3"/>
  <c r="AY17" i="3"/>
  <c r="AZ38" i="3"/>
  <c r="AY45" i="3"/>
  <c r="AF41" i="3"/>
  <c r="AT22" i="3"/>
  <c r="AX9" i="3"/>
  <c r="AZ29" i="3"/>
  <c r="AT21" i="3"/>
  <c r="AW22" i="3"/>
  <c r="AT20" i="3"/>
  <c r="AU38" i="3"/>
  <c r="AW5" i="3"/>
  <c r="AZ39" i="3"/>
  <c r="AV42" i="3"/>
  <c r="AP6" i="3"/>
  <c r="AU10" i="3"/>
  <c r="AF22" i="3"/>
  <c r="AW36" i="3"/>
  <c r="AW18" i="3"/>
  <c r="AU36" i="3"/>
  <c r="AX37" i="3"/>
  <c r="AV26" i="3"/>
  <c r="AS42" i="3"/>
  <c r="AS7" i="3"/>
  <c r="AV28" i="3"/>
  <c r="AF23" i="3"/>
  <c r="AU27" i="3"/>
  <c r="AX36" i="3"/>
  <c r="AY9" i="3"/>
  <c r="AT36" i="3"/>
  <c r="AW30" i="3"/>
  <c r="AW23" i="3"/>
  <c r="AY11" i="3"/>
  <c r="AT37" i="3"/>
  <c r="AF40" i="3"/>
  <c r="AX27" i="3"/>
  <c r="AF37" i="3"/>
  <c r="AU28" i="3"/>
  <c r="AX14" i="3"/>
  <c r="AW27" i="3"/>
  <c r="AZ5" i="3"/>
  <c r="AZ17" i="3"/>
  <c r="AU17" i="3"/>
  <c r="AV19" i="3"/>
  <c r="AT33" i="3"/>
  <c r="AU39" i="3"/>
  <c r="AR5" i="3"/>
  <c r="AY42" i="3"/>
  <c r="AV41" i="3"/>
  <c r="AT45" i="3"/>
  <c r="AW10" i="3"/>
  <c r="AF35" i="3"/>
  <c r="AT39" i="3"/>
  <c r="AX11" i="3"/>
  <c r="AY26" i="3"/>
  <c r="AZ9" i="3"/>
  <c r="AS25" i="3"/>
  <c r="AY33" i="3"/>
  <c r="AV23" i="3"/>
  <c r="AS14" i="3"/>
  <c r="AU18" i="3"/>
  <c r="AY15" i="3"/>
  <c r="AV33" i="3"/>
  <c r="AW13" i="3"/>
  <c r="AF28" i="3"/>
  <c r="AV9" i="3"/>
  <c r="AY38" i="3"/>
  <c r="AV21" i="3"/>
  <c r="AS45" i="3"/>
  <c r="AF30" i="3"/>
  <c r="AZ28" i="3"/>
  <c r="AU5" i="3"/>
  <c r="AX26" i="3"/>
  <c r="AT31" i="3"/>
  <c r="AU45" i="3"/>
  <c r="AZ41" i="3"/>
  <c r="AU22" i="3"/>
  <c r="AZ12" i="3"/>
  <c r="AX5" i="3"/>
  <c r="AX7" i="3"/>
  <c r="AX19" i="3"/>
  <c r="F46" i="3"/>
  <c r="AS40" i="3"/>
  <c r="AU26" i="3"/>
  <c r="AZ36" i="3"/>
  <c r="AV34" i="3"/>
  <c r="AU31" i="3"/>
  <c r="AY40" i="3"/>
  <c r="AZ40" i="3"/>
  <c r="AT41" i="3"/>
  <c r="AF45" i="3"/>
  <c r="AZ14" i="3"/>
  <c r="AT16" i="3"/>
  <c r="AV13" i="3"/>
  <c r="AW16" i="3"/>
  <c r="AF39" i="3"/>
  <c r="AT25" i="3"/>
  <c r="C5" i="3"/>
  <c r="AV7" i="3"/>
  <c r="AF7" i="3"/>
  <c r="AZ23" i="3"/>
  <c r="AU20" i="3"/>
  <c r="AX20" i="3"/>
  <c r="AZ22" i="3"/>
  <c r="AU11" i="3"/>
  <c r="AW24" i="3"/>
  <c r="AX35" i="3"/>
  <c r="AF10" i="3"/>
  <c r="AT23" i="3"/>
  <c r="AF12" i="3"/>
  <c r="AZ6" i="3"/>
  <c r="AU8" i="3"/>
  <c r="AZ15" i="3"/>
  <c r="AS30" i="3"/>
  <c r="AY37" i="3"/>
  <c r="AV5" i="3"/>
  <c r="AS29" i="3"/>
  <c r="AU33" i="3"/>
  <c r="AY34" i="3"/>
  <c r="AB5" i="3"/>
  <c r="AS15" i="3"/>
  <c r="AY35" i="3"/>
  <c r="AY16" i="3"/>
  <c r="AY32" i="3"/>
  <c r="AU46" i="3"/>
  <c r="AT30" i="3"/>
  <c r="AX30" i="3"/>
  <c r="AV24" i="3"/>
  <c r="AZ35" i="3"/>
  <c r="AF27" i="3"/>
  <c r="AZ32" i="3"/>
  <c r="AU19" i="3"/>
  <c r="AF38" i="3"/>
  <c r="AX34" i="3"/>
  <c r="AY7" i="3"/>
  <c r="AF24" i="3"/>
  <c r="AU32" i="3"/>
  <c r="AW33" i="3"/>
  <c r="AX32" i="3"/>
  <c r="AZ16" i="3"/>
  <c r="AV15" i="3"/>
  <c r="AT8" i="3"/>
  <c r="AX8" i="3"/>
  <c r="AW8" i="3"/>
  <c r="AX29" i="3"/>
  <c r="AW28" i="3"/>
  <c r="AX46" i="3"/>
  <c r="AV32" i="3"/>
  <c r="AT38" i="3"/>
  <c r="AS28" i="3"/>
  <c r="AX16" i="3"/>
  <c r="AU7" i="3"/>
  <c r="AW7" i="3"/>
  <c r="AY5" i="3"/>
  <c r="AR6" i="3"/>
  <c r="AX12" i="3"/>
  <c r="AX23" i="3"/>
  <c r="AT19" i="3"/>
  <c r="AT7" i="3"/>
  <c r="AZ34" i="3"/>
  <c r="AW20" i="3"/>
  <c r="AF34" i="3"/>
  <c r="AU24" i="3"/>
  <c r="AW41" i="3"/>
  <c r="AT15" i="3"/>
  <c r="AZ30" i="3"/>
  <c r="AT11" i="3"/>
  <c r="AS38" i="3"/>
  <c r="AZ46" i="3"/>
  <c r="AT29" i="3"/>
  <c r="AV8" i="3"/>
  <c r="AS36" i="3"/>
  <c r="AF16" i="3"/>
  <c r="AX22" i="3"/>
  <c r="AX33" i="3"/>
  <c r="AF13" i="3"/>
  <c r="AV46" i="3"/>
  <c r="AV6" i="3"/>
  <c r="AX17" i="3"/>
  <c r="AF29" i="3"/>
  <c r="AS33" i="3"/>
  <c r="AV17" i="3"/>
  <c r="AX38" i="3"/>
  <c r="AF5" i="3"/>
  <c r="AF6" i="3"/>
  <c r="AF21" i="3"/>
  <c r="AW31" i="3"/>
  <c r="AT32" i="3"/>
  <c r="AF18" i="3"/>
  <c r="AT10" i="3"/>
  <c r="AZ18" i="3"/>
  <c r="AS31" i="3"/>
  <c r="AY46" i="3"/>
  <c r="AY18" i="3"/>
  <c r="AY22" i="3"/>
  <c r="AY39" i="3"/>
  <c r="AY24" i="3"/>
  <c r="AU37" i="3"/>
  <c r="AW37" i="3"/>
  <c r="AU25" i="3"/>
  <c r="AW39" i="3"/>
  <c r="AX24" i="3"/>
  <c r="AW38" i="3"/>
  <c r="AY6" i="3"/>
  <c r="AW26" i="3"/>
  <c r="AS9" i="3"/>
  <c r="AZ11" i="3"/>
  <c r="AY21" i="3"/>
  <c r="AS46" i="3"/>
  <c r="AU6" i="3"/>
  <c r="AF14" i="3"/>
  <c r="AV29" i="3"/>
  <c r="AF19" i="3"/>
  <c r="AS39" i="3"/>
  <c r="AX18" i="3"/>
  <c r="AU21" i="3"/>
  <c r="AP5" i="3"/>
  <c r="AF26" i="3"/>
  <c r="AT5" i="3"/>
  <c r="AS8" i="3"/>
  <c r="AY13" i="3"/>
  <c r="AX28" i="3"/>
  <c r="AS16" i="3"/>
  <c r="AV31" i="3"/>
  <c r="AW29" i="3"/>
  <c r="AF36" i="3"/>
  <c r="AZ25" i="3"/>
  <c r="AW34" i="3"/>
  <c r="AY23" i="3"/>
  <c r="AU9" i="3"/>
  <c r="AX6" i="3"/>
  <c r="AS22" i="3"/>
  <c r="AY36" i="3"/>
  <c r="AF11" i="3"/>
  <c r="AT34" i="3"/>
  <c r="AW19" i="3"/>
  <c r="AU30" i="3"/>
  <c r="AX25" i="3"/>
  <c r="AS18" i="3"/>
  <c r="AZ8" i="3"/>
  <c r="AV14" i="3"/>
  <c r="AT46" i="3"/>
  <c r="AU16" i="3"/>
  <c r="AY8" i="3"/>
  <c r="AX10" i="3"/>
  <c r="AU13" i="3"/>
  <c r="AU42" i="3"/>
  <c r="AZ13" i="3"/>
  <c r="AT13" i="3"/>
  <c r="AY28" i="3"/>
  <c r="AX40" i="3"/>
  <c r="AZ37" i="3"/>
  <c r="AT26" i="3"/>
  <c r="AR7" i="3"/>
  <c r="AZ42" i="3"/>
  <c r="AT6" i="3"/>
  <c r="AY41" i="3"/>
  <c r="AS17" i="3"/>
  <c r="AW40" i="3"/>
  <c r="AF9" i="3"/>
  <c r="AU40" i="3"/>
  <c r="AW32" i="3"/>
  <c r="AS37" i="3"/>
  <c r="CN352" i="1" l="1"/>
  <c r="CO351" i="1"/>
  <c r="CM353" i="1"/>
  <c r="CP292" i="1"/>
  <c r="CO295" i="1"/>
  <c r="CO416" i="1" s="1"/>
  <c r="CN373" i="1"/>
  <c r="CR291" i="1"/>
  <c r="CQ307" i="1"/>
  <c r="CQ369" i="1" s="1"/>
  <c r="CQ346" i="1"/>
  <c r="CQ350" i="1"/>
  <c r="CQ347" i="1"/>
  <c r="DB284" i="1"/>
  <c r="DB330" i="1"/>
  <c r="CP189" i="1"/>
  <c r="CF227" i="1"/>
  <c r="CF121" i="1" s="1"/>
  <c r="CH278" i="1"/>
  <c r="CH271" i="1"/>
  <c r="CH277" i="1"/>
  <c r="CH270" i="1"/>
  <c r="Z401" i="1"/>
  <c r="CJ154" i="1"/>
  <c r="CJ155" i="1"/>
  <c r="CI140" i="1"/>
  <c r="CI155" i="1" s="1"/>
  <c r="CL202" i="1"/>
  <c r="CL203" i="1"/>
  <c r="CJ203" i="1"/>
  <c r="CJ202" i="1"/>
  <c r="CI202" i="1"/>
  <c r="CI203" i="1"/>
  <c r="CK203" i="1"/>
  <c r="CK202" i="1"/>
  <c r="CN202" i="1" s="1"/>
  <c r="CO202" i="1" s="1"/>
  <c r="CP202" i="1" s="1"/>
  <c r="CQ202" i="1" s="1"/>
  <c r="CR202" i="1" s="1"/>
  <c r="CS202" i="1" s="1"/>
  <c r="CT202" i="1" s="1"/>
  <c r="CU202" i="1" s="1"/>
  <c r="CV202" i="1" s="1"/>
  <c r="CW202" i="1" s="1"/>
  <c r="CX202" i="1" s="1"/>
  <c r="CY202" i="1" s="1"/>
  <c r="CZ202" i="1" s="1"/>
  <c r="DA202" i="1" s="1"/>
  <c r="DB202" i="1" s="1"/>
  <c r="CG202" i="1"/>
  <c r="CG203" i="1"/>
  <c r="CH202" i="1"/>
  <c r="CH203" i="1"/>
  <c r="CI154" i="1"/>
  <c r="CH256" i="1"/>
  <c r="CH257" i="1"/>
  <c r="CH258" i="1"/>
  <c r="CH122" i="1"/>
  <c r="CH139" i="1"/>
  <c r="CH138" i="1"/>
  <c r="CH137" i="1"/>
  <c r="CG139" i="1"/>
  <c r="CG138" i="1"/>
  <c r="CG137" i="1"/>
  <c r="CG122" i="1"/>
  <c r="CD225" i="1"/>
  <c r="CE227" i="1"/>
  <c r="CE121" i="1" s="1"/>
  <c r="CL370" i="1"/>
  <c r="CL368" i="1" s="1"/>
  <c r="CP173" i="1"/>
  <c r="CQ189" i="1"/>
  <c r="CR189" i="1" s="1"/>
  <c r="CQ298" i="1"/>
  <c r="CR298" i="1" s="1"/>
  <c r="CS298" i="1" s="1"/>
  <c r="CT298" i="1" s="1"/>
  <c r="AB298" i="1"/>
  <c r="DA79" i="1"/>
  <c r="CZ80" i="1"/>
  <c r="AA71" i="1"/>
  <c r="CQ38" i="1"/>
  <c r="CQ51" i="1" s="1"/>
  <c r="CF122" i="1"/>
  <c r="CF137" i="1"/>
  <c r="CF139" i="1"/>
  <c r="CF138" i="1"/>
  <c r="CZ91" i="1"/>
  <c r="CZ116" i="1" s="1"/>
  <c r="CY92" i="1"/>
  <c r="DB87" i="1"/>
  <c r="AE87" i="1" s="1"/>
  <c r="DB96" i="1"/>
  <c r="DB101" i="1" s="1"/>
  <c r="DA101" i="1"/>
  <c r="DB104" i="1"/>
  <c r="AE104" i="1" s="1"/>
  <c r="AE109" i="1" s="1"/>
  <c r="DA109" i="1"/>
  <c r="CQ16" i="1"/>
  <c r="Z204" i="1"/>
  <c r="Z412" i="1" s="1"/>
  <c r="Z210" i="1"/>
  <c r="Z216" i="1" s="1"/>
  <c r="Y401" i="1"/>
  <c r="Y204" i="1"/>
  <c r="Y412" i="1" s="1"/>
  <c r="Z205" i="1"/>
  <c r="Y210" i="1"/>
  <c r="CP351" i="1"/>
  <c r="CO352" i="1"/>
  <c r="CN349" i="1"/>
  <c r="CN353" i="1" s="1"/>
  <c r="CQ292" i="1"/>
  <c r="CP295" i="1"/>
  <c r="CP416" i="1" s="1"/>
  <c r="CO373" i="1"/>
  <c r="BY179" i="1"/>
  <c r="CA165" i="1"/>
  <c r="CE179" i="1"/>
  <c r="CA179" i="1"/>
  <c r="CF179" i="1"/>
  <c r="CD179" i="1"/>
  <c r="BZ179" i="1"/>
  <c r="BL179" i="1"/>
  <c r="CC179" i="1"/>
  <c r="CB179" i="1"/>
  <c r="CF165" i="1"/>
  <c r="CD165" i="1"/>
  <c r="BY165" i="1"/>
  <c r="CE165" i="1"/>
  <c r="BZ165" i="1"/>
  <c r="CC165" i="1"/>
  <c r="CB165" i="1"/>
  <c r="BL165" i="1"/>
  <c r="X360" i="1"/>
  <c r="X362" i="1" s="1"/>
  <c r="X214" i="1"/>
  <c r="X216" i="1"/>
  <c r="CD182" i="1"/>
  <c r="CC207" i="1"/>
  <c r="CA164" i="1"/>
  <c r="CD201" i="1"/>
  <c r="AH7" i="6" s="1"/>
  <c r="CD197" i="1"/>
  <c r="CF198" i="1"/>
  <c r="BY207" i="1"/>
  <c r="BL207" i="1"/>
  <c r="CD208" i="1"/>
  <c r="AV7" i="6" s="1"/>
  <c r="CB177" i="1"/>
  <c r="R7" i="6" s="1"/>
  <c r="X7" i="6" s="1"/>
  <c r="CD207" i="1"/>
  <c r="CD171" i="1"/>
  <c r="V7" i="6" s="1"/>
  <c r="BY171" i="1"/>
  <c r="CB164" i="1"/>
  <c r="BY213" i="1"/>
  <c r="BL164" i="1"/>
  <c r="BL46" i="1" s="1"/>
  <c r="AW7" i="6" s="1"/>
  <c r="BY178" i="1"/>
  <c r="CA169" i="1"/>
  <c r="CB180" i="1"/>
  <c r="BZ198" i="1"/>
  <c r="O7" i="6" s="1"/>
  <c r="BL209" i="1"/>
  <c r="AQ7" i="6" s="1"/>
  <c r="CF164" i="1"/>
  <c r="CF46" i="1" s="1"/>
  <c r="JJ9" i="4" s="1"/>
  <c r="BY208" i="1"/>
  <c r="AM7" i="6" s="1"/>
  <c r="JM16" i="4" s="1"/>
  <c r="CF209" i="1"/>
  <c r="CA181" i="1"/>
  <c r="BL180" i="1"/>
  <c r="BL208" i="1"/>
  <c r="CF197" i="1"/>
  <c r="BL198" i="1"/>
  <c r="BZ207" i="1"/>
  <c r="CC182" i="1"/>
  <c r="CC178" i="1"/>
  <c r="JM9" i="4" s="1"/>
  <c r="CA178" i="1"/>
  <c r="JL16" i="4" s="1"/>
  <c r="BZ181" i="1"/>
  <c r="CB178" i="1"/>
  <c r="CC169" i="1"/>
  <c r="JK16" i="4" s="1"/>
  <c r="CA213" i="1"/>
  <c r="BZ170" i="1"/>
  <c r="CE171" i="1"/>
  <c r="CC170" i="1"/>
  <c r="C7" i="6" s="1"/>
  <c r="T7" i="6" s="1"/>
  <c r="BY181" i="1"/>
  <c r="CC208" i="1"/>
  <c r="CC164" i="1"/>
  <c r="CB197" i="1"/>
  <c r="JL9" i="4" s="1"/>
  <c r="CF201" i="1"/>
  <c r="AL7" i="6" s="1"/>
  <c r="BZ194" i="1"/>
  <c r="BZ197" i="1"/>
  <c r="J7" i="6" s="1"/>
  <c r="BY209" i="1"/>
  <c r="Z7" i="6" s="1"/>
  <c r="BL177" i="1"/>
  <c r="CF169" i="1"/>
  <c r="CF180" i="1"/>
  <c r="BZ169" i="1"/>
  <c r="CA171" i="1"/>
  <c r="CD170" i="1"/>
  <c r="BL178" i="1"/>
  <c r="BY170" i="1"/>
  <c r="CE194" i="1"/>
  <c r="AD7" i="6" s="1"/>
  <c r="CF182" i="1"/>
  <c r="CE177" i="1"/>
  <c r="CA209" i="1"/>
  <c r="CD198" i="1"/>
  <c r="CB181" i="1"/>
  <c r="CD209" i="1"/>
  <c r="AP7" i="6" s="1"/>
  <c r="Y7" i="6" s="1"/>
  <c r="CA182" i="1"/>
  <c r="AA7" i="6" s="1"/>
  <c r="AJ7" i="6" s="1"/>
  <c r="BY164" i="1"/>
  <c r="BY46" i="1" s="1"/>
  <c r="BY180" i="1"/>
  <c r="CB201" i="1"/>
  <c r="CE182" i="1"/>
  <c r="I7" i="6" s="1"/>
  <c r="AK7" i="6" s="1"/>
  <c r="CE170" i="1"/>
  <c r="K7" i="6" s="1"/>
  <c r="F7" i="6" s="1"/>
  <c r="CB207" i="1"/>
  <c r="CF181" i="1"/>
  <c r="AC7" i="6" s="1"/>
  <c r="AE7" i="6" s="1"/>
  <c r="M7" i="6" s="1"/>
  <c r="Q7" i="6" s="1"/>
  <c r="CA208" i="1"/>
  <c r="BZ208" i="1"/>
  <c r="CA198" i="1"/>
  <c r="CF208" i="1"/>
  <c r="AU7" i="6" s="1"/>
  <c r="BL171" i="1"/>
  <c r="CE181" i="1"/>
  <c r="CB194" i="1"/>
  <c r="CC209" i="1"/>
  <c r="CC213" i="1"/>
  <c r="AX7" i="6" s="1"/>
  <c r="BZ180" i="1"/>
  <c r="AT7" i="6" s="1"/>
  <c r="S7" i="6" s="1"/>
  <c r="BY169" i="1"/>
  <c r="CE197" i="1"/>
  <c r="CA207" i="1"/>
  <c r="CB209" i="1"/>
  <c r="CA197" i="1"/>
  <c r="CF213" i="1"/>
  <c r="CF178" i="1"/>
  <c r="CA177" i="1"/>
  <c r="AN7" i="6" s="1"/>
  <c r="CE208" i="1"/>
  <c r="CC171" i="1"/>
  <c r="CE213" i="1"/>
  <c r="CF171" i="1"/>
  <c r="G7" i="6" s="1"/>
  <c r="BL194" i="1"/>
  <c r="AF7" i="6" s="1"/>
  <c r="CC177" i="1"/>
  <c r="CD177" i="1"/>
  <c r="JJ16" i="4" s="1"/>
  <c r="BY182" i="1"/>
  <c r="CB208" i="1"/>
  <c r="CE164" i="1"/>
  <c r="CE46" i="1" s="1"/>
  <c r="AB7" i="6" s="1"/>
  <c r="BL170" i="1"/>
  <c r="CD213" i="1"/>
  <c r="BY177" i="1"/>
  <c r="BZ171" i="1"/>
  <c r="CD178" i="1"/>
  <c r="L7" i="6" s="1"/>
  <c r="BL201" i="1"/>
  <c r="BZ164" i="1"/>
  <c r="CA194" i="1"/>
  <c r="CA76" i="1" s="1"/>
  <c r="BZ201" i="1"/>
  <c r="BY194" i="1"/>
  <c r="AI7" i="6" s="1"/>
  <c r="CC201" i="1"/>
  <c r="D7" i="6" s="1"/>
  <c r="BZ178" i="1"/>
  <c r="AG7" i="6" s="1"/>
  <c r="BZ177" i="1"/>
  <c r="BL213" i="1"/>
  <c r="W7" i="6" s="1"/>
  <c r="CB213" i="1"/>
  <c r="CE209" i="1"/>
  <c r="CF177" i="1"/>
  <c r="CC180" i="1"/>
  <c r="CD180" i="1"/>
  <c r="CE169" i="1"/>
  <c r="BY197" i="1"/>
  <c r="CC197" i="1"/>
  <c r="BZ213" i="1"/>
  <c r="AS7" i="6" s="1"/>
  <c r="BZ209" i="1"/>
  <c r="CE198" i="1"/>
  <c r="CD169" i="1"/>
  <c r="BL197" i="1"/>
  <c r="CB170" i="1"/>
  <c r="CC194" i="1"/>
  <c r="BY201" i="1"/>
  <c r="H7" i="6" s="1"/>
  <c r="CA180" i="1"/>
  <c r="BZ182" i="1"/>
  <c r="CD164" i="1"/>
  <c r="AR7" i="6" s="1"/>
  <c r="CF170" i="1"/>
  <c r="BL169" i="1"/>
  <c r="BL181" i="1"/>
  <c r="JK9" i="4" s="1"/>
  <c r="AO7" i="6" s="1"/>
  <c r="CA201" i="1"/>
  <c r="BL182" i="1"/>
  <c r="CA170" i="1"/>
  <c r="CE207" i="1"/>
  <c r="CD181" i="1"/>
  <c r="P7" i="6" s="1"/>
  <c r="E7" i="6" s="1"/>
  <c r="U7" i="6" s="1"/>
  <c r="CC181" i="1"/>
  <c r="AY7" i="6" s="1"/>
  <c r="CD194" i="1"/>
  <c r="CD76" i="1" s="1"/>
  <c r="CB171" i="1"/>
  <c r="CC198" i="1"/>
  <c r="CB198" i="1"/>
  <c r="CE180" i="1"/>
  <c r="CE178" i="1"/>
  <c r="CF194" i="1"/>
  <c r="CB182" i="1"/>
  <c r="BY198" i="1"/>
  <c r="CF207" i="1"/>
  <c r="N7" i="6" s="1"/>
  <c r="CS291" i="1"/>
  <c r="CR307" i="1"/>
  <c r="CR369" i="1" s="1"/>
  <c r="CJ217" i="1"/>
  <c r="AC208" i="1"/>
  <c r="CV208" i="1"/>
  <c r="CW208" i="1" s="1"/>
  <c r="CX208" i="1" s="1"/>
  <c r="CY208" i="1" s="1"/>
  <c r="AD197" i="1"/>
  <c r="AT60" i="3"/>
  <c r="C76" i="3"/>
  <c r="C95" i="3"/>
  <c r="AF79" i="3"/>
  <c r="AF63" i="3"/>
  <c r="AS69" i="3"/>
  <c r="AY96" i="3"/>
  <c r="C63" i="3"/>
  <c r="AU75" i="3"/>
  <c r="AU95" i="3"/>
  <c r="AV50" i="3"/>
  <c r="AY66" i="3"/>
  <c r="AT72" i="3"/>
  <c r="AT69" i="3"/>
  <c r="AX56" i="3"/>
  <c r="AF70" i="3"/>
  <c r="AW76" i="3"/>
  <c r="AT88" i="3"/>
  <c r="AX86" i="3"/>
  <c r="AX83" i="3"/>
  <c r="AW70" i="3"/>
  <c r="AV70" i="3"/>
  <c r="AZ59" i="3"/>
  <c r="AZ50" i="3"/>
  <c r="AX95" i="3"/>
  <c r="AF62" i="3"/>
  <c r="AV83" i="3"/>
  <c r="AS58" i="3"/>
  <c r="AX49" i="3"/>
  <c r="AY88" i="3"/>
  <c r="AT68" i="3"/>
  <c r="AS91" i="3"/>
  <c r="AY83" i="3"/>
  <c r="AU78" i="3"/>
  <c r="C57" i="3"/>
  <c r="AU62" i="3"/>
  <c r="AS97" i="3"/>
  <c r="AS50" i="3"/>
  <c r="AU97" i="3"/>
  <c r="AY50" i="3"/>
  <c r="AV92" i="3"/>
  <c r="AV78" i="3"/>
  <c r="AZ80" i="3"/>
  <c r="AS90" i="3"/>
  <c r="AF91" i="3"/>
  <c r="AZ95" i="3"/>
  <c r="AU59" i="3"/>
  <c r="AU48" i="3"/>
  <c r="AW79" i="3"/>
  <c r="AS88" i="3"/>
  <c r="AZ58" i="3"/>
  <c r="AW54" i="3"/>
  <c r="AV67" i="3"/>
  <c r="C94" i="3"/>
  <c r="AF75" i="3"/>
  <c r="AZ65" i="3"/>
  <c r="AX68" i="3"/>
  <c r="AF94" i="3"/>
  <c r="C65" i="3"/>
  <c r="AS59" i="3"/>
  <c r="AX74" i="3"/>
  <c r="AX73" i="3"/>
  <c r="AU84" i="3"/>
  <c r="AY89" i="3"/>
  <c r="AF96" i="3"/>
  <c r="AW67" i="3"/>
  <c r="AU47" i="3"/>
  <c r="C68" i="3"/>
  <c r="AW77" i="3"/>
  <c r="AT79" i="3"/>
  <c r="AU73" i="3"/>
  <c r="AW92" i="3"/>
  <c r="AT70" i="3"/>
  <c r="AU80" i="3"/>
  <c r="C60" i="3"/>
  <c r="AW50" i="3"/>
  <c r="AX71" i="3"/>
  <c r="AZ69" i="3"/>
  <c r="AW69" i="3"/>
  <c r="AX58" i="3"/>
  <c r="AU81" i="3"/>
  <c r="AZ48" i="3"/>
  <c r="AU64" i="3"/>
  <c r="AV95" i="3"/>
  <c r="AS61" i="3"/>
  <c r="AF65" i="3"/>
  <c r="AS79" i="3"/>
  <c r="AV63" i="3"/>
  <c r="AY55" i="3"/>
  <c r="AU74" i="3"/>
  <c r="AS60" i="3"/>
  <c r="AF74" i="3"/>
  <c r="AV86" i="3"/>
  <c r="AF54" i="3"/>
  <c r="C84" i="3"/>
  <c r="AX81" i="3"/>
  <c r="C91" i="3"/>
  <c r="AT71" i="3"/>
  <c r="AS76" i="3"/>
  <c r="AS80" i="3"/>
  <c r="AY90" i="3"/>
  <c r="AV64" i="3"/>
  <c r="AT85" i="3"/>
  <c r="AZ77" i="3"/>
  <c r="AT95" i="3"/>
  <c r="AU89" i="3"/>
  <c r="AW71" i="3"/>
  <c r="AY86" i="3"/>
  <c r="AS78" i="3"/>
  <c r="AW88" i="3"/>
  <c r="AV68" i="3"/>
  <c r="AY57" i="3"/>
  <c r="AX78" i="3"/>
  <c r="AU68" i="3"/>
  <c r="AT89" i="3"/>
  <c r="AW95" i="3"/>
  <c r="AW49" i="3"/>
  <c r="AX57" i="3"/>
  <c r="AZ92" i="3"/>
  <c r="AX94" i="3"/>
  <c r="AX93" i="3"/>
  <c r="AU96" i="3"/>
  <c r="AF64" i="3"/>
  <c r="AF49" i="3"/>
  <c r="AZ94" i="3"/>
  <c r="AX55" i="3"/>
  <c r="AT78" i="3"/>
  <c r="AS94" i="3"/>
  <c r="AW74" i="3"/>
  <c r="AX87" i="3"/>
  <c r="AW68" i="3"/>
  <c r="AT91" i="3"/>
  <c r="AW59" i="3"/>
  <c r="AZ67" i="3"/>
  <c r="AW82" i="3"/>
  <c r="AF76" i="3"/>
  <c r="AX67" i="3"/>
  <c r="AZ72" i="3"/>
  <c r="AW60" i="3"/>
  <c r="AZ47" i="3"/>
  <c r="AS89" i="3"/>
  <c r="AV81" i="3"/>
  <c r="AT84" i="3"/>
  <c r="AT83" i="3"/>
  <c r="AY78" i="3"/>
  <c r="AF60" i="3"/>
  <c r="AZ55" i="3"/>
  <c r="AU60" i="3"/>
  <c r="AW89" i="3"/>
  <c r="AZ57" i="3"/>
  <c r="AZ60" i="3"/>
  <c r="AS75" i="3"/>
  <c r="AU58" i="3"/>
  <c r="C61" i="3"/>
  <c r="AW84" i="3"/>
  <c r="AU94" i="3"/>
  <c r="AY65" i="3"/>
  <c r="AX64" i="3"/>
  <c r="C54" i="3"/>
  <c r="C89" i="3"/>
  <c r="AZ62" i="3"/>
  <c r="AW61" i="3"/>
  <c r="AZ89" i="3"/>
  <c r="AW81" i="3"/>
  <c r="C67" i="3"/>
  <c r="AX75" i="3"/>
  <c r="AX54" i="3"/>
  <c r="AV65" i="3"/>
  <c r="C77" i="3"/>
  <c r="AX50" i="3"/>
  <c r="AY94" i="3"/>
  <c r="AW96" i="3"/>
  <c r="AT90" i="3"/>
  <c r="AW86" i="3"/>
  <c r="AV89" i="3"/>
  <c r="AX69" i="3"/>
  <c r="AV84" i="3"/>
  <c r="AY69" i="3"/>
  <c r="AY48" i="3"/>
  <c r="AX90" i="3"/>
  <c r="AS66" i="3"/>
  <c r="AX77" i="3"/>
  <c r="AU71" i="3"/>
  <c r="AS56" i="3"/>
  <c r="AY74" i="3"/>
  <c r="AX79" i="3"/>
  <c r="AF55" i="3"/>
  <c r="AS74" i="3"/>
  <c r="AW85" i="3"/>
  <c r="AT74" i="3"/>
  <c r="C81" i="3"/>
  <c r="AU92" i="3"/>
  <c r="AF71" i="3"/>
  <c r="AV71" i="3"/>
  <c r="AY79" i="3"/>
  <c r="AT75" i="3"/>
  <c r="AY64" i="3"/>
  <c r="AF84" i="3"/>
  <c r="AY77" i="3"/>
  <c r="AX61" i="3"/>
  <c r="AV72" i="3"/>
  <c r="AY84" i="3"/>
  <c r="AU66" i="3"/>
  <c r="AF82" i="3"/>
  <c r="AZ78" i="3"/>
  <c r="AZ63" i="3"/>
  <c r="AS95" i="3"/>
  <c r="C96" i="3"/>
  <c r="AZ64" i="3"/>
  <c r="AT92" i="3"/>
  <c r="AY54" i="3"/>
  <c r="AF83" i="3"/>
  <c r="AU69" i="3"/>
  <c r="AW83" i="3"/>
  <c r="AY95" i="3"/>
  <c r="AX92" i="3"/>
  <c r="AF47" i="3"/>
  <c r="AU67" i="3"/>
  <c r="AW78" i="3"/>
  <c r="AV49" i="3"/>
  <c r="AV59" i="3"/>
  <c r="AZ54" i="3"/>
  <c r="AY73" i="3"/>
  <c r="AF67" i="3"/>
  <c r="AZ96" i="3"/>
  <c r="AT50" i="3"/>
  <c r="AV48" i="3"/>
  <c r="AT64" i="3"/>
  <c r="AY49" i="3"/>
  <c r="AX88" i="3"/>
  <c r="AT62" i="3"/>
  <c r="AZ71" i="3"/>
  <c r="AS63" i="3"/>
  <c r="AY58" i="3"/>
  <c r="AZ66" i="3"/>
  <c r="AY97" i="3"/>
  <c r="AT54" i="3"/>
  <c r="AZ61" i="3"/>
  <c r="AS67" i="3"/>
  <c r="AY60" i="3"/>
  <c r="AW94" i="3"/>
  <c r="AX62" i="3"/>
  <c r="AZ56" i="3"/>
  <c r="AT55" i="3"/>
  <c r="AS92" i="3"/>
  <c r="AV54" i="3"/>
  <c r="AT47" i="3"/>
  <c r="AS81" i="3"/>
  <c r="AT94" i="3"/>
  <c r="AU55" i="3"/>
  <c r="AT67" i="3"/>
  <c r="C50" i="3"/>
  <c r="AV73" i="3"/>
  <c r="AV87" i="3"/>
  <c r="AU77" i="3"/>
  <c r="AZ84" i="3"/>
  <c r="AW56" i="3"/>
  <c r="AZ73" i="3"/>
  <c r="AT73" i="3"/>
  <c r="AU82" i="3"/>
  <c r="AX63" i="3"/>
  <c r="AU54" i="3"/>
  <c r="C80" i="3"/>
  <c r="AF87" i="3"/>
  <c r="AF57" i="3"/>
  <c r="AW73" i="3"/>
  <c r="AT56" i="3"/>
  <c r="AF68" i="3"/>
  <c r="AW87" i="3"/>
  <c r="AT77" i="3"/>
  <c r="AF95" i="3"/>
  <c r="AF92" i="3"/>
  <c r="AT76" i="3"/>
  <c r="AW65" i="3"/>
  <c r="AT87" i="3"/>
  <c r="AZ82" i="3"/>
  <c r="AZ85" i="3"/>
  <c r="AW58" i="3"/>
  <c r="AV75" i="3"/>
  <c r="C71" i="3"/>
  <c r="C72" i="3"/>
  <c r="AU56" i="3"/>
  <c r="C97" i="3"/>
  <c r="AW75" i="3"/>
  <c r="AS70" i="3"/>
  <c r="AF86" i="3"/>
  <c r="AW48" i="3"/>
  <c r="AY92" i="3"/>
  <c r="AY76" i="3"/>
  <c r="AF90" i="3"/>
  <c r="AS65" i="3"/>
  <c r="AT58" i="3"/>
  <c r="AV77" i="3"/>
  <c r="AS62" i="3"/>
  <c r="AZ70" i="3"/>
  <c r="AT59" i="3"/>
  <c r="AY80" i="3"/>
  <c r="AF73" i="3"/>
  <c r="AY72" i="3"/>
  <c r="AS86" i="3"/>
  <c r="AS82" i="3"/>
  <c r="AX59" i="3"/>
  <c r="AY82" i="3"/>
  <c r="AU50" i="3"/>
  <c r="AS93" i="3"/>
  <c r="AV85" i="3"/>
  <c r="C59" i="3"/>
  <c r="AF56" i="3"/>
  <c r="C62" i="3"/>
  <c r="AX48" i="3"/>
  <c r="AT97" i="3"/>
  <c r="AZ86" i="3"/>
  <c r="AZ68" i="3"/>
  <c r="AU72" i="3"/>
  <c r="AV56" i="3"/>
  <c r="AY81" i="3"/>
  <c r="AV69" i="3"/>
  <c r="AF88" i="3"/>
  <c r="AV47" i="3"/>
  <c r="C88" i="3"/>
  <c r="AX89" i="3"/>
  <c r="AT57" i="3"/>
  <c r="AY62" i="3"/>
  <c r="AZ76" i="3"/>
  <c r="AV93" i="3"/>
  <c r="C56" i="3"/>
  <c r="AT65" i="3"/>
  <c r="AZ88" i="3"/>
  <c r="C69" i="3"/>
  <c r="AU65" i="3"/>
  <c r="C87" i="3"/>
  <c r="AT61" i="3"/>
  <c r="AY61" i="3"/>
  <c r="AV55" i="3"/>
  <c r="AS48" i="3"/>
  <c r="AT93" i="3"/>
  <c r="AX70" i="3"/>
  <c r="AW63" i="3"/>
  <c r="AW80" i="3"/>
  <c r="AW72" i="3"/>
  <c r="AT48" i="3"/>
  <c r="AS77" i="3"/>
  <c r="AV74" i="3"/>
  <c r="C93" i="3"/>
  <c r="AU90" i="3"/>
  <c r="AS83" i="3"/>
  <c r="AT80" i="3"/>
  <c r="AX47" i="3"/>
  <c r="AW90" i="3"/>
  <c r="AF66" i="3"/>
  <c r="AY85" i="3"/>
  <c r="AZ83" i="3"/>
  <c r="C58" i="3"/>
  <c r="AU63" i="3"/>
  <c r="AZ79" i="3"/>
  <c r="AT63" i="3"/>
  <c r="AS85" i="3"/>
  <c r="AX91" i="3"/>
  <c r="AV60" i="3"/>
  <c r="C78" i="3"/>
  <c r="AZ93" i="3"/>
  <c r="AY59" i="3"/>
  <c r="AS55" i="3"/>
  <c r="AV66" i="3"/>
  <c r="AV61" i="3"/>
  <c r="C73" i="3"/>
  <c r="AY71" i="3"/>
  <c r="AZ97" i="3"/>
  <c r="AS54" i="3"/>
  <c r="C85" i="3"/>
  <c r="AW91" i="3"/>
  <c r="AS72" i="3"/>
  <c r="AV96" i="3"/>
  <c r="AU83" i="3"/>
  <c r="AZ90" i="3"/>
  <c r="AF77" i="3"/>
  <c r="AW55" i="3"/>
  <c r="AU93" i="3"/>
  <c r="AS57" i="3"/>
  <c r="AU49" i="3"/>
  <c r="AY91" i="3"/>
  <c r="AX84" i="3"/>
  <c r="AW97" i="3"/>
  <c r="AZ87" i="3"/>
  <c r="AZ81" i="3"/>
  <c r="AW64" i="3"/>
  <c r="AX72" i="3"/>
  <c r="AU88" i="3"/>
  <c r="AY70" i="3"/>
  <c r="AX80" i="3"/>
  <c r="AT66" i="3"/>
  <c r="C70" i="3"/>
  <c r="AV57" i="3"/>
  <c r="AU85" i="3"/>
  <c r="AV90" i="3"/>
  <c r="AS71" i="3"/>
  <c r="AY47" i="3"/>
  <c r="AU86" i="3"/>
  <c r="AU76" i="3"/>
  <c r="AU87" i="3"/>
  <c r="AY93" i="3"/>
  <c r="AS96" i="3"/>
  <c r="AF89" i="3"/>
  <c r="C75" i="3"/>
  <c r="AS73" i="3"/>
  <c r="C55" i="3"/>
  <c r="AY87" i="3"/>
  <c r="AY68" i="3"/>
  <c r="C66" i="3"/>
  <c r="AF81" i="3"/>
  <c r="C83" i="3"/>
  <c r="AS87" i="3"/>
  <c r="AV94" i="3"/>
  <c r="AU79" i="3"/>
  <c r="C64" i="3"/>
  <c r="AV76" i="3"/>
  <c r="AW93" i="3"/>
  <c r="AX97" i="3"/>
  <c r="AZ49" i="3"/>
  <c r="AV58" i="3"/>
  <c r="AF80" i="3"/>
  <c r="AT81" i="3"/>
  <c r="AY56" i="3"/>
  <c r="C90" i="3"/>
  <c r="AW47" i="3"/>
  <c r="AU61" i="3"/>
  <c r="AX85" i="3"/>
  <c r="AZ75" i="3"/>
  <c r="AV62" i="3"/>
  <c r="AW66" i="3"/>
  <c r="AS64" i="3"/>
  <c r="AZ91" i="3"/>
  <c r="C74" i="3"/>
  <c r="AT82" i="3"/>
  <c r="AV97" i="3"/>
  <c r="C92" i="3"/>
  <c r="AW62" i="3"/>
  <c r="AF58" i="3"/>
  <c r="AF78" i="3"/>
  <c r="C79" i="3"/>
  <c r="AS84" i="3"/>
  <c r="AU57" i="3"/>
  <c r="AW57" i="3"/>
  <c r="AU91" i="3"/>
  <c r="AX66" i="3"/>
  <c r="AF93" i="3"/>
  <c r="AF85" i="3"/>
  <c r="AY75" i="3"/>
  <c r="AX60" i="3"/>
  <c r="AV91" i="3"/>
  <c r="AV88" i="3"/>
  <c r="AF72" i="3"/>
  <c r="AY63" i="3"/>
  <c r="AU70" i="3"/>
  <c r="AS68" i="3"/>
  <c r="AZ74" i="3"/>
  <c r="AX65" i="3"/>
  <c r="AF69" i="3"/>
  <c r="AF61" i="3"/>
  <c r="AV80" i="3"/>
  <c r="AF59" i="3"/>
  <c r="AF97" i="3"/>
  <c r="AX76" i="3"/>
  <c r="AX82" i="3"/>
  <c r="AV82" i="3"/>
  <c r="AT96" i="3"/>
  <c r="AT86" i="3"/>
  <c r="AY67" i="3"/>
  <c r="C82" i="3"/>
  <c r="AX96" i="3"/>
  <c r="AT49" i="3"/>
  <c r="AV79" i="3"/>
  <c r="C86" i="3"/>
  <c r="CR347" i="1" l="1"/>
  <c r="CR350" i="1"/>
  <c r="CR346" i="1"/>
  <c r="CH140" i="1"/>
  <c r="CI153" i="1"/>
  <c r="CK204" i="1"/>
  <c r="CK210" i="1"/>
  <c r="CL206" i="1"/>
  <c r="CL401" i="1"/>
  <c r="CL210" i="1"/>
  <c r="CL204" i="1"/>
  <c r="CL412" i="1" s="1"/>
  <c r="CG140" i="1"/>
  <c r="CJ204" i="1"/>
  <c r="CJ412" i="1" s="1"/>
  <c r="CJ401" i="1"/>
  <c r="CK206" i="1"/>
  <c r="CJ210" i="1"/>
  <c r="CJ123" i="1"/>
  <c r="CJ159" i="1" s="1"/>
  <c r="CH206" i="1"/>
  <c r="CG204" i="1"/>
  <c r="CG412" i="1" s="1"/>
  <c r="CG401" i="1"/>
  <c r="CK205" i="1"/>
  <c r="CJ394" i="1"/>
  <c r="CG210" i="1"/>
  <c r="CI210" i="1"/>
  <c r="CJ206" i="1"/>
  <c r="CL394" i="1"/>
  <c r="CI401" i="1"/>
  <c r="CI204" i="1"/>
  <c r="CI412" i="1" s="1"/>
  <c r="CI123" i="1"/>
  <c r="CI160" i="1" s="1"/>
  <c r="CL205" i="1"/>
  <c r="CI206" i="1"/>
  <c r="CH204" i="1"/>
  <c r="CH412" i="1" s="1"/>
  <c r="CH210" i="1"/>
  <c r="CH401" i="1"/>
  <c r="CH155" i="1"/>
  <c r="CH153" i="1"/>
  <c r="CH154" i="1"/>
  <c r="CE138" i="1"/>
  <c r="CE137" i="1"/>
  <c r="CE139" i="1"/>
  <c r="CE122" i="1"/>
  <c r="CH123" i="1" s="1"/>
  <c r="CC225" i="1"/>
  <c r="CD227" i="1"/>
  <c r="CD121" i="1" s="1"/>
  <c r="CS189" i="1"/>
  <c r="CT189" i="1" s="1"/>
  <c r="CU189" i="1" s="1"/>
  <c r="CQ173" i="1"/>
  <c r="CR173" i="1" s="1"/>
  <c r="CU298" i="1"/>
  <c r="CV298" i="1" s="1"/>
  <c r="CW298" i="1" s="1"/>
  <c r="CX298" i="1" s="1"/>
  <c r="AC298" i="1"/>
  <c r="Z360" i="1"/>
  <c r="Z362" i="1" s="1"/>
  <c r="Z366" i="1" s="1"/>
  <c r="Z380" i="1" s="1"/>
  <c r="DB79" i="1"/>
  <c r="DB80" i="1" s="1"/>
  <c r="DA80" i="1"/>
  <c r="Y360" i="1"/>
  <c r="Y362" i="1" s="1"/>
  <c r="Y366" i="1" s="1"/>
  <c r="Y380" i="1" s="1"/>
  <c r="Y119" i="1"/>
  <c r="Z214" i="1"/>
  <c r="Z119" i="1"/>
  <c r="AE96" i="1"/>
  <c r="AE101" i="1" s="1"/>
  <c r="CF140" i="1"/>
  <c r="DA91" i="1"/>
  <c r="DA116" i="1" s="1"/>
  <c r="CZ92" i="1"/>
  <c r="DB109" i="1"/>
  <c r="CE361" i="1"/>
  <c r="CE76" i="1"/>
  <c r="BY361" i="1"/>
  <c r="BY76" i="1"/>
  <c r="CF361" i="1"/>
  <c r="CF76" i="1"/>
  <c r="BZ361" i="1"/>
  <c r="BZ76" i="1"/>
  <c r="CC361" i="1"/>
  <c r="CC76" i="1"/>
  <c r="CB361" i="1"/>
  <c r="CB76" i="1"/>
  <c r="CR13" i="1"/>
  <c r="Z374" i="1"/>
  <c r="Z372" i="1" s="1"/>
  <c r="CC398" i="1"/>
  <c r="CC46" i="1"/>
  <c r="CB398" i="1"/>
  <c r="CB46" i="1"/>
  <c r="CD398" i="1"/>
  <c r="CD46" i="1"/>
  <c r="BZ398" i="1"/>
  <c r="BZ46" i="1"/>
  <c r="CA398" i="1"/>
  <c r="CA46" i="1"/>
  <c r="Y216" i="1"/>
  <c r="Y214" i="1"/>
  <c r="Y374" i="1"/>
  <c r="Y372" i="1" s="1"/>
  <c r="CQ351" i="1"/>
  <c r="CP352" i="1"/>
  <c r="CO349" i="1"/>
  <c r="CO353" i="1" s="1"/>
  <c r="CP348" i="1"/>
  <c r="CR292" i="1"/>
  <c r="CQ295" i="1"/>
  <c r="CQ416" i="1" s="1"/>
  <c r="CP373" i="1"/>
  <c r="BZ292" i="1"/>
  <c r="CA292" i="1" s="1"/>
  <c r="BL235" i="1"/>
  <c r="CF236" i="1"/>
  <c r="CB313" i="1"/>
  <c r="CC313" i="1" s="1"/>
  <c r="CD320" i="1"/>
  <c r="CD350" i="1" s="1"/>
  <c r="CE350" i="1" s="1"/>
  <c r="CB331" i="1"/>
  <c r="CC331" i="1" s="1"/>
  <c r="BL291" i="1"/>
  <c r="BM291" i="1" s="1"/>
  <c r="CD300" i="1"/>
  <c r="CD291" i="1"/>
  <c r="CE291" i="1" s="1"/>
  <c r="CF294" i="1"/>
  <c r="CG294" i="1" s="1"/>
  <c r="CB294" i="1"/>
  <c r="CC294" i="1" s="1"/>
  <c r="CB319" i="1"/>
  <c r="CC319" i="1" s="1"/>
  <c r="CB311" i="1"/>
  <c r="CB346" i="1" s="1"/>
  <c r="CC346" i="1" s="1"/>
  <c r="BZ320" i="1"/>
  <c r="BZ350" i="1" s="1"/>
  <c r="CA350" i="1" s="1"/>
  <c r="BZ331" i="1"/>
  <c r="CA331" i="1" s="1"/>
  <c r="BZ321" i="1"/>
  <c r="CA321" i="1" s="1"/>
  <c r="BZ327" i="1"/>
  <c r="BZ317" i="1"/>
  <c r="CA317" i="1" s="1"/>
  <c r="BZ299" i="1"/>
  <c r="BL312" i="1"/>
  <c r="BL347" i="1" s="1"/>
  <c r="BM347" i="1" s="1"/>
  <c r="BL320" i="1"/>
  <c r="BL350" i="1" s="1"/>
  <c r="BM350" i="1" s="1"/>
  <c r="BL289" i="1"/>
  <c r="BM289" i="1" s="1"/>
  <c r="CA235" i="1"/>
  <c r="CF235" i="1"/>
  <c r="CF313" i="1"/>
  <c r="CG313" i="1" s="1"/>
  <c r="CF300" i="1"/>
  <c r="CB236" i="1"/>
  <c r="CF311" i="1"/>
  <c r="CF346" i="1" s="1"/>
  <c r="CG346" i="1" s="1"/>
  <c r="CG311" i="1" s="1"/>
  <c r="CF289" i="1"/>
  <c r="CG289" i="1" s="1"/>
  <c r="CB316" i="1"/>
  <c r="CC316" i="1" s="1"/>
  <c r="CF331" i="1"/>
  <c r="CG331" i="1" s="1"/>
  <c r="CB292" i="1"/>
  <c r="CC292" i="1" s="1"/>
  <c r="CB330" i="1"/>
  <c r="CC330" i="1" s="1"/>
  <c r="CD236" i="1"/>
  <c r="CB326" i="1"/>
  <c r="CD312" i="1"/>
  <c r="CD347" i="1" s="1"/>
  <c r="CE347" i="1" s="1"/>
  <c r="CD289" i="1"/>
  <c r="CE289" i="1" s="1"/>
  <c r="BL292" i="1"/>
  <c r="CD298" i="1"/>
  <c r="CD318" i="1"/>
  <c r="CE318" i="1" s="1"/>
  <c r="CD326" i="1"/>
  <c r="CD309" i="1"/>
  <c r="CE309" i="1" s="1"/>
  <c r="CF307" i="1"/>
  <c r="CF293" i="1"/>
  <c r="CG293" i="1" s="1"/>
  <c r="CB309" i="1"/>
  <c r="CC309" i="1" s="1"/>
  <c r="BL321" i="1"/>
  <c r="BM321" i="1" s="1"/>
  <c r="BL330" i="1"/>
  <c r="BM330" i="1" s="1"/>
  <c r="BL331" i="1"/>
  <c r="CB293" i="1"/>
  <c r="CC293" i="1" s="1"/>
  <c r="CE236" i="1"/>
  <c r="BZ326" i="1"/>
  <c r="BZ330" i="1"/>
  <c r="CA330" i="1" s="1"/>
  <c r="BZ286" i="1"/>
  <c r="BZ294" i="1"/>
  <c r="CA294" i="1" s="1"/>
  <c r="CF312" i="1"/>
  <c r="CF347" i="1" s="1"/>
  <c r="CG347" i="1" s="1"/>
  <c r="CG312" i="1" s="1"/>
  <c r="CF299" i="1"/>
  <c r="CF316" i="1"/>
  <c r="CB286" i="1"/>
  <c r="CB312" i="1"/>
  <c r="CB347" i="1" s="1"/>
  <c r="CC347" i="1" s="1"/>
  <c r="CD327" i="1"/>
  <c r="CD319" i="1"/>
  <c r="CE319" i="1" s="1"/>
  <c r="CB235" i="1"/>
  <c r="BZ322" i="1"/>
  <c r="CA322" i="1" s="1"/>
  <c r="BZ300" i="1"/>
  <c r="BZ284" i="1"/>
  <c r="BZ314" i="1"/>
  <c r="CA314" i="1" s="1"/>
  <c r="BZ236" i="1"/>
  <c r="BZ291" i="1"/>
  <c r="CA291" i="1" s="1"/>
  <c r="BZ293" i="1"/>
  <c r="CA293" i="1" s="1"/>
  <c r="BZ309" i="1"/>
  <c r="CA309" i="1" s="1"/>
  <c r="BZ298" i="1"/>
  <c r="BL300" i="1"/>
  <c r="BL316" i="1"/>
  <c r="BM316" i="1" s="1"/>
  <c r="CF291" i="1"/>
  <c r="CF320" i="1"/>
  <c r="CF350" i="1" s="1"/>
  <c r="CG350" i="1" s="1"/>
  <c r="CG320" i="1" s="1"/>
  <c r="CD321" i="1"/>
  <c r="CE321" i="1" s="1"/>
  <c r="CF321" i="1"/>
  <c r="CG321" i="1" s="1"/>
  <c r="CB298" i="1"/>
  <c r="CB321" i="1"/>
  <c r="CC321" i="1" s="1"/>
  <c r="BY236" i="1"/>
  <c r="CD330" i="1"/>
  <c r="CE330" i="1" s="1"/>
  <c r="CD302" i="1"/>
  <c r="CE302" i="1" s="1"/>
  <c r="BL327" i="1"/>
  <c r="CB320" i="1"/>
  <c r="CB350" i="1" s="1"/>
  <c r="CC350" i="1" s="1"/>
  <c r="CB285" i="1"/>
  <c r="CC285" i="1" s="1"/>
  <c r="BL317" i="1"/>
  <c r="BM317" i="1" s="1"/>
  <c r="CD294" i="1"/>
  <c r="CE294" i="1" s="1"/>
  <c r="CD314" i="1"/>
  <c r="CE314" i="1" s="1"/>
  <c r="CD286" i="1"/>
  <c r="CD313" i="1"/>
  <c r="CE313" i="1" s="1"/>
  <c r="CD322" i="1"/>
  <c r="CE322" i="1" s="1"/>
  <c r="CD307" i="1"/>
  <c r="CE307" i="1" s="1"/>
  <c r="CF284" i="1"/>
  <c r="CF285" i="1"/>
  <c r="CG285" i="1" s="1"/>
  <c r="CF318" i="1"/>
  <c r="CG318" i="1" s="1"/>
  <c r="CF330" i="1"/>
  <c r="CG330" i="1" s="1"/>
  <c r="CB327" i="1"/>
  <c r="CB307" i="1"/>
  <c r="AI236" i="1"/>
  <c r="BL314" i="1"/>
  <c r="BM314" i="1" s="1"/>
  <c r="BL302" i="1"/>
  <c r="BM302" i="1" s="1"/>
  <c r="BL293" i="1"/>
  <c r="BM293" i="1" s="1"/>
  <c r="CB291" i="1"/>
  <c r="CC291" i="1" s="1"/>
  <c r="BL313" i="1"/>
  <c r="BM313" i="1" s="1"/>
  <c r="BZ302" i="1"/>
  <c r="CA302" i="1" s="1"/>
  <c r="BZ235" i="1"/>
  <c r="BL319" i="1"/>
  <c r="BM319" i="1" s="1"/>
  <c r="CB299" i="1"/>
  <c r="CF314" i="1"/>
  <c r="CG314" i="1" s="1"/>
  <c r="CB314" i="1"/>
  <c r="CC314" i="1" s="1"/>
  <c r="CD235" i="1"/>
  <c r="CC236" i="1"/>
  <c r="CD285" i="1"/>
  <c r="CE285" i="1" s="1"/>
  <c r="BL286" i="1"/>
  <c r="CD292" i="1"/>
  <c r="CE292" i="1" s="1"/>
  <c r="CF326" i="1"/>
  <c r="CF319" i="1"/>
  <c r="CG319" i="1" s="1"/>
  <c r="CE235" i="1"/>
  <c r="BZ312" i="1"/>
  <c r="BZ347" i="1" s="1"/>
  <c r="CA347" i="1" s="1"/>
  <c r="BZ289" i="1"/>
  <c r="CA289" i="1" s="1"/>
  <c r="BZ311" i="1"/>
  <c r="BZ346" i="1" s="1"/>
  <c r="CA346" i="1" s="1"/>
  <c r="BZ285" i="1"/>
  <c r="CA285" i="1" s="1"/>
  <c r="BZ316" i="1"/>
  <c r="BZ318" i="1"/>
  <c r="CA318" i="1" s="1"/>
  <c r="BZ313" i="1"/>
  <c r="CA313" i="1" s="1"/>
  <c r="BZ307" i="1"/>
  <c r="CA307" i="1" s="1"/>
  <c r="BZ319" i="1"/>
  <c r="CA319" i="1" s="1"/>
  <c r="BL322" i="1"/>
  <c r="BM322" i="1" s="1"/>
  <c r="BL311" i="1"/>
  <c r="BL346" i="1" s="1"/>
  <c r="BM346" i="1" s="1"/>
  <c r="BL298" i="1"/>
  <c r="BL299" i="1"/>
  <c r="CA236" i="1"/>
  <c r="CF322" i="1"/>
  <c r="CG322" i="1" s="1"/>
  <c r="CF317" i="1"/>
  <c r="CG317" i="1" s="1"/>
  <c r="CF327" i="1"/>
  <c r="CB284" i="1"/>
  <c r="CC284" i="1" s="1"/>
  <c r="CF298" i="1"/>
  <c r="CF286" i="1"/>
  <c r="CF292" i="1"/>
  <c r="CG292" i="1" s="1"/>
  <c r="CD293" i="1"/>
  <c r="CE293" i="1" s="1"/>
  <c r="CB322" i="1"/>
  <c r="CC322" i="1" s="1"/>
  <c r="CB302" i="1"/>
  <c r="CC302" i="1" s="1"/>
  <c r="CB318" i="1"/>
  <c r="CC318" i="1" s="1"/>
  <c r="CD284" i="1"/>
  <c r="BL307" i="1"/>
  <c r="CB300" i="1"/>
  <c r="BL294" i="1"/>
  <c r="BM294" i="1" s="1"/>
  <c r="CD299" i="1"/>
  <c r="CD311" i="1"/>
  <c r="CD346" i="1" s="1"/>
  <c r="CE346" i="1" s="1"/>
  <c r="CD317" i="1"/>
  <c r="CE317" i="1" s="1"/>
  <c r="CD316" i="1"/>
  <c r="CE316" i="1" s="1"/>
  <c r="CD331" i="1"/>
  <c r="CE331" i="1" s="1"/>
  <c r="CF302" i="1"/>
  <c r="CG302" i="1" s="1"/>
  <c r="CF309" i="1"/>
  <c r="CG309" i="1" s="1"/>
  <c r="CC235" i="1"/>
  <c r="CB317" i="1"/>
  <c r="CC317" i="1" s="1"/>
  <c r="CB289" i="1"/>
  <c r="CC289" i="1" s="1"/>
  <c r="BL326" i="1"/>
  <c r="BL284" i="1"/>
  <c r="BM284" i="1" s="1"/>
  <c r="BL318" i="1"/>
  <c r="BM318" i="1" s="1"/>
  <c r="BL309" i="1"/>
  <c r="BM309" i="1" s="1"/>
  <c r="BL285" i="1"/>
  <c r="BM285" i="1" s="1"/>
  <c r="BL420" i="1"/>
  <c r="CH260" i="1"/>
  <c r="CH261" i="1" s="1"/>
  <c r="CB304" i="1"/>
  <c r="CC304" i="1" s="1"/>
  <c r="CF304" i="1"/>
  <c r="CG304" i="1" s="1"/>
  <c r="CD304" i="1"/>
  <c r="CE304" i="1" s="1"/>
  <c r="BL304" i="1"/>
  <c r="BM304" i="1" s="1"/>
  <c r="BZ304" i="1"/>
  <c r="CA304" i="1" s="1"/>
  <c r="BL310" i="1"/>
  <c r="CD310" i="1"/>
  <c r="CB310" i="1"/>
  <c r="CF310" i="1"/>
  <c r="BZ310" i="1"/>
  <c r="CA419" i="1"/>
  <c r="JJ21" i="4"/>
  <c r="CD239" i="1" s="1"/>
  <c r="CA166" i="1"/>
  <c r="CA172" i="1" s="1"/>
  <c r="CA173" i="1" s="1"/>
  <c r="JK14" i="4"/>
  <c r="BL166" i="1"/>
  <c r="BL172" i="1" s="1"/>
  <c r="BY166" i="1"/>
  <c r="BY172" i="1" s="1"/>
  <c r="BL361" i="1"/>
  <c r="CF166" i="1"/>
  <c r="AA220" i="1" s="1"/>
  <c r="CF419" i="1"/>
  <c r="JL21" i="4"/>
  <c r="CF239" i="1" s="1"/>
  <c r="CF260" i="1"/>
  <c r="CF261" i="1" s="1"/>
  <c r="CB188" i="1"/>
  <c r="CE398" i="1"/>
  <c r="CC420" i="1"/>
  <c r="CA188" i="1"/>
  <c r="CE419" i="1"/>
  <c r="CC419" i="1"/>
  <c r="JM7" i="4"/>
  <c r="CA420" i="1"/>
  <c r="JJ8" i="4"/>
  <c r="CF188" i="1"/>
  <c r="BZ419" i="1"/>
  <c r="BZ166" i="1"/>
  <c r="CA361" i="1"/>
  <c r="CD420" i="1"/>
  <c r="CB260" i="1"/>
  <c r="JK21" i="4"/>
  <c r="CE239" i="1" s="1"/>
  <c r="JK15" i="4"/>
  <c r="CD419" i="1"/>
  <c r="JL14" i="4"/>
  <c r="CC188" i="1"/>
  <c r="BY188" i="1"/>
  <c r="CI260" i="1"/>
  <c r="CI261" i="1" s="1"/>
  <c r="CI264" i="1" s="1"/>
  <c r="CF398" i="1"/>
  <c r="BY420" i="1"/>
  <c r="JL8" i="4"/>
  <c r="CE188" i="1"/>
  <c r="BL419" i="1"/>
  <c r="CE260" i="1"/>
  <c r="CE261" i="1" s="1"/>
  <c r="CD166" i="1"/>
  <c r="CD172" i="1" s="1"/>
  <c r="CH174" i="1" s="1"/>
  <c r="CC166" i="1"/>
  <c r="CD361" i="1"/>
  <c r="CE166" i="1"/>
  <c r="CG260" i="1"/>
  <c r="CG261" i="1" s="1"/>
  <c r="CD260" i="1"/>
  <c r="CB166" i="1"/>
  <c r="CB172" i="1" s="1"/>
  <c r="CB419" i="1"/>
  <c r="CC260" i="1"/>
  <c r="JJ15" i="4"/>
  <c r="CB420" i="1"/>
  <c r="BY419" i="1"/>
  <c r="CD188" i="1"/>
  <c r="JM8" i="4"/>
  <c r="JL7" i="4"/>
  <c r="CF420" i="1"/>
  <c r="JJ7" i="4"/>
  <c r="JK8" i="4"/>
  <c r="JM21" i="4"/>
  <c r="CG239" i="1" s="1"/>
  <c r="BZ420" i="1"/>
  <c r="CE420" i="1"/>
  <c r="JK7" i="4"/>
  <c r="BL188" i="1"/>
  <c r="JL15" i="4"/>
  <c r="BZ188" i="1"/>
  <c r="JM14" i="4"/>
  <c r="JM15" i="4"/>
  <c r="JJ14" i="4"/>
  <c r="CS307" i="1"/>
  <c r="CS369" i="1" s="1"/>
  <c r="CT291" i="1"/>
  <c r="AD208" i="1"/>
  <c r="CZ208" i="1"/>
  <c r="DA208" i="1" s="1"/>
  <c r="DB208" i="1" s="1"/>
  <c r="AE197" i="1"/>
  <c r="U164" i="1"/>
  <c r="U46" i="1" s="1"/>
  <c r="V164" i="1"/>
  <c r="V46" i="1" s="1"/>
  <c r="W164" i="1"/>
  <c r="W46" i="1" s="1"/>
  <c r="CG286" i="1" l="1"/>
  <c r="CS347" i="1"/>
  <c r="CS350" i="1"/>
  <c r="CS346" i="1"/>
  <c r="CD145" i="1"/>
  <c r="CD273" i="1"/>
  <c r="CD269" i="1" s="1"/>
  <c r="CF145" i="1"/>
  <c r="CF273" i="1"/>
  <c r="CF269" i="1" s="1"/>
  <c r="CE145" i="1"/>
  <c r="CE273" i="1"/>
  <c r="CE269" i="1" s="1"/>
  <c r="CG145" i="1"/>
  <c r="CG273" i="1"/>
  <c r="CG269" i="1" s="1"/>
  <c r="CE140" i="1"/>
  <c r="CE153" i="1" s="1"/>
  <c r="CG153" i="1"/>
  <c r="CI159" i="1"/>
  <c r="CI214" i="1"/>
  <c r="CI228" i="1"/>
  <c r="CI286" i="1"/>
  <c r="CI287" i="1" s="1"/>
  <c r="CI360" i="1"/>
  <c r="CI362" i="1" s="1"/>
  <c r="CI119" i="1"/>
  <c r="CJ214" i="1"/>
  <c r="CJ228" i="1"/>
  <c r="CJ360" i="1"/>
  <c r="CJ362" i="1" s="1"/>
  <c r="CJ119" i="1"/>
  <c r="CH119" i="1"/>
  <c r="CH214" i="1"/>
  <c r="CH360" i="1"/>
  <c r="CH362" i="1" s="1"/>
  <c r="CH228" i="1"/>
  <c r="CD261" i="1"/>
  <c r="CD264" i="1" s="1"/>
  <c r="CI158" i="1"/>
  <c r="CJ160" i="1"/>
  <c r="CG119" i="1"/>
  <c r="CG214" i="1"/>
  <c r="CJ216" i="1"/>
  <c r="CG228" i="1"/>
  <c r="CG360" i="1"/>
  <c r="CG362" i="1" s="1"/>
  <c r="CK214" i="1"/>
  <c r="CK228" i="1"/>
  <c r="CJ158" i="1"/>
  <c r="CL360" i="1"/>
  <c r="CL362" i="1" s="1"/>
  <c r="CL228" i="1"/>
  <c r="CL214" i="1"/>
  <c r="CB225" i="1"/>
  <c r="CC227" i="1"/>
  <c r="CC121" i="1" s="1"/>
  <c r="CD139" i="1"/>
  <c r="CD138" i="1"/>
  <c r="CD137" i="1"/>
  <c r="CD140" i="1" s="1"/>
  <c r="CD122" i="1"/>
  <c r="CG123" i="1" s="1"/>
  <c r="CS173" i="1"/>
  <c r="CT173" i="1" s="1"/>
  <c r="CV189" i="1"/>
  <c r="CW189" i="1" s="1"/>
  <c r="CX189" i="1" s="1"/>
  <c r="Z377" i="1"/>
  <c r="Z378" i="1" s="1"/>
  <c r="CY298" i="1"/>
  <c r="CZ298" i="1" s="1"/>
  <c r="DA298" i="1" s="1"/>
  <c r="DB298" i="1" s="1"/>
  <c r="AE298" i="1" s="1"/>
  <c r="AD298" i="1"/>
  <c r="CQ348" i="1"/>
  <c r="CR348" i="1" s="1"/>
  <c r="CS348" i="1" s="1"/>
  <c r="CT348" i="1" s="1"/>
  <c r="AE80" i="1"/>
  <c r="AE79" i="1"/>
  <c r="Y377" i="1"/>
  <c r="Y378" i="1" s="1"/>
  <c r="CH159" i="1"/>
  <c r="CH158" i="1"/>
  <c r="CH160" i="1"/>
  <c r="DB91" i="1"/>
  <c r="DA92" i="1"/>
  <c r="CR15" i="1"/>
  <c r="CR351" i="1"/>
  <c r="CQ352" i="1"/>
  <c r="CP349" i="1"/>
  <c r="CP353" i="1" s="1"/>
  <c r="CS292" i="1"/>
  <c r="CR295" i="1"/>
  <c r="CR416" i="1" s="1"/>
  <c r="CQ373" i="1"/>
  <c r="BZ328" i="1"/>
  <c r="BL328" i="1"/>
  <c r="CB369" i="1"/>
  <c r="CA284" i="1"/>
  <c r="BZ287" i="1"/>
  <c r="BL287" i="1"/>
  <c r="CB328" i="1"/>
  <c r="CC376" i="1" s="1"/>
  <c r="CG291" i="1"/>
  <c r="CG295" i="1" s="1"/>
  <c r="CF295" i="1"/>
  <c r="CD301" i="1"/>
  <c r="CE195" i="1" s="1"/>
  <c r="CC307" i="1"/>
  <c r="CD369" i="1" s="1"/>
  <c r="CE284" i="1"/>
  <c r="CD287" i="1"/>
  <c r="CD254" i="1" s="1"/>
  <c r="CD256" i="1" s="1"/>
  <c r="BM307" i="1"/>
  <c r="BM369" i="1" s="1"/>
  <c r="CD328" i="1"/>
  <c r="CF369" i="1"/>
  <c r="CE295" i="1"/>
  <c r="BM292" i="1"/>
  <c r="BM295" i="1" s="1"/>
  <c r="BL295" i="1"/>
  <c r="CG307" i="1"/>
  <c r="CG316" i="1"/>
  <c r="CG323" i="1" s="1"/>
  <c r="CF323" i="1"/>
  <c r="CF352" i="1" s="1"/>
  <c r="CF351" i="1" s="1"/>
  <c r="CG284" i="1"/>
  <c r="CG287" i="1" s="1"/>
  <c r="CF287" i="1"/>
  <c r="CF254" i="1" s="1"/>
  <c r="CF256" i="1" s="1"/>
  <c r="CA316" i="1"/>
  <c r="BZ323" i="1"/>
  <c r="BZ352" i="1" s="1"/>
  <c r="BZ351" i="1" s="1"/>
  <c r="BZ301" i="1"/>
  <c r="BZ305" i="1" s="1"/>
  <c r="CA295" i="1"/>
  <c r="CB301" i="1"/>
  <c r="CF328" i="1"/>
  <c r="BL301" i="1"/>
  <c r="CF301" i="1"/>
  <c r="CF305" i="1" s="1"/>
  <c r="CC295" i="1"/>
  <c r="CB295" i="1"/>
  <c r="CE369" i="1"/>
  <c r="BZ295" i="1"/>
  <c r="CB323" i="1"/>
  <c r="CB352" i="1" s="1"/>
  <c r="CB351" i="1" s="1"/>
  <c r="BL323" i="1"/>
  <c r="BL352" i="1" s="1"/>
  <c r="BL351" i="1" s="1"/>
  <c r="CD323" i="1"/>
  <c r="CD352" i="1" s="1"/>
  <c r="CD351" i="1" s="1"/>
  <c r="CB287" i="1"/>
  <c r="CD295" i="1"/>
  <c r="CH264" i="1"/>
  <c r="CH265" i="1"/>
  <c r="CH266" i="1"/>
  <c r="BM310" i="1"/>
  <c r="BL315" i="1"/>
  <c r="CE310" i="1"/>
  <c r="CD315" i="1"/>
  <c r="CC310" i="1"/>
  <c r="CB315" i="1"/>
  <c r="CG310" i="1"/>
  <c r="CG315" i="1" s="1"/>
  <c r="CG349" i="1" s="1"/>
  <c r="CG348" i="1" s="1"/>
  <c r="CF315" i="1"/>
  <c r="CA310" i="1"/>
  <c r="BZ315" i="1"/>
  <c r="CA189" i="1"/>
  <c r="CA168" i="1"/>
  <c r="JK19" i="4"/>
  <c r="CE240" i="1" s="1"/>
  <c r="CE146" i="1" s="1"/>
  <c r="BL189" i="1"/>
  <c r="CC167" i="1"/>
  <c r="CC189" i="1"/>
  <c r="CI392" i="1"/>
  <c r="CF172" i="1"/>
  <c r="AA221" i="1" s="1"/>
  <c r="CG168" i="1"/>
  <c r="CJ167" i="1"/>
  <c r="BY189" i="1"/>
  <c r="JL20" i="4"/>
  <c r="CF241" i="1" s="1"/>
  <c r="BZ172" i="1"/>
  <c r="CD174" i="1" s="1"/>
  <c r="CF189" i="1"/>
  <c r="Y220" i="1"/>
  <c r="JJ19" i="4"/>
  <c r="CD240" i="1" s="1"/>
  <c r="JM20" i="4"/>
  <c r="CG241" i="1" s="1"/>
  <c r="CG147" i="1" s="1"/>
  <c r="CG155" i="1" s="1"/>
  <c r="CD189" i="1"/>
  <c r="JM19" i="4"/>
  <c r="CG240" i="1" s="1"/>
  <c r="CG146" i="1" s="1"/>
  <c r="CG154" i="1" s="1"/>
  <c r="CE320" i="1"/>
  <c r="CE323" i="1" s="1"/>
  <c r="CE352" i="1" s="1"/>
  <c r="CE351" i="1" s="1"/>
  <c r="CF264" i="1"/>
  <c r="JJ20" i="4"/>
  <c r="CD241" i="1" s="1"/>
  <c r="JL19" i="4"/>
  <c r="CF240" i="1" s="1"/>
  <c r="CF146" i="1" s="1"/>
  <c r="CF154" i="1" s="1"/>
  <c r="JK20" i="4"/>
  <c r="CE241" i="1" s="1"/>
  <c r="CA190" i="1"/>
  <c r="CD355" i="1"/>
  <c r="CD167" i="1"/>
  <c r="BZ168" i="1"/>
  <c r="CD392" i="1"/>
  <c r="BZ189" i="1"/>
  <c r="CE311" i="1"/>
  <c r="CE355" i="1"/>
  <c r="CG355" i="1"/>
  <c r="CF167" i="1"/>
  <c r="CH392" i="1"/>
  <c r="CJ355" i="1"/>
  <c r="CE189" i="1"/>
  <c r="CC172" i="1"/>
  <c r="CC175" i="1" s="1"/>
  <c r="CF392" i="1"/>
  <c r="CB168" i="1"/>
  <c r="CH411" i="1"/>
  <c r="Z220" i="1"/>
  <c r="CE167" i="1"/>
  <c r="CG264" i="1"/>
  <c r="CE264" i="1"/>
  <c r="CG392" i="1"/>
  <c r="CF168" i="1"/>
  <c r="CF355" i="1"/>
  <c r="CE392" i="1"/>
  <c r="CC168" i="1"/>
  <c r="CC392" i="1"/>
  <c r="CE312" i="1"/>
  <c r="CB189" i="1"/>
  <c r="CB173" i="1"/>
  <c r="CB190" i="1"/>
  <c r="CB60" i="1" s="1"/>
  <c r="CB175" i="1"/>
  <c r="CD190" i="1"/>
  <c r="CD168" i="1"/>
  <c r="CH167" i="1"/>
  <c r="CI355" i="1"/>
  <c r="CI265" i="1"/>
  <c r="CE172" i="1"/>
  <c r="CI167" i="1"/>
  <c r="CD173" i="1"/>
  <c r="CI266" i="1"/>
  <c r="CG167" i="1"/>
  <c r="CE168" i="1"/>
  <c r="CH355" i="1"/>
  <c r="CA369" i="1"/>
  <c r="BL173" i="1"/>
  <c r="BL190" i="1"/>
  <c r="BL60" i="1" s="1"/>
  <c r="BY173" i="1"/>
  <c r="BY190" i="1"/>
  <c r="BY60" i="1" s="1"/>
  <c r="CT307" i="1"/>
  <c r="CT369" i="1" s="1"/>
  <c r="CT346" i="1"/>
  <c r="CT350" i="1"/>
  <c r="CU291" i="1"/>
  <c r="CT347" i="1"/>
  <c r="AE208" i="1"/>
  <c r="V398" i="1"/>
  <c r="W398" i="1"/>
  <c r="U398" i="1"/>
  <c r="CD153" i="1" l="1"/>
  <c r="CG158" i="1"/>
  <c r="CF153" i="1"/>
  <c r="CE154" i="1"/>
  <c r="CF190" i="1"/>
  <c r="AA222" i="1" s="1"/>
  <c r="CG159" i="1"/>
  <c r="CC261" i="1"/>
  <c r="CI254" i="1"/>
  <c r="CI374" i="1"/>
  <c r="CI372" i="1" s="1"/>
  <c r="CI296" i="1"/>
  <c r="CK231" i="1"/>
  <c r="CL231" i="1"/>
  <c r="CG160" i="1"/>
  <c r="CJ231" i="1"/>
  <c r="CJ374" i="1"/>
  <c r="CJ372" i="1" s="1"/>
  <c r="CC138" i="1"/>
  <c r="CC137" i="1"/>
  <c r="CC122" i="1"/>
  <c r="CF123" i="1" s="1"/>
  <c r="CC139" i="1"/>
  <c r="CA225" i="1"/>
  <c r="CB227" i="1"/>
  <c r="CB254" i="1" s="1"/>
  <c r="CY189" i="1"/>
  <c r="CZ189" i="1" s="1"/>
  <c r="DA189" i="1" s="1"/>
  <c r="DB189" i="1" s="1"/>
  <c r="CU173" i="1"/>
  <c r="CD275" i="1"/>
  <c r="CD271" i="1" s="1"/>
  <c r="CD147" i="1"/>
  <c r="CD155" i="1" s="1"/>
  <c r="CE275" i="1"/>
  <c r="CE271" i="1" s="1"/>
  <c r="CE147" i="1"/>
  <c r="CE155" i="1" s="1"/>
  <c r="CD274" i="1"/>
  <c r="CD270" i="1" s="1"/>
  <c r="CD146" i="1"/>
  <c r="CD154" i="1" s="1"/>
  <c r="CF266" i="1"/>
  <c r="CF147" i="1"/>
  <c r="CF155" i="1" s="1"/>
  <c r="CM167" i="1"/>
  <c r="AE91" i="1"/>
  <c r="AE92" i="1" s="1"/>
  <c r="DB116" i="1"/>
  <c r="AE116" i="1" s="1"/>
  <c r="CE175" i="1"/>
  <c r="Z221" i="1"/>
  <c r="AE115" i="1"/>
  <c r="AE73" i="1"/>
  <c r="CR38" i="1"/>
  <c r="CR51" i="1" s="1"/>
  <c r="CR16" i="1"/>
  <c r="DB92" i="1"/>
  <c r="CH192" i="1"/>
  <c r="CD60" i="1"/>
  <c r="CA399" i="1"/>
  <c r="CA400" i="1" s="1"/>
  <c r="CA60" i="1"/>
  <c r="CC369" i="1"/>
  <c r="CS351" i="1"/>
  <c r="CR352" i="1"/>
  <c r="CG416" i="1"/>
  <c r="CQ349" i="1"/>
  <c r="CQ353" i="1" s="1"/>
  <c r="CH369" i="1"/>
  <c r="CG369" i="1"/>
  <c r="CA376" i="1"/>
  <c r="BZ415" i="1"/>
  <c r="CT292" i="1"/>
  <c r="CS295" i="1"/>
  <c r="CS416" i="1" s="1"/>
  <c r="CD373" i="1"/>
  <c r="CF416" i="1"/>
  <c r="BM376" i="1"/>
  <c r="BL415" i="1"/>
  <c r="CF373" i="1"/>
  <c r="CF296" i="1"/>
  <c r="CR373" i="1"/>
  <c r="BL296" i="1"/>
  <c r="BL335" i="1"/>
  <c r="BL276" i="1" s="1"/>
  <c r="CA195" i="1"/>
  <c r="CA301" i="1"/>
  <c r="CB305" i="1"/>
  <c r="CC195" i="1"/>
  <c r="CC301" i="1"/>
  <c r="BZ335" i="1"/>
  <c r="BZ296" i="1"/>
  <c r="CF257" i="1"/>
  <c r="CD305" i="1"/>
  <c r="CE301" i="1"/>
  <c r="CE376" i="1"/>
  <c r="CD415" i="1"/>
  <c r="CA416" i="1"/>
  <c r="CA373" i="1"/>
  <c r="BM373" i="1"/>
  <c r="BM416" i="1"/>
  <c r="CH374" i="1"/>
  <c r="CG254" i="1"/>
  <c r="CG257" i="1" s="1"/>
  <c r="CG374" i="1"/>
  <c r="CG376" i="1"/>
  <c r="CF335" i="1"/>
  <c r="CF415" i="1"/>
  <c r="BM301" i="1"/>
  <c r="BM305" i="1" s="1"/>
  <c r="BL305" i="1"/>
  <c r="BL413" i="1" s="1"/>
  <c r="CG195" i="1"/>
  <c r="CG301" i="1"/>
  <c r="CH416" i="1"/>
  <c r="CH418" i="1" s="1"/>
  <c r="CH373" i="1"/>
  <c r="CG296" i="1"/>
  <c r="CG373" i="1"/>
  <c r="CB416" i="1"/>
  <c r="CB296" i="1"/>
  <c r="CB335" i="1"/>
  <c r="CB373" i="1"/>
  <c r="CB415" i="1"/>
  <c r="CC416" i="1"/>
  <c r="CC373" i="1"/>
  <c r="CE373" i="1"/>
  <c r="CD416" i="1"/>
  <c r="CD296" i="1"/>
  <c r="CD335" i="1"/>
  <c r="CE416" i="1"/>
  <c r="BL349" i="1"/>
  <c r="BL324" i="1"/>
  <c r="CD349" i="1"/>
  <c r="CD324" i="1"/>
  <c r="CB349" i="1"/>
  <c r="CB324" i="1"/>
  <c r="CF349" i="1"/>
  <c r="CF324" i="1"/>
  <c r="CF332" i="1" s="1"/>
  <c r="BZ349" i="1"/>
  <c r="BZ324" i="1"/>
  <c r="BZ332" i="1" s="1"/>
  <c r="CE265" i="1"/>
  <c r="CE274" i="1"/>
  <c r="CE270" i="1" s="1"/>
  <c r="BZ175" i="1"/>
  <c r="BZ190" i="1"/>
  <c r="BZ60" i="1" s="1"/>
  <c r="BZ173" i="1"/>
  <c r="CA175" i="1"/>
  <c r="CG352" i="1"/>
  <c r="CH364" i="1"/>
  <c r="CG364" i="1"/>
  <c r="CJ174" i="1"/>
  <c r="CF173" i="1"/>
  <c r="CG175" i="1"/>
  <c r="CF174" i="1"/>
  <c r="BZ413" i="1"/>
  <c r="CF413" i="1"/>
  <c r="CF411" i="1"/>
  <c r="CF275" i="1"/>
  <c r="CF271" i="1" s="1"/>
  <c r="CF258" i="1"/>
  <c r="CG275" i="1"/>
  <c r="CG271" i="1" s="1"/>
  <c r="CG266" i="1"/>
  <c r="CG274" i="1"/>
  <c r="CG270" i="1" s="1"/>
  <c r="CG265" i="1"/>
  <c r="CF274" i="1"/>
  <c r="CF270" i="1" s="1"/>
  <c r="CF265" i="1"/>
  <c r="CG174" i="1"/>
  <c r="CC173" i="1"/>
  <c r="Y221" i="1"/>
  <c r="CC190" i="1"/>
  <c r="CD175" i="1"/>
  <c r="CC174" i="1"/>
  <c r="CD258" i="1"/>
  <c r="CD265" i="1"/>
  <c r="CE315" i="1"/>
  <c r="CD257" i="1"/>
  <c r="CE364" i="1"/>
  <c r="CG363" i="1"/>
  <c r="CD266" i="1"/>
  <c r="CF364" i="1"/>
  <c r="CA196" i="1"/>
  <c r="CA200" i="1" s="1"/>
  <c r="CA203" i="1" s="1"/>
  <c r="CA210" i="1" s="1"/>
  <c r="CA191" i="1"/>
  <c r="CE266" i="1"/>
  <c r="CG324" i="1"/>
  <c r="CH363" i="1"/>
  <c r="CD191" i="1"/>
  <c r="CB191" i="1"/>
  <c r="CB399" i="1"/>
  <c r="CB400" i="1" s="1"/>
  <c r="CB196" i="1"/>
  <c r="CB200" i="1" s="1"/>
  <c r="CB193" i="1"/>
  <c r="CB417" i="1"/>
  <c r="CD399" i="1"/>
  <c r="CD400" i="1" s="1"/>
  <c r="CD196" i="1"/>
  <c r="CD200" i="1" s="1"/>
  <c r="CD203" i="1" s="1"/>
  <c r="CD401" i="1" s="1"/>
  <c r="CF175" i="1"/>
  <c r="CE174" i="1"/>
  <c r="CI174" i="1"/>
  <c r="CE190" i="1"/>
  <c r="CE173" i="1"/>
  <c r="BY196" i="1"/>
  <c r="BY200" i="1" s="1"/>
  <c r="BY191" i="1"/>
  <c r="BL196" i="1"/>
  <c r="BL200" i="1" s="1"/>
  <c r="BL191" i="1"/>
  <c r="CU346" i="1"/>
  <c r="CV291" i="1"/>
  <c r="CU347" i="1"/>
  <c r="CU350" i="1"/>
  <c r="CU307" i="1"/>
  <c r="AB317" i="1"/>
  <c r="A1" i="1"/>
  <c r="CG417" i="1" l="1"/>
  <c r="CF192" i="1"/>
  <c r="CG193" i="1"/>
  <c r="CI279" i="1"/>
  <c r="CI393" i="1"/>
  <c r="CF191" i="1"/>
  <c r="CF399" i="1"/>
  <c r="CF400" i="1" s="1"/>
  <c r="CJ192" i="1"/>
  <c r="CF196" i="1"/>
  <c r="CF60" i="1"/>
  <c r="CF160" i="1"/>
  <c r="CJ247" i="1"/>
  <c r="CJ248" i="1"/>
  <c r="CJ249" i="1"/>
  <c r="CK248" i="1"/>
  <c r="CK249" i="1"/>
  <c r="CK247" i="1"/>
  <c r="CC140" i="1"/>
  <c r="CL249" i="1"/>
  <c r="CL247" i="1"/>
  <c r="CL248" i="1"/>
  <c r="CI256" i="1"/>
  <c r="CI258" i="1"/>
  <c r="CI257" i="1"/>
  <c r="CB121" i="1"/>
  <c r="CB261" i="1"/>
  <c r="BZ225" i="1"/>
  <c r="CA227" i="1"/>
  <c r="CA121" i="1" s="1"/>
  <c r="CJ124" i="1"/>
  <c r="CF158" i="1"/>
  <c r="CF159" i="1"/>
  <c r="CV173" i="1"/>
  <c r="CN167" i="1"/>
  <c r="CS13" i="1"/>
  <c r="CS15" i="1" s="1"/>
  <c r="CA360" i="1"/>
  <c r="CA362" i="1" s="1"/>
  <c r="CA119" i="1"/>
  <c r="CC196" i="1"/>
  <c r="CC200" i="1" s="1"/>
  <c r="CC203" i="1" s="1"/>
  <c r="CC60" i="1"/>
  <c r="CG393" i="1"/>
  <c r="CE60" i="1"/>
  <c r="CT351" i="1"/>
  <c r="CS352" i="1"/>
  <c r="CG418" i="1"/>
  <c r="CF333" i="1"/>
  <c r="CR349" i="1"/>
  <c r="CR353" i="1" s="1"/>
  <c r="CA305" i="1"/>
  <c r="CB195" i="1"/>
  <c r="CB332" i="1"/>
  <c r="CB333" i="1" s="1"/>
  <c r="CD332" i="1"/>
  <c r="CD333" i="1" s="1"/>
  <c r="CU292" i="1"/>
  <c r="CT295" i="1"/>
  <c r="CT416" i="1" s="1"/>
  <c r="CB413" i="1"/>
  <c r="CB411" i="1"/>
  <c r="CE305" i="1"/>
  <c r="CF195" i="1"/>
  <c r="CS373" i="1"/>
  <c r="CB418" i="1"/>
  <c r="CG372" i="1"/>
  <c r="BZ333" i="1"/>
  <c r="CD195" i="1"/>
  <c r="CC305" i="1"/>
  <c r="BZ276" i="1"/>
  <c r="CA199" i="1"/>
  <c r="CD411" i="1"/>
  <c r="CD413" i="1"/>
  <c r="CH372" i="1"/>
  <c r="CG256" i="1"/>
  <c r="CG258" i="1"/>
  <c r="CF276" i="1"/>
  <c r="CG199" i="1"/>
  <c r="CH195" i="1"/>
  <c r="CG305" i="1"/>
  <c r="CB276" i="1"/>
  <c r="CC199" i="1"/>
  <c r="CD276" i="1"/>
  <c r="CD278" i="1" s="1"/>
  <c r="CE199" i="1"/>
  <c r="CF348" i="1"/>
  <c r="CF353" i="1"/>
  <c r="CJ356" i="1" s="1"/>
  <c r="BL353" i="1"/>
  <c r="BL348" i="1"/>
  <c r="CD353" i="1"/>
  <c r="CD348" i="1"/>
  <c r="CB353" i="1"/>
  <c r="CB348" i="1"/>
  <c r="BZ348" i="1"/>
  <c r="BZ353" i="1"/>
  <c r="CG365" i="1"/>
  <c r="CG366" i="1" s="1"/>
  <c r="BZ191" i="1"/>
  <c r="BZ196" i="1"/>
  <c r="CA417" i="1"/>
  <c r="CA418" i="1" s="1"/>
  <c r="CA193" i="1"/>
  <c r="BZ399" i="1"/>
  <c r="BZ400" i="1" s="1"/>
  <c r="CD192" i="1"/>
  <c r="BZ193" i="1"/>
  <c r="BZ417" i="1"/>
  <c r="CB279" i="1"/>
  <c r="CH365" i="1"/>
  <c r="CH366" i="1" s="1"/>
  <c r="CD279" i="1"/>
  <c r="CC417" i="1"/>
  <c r="CC418" i="1" s="1"/>
  <c r="CE363" i="1"/>
  <c r="CE365" i="1" s="1"/>
  <c r="CE324" i="1"/>
  <c r="CG351" i="1"/>
  <c r="CG353" i="1"/>
  <c r="CC399" i="1"/>
  <c r="CC400" i="1" s="1"/>
  <c r="CG192" i="1"/>
  <c r="Y222" i="1"/>
  <c r="CC191" i="1"/>
  <c r="CC393" i="1"/>
  <c r="CD417" i="1"/>
  <c r="CD418" i="1" s="1"/>
  <c r="CC279" i="1"/>
  <c r="CD393" i="1"/>
  <c r="CC193" i="1"/>
  <c r="CD193" i="1"/>
  <c r="CC192" i="1"/>
  <c r="CE349" i="1"/>
  <c r="CF363" i="1"/>
  <c r="CF365" i="1" s="1"/>
  <c r="CA202" i="1"/>
  <c r="CA286" i="1"/>
  <c r="CA287" i="1" s="1"/>
  <c r="CH205" i="1"/>
  <c r="CD202" i="1"/>
  <c r="CA214" i="1"/>
  <c r="CA401" i="1"/>
  <c r="CA204" i="1"/>
  <c r="CA412" i="1" s="1"/>
  <c r="CD204" i="1"/>
  <c r="CD412" i="1" s="1"/>
  <c r="CF279" i="1"/>
  <c r="CD210" i="1"/>
  <c r="CE193" i="1"/>
  <c r="CE279" i="1"/>
  <c r="CE393" i="1"/>
  <c r="CB202" i="1"/>
  <c r="CB203" i="1"/>
  <c r="CE417" i="1"/>
  <c r="CE418" i="1" s="1"/>
  <c r="CF417" i="1"/>
  <c r="CF418" i="1" s="1"/>
  <c r="CE399" i="1"/>
  <c r="CE400" i="1" s="1"/>
  <c r="Z222" i="1"/>
  <c r="CE192" i="1"/>
  <c r="CH279" i="1"/>
  <c r="CE191" i="1"/>
  <c r="CG279" i="1"/>
  <c r="CE196" i="1"/>
  <c r="CH393" i="1"/>
  <c r="CF193" i="1"/>
  <c r="CI192" i="1"/>
  <c r="CF393" i="1"/>
  <c r="BL203" i="1"/>
  <c r="BL202" i="1"/>
  <c r="BY202" i="1"/>
  <c r="BY203" i="1"/>
  <c r="CV307" i="1"/>
  <c r="CW291" i="1"/>
  <c r="CV346" i="1"/>
  <c r="CV350" i="1"/>
  <c r="CU369" i="1"/>
  <c r="CV347" i="1"/>
  <c r="AC317" i="1"/>
  <c r="CF200" i="1" l="1"/>
  <c r="CI217" i="1"/>
  <c r="CA228" i="1"/>
  <c r="CA254" i="1"/>
  <c r="CB137" i="1"/>
  <c r="CB139" i="1"/>
  <c r="CB138" i="1"/>
  <c r="CB122" i="1"/>
  <c r="CE123" i="1" s="1"/>
  <c r="CA138" i="1"/>
  <c r="CA137" i="1"/>
  <c r="CA139" i="1"/>
  <c r="CA122" i="1"/>
  <c r="CD123" i="1" s="1"/>
  <c r="BY225" i="1"/>
  <c r="BZ227" i="1"/>
  <c r="CW173" i="1"/>
  <c r="CX173" i="1" s="1"/>
  <c r="CO167" i="1"/>
  <c r="CS38" i="1"/>
  <c r="CS51" i="1" s="1"/>
  <c r="CC202" i="1"/>
  <c r="CD217" i="1"/>
  <c r="CM164" i="1"/>
  <c r="CM45" i="1" s="1"/>
  <c r="CD214" i="1"/>
  <c r="CD119" i="1"/>
  <c r="CS16" i="1"/>
  <c r="CD277" i="1"/>
  <c r="CD280" i="1" s="1"/>
  <c r="CU351" i="1"/>
  <c r="CT352" i="1"/>
  <c r="CS349" i="1"/>
  <c r="CS353" i="1" s="1"/>
  <c r="CA370" i="1"/>
  <c r="CA368" i="1" s="1"/>
  <c r="CB370" i="1"/>
  <c r="CB368" i="1" s="1"/>
  <c r="CE370" i="1"/>
  <c r="CE368" i="1" s="1"/>
  <c r="CF370" i="1"/>
  <c r="CF368" i="1" s="1"/>
  <c r="CH370" i="1"/>
  <c r="CH368" i="1" s="1"/>
  <c r="CH380" i="1" s="1"/>
  <c r="CG370" i="1"/>
  <c r="CG368" i="1" s="1"/>
  <c r="CV292" i="1"/>
  <c r="CU295" i="1"/>
  <c r="CU416" i="1" s="1"/>
  <c r="CT373" i="1"/>
  <c r="CD370" i="1"/>
  <c r="CD368" i="1" s="1"/>
  <c r="CC370" i="1"/>
  <c r="CC368" i="1" s="1"/>
  <c r="CF356" i="1"/>
  <c r="CF277" i="1"/>
  <c r="CF280" i="1" s="1"/>
  <c r="CF278" i="1"/>
  <c r="CF281" i="1" s="1"/>
  <c r="CD356" i="1"/>
  <c r="CH356" i="1"/>
  <c r="BZ200" i="1"/>
  <c r="CB217" i="1"/>
  <c r="CD281" i="1"/>
  <c r="CD394" i="1"/>
  <c r="CF203" i="1"/>
  <c r="AA223" i="1" s="1"/>
  <c r="CF202" i="1"/>
  <c r="CC205" i="1"/>
  <c r="CG205" i="1"/>
  <c r="CC401" i="1"/>
  <c r="CC210" i="1"/>
  <c r="CC119" i="1" s="1"/>
  <c r="CC204" i="1"/>
  <c r="CC412" i="1" s="1"/>
  <c r="CD206" i="1"/>
  <c r="CE348" i="1"/>
  <c r="CE353" i="1"/>
  <c r="CA374" i="1"/>
  <c r="CA372" i="1" s="1"/>
  <c r="CA296" i="1"/>
  <c r="CC206" i="1"/>
  <c r="CD360" i="1"/>
  <c r="CD362" i="1" s="1"/>
  <c r="Y223" i="1"/>
  <c r="CD228" i="1"/>
  <c r="CH280" i="1"/>
  <c r="CH281" i="1"/>
  <c r="CF217" i="1"/>
  <c r="CH217" i="1"/>
  <c r="CG217" i="1"/>
  <c r="CE200" i="1"/>
  <c r="CB210" i="1"/>
  <c r="CB119" i="1" s="1"/>
  <c r="CB206" i="1"/>
  <c r="CB401" i="1"/>
  <c r="CB204" i="1"/>
  <c r="CB412" i="1" s="1"/>
  <c r="BL210" i="1"/>
  <c r="BL204" i="1"/>
  <c r="BL412" i="1" s="1"/>
  <c r="CM226" i="1"/>
  <c r="CN226" i="1" s="1"/>
  <c r="CO226" i="1" s="1"/>
  <c r="CP226" i="1" s="1"/>
  <c r="BY204" i="1"/>
  <c r="BY412" i="1" s="1"/>
  <c r="BY210" i="1"/>
  <c r="BY119" i="1" s="1"/>
  <c r="CX291" i="1"/>
  <c r="CW347" i="1"/>
  <c r="CW346" i="1"/>
  <c r="CW307" i="1"/>
  <c r="CW350" i="1"/>
  <c r="CV369" i="1"/>
  <c r="AE317" i="1"/>
  <c r="AD317" i="1"/>
  <c r="CF401" i="1" l="1"/>
  <c r="CA140" i="1"/>
  <c r="CB140" i="1"/>
  <c r="BX225" i="1"/>
  <c r="BW225" i="1" s="1"/>
  <c r="BV225" i="1" s="1"/>
  <c r="BU225" i="1" s="1"/>
  <c r="BT225" i="1" s="1"/>
  <c r="BS225" i="1" s="1"/>
  <c r="BR225" i="1" s="1"/>
  <c r="BQ225" i="1" s="1"/>
  <c r="BP225" i="1" s="1"/>
  <c r="BO225" i="1" s="1"/>
  <c r="BN225" i="1" s="1"/>
  <c r="BM225" i="1" s="1"/>
  <c r="BL225" i="1" s="1"/>
  <c r="BY227" i="1"/>
  <c r="BY121" i="1" s="1"/>
  <c r="CH124" i="1"/>
  <c r="CD158" i="1"/>
  <c r="CD159" i="1"/>
  <c r="CD160" i="1"/>
  <c r="CI124" i="1"/>
  <c r="CE158" i="1"/>
  <c r="CE159" i="1"/>
  <c r="CE160" i="1"/>
  <c r="BZ121" i="1"/>
  <c r="BZ254" i="1"/>
  <c r="CM46" i="1"/>
  <c r="CM30" i="1"/>
  <c r="CP167" i="1"/>
  <c r="CP164" i="1" s="1"/>
  <c r="CP45" i="1" s="1"/>
  <c r="CY173" i="1"/>
  <c r="CQ226" i="1"/>
  <c r="CR226" i="1" s="1"/>
  <c r="CS226" i="1" s="1"/>
  <c r="CT226" i="1" s="1"/>
  <c r="AB226" i="1"/>
  <c r="AA226" i="1" s="1"/>
  <c r="Z226" i="1" s="1"/>
  <c r="Y226" i="1" s="1"/>
  <c r="X226" i="1" s="1"/>
  <c r="W226" i="1" s="1"/>
  <c r="V226" i="1" s="1"/>
  <c r="U226" i="1" s="1"/>
  <c r="T226" i="1" s="1"/>
  <c r="S226" i="1" s="1"/>
  <c r="R226" i="1" s="1"/>
  <c r="Q226" i="1" s="1"/>
  <c r="P226" i="1" s="1"/>
  <c r="O226" i="1" s="1"/>
  <c r="N226" i="1" s="1"/>
  <c r="M226" i="1" s="1"/>
  <c r="L226" i="1" s="1"/>
  <c r="K226" i="1" s="1"/>
  <c r="J226" i="1" s="1"/>
  <c r="I226" i="1" s="1"/>
  <c r="H226" i="1" s="1"/>
  <c r="G226" i="1" s="1"/>
  <c r="F226" i="1" s="1"/>
  <c r="E226" i="1" s="1"/>
  <c r="CT13" i="1"/>
  <c r="CT15" i="1" s="1"/>
  <c r="CN164" i="1"/>
  <c r="CN45" i="1" s="1"/>
  <c r="CM166" i="1"/>
  <c r="CM168" i="1" s="1"/>
  <c r="CM188" i="1"/>
  <c r="CM180" i="1" s="1"/>
  <c r="CV351" i="1"/>
  <c r="CU352" i="1"/>
  <c r="CG380" i="1"/>
  <c r="CG377" i="1"/>
  <c r="CG327" i="1" s="1"/>
  <c r="CG328" i="1" s="1"/>
  <c r="CG378" i="1" s="1"/>
  <c r="CT349" i="1"/>
  <c r="CT353" i="1" s="1"/>
  <c r="CU348" i="1"/>
  <c r="CW292" i="1"/>
  <c r="CV295" i="1"/>
  <c r="CV416" i="1" s="1"/>
  <c r="CU373" i="1"/>
  <c r="CF205" i="1"/>
  <c r="CF204" i="1"/>
  <c r="CF412" i="1" s="1"/>
  <c r="BZ203" i="1"/>
  <c r="BZ202" i="1"/>
  <c r="CJ205" i="1"/>
  <c r="CG206" i="1"/>
  <c r="CI394" i="1"/>
  <c r="CF210" i="1"/>
  <c r="CF119" i="1" s="1"/>
  <c r="CD216" i="1"/>
  <c r="CC214" i="1"/>
  <c r="CC286" i="1"/>
  <c r="CC287" i="1" s="1"/>
  <c r="CC228" i="1"/>
  <c r="CC360" i="1"/>
  <c r="CC362" i="1" s="1"/>
  <c r="CB228" i="1"/>
  <c r="CB214" i="1"/>
  <c r="CB360" i="1"/>
  <c r="CB362" i="1" s="1"/>
  <c r="CB374" i="1"/>
  <c r="CB372" i="1" s="1"/>
  <c r="CE203" i="1"/>
  <c r="CE202" i="1"/>
  <c r="BY360" i="1"/>
  <c r="BY362" i="1" s="1"/>
  <c r="BY214" i="1"/>
  <c r="BL360" i="1"/>
  <c r="BL362" i="1" s="1"/>
  <c r="BL214" i="1"/>
  <c r="CX350" i="1"/>
  <c r="CX347" i="1"/>
  <c r="CX346" i="1"/>
  <c r="CX307" i="1"/>
  <c r="CY291" i="1"/>
  <c r="CW369" i="1"/>
  <c r="AB293" i="1"/>
  <c r="AB303" i="1"/>
  <c r="AB302" i="1"/>
  <c r="AB294" i="1"/>
  <c r="AB289" i="1"/>
  <c r="AB318" i="1"/>
  <c r="AB310" i="1"/>
  <c r="AB285" i="1"/>
  <c r="BY228" i="1" l="1"/>
  <c r="BZ138" i="1"/>
  <c r="BZ137" i="1"/>
  <c r="BZ122" i="1"/>
  <c r="CC123" i="1" s="1"/>
  <c r="CG124" i="1" s="1"/>
  <c r="BZ139" i="1"/>
  <c r="BY138" i="1"/>
  <c r="BY137" i="1"/>
  <c r="BY122" i="1"/>
  <c r="BY139" i="1"/>
  <c r="BK225" i="1"/>
  <c r="BJ225" i="1" s="1"/>
  <c r="BI225" i="1" s="1"/>
  <c r="BH225" i="1" s="1"/>
  <c r="BG225" i="1" s="1"/>
  <c r="BF225" i="1" s="1"/>
  <c r="BE225" i="1" s="1"/>
  <c r="BD225" i="1" s="1"/>
  <c r="BC225" i="1" s="1"/>
  <c r="BB225" i="1" s="1"/>
  <c r="BA225" i="1" s="1"/>
  <c r="AZ225" i="1" s="1"/>
  <c r="AY225" i="1" s="1"/>
  <c r="AX225" i="1" s="1"/>
  <c r="AW225" i="1" s="1"/>
  <c r="AV225" i="1" s="1"/>
  <c r="AU225" i="1" s="1"/>
  <c r="AT225" i="1" s="1"/>
  <c r="AS225" i="1" s="1"/>
  <c r="AR225" i="1" s="1"/>
  <c r="AQ225" i="1" s="1"/>
  <c r="AP225" i="1" s="1"/>
  <c r="AO225" i="1" s="1"/>
  <c r="AN225" i="1" s="1"/>
  <c r="AM225" i="1" s="1"/>
  <c r="AL225" i="1" s="1"/>
  <c r="BL227" i="1"/>
  <c r="CZ173" i="1"/>
  <c r="DA173" i="1" s="1"/>
  <c r="DB173" i="1" s="1"/>
  <c r="CN46" i="1"/>
  <c r="CN30" i="1"/>
  <c r="CP46" i="1"/>
  <c r="CP30" i="1"/>
  <c r="CQ167" i="1"/>
  <c r="CR167" i="1" s="1"/>
  <c r="CU226" i="1"/>
  <c r="CV226" i="1" s="1"/>
  <c r="CW226" i="1" s="1"/>
  <c r="CX226" i="1" s="1"/>
  <c r="AC226" i="1"/>
  <c r="CT38" i="1"/>
  <c r="AC38" i="1" s="1"/>
  <c r="AC15" i="1"/>
  <c r="CP166" i="1"/>
  <c r="CP188" i="1"/>
  <c r="CP180" i="1" s="1"/>
  <c r="CN166" i="1"/>
  <c r="CN168" i="1" s="1"/>
  <c r="CN188" i="1"/>
  <c r="CN180" i="1" s="1"/>
  <c r="CT16" i="1"/>
  <c r="CW351" i="1"/>
  <c r="CV352" i="1"/>
  <c r="CU349" i="1"/>
  <c r="CU353" i="1" s="1"/>
  <c r="CV348" i="1"/>
  <c r="CX292" i="1"/>
  <c r="CW295" i="1"/>
  <c r="CW416" i="1" s="1"/>
  <c r="CV373" i="1"/>
  <c r="CD231" i="1"/>
  <c r="CD248" i="1" s="1"/>
  <c r="BZ204" i="1"/>
  <c r="BZ412" i="1" s="1"/>
  <c r="BZ206" i="1"/>
  <c r="CC394" i="1"/>
  <c r="BZ210" i="1"/>
  <c r="BZ401" i="1"/>
  <c r="CD205" i="1"/>
  <c r="CA206" i="1"/>
  <c r="CG415" i="1"/>
  <c r="CH376" i="1"/>
  <c r="CH377" i="1" s="1"/>
  <c r="CH378" i="1" s="1"/>
  <c r="CG411" i="1"/>
  <c r="CG413" i="1"/>
  <c r="CG332" i="1"/>
  <c r="CG333" i="1" s="1"/>
  <c r="CG335" i="1"/>
  <c r="CF360" i="1"/>
  <c r="CF362" i="1" s="1"/>
  <c r="CF366" i="1" s="1"/>
  <c r="CF380" i="1" s="1"/>
  <c r="CF214" i="1"/>
  <c r="CF228" i="1"/>
  <c r="CI231" i="1" s="1"/>
  <c r="CI216" i="1"/>
  <c r="CC254" i="1"/>
  <c r="CC296" i="1"/>
  <c r="CC217" i="1" s="1"/>
  <c r="CC374" i="1"/>
  <c r="CC372" i="1" s="1"/>
  <c r="CD374" i="1"/>
  <c r="CD372" i="1" s="1"/>
  <c r="CG394" i="1"/>
  <c r="CI205" i="1"/>
  <c r="CH394" i="1"/>
  <c r="CE206" i="1"/>
  <c r="CE204" i="1"/>
  <c r="CE412" i="1" s="1"/>
  <c r="CE205" i="1"/>
  <c r="CF206" i="1"/>
  <c r="CE210" i="1"/>
  <c r="CE119" i="1" s="1"/>
  <c r="CF394" i="1"/>
  <c r="CE394" i="1"/>
  <c r="Z223" i="1"/>
  <c r="CE401" i="1"/>
  <c r="CY347" i="1"/>
  <c r="CZ291" i="1"/>
  <c r="CY346" i="1"/>
  <c r="CY307" i="1"/>
  <c r="CY369" i="1" s="1"/>
  <c r="CX369" i="1"/>
  <c r="CY350" i="1"/>
  <c r="AC303" i="1"/>
  <c r="AC293" i="1"/>
  <c r="AB331" i="1"/>
  <c r="AC289" i="1"/>
  <c r="AC318" i="1"/>
  <c r="AB314" i="1"/>
  <c r="AB321" i="1"/>
  <c r="AC310" i="1"/>
  <c r="AC294" i="1"/>
  <c r="AB322" i="1"/>
  <c r="AC285" i="1"/>
  <c r="AC302" i="1"/>
  <c r="CB123" i="1" l="1"/>
  <c r="CF124" i="1" s="1"/>
  <c r="BY140" i="1"/>
  <c r="BZ140" i="1"/>
  <c r="BL254" i="1"/>
  <c r="BL228" i="1"/>
  <c r="AK225" i="1"/>
  <c r="AJ225" i="1" s="1"/>
  <c r="AI225" i="1" s="1"/>
  <c r="AL227" i="1"/>
  <c r="CS167" i="1"/>
  <c r="CT167" i="1" s="1"/>
  <c r="CY226" i="1"/>
  <c r="CZ226" i="1" s="1"/>
  <c r="DA226" i="1" s="1"/>
  <c r="DB226" i="1" s="1"/>
  <c r="AE226" i="1" s="1"/>
  <c r="AD226" i="1"/>
  <c r="CT51" i="1"/>
  <c r="CQ164" i="1"/>
  <c r="AC18" i="1"/>
  <c r="AC16" i="1"/>
  <c r="CR164" i="1"/>
  <c r="CC216" i="1"/>
  <c r="BZ119" i="1"/>
  <c r="CU13" i="1"/>
  <c r="CX351" i="1"/>
  <c r="CW352" i="1"/>
  <c r="CV349" i="1"/>
  <c r="CV353" i="1" s="1"/>
  <c r="CW348" i="1"/>
  <c r="CY292" i="1"/>
  <c r="CX295" i="1"/>
  <c r="CX416" i="1" s="1"/>
  <c r="CW373" i="1"/>
  <c r="CD247" i="1"/>
  <c r="CD249" i="1"/>
  <c r="CB216" i="1"/>
  <c r="BZ228" i="1"/>
  <c r="BZ214" i="1"/>
  <c r="BZ360" i="1"/>
  <c r="BZ362" i="1" s="1"/>
  <c r="CH199" i="1"/>
  <c r="CG276" i="1"/>
  <c r="CI249" i="1"/>
  <c r="CI247" i="1"/>
  <c r="CI248" i="1"/>
  <c r="CL252" i="1" s="1"/>
  <c r="CE214" i="1"/>
  <c r="CE286" i="1"/>
  <c r="CE287" i="1" s="1"/>
  <c r="CE216" i="1" s="1"/>
  <c r="CE360" i="1"/>
  <c r="CE362" i="1" s="1"/>
  <c r="CE366" i="1" s="1"/>
  <c r="CE380" i="1" s="1"/>
  <c r="CE228" i="1"/>
  <c r="CF216" i="1"/>
  <c r="CG216" i="1"/>
  <c r="CH216" i="1"/>
  <c r="DA291" i="1"/>
  <c r="CZ307" i="1"/>
  <c r="CZ369" i="1" s="1"/>
  <c r="CZ350" i="1"/>
  <c r="CZ347" i="1"/>
  <c r="CZ346" i="1"/>
  <c r="AE303" i="1"/>
  <c r="AD303" i="1"/>
  <c r="AE293" i="1"/>
  <c r="AD293" i="1"/>
  <c r="AC331" i="1"/>
  <c r="AE318" i="1"/>
  <c r="AD318" i="1"/>
  <c r="AE310" i="1"/>
  <c r="AD310" i="1"/>
  <c r="AD285" i="1"/>
  <c r="AE285" i="1"/>
  <c r="AC321" i="1"/>
  <c r="AE294" i="1"/>
  <c r="AD294" i="1"/>
  <c r="AE302" i="1"/>
  <c r="AD302" i="1"/>
  <c r="AC322" i="1"/>
  <c r="AC314" i="1"/>
  <c r="AE289" i="1"/>
  <c r="AD289" i="1"/>
  <c r="CU167" i="1" l="1"/>
  <c r="CQ188" i="1"/>
  <c r="CQ180" i="1" s="1"/>
  <c r="CQ45" i="1"/>
  <c r="CR166" i="1"/>
  <c r="CR45" i="1"/>
  <c r="AC51" i="1"/>
  <c r="AC65" i="1" s="1"/>
  <c r="AC114" i="1"/>
  <c r="CQ166" i="1"/>
  <c r="CQ168" i="1" s="1"/>
  <c r="CR188" i="1"/>
  <c r="CR180" i="1" s="1"/>
  <c r="AD13" i="1"/>
  <c r="CT164" i="1"/>
  <c r="CT45" i="1" s="1"/>
  <c r="CU15" i="1"/>
  <c r="CY351" i="1"/>
  <c r="CX352" i="1"/>
  <c r="CW349" i="1"/>
  <c r="CW353" i="1" s="1"/>
  <c r="CX348" i="1"/>
  <c r="CZ292" i="1"/>
  <c r="CY295" i="1"/>
  <c r="CY416" i="1" s="1"/>
  <c r="CX373" i="1"/>
  <c r="CC231" i="1"/>
  <c r="CB231" i="1"/>
  <c r="CG278" i="1"/>
  <c r="CG281" i="1" s="1"/>
  <c r="CG277" i="1"/>
  <c r="CG280" i="1" s="1"/>
  <c r="CF231" i="1"/>
  <c r="CH231" i="1"/>
  <c r="CL232" i="1" s="1"/>
  <c r="CG231" i="1"/>
  <c r="CK232" i="1" s="1"/>
  <c r="CE231" i="1"/>
  <c r="CE254" i="1"/>
  <c r="CF374" i="1"/>
  <c r="CF372" i="1" s="1"/>
  <c r="CE296" i="1"/>
  <c r="CE217" i="1" s="1"/>
  <c r="CE374" i="1"/>
  <c r="CE372" i="1" s="1"/>
  <c r="CE377" i="1" s="1"/>
  <c r="CE327" i="1" s="1"/>
  <c r="CE328" i="1" s="1"/>
  <c r="CE332" i="1" s="1"/>
  <c r="DA346" i="1"/>
  <c r="DA347" i="1"/>
  <c r="DA307" i="1"/>
  <c r="DB307" i="1" s="1"/>
  <c r="DB369" i="1" s="1"/>
  <c r="DA350" i="1"/>
  <c r="DB291" i="1"/>
  <c r="AE331" i="1"/>
  <c r="AD331" i="1"/>
  <c r="AE321" i="1"/>
  <c r="AD321" i="1"/>
  <c r="AE322" i="1"/>
  <c r="AD322" i="1"/>
  <c r="AE314" i="1"/>
  <c r="AD314" i="1"/>
  <c r="BY398" i="1"/>
  <c r="CT46" i="1" l="1"/>
  <c r="CT30" i="1"/>
  <c r="CQ46" i="1"/>
  <c r="CQ30" i="1"/>
  <c r="CR46" i="1"/>
  <c r="CR30" i="1"/>
  <c r="CV167" i="1"/>
  <c r="CR168" i="1"/>
  <c r="CU38" i="1"/>
  <c r="CT166" i="1"/>
  <c r="CT188" i="1"/>
  <c r="CT180" i="1" s="1"/>
  <c r="CU164" i="1"/>
  <c r="CU45" i="1" s="1"/>
  <c r="CU16" i="1"/>
  <c r="CV13" i="1" s="1"/>
  <c r="CZ351" i="1"/>
  <c r="CY352" i="1"/>
  <c r="DA292" i="1"/>
  <c r="CZ295" i="1"/>
  <c r="CZ373" i="1" s="1"/>
  <c r="CX349" i="1"/>
  <c r="CX353" i="1" s="1"/>
  <c r="CY348" i="1"/>
  <c r="CY373" i="1"/>
  <c r="CE256" i="1"/>
  <c r="CE257" i="1"/>
  <c r="CE258" i="1"/>
  <c r="CE411" i="1"/>
  <c r="CE247" i="1"/>
  <c r="CE248" i="1"/>
  <c r="CI232" i="1"/>
  <c r="CE249" i="1"/>
  <c r="CE415" i="1"/>
  <c r="CG232" i="1"/>
  <c r="CG247" i="1"/>
  <c r="CG249" i="1"/>
  <c r="CG248" i="1"/>
  <c r="CE335" i="1"/>
  <c r="CE276" i="1" s="1"/>
  <c r="CE278" i="1" s="1"/>
  <c r="CE281" i="1" s="1"/>
  <c r="CF376" i="1"/>
  <c r="CF377" i="1" s="1"/>
  <c r="CF378" i="1" s="1"/>
  <c r="CE413" i="1"/>
  <c r="CH232" i="1"/>
  <c r="CH248" i="1"/>
  <c r="CK252" i="1" s="1"/>
  <c r="CH247" i="1"/>
  <c r="CH249" i="1"/>
  <c r="CE378" i="1"/>
  <c r="CF232" i="1"/>
  <c r="CJ232" i="1"/>
  <c r="CF249" i="1"/>
  <c r="CF247" i="1"/>
  <c r="CF248" i="1"/>
  <c r="DA369" i="1"/>
  <c r="DB347" i="1"/>
  <c r="DB346" i="1"/>
  <c r="DB350" i="1"/>
  <c r="CE333" i="1"/>
  <c r="AB177" i="1"/>
  <c r="CU46" i="1" l="1"/>
  <c r="CU30" i="1"/>
  <c r="CW167" i="1"/>
  <c r="CU51" i="1"/>
  <c r="CV164" i="1"/>
  <c r="CV45" i="1" s="1"/>
  <c r="CU166" i="1"/>
  <c r="CU168" i="1" s="1"/>
  <c r="CU188" i="1"/>
  <c r="CU180" i="1" s="1"/>
  <c r="CV15" i="1"/>
  <c r="CZ416" i="1"/>
  <c r="DA351" i="1"/>
  <c r="CZ352" i="1"/>
  <c r="DA295" i="1"/>
  <c r="DB292" i="1"/>
  <c r="DB295" i="1" s="1"/>
  <c r="CY349" i="1"/>
  <c r="CY353" i="1" s="1"/>
  <c r="CZ348" i="1"/>
  <c r="CJ252" i="1"/>
  <c r="CH252" i="1"/>
  <c r="CF199" i="1"/>
  <c r="CI252" i="1"/>
  <c r="CG252" i="1"/>
  <c r="CE277" i="1"/>
  <c r="CE280" i="1" s="1"/>
  <c r="AC177" i="1"/>
  <c r="BY399" i="1"/>
  <c r="BY400" i="1" s="1"/>
  <c r="CV46" i="1" l="1"/>
  <c r="CV30" i="1"/>
  <c r="CX167" i="1"/>
  <c r="CY167" i="1" s="1"/>
  <c r="CV38" i="1"/>
  <c r="CV166" i="1"/>
  <c r="CV168" i="1" s="1"/>
  <c r="CV188" i="1"/>
  <c r="CV180" i="1" s="1"/>
  <c r="CV16" i="1"/>
  <c r="DB351" i="1"/>
  <c r="DB352" i="1" s="1"/>
  <c r="DA352" i="1"/>
  <c r="DA373" i="1"/>
  <c r="DA416" i="1"/>
  <c r="DB416" i="1"/>
  <c r="DB373" i="1"/>
  <c r="CZ349" i="1"/>
  <c r="CZ353" i="1" s="1"/>
  <c r="DA348" i="1"/>
  <c r="AD177" i="1"/>
  <c r="BY401" i="1"/>
  <c r="CZ167" i="1" l="1"/>
  <c r="DA167" i="1" s="1"/>
  <c r="DB167" i="1" s="1"/>
  <c r="CX164" i="1"/>
  <c r="CX45" i="1" s="1"/>
  <c r="CV51" i="1"/>
  <c r="CW13" i="1"/>
  <c r="CW15" i="1" s="1"/>
  <c r="DA349" i="1"/>
  <c r="DA353" i="1" s="1"/>
  <c r="DB348" i="1"/>
  <c r="DB349" i="1" s="1"/>
  <c r="DB353" i="1" s="1"/>
  <c r="AE177" i="1"/>
  <c r="CX46" i="1" l="1"/>
  <c r="CX30" i="1"/>
  <c r="CX188" i="1"/>
  <c r="CX180" i="1" s="1"/>
  <c r="CX166" i="1"/>
  <c r="CW38" i="1"/>
  <c r="CY164" i="1"/>
  <c r="CY45" i="1" s="1"/>
  <c r="CW16" i="1"/>
  <c r="BI227" i="1"/>
  <c r="AT227" i="1"/>
  <c r="BT227" i="1"/>
  <c r="BT121" i="1" s="1"/>
  <c r="AV227" i="1"/>
  <c r="AX227" i="1"/>
  <c r="AR227" i="1"/>
  <c r="CY46" i="1" l="1"/>
  <c r="CY30" i="1"/>
  <c r="CW51" i="1"/>
  <c r="CX13" i="1"/>
  <c r="CX15" i="1" s="1"/>
  <c r="CY166" i="1"/>
  <c r="CY188" i="1"/>
  <c r="CY180" i="1" s="1"/>
  <c r="CZ164" i="1"/>
  <c r="CZ45" i="1" s="1"/>
  <c r="DB164" i="1"/>
  <c r="DB45" i="1" s="1"/>
  <c r="BT122" i="1"/>
  <c r="BT137" i="1"/>
  <c r="BT139" i="1"/>
  <c r="BT138" i="1"/>
  <c r="AO227" i="1"/>
  <c r="BK227" i="1"/>
  <c r="AN227" i="1"/>
  <c r="AW227" i="1"/>
  <c r="BB227" i="1"/>
  <c r="BM227" i="1"/>
  <c r="BQ227" i="1"/>
  <c r="AJ227" i="1"/>
  <c r="BS227" i="1"/>
  <c r="BS121" i="1" s="1"/>
  <c r="BR227" i="1"/>
  <c r="BO227" i="1"/>
  <c r="AM227" i="1"/>
  <c r="AI227" i="1"/>
  <c r="AP227" i="1"/>
  <c r="AZ227" i="1"/>
  <c r="AS227" i="1"/>
  <c r="BN227" i="1"/>
  <c r="BU227" i="1"/>
  <c r="BU121" i="1" s="1"/>
  <c r="BA227" i="1"/>
  <c r="BC227" i="1"/>
  <c r="AU227" i="1"/>
  <c r="BW227" i="1"/>
  <c r="BW121" i="1" s="1"/>
  <c r="BP227" i="1"/>
  <c r="BJ227" i="1"/>
  <c r="BH227" i="1"/>
  <c r="BX227" i="1"/>
  <c r="BX121" i="1" s="1"/>
  <c r="BG227" i="1"/>
  <c r="AQ227" i="1"/>
  <c r="AY227" i="1"/>
  <c r="AK227" i="1"/>
  <c r="BE227" i="1"/>
  <c r="BD227" i="1"/>
  <c r="BV227" i="1"/>
  <c r="BV121" i="1" s="1"/>
  <c r="BF227" i="1"/>
  <c r="DB46" i="1" l="1"/>
  <c r="DB30" i="1"/>
  <c r="CZ46" i="1"/>
  <c r="CZ30" i="1"/>
  <c r="CX38" i="1"/>
  <c r="AD38" i="1" s="1"/>
  <c r="AD15" i="1"/>
  <c r="BT140" i="1"/>
  <c r="BW122" i="1"/>
  <c r="BW138" i="1"/>
  <c r="BW137" i="1"/>
  <c r="BW139" i="1"/>
  <c r="BS122" i="1"/>
  <c r="BS138" i="1"/>
  <c r="BS137" i="1"/>
  <c r="BS139" i="1"/>
  <c r="BX122" i="1"/>
  <c r="CA123" i="1" s="1"/>
  <c r="CE124" i="1" s="1"/>
  <c r="BX137" i="1"/>
  <c r="BX139" i="1"/>
  <c r="BX138" i="1"/>
  <c r="BV122" i="1"/>
  <c r="BV139" i="1"/>
  <c r="BV138" i="1"/>
  <c r="BV137" i="1"/>
  <c r="DB166" i="1"/>
  <c r="DB188" i="1"/>
  <c r="DB180" i="1" s="1"/>
  <c r="CY168" i="1"/>
  <c r="BU122" i="1"/>
  <c r="BU139" i="1"/>
  <c r="BU138" i="1"/>
  <c r="BU137" i="1"/>
  <c r="CZ188" i="1"/>
  <c r="CZ180" i="1" s="1"/>
  <c r="CZ166" i="1"/>
  <c r="CZ168" i="1" s="1"/>
  <c r="CX16" i="1"/>
  <c r="BL398" i="1"/>
  <c r="BY123" i="1" l="1"/>
  <c r="CC124" i="1" s="1"/>
  <c r="BX123" i="1"/>
  <c r="CB124" i="1" s="1"/>
  <c r="BW123" i="1"/>
  <c r="CA124" i="1" s="1"/>
  <c r="BV123" i="1"/>
  <c r="BZ123" i="1"/>
  <c r="AD18" i="1"/>
  <c r="AD16" i="1"/>
  <c r="BV140" i="1"/>
  <c r="CX51" i="1"/>
  <c r="AD114" i="1" s="1"/>
  <c r="BW140" i="1"/>
  <c r="BX140" i="1"/>
  <c r="BS140" i="1"/>
  <c r="BU140" i="1"/>
  <c r="CY13" i="1"/>
  <c r="AB307" i="1"/>
  <c r="AA145" i="1"/>
  <c r="BZ124" i="1" l="1"/>
  <c r="CD124" i="1"/>
  <c r="AD51" i="1"/>
  <c r="AE13" i="1"/>
  <c r="CY15" i="1"/>
  <c r="CN239" i="1"/>
  <c r="AB369" i="1"/>
  <c r="AD65" i="1" l="1"/>
  <c r="CY38" i="1"/>
  <c r="CY16" i="1"/>
  <c r="CO239" i="1"/>
  <c r="AA76" i="1"/>
  <c r="CM225" i="1"/>
  <c r="U12" i="2"/>
  <c r="T30" i="2"/>
  <c r="V22" i="2"/>
  <c r="J23" i="2"/>
  <c r="L15" i="2"/>
  <c r="U23" i="2"/>
  <c r="S31" i="2"/>
  <c r="L23" i="2"/>
  <c r="C28" i="2"/>
  <c r="E24" i="2"/>
  <c r="M31" i="2"/>
  <c r="T26" i="2"/>
  <c r="K24" i="2"/>
  <c r="I28" i="2"/>
  <c r="M7" i="2"/>
  <c r="S34" i="2"/>
  <c r="Q58" i="2"/>
  <c r="J15" i="2"/>
  <c r="N7" i="2"/>
  <c r="D11" i="2"/>
  <c r="J12" i="2"/>
  <c r="F30" i="2"/>
  <c r="U36" i="2"/>
  <c r="K20" i="2"/>
  <c r="Q78" i="2"/>
  <c r="P36" i="2"/>
  <c r="Q31" i="2"/>
  <c r="F32" i="2"/>
  <c r="M14" i="2"/>
  <c r="O36" i="2"/>
  <c r="L27" i="2"/>
  <c r="U14" i="2"/>
  <c r="V9" i="2"/>
  <c r="K22" i="2"/>
  <c r="G6" i="2"/>
  <c r="F28" i="2"/>
  <c r="S6" i="2"/>
  <c r="X24" i="2"/>
  <c r="S33" i="2"/>
  <c r="M25" i="2"/>
  <c r="W27" i="2"/>
  <c r="W22" i="2"/>
  <c r="Q69" i="2"/>
  <c r="I10" i="2"/>
  <c r="L7" i="2"/>
  <c r="H26" i="2"/>
  <c r="Q56" i="2"/>
  <c r="C22" i="2"/>
  <c r="P32" i="2"/>
  <c r="W25" i="2"/>
  <c r="L24" i="2"/>
  <c r="H30" i="2"/>
  <c r="T10" i="2"/>
  <c r="X5" i="2"/>
  <c r="K28" i="2"/>
  <c r="N28" i="2"/>
  <c r="P24" i="2"/>
  <c r="T25" i="2"/>
  <c r="I5" i="2"/>
  <c r="O14" i="2"/>
  <c r="Q35" i="2"/>
  <c r="G28" i="2"/>
  <c r="Q16" i="2"/>
  <c r="N14" i="2"/>
  <c r="H11" i="2"/>
  <c r="E20" i="2"/>
  <c r="N24" i="2"/>
  <c r="W20" i="2"/>
  <c r="F36" i="2"/>
  <c r="G23" i="2"/>
  <c r="L18" i="2"/>
  <c r="W5" i="2"/>
  <c r="M15" i="2"/>
  <c r="P9" i="2"/>
  <c r="J6" i="2"/>
  <c r="H21" i="2"/>
  <c r="F75" i="2"/>
  <c r="K59" i="2"/>
  <c r="J26" i="2"/>
  <c r="O29" i="2"/>
  <c r="W21" i="2"/>
  <c r="H6" i="2"/>
  <c r="W15" i="2"/>
  <c r="N8" i="2"/>
  <c r="U6" i="2"/>
  <c r="L22" i="2"/>
  <c r="U18" i="2"/>
  <c r="S21" i="2"/>
  <c r="L20" i="2"/>
  <c r="R34" i="2"/>
  <c r="V31" i="2"/>
  <c r="K27" i="2"/>
  <c r="V26" i="2"/>
  <c r="C25" i="2"/>
  <c r="Q33" i="2"/>
  <c r="X36" i="2"/>
  <c r="O10" i="2"/>
  <c r="S25" i="2"/>
  <c r="S9" i="2"/>
  <c r="N6" i="2"/>
  <c r="D9" i="2"/>
  <c r="M20" i="2"/>
  <c r="Q21" i="2"/>
  <c r="J35" i="2"/>
  <c r="S12" i="2"/>
  <c r="H36" i="2"/>
  <c r="X30" i="2"/>
  <c r="K14" i="2"/>
  <c r="T36" i="2"/>
  <c r="C35" i="2"/>
  <c r="J21" i="2"/>
  <c r="E7" i="2"/>
  <c r="X13" i="2"/>
  <c r="G5" i="2"/>
  <c r="K43" i="2"/>
  <c r="G12" i="2"/>
  <c r="L13" i="2"/>
  <c r="Q15" i="2"/>
  <c r="M33" i="2"/>
  <c r="T21" i="2"/>
  <c r="I31" i="2"/>
  <c r="V10" i="2"/>
  <c r="E23" i="2"/>
  <c r="I21" i="2"/>
  <c r="O26" i="2"/>
  <c r="I33" i="2"/>
  <c r="C19" i="2"/>
  <c r="I6" i="2"/>
  <c r="V35" i="2"/>
  <c r="L35" i="2"/>
  <c r="W18" i="2"/>
  <c r="E11" i="2"/>
  <c r="G36" i="2"/>
  <c r="Q26" i="2"/>
  <c r="K21" i="2"/>
  <c r="T20" i="2"/>
  <c r="F6" i="2"/>
  <c r="S15" i="2"/>
  <c r="L6" i="2"/>
  <c r="X29" i="2"/>
  <c r="G20" i="2"/>
  <c r="W28" i="2"/>
  <c r="Q17" i="2"/>
  <c r="H14" i="2"/>
  <c r="M18" i="2"/>
  <c r="L32" i="2"/>
  <c r="W13" i="2"/>
  <c r="S22" i="2"/>
  <c r="I7" i="2"/>
  <c r="N22" i="2"/>
  <c r="D8" i="2"/>
  <c r="J20" i="2"/>
  <c r="N33" i="2"/>
  <c r="L10" i="2"/>
  <c r="M5" i="2"/>
  <c r="M10" i="2"/>
  <c r="J30" i="2"/>
  <c r="V28" i="2"/>
  <c r="H28" i="2"/>
  <c r="W30" i="2"/>
  <c r="V8" i="2"/>
  <c r="I15" i="2"/>
  <c r="G29" i="2"/>
  <c r="I8" i="2"/>
  <c r="P8" i="2"/>
  <c r="T6" i="2"/>
  <c r="U9" i="2"/>
  <c r="J10" i="2"/>
  <c r="J32" i="2"/>
  <c r="D12" i="2"/>
  <c r="W74" i="2"/>
  <c r="F23" i="2"/>
  <c r="L33" i="2"/>
  <c r="I35" i="2"/>
  <c r="R27" i="2"/>
  <c r="V15" i="2"/>
  <c r="S26" i="2"/>
  <c r="T23" i="2"/>
  <c r="H54" i="2"/>
  <c r="M21" i="2"/>
  <c r="U20" i="2"/>
  <c r="T15" i="2"/>
  <c r="Q30" i="2"/>
  <c r="P28" i="2"/>
  <c r="U26" i="2"/>
  <c r="H5" i="2"/>
  <c r="R54" i="2"/>
  <c r="H13" i="2"/>
  <c r="K13" i="2"/>
  <c r="Q27" i="2"/>
  <c r="O23" i="2"/>
  <c r="U31" i="2"/>
  <c r="V32" i="2"/>
  <c r="D26" i="2"/>
  <c r="I29" i="2"/>
  <c r="L25" i="2"/>
  <c r="Q11" i="2"/>
  <c r="G26" i="2"/>
  <c r="X19" i="2"/>
  <c r="U34" i="2"/>
  <c r="I24" i="2"/>
  <c r="T11" i="2"/>
  <c r="V14" i="2"/>
  <c r="F26" i="2"/>
  <c r="H16" i="2"/>
  <c r="E15" i="2"/>
  <c r="Q9" i="2"/>
  <c r="L16" i="2"/>
  <c r="S30" i="2"/>
  <c r="L14" i="2"/>
  <c r="S11" i="2"/>
  <c r="N29" i="2"/>
  <c r="L11" i="2"/>
  <c r="F5" i="2"/>
  <c r="N13" i="2"/>
  <c r="T35" i="2"/>
  <c r="U11" i="2"/>
  <c r="U13" i="2"/>
  <c r="R36" i="2"/>
  <c r="I26" i="2"/>
  <c r="T33" i="2"/>
  <c r="K35" i="2"/>
  <c r="I13" i="2"/>
  <c r="M36" i="2"/>
  <c r="X23" i="2"/>
  <c r="S13" i="2"/>
  <c r="I16" i="2"/>
  <c r="Q8" i="2"/>
  <c r="H10" i="2"/>
  <c r="N20" i="2"/>
  <c r="E33" i="2"/>
  <c r="U35" i="2"/>
  <c r="M26" i="2"/>
  <c r="L5" i="2"/>
  <c r="I20" i="2"/>
  <c r="N12" i="2"/>
  <c r="V5" i="2"/>
  <c r="W19" i="2"/>
  <c r="N5" i="2"/>
  <c r="V33" i="2"/>
  <c r="T27" i="2"/>
  <c r="W31" i="2"/>
  <c r="V30" i="2"/>
  <c r="U17" i="2"/>
  <c r="R32" i="2"/>
  <c r="W26" i="2"/>
  <c r="K25" i="2"/>
  <c r="V19" i="2"/>
  <c r="L29" i="2"/>
  <c r="J31" i="2"/>
  <c r="G13" i="2"/>
  <c r="N11" i="2"/>
  <c r="W12" i="2"/>
  <c r="L21" i="2"/>
  <c r="R26" i="2"/>
  <c r="K8" i="2"/>
  <c r="C15" i="2"/>
  <c r="E32" i="2"/>
  <c r="L36" i="2"/>
  <c r="G7" i="2"/>
  <c r="S36" i="2"/>
  <c r="X25" i="2"/>
  <c r="S23" i="2"/>
  <c r="M30" i="2"/>
  <c r="O13" i="2"/>
  <c r="R9" i="2"/>
  <c r="U32" i="2"/>
  <c r="G17" i="2"/>
  <c r="I19" i="2"/>
  <c r="H27" i="2"/>
  <c r="V20" i="2"/>
  <c r="P17" i="2"/>
  <c r="K34" i="2"/>
  <c r="H18" i="2"/>
  <c r="D25" i="2"/>
  <c r="X21" i="2"/>
  <c r="U21" i="2"/>
  <c r="F31" i="2"/>
  <c r="L26" i="2"/>
  <c r="E18" i="2"/>
  <c r="C59" i="2"/>
  <c r="E9" i="2"/>
  <c r="O6" i="2"/>
  <c r="T13" i="2"/>
  <c r="X14" i="2"/>
  <c r="C9" i="2"/>
  <c r="M29" i="2"/>
  <c r="J14" i="2"/>
  <c r="K16" i="2"/>
  <c r="P10" i="2"/>
  <c r="Q46" i="2"/>
  <c r="I36" i="2"/>
  <c r="O27" i="2"/>
  <c r="M16" i="2"/>
  <c r="H49" i="2"/>
  <c r="I30" i="2"/>
  <c r="O21" i="2"/>
  <c r="G32" i="2"/>
  <c r="O7" i="2"/>
  <c r="M35" i="2"/>
  <c r="S27" i="2"/>
  <c r="S62" i="2"/>
  <c r="Q10" i="2"/>
  <c r="T32" i="2"/>
  <c r="N19" i="2"/>
  <c r="R30" i="2"/>
  <c r="W46" i="2"/>
  <c r="Q13" i="2"/>
  <c r="V34" i="2"/>
  <c r="W32" i="2"/>
  <c r="K5" i="2"/>
  <c r="F11" i="2"/>
  <c r="U24" i="2"/>
  <c r="R20" i="2"/>
  <c r="I11" i="2"/>
  <c r="G31" i="2"/>
  <c r="E28" i="2"/>
  <c r="N17" i="2"/>
  <c r="O17" i="2"/>
  <c r="X15" i="2"/>
  <c r="R11" i="2"/>
  <c r="T9" i="2"/>
  <c r="T29" i="2"/>
  <c r="S32" i="2"/>
  <c r="P14" i="2"/>
  <c r="D18" i="2"/>
  <c r="C12" i="2"/>
  <c r="D17" i="2"/>
  <c r="T8" i="2"/>
  <c r="Q24" i="2"/>
  <c r="F10" i="2"/>
  <c r="D29" i="2"/>
  <c r="G35" i="2"/>
  <c r="K36" i="2"/>
  <c r="W70" i="2"/>
  <c r="Q25" i="2"/>
  <c r="S29" i="2"/>
  <c r="G15" i="2"/>
  <c r="E30" i="2"/>
  <c r="X18" i="2"/>
  <c r="G21" i="2"/>
  <c r="O20" i="2"/>
  <c r="I34" i="2"/>
  <c r="O9" i="2"/>
  <c r="P13" i="2"/>
  <c r="N9" i="2"/>
  <c r="D28" i="2"/>
  <c r="D33" i="2"/>
  <c r="C26" i="2"/>
  <c r="F34" i="2"/>
  <c r="H29" i="2"/>
  <c r="I32" i="2"/>
  <c r="O11" i="2"/>
  <c r="M8" i="2"/>
  <c r="I23" i="2"/>
  <c r="P31" i="2"/>
  <c r="G30" i="2"/>
  <c r="K10" i="2"/>
  <c r="H34" i="2"/>
  <c r="T34" i="2"/>
  <c r="W14" i="2"/>
  <c r="X34" i="2"/>
  <c r="E25" i="2"/>
  <c r="D16" i="2"/>
  <c r="R28" i="2"/>
  <c r="E6" i="2"/>
  <c r="E45" i="2"/>
  <c r="R31" i="2"/>
  <c r="E5" i="2"/>
  <c r="R8" i="2"/>
  <c r="N32" i="2"/>
  <c r="D19" i="2"/>
  <c r="K17" i="2"/>
  <c r="G25" i="2"/>
  <c r="M24" i="2"/>
  <c r="E35" i="2"/>
  <c r="Q34" i="2"/>
  <c r="H17" i="2"/>
  <c r="X35" i="2"/>
  <c r="T17" i="2"/>
  <c r="U15" i="2"/>
  <c r="P20" i="2"/>
  <c r="U8" i="2"/>
  <c r="R16" i="2"/>
  <c r="N31" i="2"/>
  <c r="V25" i="2"/>
  <c r="R10" i="2"/>
  <c r="H7" i="2"/>
  <c r="S14" i="2"/>
  <c r="H8" i="2"/>
  <c r="P11" i="2"/>
  <c r="P18" i="2"/>
  <c r="X20" i="2"/>
  <c r="O30" i="2"/>
  <c r="F20" i="2"/>
  <c r="Q6" i="2"/>
  <c r="E36" i="2"/>
  <c r="E17" i="2"/>
  <c r="S17" i="2"/>
  <c r="E8" i="2"/>
  <c r="V13" i="2"/>
  <c r="G27" i="2"/>
  <c r="K87" i="2"/>
  <c r="F33" i="2"/>
  <c r="O15" i="2"/>
  <c r="S24" i="2"/>
  <c r="Q57" i="2"/>
  <c r="F89" i="2"/>
  <c r="M27" i="2"/>
  <c r="N21" i="2"/>
  <c r="T7" i="2"/>
  <c r="E13" i="2"/>
  <c r="Q5" i="2"/>
  <c r="P33" i="2"/>
  <c r="O32" i="2"/>
  <c r="V23" i="2"/>
  <c r="M13" i="2"/>
  <c r="R19" i="2"/>
  <c r="O28" i="2"/>
  <c r="H35" i="2"/>
  <c r="L8" i="2"/>
  <c r="R25" i="2"/>
  <c r="W8" i="2"/>
  <c r="Q23" i="2"/>
  <c r="R14" i="2"/>
  <c r="L9" i="2"/>
  <c r="W7" i="2"/>
  <c r="S8" i="2"/>
  <c r="S16" i="2"/>
  <c r="F16" i="2"/>
  <c r="K29" i="2"/>
  <c r="P12" i="2"/>
  <c r="R12" i="2"/>
  <c r="E26" i="2"/>
  <c r="K31" i="2"/>
  <c r="E22" i="2"/>
  <c r="F21" i="2"/>
  <c r="F9" i="2"/>
  <c r="D32" i="2"/>
  <c r="N35" i="2"/>
  <c r="F19" i="2"/>
  <c r="C65" i="2"/>
  <c r="S35" i="2"/>
  <c r="D21" i="2"/>
  <c r="J13" i="2"/>
  <c r="U19" i="2"/>
  <c r="O35" i="2"/>
  <c r="D15" i="2"/>
  <c r="U16" i="2"/>
  <c r="E27" i="2"/>
  <c r="I14" i="2"/>
  <c r="M32" i="2"/>
  <c r="N27" i="2"/>
  <c r="J11" i="2"/>
  <c r="X7" i="2"/>
  <c r="E34" i="2"/>
  <c r="M28" i="2"/>
  <c r="W36" i="2"/>
  <c r="D24" i="2"/>
  <c r="N15" i="2"/>
  <c r="C20" i="2"/>
  <c r="T24" i="2"/>
  <c r="U28" i="2"/>
  <c r="W9" i="2"/>
  <c r="V36" i="2"/>
  <c r="N36" i="2"/>
  <c r="P30" i="2"/>
  <c r="V7" i="2"/>
  <c r="J9" i="2"/>
  <c r="P69" i="2"/>
  <c r="K26" i="2"/>
  <c r="E10" i="2"/>
  <c r="W17" i="2"/>
  <c r="J16" i="2"/>
  <c r="L12" i="2"/>
  <c r="S20" i="2"/>
  <c r="C18" i="2"/>
  <c r="C8" i="2"/>
  <c r="Q36" i="2"/>
  <c r="E16" i="2"/>
  <c r="E31" i="2"/>
  <c r="U27" i="2"/>
  <c r="C10" i="2"/>
  <c r="X10" i="2"/>
  <c r="V29" i="2"/>
  <c r="W16" i="2"/>
  <c r="C24" i="2"/>
  <c r="F7" i="2"/>
  <c r="N34" i="2"/>
  <c r="J24" i="2"/>
  <c r="J36" i="2"/>
  <c r="J33" i="2"/>
  <c r="D27" i="2"/>
  <c r="C6" i="2"/>
  <c r="K7" i="2"/>
  <c r="F29" i="2"/>
  <c r="F22" i="2"/>
  <c r="O16" i="2"/>
  <c r="W33" i="2"/>
  <c r="P34" i="2"/>
  <c r="X41" i="2"/>
  <c r="E21" i="2"/>
  <c r="M19" i="2"/>
  <c r="H31" i="2"/>
  <c r="C36" i="2"/>
  <c r="C33" i="2"/>
  <c r="H24" i="2"/>
  <c r="P29" i="2"/>
  <c r="F24" i="2"/>
  <c r="G19" i="2"/>
  <c r="D5" i="2"/>
  <c r="S7" i="2"/>
  <c r="P27" i="2"/>
  <c r="C16" i="2"/>
  <c r="K30" i="2"/>
  <c r="H20" i="2"/>
  <c r="P7" i="2"/>
  <c r="R5" i="2"/>
  <c r="K9" i="2"/>
  <c r="F8" i="2"/>
  <c r="D6" i="2"/>
  <c r="L28" i="2"/>
  <c r="X9" i="2"/>
  <c r="G9" i="2"/>
  <c r="R33" i="2"/>
  <c r="N10" i="2"/>
  <c r="D34" i="2"/>
  <c r="F14" i="2"/>
  <c r="C7" i="2"/>
  <c r="K12" i="2"/>
  <c r="F15" i="2"/>
  <c r="T19" i="2"/>
  <c r="O19" i="2"/>
  <c r="H25" i="2"/>
  <c r="P15" i="2"/>
  <c r="G18" i="2"/>
  <c r="W24" i="2"/>
  <c r="I25" i="2"/>
  <c r="R13" i="2"/>
  <c r="V18" i="2"/>
  <c r="H19" i="2"/>
  <c r="Q29" i="2"/>
  <c r="D30" i="2"/>
  <c r="D47" i="2"/>
  <c r="X92" i="2"/>
  <c r="Q12" i="2"/>
  <c r="E19" i="2"/>
  <c r="G10" i="2"/>
  <c r="P5" i="2"/>
  <c r="K15" i="2"/>
  <c r="C17" i="2"/>
  <c r="G33" i="2"/>
  <c r="C11" i="2"/>
  <c r="Q14" i="2"/>
  <c r="C29" i="2"/>
  <c r="Q55" i="2"/>
  <c r="O24" i="2"/>
  <c r="F35" i="2"/>
  <c r="I22" i="2"/>
  <c r="S10" i="2"/>
  <c r="H99" i="2"/>
  <c r="S5" i="2"/>
  <c r="X16" i="2"/>
  <c r="X28" i="2"/>
  <c r="H23" i="2"/>
  <c r="X33" i="2"/>
  <c r="K6" i="2"/>
  <c r="H15" i="2"/>
  <c r="J22" i="2"/>
  <c r="P6" i="2"/>
  <c r="M6" i="2"/>
  <c r="N16" i="2"/>
  <c r="N30" i="2"/>
  <c r="X11" i="2"/>
  <c r="R24" i="2"/>
  <c r="E12" i="2"/>
  <c r="C30" i="2"/>
  <c r="R35" i="2"/>
  <c r="P19" i="2"/>
  <c r="J18" i="2"/>
  <c r="P25" i="2"/>
  <c r="T31" i="2"/>
  <c r="G14" i="2"/>
  <c r="Q22" i="2"/>
  <c r="N26" i="2"/>
  <c r="J34" i="2"/>
  <c r="S28" i="2"/>
  <c r="F13" i="2"/>
  <c r="D31" i="2"/>
  <c r="K33" i="2"/>
  <c r="S19" i="2"/>
  <c r="C14" i="2"/>
  <c r="F18" i="2"/>
  <c r="J28" i="2"/>
  <c r="N18" i="2"/>
  <c r="U30" i="2"/>
  <c r="W10" i="2"/>
  <c r="V11" i="2"/>
  <c r="I9" i="2"/>
  <c r="L17" i="2"/>
  <c r="Q32" i="2"/>
  <c r="F27" i="2"/>
  <c r="H32" i="2"/>
  <c r="R17" i="2"/>
  <c r="W11" i="2"/>
  <c r="M22" i="2"/>
  <c r="T18" i="2"/>
  <c r="P16" i="2"/>
  <c r="L34" i="2"/>
  <c r="D13" i="2"/>
  <c r="C31" i="2"/>
  <c r="D10" i="2"/>
  <c r="L30" i="2"/>
  <c r="O8" i="2"/>
  <c r="X27" i="2"/>
  <c r="S18" i="2"/>
  <c r="W29" i="2"/>
  <c r="G22" i="2"/>
  <c r="D20" i="2"/>
  <c r="K18" i="2"/>
  <c r="U25" i="2"/>
  <c r="M34" i="2"/>
  <c r="T16" i="2"/>
  <c r="G34" i="2"/>
  <c r="G11" i="2"/>
  <c r="O33" i="2"/>
  <c r="X22" i="2"/>
  <c r="R21" i="2"/>
  <c r="R22" i="2"/>
  <c r="R6" i="2"/>
  <c r="M9" i="2"/>
  <c r="G16" i="2"/>
  <c r="T14" i="2"/>
  <c r="X17" i="2"/>
  <c r="X66" i="2"/>
  <c r="T12" i="2"/>
  <c r="I17" i="2"/>
  <c r="I18" i="2"/>
  <c r="U33" i="2"/>
  <c r="D36" i="2"/>
  <c r="G8" i="2"/>
  <c r="R29" i="2"/>
  <c r="T28" i="2"/>
  <c r="U29" i="2"/>
  <c r="F12" i="2"/>
  <c r="P35" i="2"/>
  <c r="X12" i="2"/>
  <c r="U22" i="2"/>
  <c r="C13" i="2"/>
  <c r="V24" i="2"/>
  <c r="T22" i="2"/>
  <c r="M17" i="2"/>
  <c r="Q28" i="2"/>
  <c r="Q59" i="2"/>
  <c r="F17" i="2"/>
  <c r="V17" i="2"/>
  <c r="R18" i="2"/>
  <c r="G24" i="2"/>
  <c r="O18" i="2"/>
  <c r="R23" i="2"/>
  <c r="X31" i="2"/>
  <c r="N23" i="2"/>
  <c r="J7" i="2"/>
  <c r="J27" i="2"/>
  <c r="E29" i="2"/>
  <c r="X8" i="2"/>
  <c r="J17" i="2"/>
  <c r="C21" i="2"/>
  <c r="C27" i="2"/>
  <c r="K19" i="2"/>
  <c r="P22" i="2"/>
  <c r="P26" i="2"/>
  <c r="U7" i="2"/>
  <c r="Q54" i="2"/>
  <c r="H9" i="2"/>
  <c r="U10" i="2"/>
  <c r="M11" i="2"/>
  <c r="Q7" i="2"/>
  <c r="D22" i="2"/>
  <c r="K32" i="2"/>
  <c r="M12" i="2"/>
  <c r="W23" i="2"/>
  <c r="M23" i="2"/>
  <c r="V12" i="2"/>
  <c r="X32" i="2"/>
  <c r="C34" i="2"/>
  <c r="V21" i="2"/>
  <c r="P23" i="2"/>
  <c r="L31" i="2"/>
  <c r="O31" i="2"/>
  <c r="V16" i="2"/>
  <c r="O25" i="2"/>
  <c r="P21" i="2"/>
  <c r="D7" i="2"/>
  <c r="O22" i="2"/>
  <c r="D14" i="2"/>
  <c r="H12" i="2"/>
  <c r="R7" i="2"/>
  <c r="X63" i="2"/>
  <c r="N25" i="2"/>
  <c r="U5" i="2"/>
  <c r="H22" i="2"/>
  <c r="Q19" i="2"/>
  <c r="V27" i="2"/>
  <c r="F25" i="2"/>
  <c r="O12" i="2"/>
  <c r="J29" i="2"/>
  <c r="K23" i="2"/>
  <c r="J5" i="2"/>
  <c r="E14" i="2"/>
  <c r="D23" i="2"/>
  <c r="T5" i="2"/>
  <c r="W35" i="2"/>
  <c r="O34" i="2"/>
  <c r="X26" i="2"/>
  <c r="J8" i="2"/>
  <c r="O5" i="2"/>
  <c r="I27" i="2"/>
  <c r="L19" i="2"/>
  <c r="Q20" i="2"/>
  <c r="W34" i="2"/>
  <c r="D35" i="2"/>
  <c r="C32" i="2"/>
  <c r="H33" i="2"/>
  <c r="Q18" i="2"/>
  <c r="R15" i="2"/>
  <c r="J19" i="2"/>
  <c r="K11" i="2"/>
  <c r="J25" i="2"/>
  <c r="C23" i="2"/>
  <c r="I12" i="2"/>
  <c r="EH13" i="4" a="1"/>
  <c r="EB13" i="4" a="1"/>
  <c r="CH14" i="4" a="1"/>
  <c r="CC9" i="4" a="1"/>
  <c r="BJ6" i="4" a="1"/>
  <c r="CG13" i="4" a="1"/>
  <c r="BC8" i="4" a="1"/>
  <c r="DJ12" i="4" a="1"/>
  <c r="BY16" i="4" a="1"/>
  <c r="AT8" i="4" a="1"/>
  <c r="AN6" i="4" a="1"/>
  <c r="AT14" i="4" a="1"/>
  <c r="DU16" i="4" a="1"/>
  <c r="CW9" i="4" a="1"/>
  <c r="DI12" i="4" a="1"/>
  <c r="DL15" i="4" a="1"/>
  <c r="X11" i="4" a="1"/>
  <c r="AU14" i="4" a="1"/>
  <c r="DE14" i="4" a="1"/>
  <c r="CY13" i="4" a="1"/>
  <c r="AE5" i="4" a="1"/>
  <c r="DP8" i="4" a="1"/>
  <c r="DP12" i="4" a="1"/>
  <c r="CG11" i="4" a="1"/>
  <c r="C9" i="4" a="1"/>
  <c r="Y9" i="4" a="1"/>
  <c r="AU11" i="4" a="1"/>
  <c r="DV12" i="4" a="1"/>
  <c r="DH16" i="4" a="1"/>
  <c r="AR8" i="4" a="1"/>
  <c r="BA5" i="4" a="1"/>
  <c r="K8" i="4" a="1"/>
  <c r="U9" i="4" a="1"/>
  <c r="DY7" i="4" a="1"/>
  <c r="DP9" i="4" a="1"/>
  <c r="N6" i="4" a="1"/>
  <c r="AA13" i="4" a="1"/>
  <c r="BX11" i="4" a="1"/>
  <c r="BG7" i="4" a="1"/>
  <c r="AF9" i="4" a="1"/>
  <c r="DZ8" i="4" a="1"/>
  <c r="DM5" i="4" a="1"/>
  <c r="CF13" i="4" a="1"/>
  <c r="AT13" i="4" a="1"/>
  <c r="DL6" i="4" a="1"/>
  <c r="AG7" i="4" a="1"/>
  <c r="DH13" i="4" a="1"/>
  <c r="EF6" i="4" a="1"/>
  <c r="O6" i="4" a="1"/>
  <c r="V15" i="4" a="1"/>
  <c r="BF15" i="4" a="1"/>
  <c r="F15" i="4" a="1"/>
  <c r="BW14" i="4" a="1"/>
  <c r="DS5" i="4" a="1"/>
  <c r="EG13" i="4" a="1"/>
  <c r="I7" i="4" a="1"/>
  <c r="BG9" i="4" a="1"/>
  <c r="I16" i="4" a="1"/>
  <c r="EG15" i="4" a="1"/>
  <c r="P7" i="4" a="1"/>
  <c r="BD16" i="4" a="1"/>
  <c r="BW9" i="4" a="1"/>
  <c r="CD9" i="4" a="1"/>
  <c r="CO9" i="4" a="1"/>
  <c r="W9" i="4" a="1"/>
  <c r="CZ14" i="4" a="1"/>
  <c r="BS12" i="4" a="1"/>
  <c r="DX13" i="4" a="1"/>
  <c r="BV14" i="4" a="1"/>
  <c r="EF14" i="4" a="1"/>
  <c r="EB14" i="4" a="1"/>
  <c r="AW7" i="4" a="1"/>
  <c r="AP12" i="4" a="1"/>
  <c r="AJ13" i="4" a="1"/>
  <c r="EE7" i="4" a="1"/>
  <c r="DX7" i="4" a="1"/>
  <c r="CH9" i="4" a="1"/>
  <c r="CA13" i="4" a="1"/>
  <c r="D11" i="4" a="1"/>
  <c r="BT11" i="4" a="1"/>
  <c r="AL8" i="4" a="1"/>
  <c r="DL13" i="4" a="1"/>
  <c r="BE15" i="4" a="1"/>
  <c r="DB13" i="4" a="1"/>
  <c r="CE8" i="4" a="1"/>
  <c r="CY6" i="4" a="1"/>
  <c r="AE7" i="4" a="1"/>
  <c r="BD9" i="4" a="1"/>
  <c r="DN11" i="4" a="1"/>
  <c r="CK13" i="4" a="1"/>
  <c r="DE12" i="4" a="1"/>
  <c r="BF5" i="4" a="1"/>
  <c r="S6" i="4" a="1"/>
  <c r="BB6" i="4" a="1"/>
  <c r="I13" i="4" a="1"/>
  <c r="AO11" i="4" a="1"/>
  <c r="S7" i="4" a="1"/>
  <c r="V14" i="4" a="1"/>
  <c r="AQ6" i="4" a="1"/>
  <c r="AN15" i="4" a="1"/>
  <c r="BR5" i="4" a="1"/>
  <c r="DC5" i="4" a="1"/>
  <c r="AK7" i="4" a="1"/>
  <c r="AV6" i="4" a="1"/>
  <c r="BJ8" i="4" a="1"/>
  <c r="BY12" i="4" a="1"/>
  <c r="V8" i="4" a="1"/>
  <c r="BX8" i="4" a="1"/>
  <c r="BM13" i="4" a="1"/>
  <c r="CR13" i="4" a="1"/>
  <c r="BN6" i="4" a="1"/>
  <c r="BV6" i="4" a="1"/>
  <c r="EA13" i="4" a="1"/>
  <c r="DK5" i="4" a="1"/>
  <c r="E8" i="4" a="1"/>
  <c r="DY15" i="4" a="1"/>
  <c r="U6" i="4" a="1"/>
  <c r="DV14" i="4" a="1"/>
  <c r="AE13" i="4" a="1"/>
  <c r="EG14" i="4" a="1"/>
  <c r="CI14" i="4" a="1"/>
  <c r="EI5" i="4" a="1"/>
  <c r="DS8" i="4" a="1"/>
  <c r="DC12" i="4" a="1"/>
  <c r="EE13" i="4" a="1"/>
  <c r="BR11" i="4" a="1"/>
  <c r="BC13" i="4" a="1"/>
  <c r="DV13" i="4" a="1"/>
  <c r="W12" i="4" a="1"/>
  <c r="DB11" i="4" a="1"/>
  <c r="T9" i="4" a="1"/>
  <c r="AE12" i="4" a="1"/>
  <c r="BC6" i="4" a="1"/>
  <c r="BE6" i="4" a="1"/>
  <c r="AZ16" i="4" a="1"/>
  <c r="BQ7" i="4" a="1"/>
  <c r="DX14" i="4" a="1"/>
  <c r="DT16" i="4" a="1"/>
  <c r="Q6" i="4" a="1"/>
  <c r="AL15" i="4" a="1"/>
  <c r="EK11" i="4" a="1"/>
  <c r="AR14" i="4" a="1"/>
  <c r="DK16" i="4" a="1"/>
  <c r="AB8" i="4" a="1"/>
  <c r="CR8" i="4" a="1"/>
  <c r="DF9" i="4" a="1"/>
  <c r="EE11" i="4" a="1"/>
  <c r="BU9" i="4" a="1"/>
  <c r="CD6" i="4" a="1"/>
  <c r="J6" i="4" a="1"/>
  <c r="D9" i="4" a="1"/>
  <c r="K13" i="4" a="1"/>
  <c r="EC15" i="4" a="1"/>
  <c r="CN12" i="4" a="1"/>
  <c r="AH7" i="4" a="1"/>
  <c r="AO7" i="4" a="1"/>
  <c r="E12" i="4" a="1"/>
  <c r="U16" i="4" a="1"/>
  <c r="BD14" i="4" a="1"/>
  <c r="DA15" i="4" a="1"/>
  <c r="AH12" i="4" a="1"/>
  <c r="M5" i="4" a="1"/>
  <c r="CX16" i="4" a="1"/>
  <c r="CK16" i="4" a="1"/>
  <c r="BR6" i="4" a="1"/>
  <c r="AE14" i="4" a="1"/>
  <c r="AW11" i="4" a="1"/>
  <c r="DO14" i="4" a="1"/>
  <c r="DX11" i="4" a="1"/>
  <c r="DI5" i="4" a="1"/>
  <c r="BX16" i="4" a="1"/>
  <c r="Z8" i="4" a="1"/>
  <c r="C13" i="4" a="1"/>
  <c r="AA7" i="4" a="1"/>
  <c r="BZ9" i="4" a="1"/>
  <c r="BD15" i="4" a="1"/>
  <c r="CH8" i="4" a="1"/>
  <c r="AM12" i="4" a="1"/>
  <c r="AK13" i="4" a="1"/>
  <c r="C14" i="4" a="1"/>
  <c r="AM6" i="4" a="1"/>
  <c r="AR6" i="4" a="1"/>
  <c r="DQ13" i="4" a="1"/>
  <c r="AZ9" i="4" a="1"/>
  <c r="H11" i="4" a="1"/>
  <c r="CR11" i="4" a="1"/>
  <c r="CI15" i="4" a="1"/>
  <c r="DL16" i="4" a="1"/>
  <c r="Z9" i="4" a="1"/>
  <c r="P14" i="4" a="1"/>
  <c r="AI9" i="4" a="1"/>
  <c r="T15" i="4" a="1"/>
  <c r="DK6" i="4" a="1"/>
  <c r="CN7" i="4" a="1"/>
  <c r="AR11" i="4" a="1"/>
  <c r="P15" i="4" a="1"/>
  <c r="BJ12" i="4" a="1"/>
  <c r="DX9" i="4" a="1"/>
  <c r="X16" i="4" a="1"/>
  <c r="DG7" i="4" a="1"/>
  <c r="CZ15" i="4" a="1"/>
  <c r="AH6" i="4" a="1"/>
  <c r="BU15" i="4" a="1"/>
  <c r="EA15" i="4" a="1"/>
  <c r="Q5" i="4" a="1"/>
  <c r="DR5" i="4" a="1"/>
  <c r="DP15" i="4" a="1"/>
  <c r="CW12" i="4" a="1"/>
  <c r="CN14" i="4" a="1"/>
  <c r="BT12" i="4" a="1"/>
  <c r="EJ12" i="4" a="1"/>
  <c r="AF5" i="4" a="1"/>
  <c r="AG9" i="4" a="1"/>
  <c r="DD6" i="4" a="1"/>
  <c r="DU12" i="4" a="1"/>
  <c r="BM15" i="4" a="1"/>
  <c r="CS12" i="4" a="1"/>
  <c r="CR15" i="4" a="1"/>
  <c r="CS5" i="4" a="1"/>
  <c r="CB13" i="4" a="1"/>
  <c r="DA13" i="4" a="1"/>
  <c r="DV11" i="4" a="1"/>
  <c r="DZ11" i="4" a="1"/>
  <c r="AH8" i="4" a="1"/>
  <c r="CO16" i="4" a="1"/>
  <c r="CJ16" i="4" a="1"/>
  <c r="AG14" i="4" a="1"/>
  <c r="DE8" i="4" a="1"/>
  <c r="EI14" i="4" a="1"/>
  <c r="CC6" i="4" a="1"/>
  <c r="AP13" i="4" a="1"/>
  <c r="DY11" i="4" a="1"/>
  <c r="BG8" i="4" a="1"/>
  <c r="I9" i="4" a="1"/>
  <c r="N11" i="4" a="1"/>
  <c r="W5" i="4" a="1"/>
  <c r="BJ7" i="4" a="1"/>
  <c r="AY16" i="4" a="1"/>
  <c r="CT5" i="4" a="1"/>
  <c r="DE13" i="4" a="1"/>
  <c r="DT9" i="4" a="1"/>
  <c r="DK12" i="4" a="1"/>
  <c r="AL12" i="4" a="1"/>
  <c r="AI15" i="4" a="1"/>
  <c r="DW7" i="4" a="1"/>
  <c r="DE15" i="4" a="1"/>
  <c r="BL14" i="4" a="1"/>
  <c r="DM8" i="4" a="1"/>
  <c r="CB15" i="4" a="1"/>
  <c r="CS9" i="4" a="1"/>
  <c r="DU11" i="4" a="1"/>
  <c r="CE16" i="4" a="1"/>
  <c r="DI7" i="4" a="1"/>
  <c r="T14" i="4" a="1"/>
  <c r="EJ14" i="4" a="1"/>
  <c r="BC14" i="4" a="1"/>
  <c r="BT14" i="4" a="1"/>
  <c r="BU8" i="4" a="1"/>
  <c r="AD11" i="4" a="1"/>
  <c r="AY14" i="4" a="1"/>
  <c r="DC6" i="4" a="1"/>
  <c r="Y14" i="4" a="1"/>
  <c r="Y6" i="4" a="1"/>
  <c r="CT16" i="4" a="1"/>
  <c r="BN11" i="4" a="1"/>
  <c r="DL7" i="4" a="1"/>
  <c r="DR12" i="4" a="1"/>
  <c r="Q15" i="4" a="1"/>
  <c r="AB11" i="4" a="1"/>
  <c r="EG9" i="4" a="1"/>
  <c r="CT9" i="4" a="1"/>
  <c r="EA5" i="4" a="1"/>
  <c r="DK9" i="4" a="1"/>
  <c r="EI7" i="4" a="1"/>
  <c r="AW5" i="4" a="1"/>
  <c r="DF7" i="4" a="1"/>
  <c r="U15" i="4" a="1"/>
  <c r="BY6" i="4" a="1"/>
  <c r="CA11" i="4" a="1"/>
  <c r="EJ6" i="4" a="1"/>
  <c r="DT6" i="4" a="1"/>
  <c r="CE15" i="4" a="1"/>
  <c r="CK5" i="4" a="1"/>
  <c r="BP13" i="4" a="1"/>
  <c r="CB14" i="4" a="1"/>
  <c r="N5" i="4" a="1"/>
  <c r="BV11" i="4" a="1"/>
  <c r="CA7" i="4" a="1"/>
  <c r="W7" i="4" a="1"/>
  <c r="DG13" i="4" a="1"/>
  <c r="CW5" i="4" a="1"/>
  <c r="Z14" i="4" a="1"/>
  <c r="EC9" i="4" a="1"/>
  <c r="DO12" i="4" a="1"/>
  <c r="DD5" i="4" a="1"/>
  <c r="AC8" i="4" a="1"/>
  <c r="CR6" i="4" a="1"/>
  <c r="BZ12" i="4" a="1"/>
  <c r="L6" i="4" a="1"/>
  <c r="DZ16" i="4" a="1"/>
  <c r="O12" i="4" a="1"/>
  <c r="AA5" i="4" a="1"/>
  <c r="AQ8" i="4" a="1"/>
  <c r="BX5" i="4" a="1"/>
  <c r="AY15" i="4" a="1"/>
  <c r="DA7" i="4" a="1"/>
  <c r="AX9" i="4" a="1"/>
  <c r="EE5" i="4" a="1"/>
  <c r="CB16" i="4" a="1"/>
  <c r="AO9" i="4" a="1"/>
  <c r="BF6" i="4" a="1"/>
  <c r="DN6" i="4" a="1"/>
  <c r="F9" i="4" a="1"/>
  <c r="CK12" i="4" a="1"/>
  <c r="BI14" i="4" a="1"/>
  <c r="AP6" i="4" a="1"/>
  <c r="I6" i="4" a="1"/>
  <c r="AF15" i="4" a="1"/>
  <c r="AS15" i="4" a="1"/>
  <c r="AL16" i="4" a="1"/>
  <c r="CC5" i="4" a="1"/>
  <c r="DV6" i="4" a="1"/>
  <c r="BT9" i="4" a="1"/>
  <c r="U7" i="4" a="1"/>
  <c r="BQ15" i="4" a="1"/>
  <c r="AM15" i="4" a="1"/>
  <c r="H16" i="4" a="1"/>
  <c r="DK13" i="4" a="1"/>
  <c r="AY7" i="4" a="1"/>
  <c r="R7" i="4" a="1"/>
  <c r="DD15" i="4" a="1"/>
  <c r="DA12" i="4" a="1"/>
  <c r="CO12" i="4" a="1"/>
  <c r="CD8" i="4" a="1"/>
  <c r="N13" i="4" a="1"/>
  <c r="CE9" i="4" a="1"/>
  <c r="DQ8" i="4" a="1"/>
  <c r="AS16" i="4" a="1"/>
  <c r="AU7" i="4" a="1"/>
  <c r="EG11" i="4" a="1"/>
  <c r="EB16" i="4" a="1"/>
  <c r="BU11" i="4" a="1"/>
  <c r="EC5" i="4" a="1"/>
  <c r="CM14" i="4" a="1"/>
  <c r="BJ15" i="4" a="1"/>
  <c r="BK16" i="4" a="1"/>
  <c r="CM6" i="4" a="1"/>
  <c r="EK7" i="4" a="1"/>
  <c r="AH13" i="4" a="1"/>
  <c r="H15" i="4" a="1"/>
  <c r="V5" i="4" a="1"/>
  <c r="EI8" i="4" a="1"/>
  <c r="BH5" i="4" a="1"/>
  <c r="CD7" i="4" a="1"/>
  <c r="BE7" i="4" a="1"/>
  <c r="EK9" i="4" a="1"/>
  <c r="EF16" i="4" a="1"/>
  <c r="AC6" i="4" a="1"/>
  <c r="BI7" i="4" a="1"/>
  <c r="CR7" i="4" a="1"/>
  <c r="BS5" i="4" a="1"/>
  <c r="AJ5" i="4" a="1"/>
  <c r="BQ11" i="4" a="1"/>
  <c r="AD9" i="4" a="1"/>
  <c r="O8" i="4" a="1"/>
  <c r="CO14" i="4" a="1"/>
  <c r="K15" i="4" a="1"/>
  <c r="DM15" i="4" a="1"/>
  <c r="CI5" i="4" a="1"/>
  <c r="BL5" i="4" a="1"/>
  <c r="BW7" i="4" a="1"/>
  <c r="CI16" i="4" a="1"/>
  <c r="EH16" i="4" a="1"/>
  <c r="F6" i="4" a="1"/>
  <c r="AU12" i="4" a="1"/>
  <c r="DH12" i="4" a="1"/>
  <c r="AZ15" i="4" a="1"/>
  <c r="CL11" i="4" a="1"/>
  <c r="DN9" i="4" a="1"/>
  <c r="BN8" i="4" a="1"/>
  <c r="BU16" i="4" a="1"/>
  <c r="BW12" i="4" a="1"/>
  <c r="BU13" i="4" a="1"/>
  <c r="BB7" i="4" a="1"/>
  <c r="T16" i="4" a="1"/>
  <c r="CM5" i="4" a="1"/>
  <c r="EI13" i="4" a="1"/>
  <c r="AZ12" i="4" a="1"/>
  <c r="AQ11" i="4" a="1"/>
  <c r="U14" i="4" a="1"/>
  <c r="DI6" i="4" a="1"/>
  <c r="BP16" i="4" a="1"/>
  <c r="EK13" i="4" a="1"/>
  <c r="CG7" i="4" a="1"/>
  <c r="C12" i="4" a="1"/>
  <c r="AI8" i="4" a="1"/>
  <c r="DQ12" i="4" a="1"/>
  <c r="DC9" i="4" a="1"/>
  <c r="CV15" i="4" a="1"/>
  <c r="AY6" i="4" a="1"/>
  <c r="R12" i="4" a="1"/>
  <c r="DI14" i="4" a="1"/>
  <c r="BG16" i="4" a="1"/>
  <c r="BJ11" i="4" a="1"/>
  <c r="EK12" i="4" a="1"/>
  <c r="DS16" i="4" a="1"/>
  <c r="AI13" i="4" a="1"/>
  <c r="J9" i="4" a="1"/>
  <c r="AT5" i="4" a="1"/>
  <c r="DT5" i="4" a="1"/>
  <c r="EH5" i="4" a="1"/>
  <c r="AH14" i="4" a="1"/>
  <c r="CG8" i="4" a="1"/>
  <c r="CS11" i="4" a="1"/>
  <c r="BN16" i="4" a="1"/>
  <c r="BE13" i="4" a="1"/>
  <c r="AY12" i="4" a="1"/>
  <c r="AZ11" i="4" a="1"/>
  <c r="M7" i="4" a="1"/>
  <c r="DY6" i="4" a="1"/>
  <c r="BE9" i="4" a="1"/>
  <c r="CE6" i="4" a="1"/>
  <c r="AQ14" i="4" a="1"/>
  <c r="DY16" i="4" a="1"/>
  <c r="D5" i="4" a="1"/>
  <c r="BU14" i="4" a="1"/>
  <c r="BO11" i="4" a="1"/>
  <c r="AK15" i="4" a="1"/>
  <c r="S14" i="4" a="1"/>
  <c r="BA8" i="4" a="1"/>
  <c r="AI14" i="4" a="1"/>
  <c r="ED11" i="4" a="1"/>
  <c r="M13" i="4" a="1"/>
  <c r="DZ12" i="4" a="1"/>
  <c r="AC11" i="4" a="1"/>
  <c r="DC16" i="4" a="1"/>
  <c r="DX16" i="4" a="1"/>
  <c r="EI16" i="4" a="1"/>
  <c r="BB8" i="4" a="1"/>
  <c r="CF7" i="4" a="1"/>
  <c r="DZ13" i="4" a="1"/>
  <c r="CJ15" i="4" a="1"/>
  <c r="L14" i="4" a="1"/>
  <c r="AI5" i="4" a="1"/>
  <c r="DM6" i="4" a="1"/>
  <c r="AP14" i="4" a="1"/>
  <c r="BC11" i="4" a="1"/>
  <c r="N7" i="4" a="1"/>
  <c r="DW15" i="4" a="1"/>
  <c r="CF5" i="4" a="1"/>
  <c r="AD7" i="4" a="1"/>
  <c r="DY9" i="4" a="1"/>
  <c r="K11" i="4" a="1"/>
  <c r="AC7" i="4" a="1"/>
  <c r="BF14" i="4" a="1"/>
  <c r="CQ16" i="4" a="1"/>
  <c r="AQ5" i="4" a="1"/>
  <c r="BP12" i="4" a="1"/>
  <c r="EH14" i="4" a="1"/>
  <c r="DI15" i="4" a="1"/>
  <c r="Z15" i="4" a="1"/>
  <c r="DG8" i="4" a="1"/>
  <c r="BR14" i="4" a="1"/>
  <c r="AT9" i="4" a="1"/>
  <c r="BM8" i="4" a="1"/>
  <c r="CU8" i="4" a="1"/>
  <c r="DD13" i="4" a="1"/>
  <c r="O16" i="4" a="1"/>
  <c r="DT7" i="4" a="1"/>
  <c r="DD8" i="4" a="1"/>
  <c r="CA8" i="4" a="1"/>
  <c r="BY13" i="4" a="1"/>
  <c r="AR7" i="4" a="1"/>
  <c r="CF14" i="4" a="1"/>
  <c r="DG14" i="4" a="1"/>
  <c r="AH16" i="4" a="1"/>
  <c r="EK8" i="4" a="1"/>
  <c r="K7" i="4" a="1"/>
  <c r="AS11" i="4" a="1"/>
  <c r="BO9" i="4" a="1"/>
  <c r="DS15" i="4" a="1"/>
  <c r="L7" i="4" a="1"/>
  <c r="BF8" i="4" a="1"/>
  <c r="F8" i="4" a="1"/>
  <c r="S16" i="4" a="1"/>
  <c r="BR7" i="4" a="1"/>
  <c r="EC8" i="4" a="1"/>
  <c r="CI6" i="4" a="1"/>
  <c r="EJ7" i="4" a="1"/>
  <c r="DZ9" i="4" a="1"/>
  <c r="BJ16" i="4" a="1"/>
  <c r="BE16" i="4" a="1"/>
  <c r="CF12" i="4" a="1"/>
  <c r="BA12" i="4" a="1"/>
  <c r="CW6" i="4" a="1"/>
  <c r="BL8" i="4" a="1"/>
  <c r="CZ11" i="4" a="1"/>
  <c r="X12" i="4" a="1"/>
  <c r="CJ13" i="4" a="1"/>
  <c r="DF13" i="4" a="1"/>
  <c r="DO13" i="4" a="1"/>
  <c r="BL15" i="4" a="1"/>
  <c r="AN13" i="4" a="1"/>
  <c r="CJ8" i="4" a="1"/>
  <c r="CX14" i="4" a="1"/>
  <c r="AE9" i="4" a="1"/>
  <c r="BR9" i="4" a="1"/>
  <c r="AY11" i="4" a="1"/>
  <c r="DP11" i="4" a="1"/>
  <c r="AX12" i="4" a="1"/>
  <c r="BA11" i="4" a="1"/>
  <c r="P13" i="4" a="1"/>
  <c r="T8" i="4" a="1"/>
  <c r="H7" i="4" a="1"/>
  <c r="CU14" i="4" a="1"/>
  <c r="CP6" i="4" a="1"/>
  <c r="DR13" i="4" a="1"/>
  <c r="BV12" i="4" a="1"/>
  <c r="BB16" i="4" a="1"/>
  <c r="AS7" i="4" a="1"/>
  <c r="CR12" i="4" a="1"/>
  <c r="G13" i="4" a="1"/>
  <c r="T11" i="4" a="1"/>
  <c r="DT12" i="4" a="1"/>
  <c r="EE15" i="4" a="1"/>
  <c r="CC7" i="4" a="1"/>
  <c r="CE5" i="4" a="1"/>
  <c r="CS7" i="4" a="1"/>
  <c r="H9" i="4" a="1"/>
  <c r="DL11" i="4" a="1"/>
  <c r="EC13" i="4" a="1"/>
  <c r="CB5" i="4" a="1"/>
  <c r="BQ6" i="4" a="1"/>
  <c r="AK9" i="4" a="1"/>
  <c r="CQ12" i="4" a="1"/>
  <c r="BB5" i="4" a="1"/>
  <c r="R15" i="4" a="1"/>
  <c r="EH11" i="4" a="1"/>
  <c r="S5" i="4" a="1"/>
  <c r="AB12" i="4" a="1"/>
  <c r="DR9" i="4" a="1"/>
  <c r="BQ16" i="4" a="1"/>
  <c r="CB9" i="4" a="1"/>
  <c r="BZ16" i="4" a="1"/>
  <c r="O13" i="4" a="1"/>
  <c r="CR9" i="4" a="1"/>
  <c r="DP16" i="4" a="1"/>
  <c r="AO13" i="4" a="1"/>
  <c r="EB12" i="4" a="1"/>
  <c r="CX9" i="4" a="1"/>
  <c r="CT14" i="4" a="1"/>
  <c r="CQ7" i="4" a="1"/>
  <c r="DR14" i="4" a="1"/>
  <c r="CO6" i="4" a="1"/>
  <c r="DQ11" i="4" a="1"/>
  <c r="CP5" i="4" a="1"/>
  <c r="O7" i="4" a="1"/>
  <c r="DW12" i="4" a="1"/>
  <c r="BO14" i="4" a="1"/>
  <c r="BP5" i="4" a="1"/>
  <c r="AP15" i="4" a="1"/>
  <c r="EF12" i="4" a="1"/>
  <c r="AV11" i="4" a="1"/>
  <c r="DT15" i="4" a="1"/>
  <c r="DA8" i="4" a="1"/>
  <c r="L15" i="4" a="1"/>
  <c r="BP15" i="4" a="1"/>
  <c r="DK8" i="4" a="1"/>
  <c r="BG11" i="4" a="1"/>
  <c r="W6" i="4" a="1"/>
  <c r="CG6" i="4" a="1"/>
  <c r="EI6" i="4" a="1"/>
  <c r="DX15" i="4" a="1"/>
  <c r="BM11" i="4" a="1"/>
  <c r="P9" i="4" a="1"/>
  <c r="CB12" i="4" a="1"/>
  <c r="AJ15" i="4" a="1"/>
  <c r="L12" i="4" a="1"/>
  <c r="AV15" i="4" a="1"/>
  <c r="CU13" i="4" a="1"/>
  <c r="AN7" i="4" a="1"/>
  <c r="BL11" i="4" a="1"/>
  <c r="BM16" i="4" a="1"/>
  <c r="E7" i="4" a="1"/>
  <c r="AP11" i="4" a="1"/>
  <c r="CC11" i="4" a="1"/>
  <c r="DU5" i="4" a="1"/>
  <c r="BX7" i="4" a="1"/>
  <c r="DM12" i="4" a="1"/>
  <c r="G6" i="4" a="1"/>
  <c r="CD15" i="4" a="1"/>
  <c r="DG16" i="4" a="1"/>
  <c r="BN5" i="4" a="1"/>
  <c r="BI13" i="4" a="1"/>
  <c r="BO8" i="4" a="1"/>
  <c r="EF8" i="4" a="1"/>
  <c r="BC15" i="4" a="1"/>
  <c r="CY12" i="4" a="1"/>
  <c r="BC5" i="4" a="1"/>
  <c r="BR16" i="4" a="1"/>
  <c r="EE6" i="4" a="1"/>
  <c r="CA9" i="4" a="1"/>
  <c r="EA9" i="4" a="1"/>
  <c r="AT7" i="4" a="1"/>
  <c r="BI16" i="4" a="1"/>
  <c r="V7" i="4" a="1"/>
  <c r="M15" i="4" a="1"/>
  <c r="BV5" i="4" a="1"/>
  <c r="CN16" i="4" a="1"/>
  <c r="BR15" i="4" a="1"/>
  <c r="BS11" i="4" a="1"/>
  <c r="CT8" i="4" a="1"/>
  <c r="H14" i="4" a="1"/>
  <c r="BW16" i="4" a="1"/>
  <c r="AI7" i="4" a="1"/>
  <c r="AQ9" i="4" a="1"/>
  <c r="DR6" i="4" a="1"/>
  <c r="DB9" i="4" a="1"/>
  <c r="AG16" i="4" a="1"/>
  <c r="BH11" i="4" a="1"/>
  <c r="CN9" i="4" a="1"/>
  <c r="DH15" i="4" a="1"/>
  <c r="DF12" i="4" a="1"/>
  <c r="CO8" i="4" a="1"/>
  <c r="AV9" i="4" a="1"/>
  <c r="CP7" i="4" a="1"/>
  <c r="AB5" i="4" a="1"/>
  <c r="G15" i="4" a="1"/>
  <c r="AX11" i="4" a="1"/>
  <c r="EK14" i="4" a="1"/>
  <c r="CP14" i="4" a="1"/>
  <c r="EH6" i="4" a="1"/>
  <c r="BU6" i="4" a="1"/>
  <c r="BX13" i="4" a="1"/>
  <c r="AT6" i="4" a="1"/>
  <c r="BD8" i="4" a="1"/>
  <c r="AM11" i="4" a="1"/>
  <c r="ED13" i="4" a="1"/>
  <c r="DN8" i="4" a="1"/>
  <c r="EB15" i="4" a="1"/>
  <c r="P5" i="4" a="1"/>
  <c r="Z11" i="4" a="1"/>
  <c r="Y12" i="4" a="1"/>
  <c r="Q9" i="4" a="1"/>
  <c r="CV16" i="4" a="1"/>
  <c r="M9" i="4" a="1"/>
  <c r="DH5" i="4" a="1"/>
  <c r="BN14" i="4" a="1"/>
  <c r="AC5" i="4" a="1"/>
  <c r="CC8" i="4" a="1"/>
  <c r="BH8" i="4" a="1"/>
  <c r="DM7" i="4" a="1"/>
  <c r="J12" i="4" a="1"/>
  <c r="CP9" i="4" a="1"/>
  <c r="BU5" i="4" a="1"/>
  <c r="AR16" i="4" a="1"/>
  <c r="DD7" i="4" a="1"/>
  <c r="EJ13" i="4" a="1"/>
  <c r="CE7" i="4" a="1"/>
  <c r="CO11" i="4" a="1"/>
  <c r="BV15" i="4" a="1"/>
  <c r="CC15" i="4" a="1"/>
  <c r="CK7" i="4" a="1"/>
  <c r="CS16" i="4" a="1"/>
  <c r="D13" i="4" a="1"/>
  <c r="Z6" i="4" a="1"/>
  <c r="DQ15" i="4" a="1"/>
  <c r="E5" i="4" a="1"/>
  <c r="DB16" i="4" a="1"/>
  <c r="AH9" i="4" a="1"/>
  <c r="CH6" i="4" a="1"/>
  <c r="DS7" i="4" a="1"/>
  <c r="R16" i="4" a="1"/>
  <c r="AF8" i="4" a="1"/>
  <c r="M8" i="4" a="1"/>
  <c r="CZ13" i="4" a="1"/>
  <c r="U12" i="4" a="1"/>
  <c r="DD14" i="4" a="1"/>
  <c r="AB9" i="4" a="1"/>
  <c r="AZ6" i="4" a="1"/>
  <c r="E13" i="4" a="1"/>
  <c r="AR13" i="4" a="1"/>
  <c r="BY7" i="4" a="1"/>
  <c r="BO16" i="4" a="1"/>
  <c r="DD11" i="4" a="1"/>
  <c r="BL9" i="4" a="1"/>
  <c r="Q12" i="4" a="1"/>
  <c r="DJ7" i="4" a="1"/>
  <c r="AW12" i="4" a="1"/>
  <c r="AN8" i="4" a="1"/>
  <c r="BK13" i="4" a="1"/>
  <c r="AB14" i="4" a="1"/>
  <c r="BJ14" i="4" a="1"/>
  <c r="AT12" i="4" a="1"/>
  <c r="AJ6" i="4" a="1"/>
  <c r="S8" i="4" a="1"/>
  <c r="CX13" i="4" a="1"/>
  <c r="V9" i="4" a="1"/>
  <c r="DX5" i="4" a="1"/>
  <c r="DN14" i="4" a="1"/>
  <c r="M16" i="4" a="1"/>
  <c r="BS15" i="4" a="1"/>
  <c r="BX15" i="4" a="1"/>
  <c r="M14" i="4" a="1"/>
  <c r="N8" i="4" a="1"/>
  <c r="AX14" i="4" a="1"/>
  <c r="BZ7" i="4" a="1"/>
  <c r="CL16" i="4" a="1"/>
  <c r="AH11" i="4" a="1"/>
  <c r="CI7" i="4" a="1"/>
  <c r="CJ11" i="4" a="1"/>
  <c r="BD5" i="4" a="1"/>
  <c r="DJ11" i="4" a="1"/>
  <c r="BF16" i="4" a="1"/>
  <c r="DM13" i="4" a="1"/>
  <c r="AV8" i="4" a="1"/>
  <c r="DQ9" i="4" a="1"/>
  <c r="T5" i="4" a="1"/>
  <c r="BR8" i="4" a="1"/>
  <c r="AI16" i="4" a="1"/>
  <c r="DF5" i="4" a="1"/>
  <c r="BB9" i="4" a="1"/>
  <c r="DU13" i="4" a="1"/>
  <c r="CK6" i="4" a="1"/>
  <c r="U11" i="4" a="1"/>
  <c r="Z7" i="4" a="1"/>
  <c r="CI12" i="4" a="1"/>
  <c r="DW16" i="4" a="1"/>
  <c r="BK11" i="4" a="1"/>
  <c r="AM16" i="4" a="1"/>
  <c r="CQ15" i="4" a="1"/>
  <c r="CQ9" i="4" a="1"/>
  <c r="BG12" i="4" a="1"/>
  <c r="AN16" i="4" a="1"/>
  <c r="P12" i="4" a="1"/>
  <c r="BI9" i="4" a="1"/>
  <c r="CL8" i="4" a="1"/>
  <c r="DI13" i="4" a="1"/>
  <c r="AO16" i="4" a="1"/>
  <c r="L11" i="4" a="1"/>
  <c r="DP13" i="4" a="1"/>
  <c r="DP5" i="4" a="1"/>
  <c r="AD12" i="4" a="1"/>
  <c r="AS13" i="4" a="1"/>
  <c r="AG12" i="4" a="1"/>
  <c r="EF11" i="4" a="1"/>
  <c r="CS6" i="4" a="1"/>
  <c r="CN11" i="4" a="1"/>
  <c r="AI6" i="4" a="1"/>
  <c r="BA6" i="4" a="1"/>
  <c r="DU14" i="4" a="1"/>
  <c r="AK6" i="4" a="1"/>
  <c r="DK15" i="4" a="1"/>
  <c r="CG16" i="4" a="1"/>
  <c r="DT13" i="4" a="1"/>
  <c r="AD15" i="4" a="1"/>
  <c r="DH7" i="4" a="1"/>
  <c r="CQ6" i="4" a="1"/>
  <c r="AN12" i="4" a="1"/>
  <c r="CF15" i="4" a="1"/>
  <c r="BD6" i="4" a="1"/>
  <c r="T7" i="4" a="1"/>
  <c r="DJ5" i="4" a="1"/>
  <c r="DN7" i="4" a="1"/>
  <c r="AD5" i="4" a="1"/>
  <c r="K16" i="4" a="1"/>
  <c r="BZ11" i="4" a="1"/>
  <c r="CO13" i="4" a="1"/>
  <c r="AW16" i="4" a="1"/>
  <c r="X5" i="4" a="1"/>
  <c r="I8" i="4" a="1"/>
  <c r="AN11" i="4" a="1"/>
  <c r="Z13" i="4" a="1"/>
  <c r="I14" i="4" a="1"/>
  <c r="T13" i="4" a="1"/>
  <c r="DC14" i="4" a="1"/>
  <c r="DA6" i="4" a="1"/>
  <c r="AR12" i="4" a="1"/>
  <c r="BW13" i="4" a="1"/>
  <c r="CT15" i="4" a="1"/>
  <c r="DV9" i="4" a="1"/>
  <c r="BL13" i="4" a="1"/>
  <c r="AK16" i="4" a="1"/>
  <c r="DK11" i="4" a="1"/>
  <c r="DB8" i="4" a="1"/>
  <c r="AO8" i="4" a="1"/>
  <c r="ED16" i="4" a="1"/>
  <c r="BJ9" i="4" a="1"/>
  <c r="C7" i="4" a="1"/>
  <c r="V13" i="4" a="1"/>
  <c r="DL9" i="4" a="1"/>
  <c r="ED7" i="4" a="1"/>
  <c r="BI6" i="4" a="1"/>
  <c r="BW15" i="4" a="1"/>
  <c r="AJ8" i="4" a="1"/>
  <c r="CE11" i="4" a="1"/>
  <c r="BP7" i="4" a="1"/>
  <c r="S15" i="4" a="1"/>
  <c r="H12" i="4" a="1"/>
  <c r="AL7" i="4" a="1"/>
  <c r="J5" i="4" a="1"/>
  <c r="DJ8" i="4" a="1"/>
  <c r="BI15" i="4" a="1"/>
  <c r="BB11" i="4" a="1"/>
  <c r="DS11" i="4" a="1"/>
  <c r="AU15" i="4" a="1"/>
  <c r="BE11" i="4" a="1"/>
  <c r="DQ16" i="4" a="1"/>
  <c r="CJ14" i="4" a="1"/>
  <c r="AV5" i="4" a="1"/>
  <c r="EE14" i="4" a="1"/>
  <c r="BG15" i="4" a="1"/>
  <c r="DS12" i="4" a="1"/>
  <c r="DQ14" i="4" a="1"/>
  <c r="BR13" i="4" a="1"/>
  <c r="AB16" i="4" a="1"/>
  <c r="J13" i="4" a="1"/>
  <c r="AE6" i="4" a="1"/>
  <c r="DE16" i="4" a="1"/>
  <c r="CP13" i="4" a="1"/>
  <c r="CI11" i="4" a="1"/>
  <c r="BM9" i="4" a="1"/>
  <c r="EJ8" i="4" a="1"/>
  <c r="AS8" i="4" a="1"/>
  <c r="BF11" i="4" a="1"/>
  <c r="BI5" i="4" a="1"/>
  <c r="CH16" i="4" a="1"/>
  <c r="AS12" i="4" a="1"/>
  <c r="DW6" i="4" a="1"/>
  <c r="CU16" i="4" a="1"/>
  <c r="CP16" i="4" a="1"/>
  <c r="AK12" i="4" a="1"/>
  <c r="CM7" i="4" a="1"/>
  <c r="DA11" i="4" a="1"/>
  <c r="CP12" i="4" a="1"/>
  <c r="AW6" i="4" a="1"/>
  <c r="BH7" i="4" a="1"/>
  <c r="DW9" i="4" a="1"/>
  <c r="BS6" i="4" a="1"/>
  <c r="CY14" i="4" a="1"/>
  <c r="CK8" i="4" a="1"/>
  <c r="CM12" i="4" a="1"/>
  <c r="DV7" i="4" a="1"/>
  <c r="CN13" i="4" a="1"/>
  <c r="BT15" i="4" a="1"/>
  <c r="DE5" i="4" a="1"/>
  <c r="DW5" i="4" a="1"/>
  <c r="BO15" i="4" a="1"/>
  <c r="DS14" i="4" a="1"/>
  <c r="D7" i="4" a="1"/>
  <c r="AG13" i="4" a="1"/>
  <c r="F12" i="4" a="1"/>
  <c r="AW8" i="4" a="1"/>
  <c r="CE12" i="4" a="1"/>
  <c r="ED15" i="4" a="1"/>
  <c r="CB6" i="4" a="1"/>
  <c r="Z5" i="4" a="1"/>
  <c r="CU15" i="4" a="1"/>
  <c r="AJ12" i="4" a="1"/>
  <c r="BX6" i="4" a="1"/>
  <c r="CL12" i="4" a="1"/>
  <c r="CL14" i="4" a="1"/>
  <c r="BX9" i="4" a="1"/>
  <c r="DO7" i="4" a="1"/>
  <c r="DF14" i="4" a="1"/>
  <c r="CZ8" i="4" a="1"/>
  <c r="J16" i="4" a="1"/>
  <c r="AJ16" i="4" a="1"/>
  <c r="CV11" i="4" a="1"/>
  <c r="DE11" i="4" a="1"/>
  <c r="ED9" i="4" a="1"/>
  <c r="CJ7" i="4" a="1"/>
  <c r="DJ13" i="4" a="1"/>
  <c r="DO9" i="4" a="1"/>
  <c r="DR11" i="4" a="1"/>
  <c r="DR15" i="4" a="1"/>
  <c r="S11" i="4" a="1"/>
  <c r="CX6" i="4" a="1"/>
  <c r="CY16" i="4" a="1"/>
  <c r="DA9" i="4" a="1"/>
  <c r="DB5" i="4" a="1"/>
  <c r="DU7" i="4" a="1"/>
  <c r="AR9" i="4" a="1"/>
  <c r="DE9" i="4" a="1"/>
  <c r="BV7" i="4" a="1"/>
  <c r="CU5" i="4" a="1"/>
  <c r="BK14" i="4" a="1"/>
  <c r="EH12" i="4" a="1"/>
  <c r="AD16" i="4" a="1"/>
  <c r="D14" i="4" a="1"/>
  <c r="DO6" i="4" a="1"/>
  <c r="CE14" i="4" a="1"/>
  <c r="EG8" i="4" a="1"/>
  <c r="EJ5" i="4" a="1"/>
  <c r="DC7" i="4" a="1"/>
  <c r="DQ7" i="4" a="1"/>
  <c r="CD16" i="4" a="1"/>
  <c r="ED5" i="4" a="1"/>
  <c r="CU11" i="4" a="1"/>
  <c r="T6" i="4" a="1"/>
  <c r="C15" i="4" a="1"/>
  <c r="DW8" i="4" a="1"/>
  <c r="K9" i="4" a="1"/>
  <c r="EK6" i="4" a="1"/>
  <c r="AW14" i="4" a="1"/>
  <c r="CW8" i="4" a="1"/>
  <c r="AZ14" i="4" a="1"/>
  <c r="CP15" i="4" a="1"/>
  <c r="DC8" i="4" a="1"/>
  <c r="CR16" i="4" a="1"/>
  <c r="CN6" i="4" a="1"/>
  <c r="CW7" i="4" a="1"/>
  <c r="DX6" i="4" a="1"/>
  <c r="BC16" i="4" a="1"/>
  <c r="AI11" i="4" a="1"/>
  <c r="Y11" i="4" a="1"/>
  <c r="BW11" i="4" a="1"/>
  <c r="CL9" i="4" a="1"/>
  <c r="DO5" i="4" a="1"/>
  <c r="DC13" i="4" a="1"/>
  <c r="CM9" i="4" a="1"/>
  <c r="Q14" i="4" a="1"/>
  <c r="BF9" i="4" a="1"/>
  <c r="CV13" i="4" a="1"/>
  <c r="DW13" i="4" a="1"/>
  <c r="DS13" i="4" a="1"/>
  <c r="DM9" i="4" a="1"/>
  <c r="EA16" i="4" a="1"/>
  <c r="H13" i="4" a="1"/>
  <c r="BS13" i="4" a="1"/>
  <c r="CS14" i="4" a="1"/>
  <c r="EG5" i="4" a="1"/>
  <c r="BE12" i="4" a="1"/>
  <c r="DF15" i="4" a="1"/>
  <c r="BQ13" i="4" a="1"/>
  <c r="CV7" i="4" a="1"/>
  <c r="Q13" i="4" a="1"/>
  <c r="AM9" i="4" a="1"/>
  <c r="M6" i="4" a="1"/>
  <c r="DA16" i="4" a="1"/>
  <c r="CD5" i="4" a="1"/>
  <c r="EJ11" i="4" a="1"/>
  <c r="CY7" i="4" a="1"/>
  <c r="EH8" i="4" a="1"/>
  <c r="CL5" i="4" a="1"/>
  <c r="BZ6" i="4" a="1"/>
  <c r="AY13" i="4" a="1"/>
  <c r="AO6" i="4" a="1"/>
  <c r="EC16" i="4" a="1"/>
  <c r="EG7" i="4" a="1"/>
  <c r="AE8" i="4" a="1"/>
  <c r="BD11" i="4" a="1"/>
  <c r="DI16" i="4" a="1"/>
  <c r="CB7" i="4" a="1"/>
  <c r="CO15" i="4" a="1"/>
  <c r="AF12" i="4" a="1"/>
  <c r="AM5" i="4" a="1"/>
  <c r="DO11" i="4" a="1"/>
  <c r="DV8" i="4" a="1"/>
  <c r="AF6" i="4" a="1"/>
  <c r="BS9" i="4" a="1"/>
  <c r="BY5" i="4" a="1"/>
  <c r="CB8" i="4" a="1"/>
  <c r="U13" i="4" a="1"/>
  <c r="AF13" i="4" a="1"/>
  <c r="U8" i="4" a="1"/>
  <c r="J8" i="4" a="1"/>
  <c r="DC11" i="4" a="1"/>
  <c r="BO13" i="4" a="1"/>
  <c r="ED12" i="4" a="1"/>
  <c r="AW9" i="4" a="1"/>
  <c r="DY8" i="4" a="1"/>
  <c r="EH7" i="4" a="1"/>
  <c r="BN15" i="4" a="1"/>
  <c r="C16" i="4" a="1"/>
  <c r="EH9" i="4" a="1"/>
  <c r="EG16" i="4" a="1"/>
  <c r="Q7" i="4" a="1"/>
  <c r="P16" i="4" a="1"/>
  <c r="CP8" i="4" a="1"/>
  <c r="EJ15" i="4" a="1"/>
  <c r="BM14" i="4" a="1"/>
  <c r="EE16" i="4" a="1"/>
  <c r="R13" i="4" a="1"/>
  <c r="BE14" i="4" a="1"/>
  <c r="DG12" i="4" a="1"/>
  <c r="BK5" i="4" a="1"/>
  <c r="W8" i="4" a="1"/>
  <c r="EC7" i="4" a="1"/>
  <c r="AS14" i="4" a="1"/>
  <c r="H8" i="4" a="1"/>
  <c r="CQ5" i="4" a="1"/>
  <c r="Z16" i="4" a="1"/>
  <c r="CV5" i="4" a="1"/>
  <c r="CY5" i="4" a="1"/>
  <c r="BZ15" i="4" a="1"/>
  <c r="BA7" i="4" a="1"/>
  <c r="EC11" i="4" a="1"/>
  <c r="DM16" i="4" a="1"/>
  <c r="AF11" i="4" a="1"/>
  <c r="AC16" i="4" a="1"/>
  <c r="CA15" i="4" a="1"/>
  <c r="DR8" i="4" a="1"/>
  <c r="CU7" i="4" a="1"/>
  <c r="DA5" i="4" a="1"/>
  <c r="AM8" i="4" a="1"/>
  <c r="AU6" i="4" a="1"/>
  <c r="CF6" i="4" a="1"/>
  <c r="DB12" i="4" a="1"/>
  <c r="DY14" i="4" a="1"/>
  <c r="BZ5" i="4" a="1"/>
  <c r="DB6" i="4" a="1"/>
  <c r="BD13" i="4" a="1"/>
  <c r="CG14" i="4" a="1"/>
  <c r="ED14" i="4" a="1"/>
  <c r="AD6" i="4" a="1"/>
  <c r="BQ14" i="4" a="1"/>
  <c r="CZ16" i="4" a="1"/>
  <c r="AQ16" i="4" a="1"/>
  <c r="V16" i="4" a="1"/>
  <c r="CC13" i="4" a="1"/>
  <c r="EF7" i="4" a="1"/>
  <c r="AA6" i="4" a="1"/>
  <c r="DG9" i="4" a="1"/>
  <c r="V11" i="4" a="1"/>
  <c r="BT13" i="4" a="1"/>
  <c r="E9" i="4" a="1"/>
  <c r="BY8" i="4" a="1"/>
  <c r="AY5" i="4" a="1"/>
  <c r="CD14" i="4" a="1"/>
  <c r="AE16" i="4" a="1"/>
  <c r="AE15" i="4" a="1"/>
  <c r="DL12" i="4" a="1"/>
  <c r="X14" i="4" a="1"/>
  <c r="EF15" i="4" a="1"/>
  <c r="AV16" i="4" a="1"/>
  <c r="BT5" i="4" a="1"/>
  <c r="BD7" i="4" a="1"/>
  <c r="DZ6" i="4" a="1"/>
  <c r="DU15" i="4" a="1"/>
  <c r="BC9" i="4" a="1"/>
  <c r="DP6" i="4" a="1"/>
  <c r="EB11" i="4" a="1"/>
  <c r="BZ13" i="4" a="1"/>
  <c r="R11" i="4" a="1"/>
  <c r="CS13" i="4" a="1"/>
  <c r="CX8" i="4" a="1"/>
  <c r="CM11" i="4" a="1"/>
  <c r="DJ9" i="4" a="1"/>
  <c r="Y7" i="4" a="1"/>
  <c r="S13" i="4" a="1"/>
  <c r="AU16" i="4" a="1"/>
  <c r="BM7" i="4" a="1"/>
  <c r="BR12" i="4" a="1"/>
  <c r="I12" i="4" a="1"/>
  <c r="CX5" i="4" a="1"/>
  <c r="D15" i="4" a="1"/>
  <c r="DH8" i="4" a="1"/>
  <c r="AO14" i="4" a="1"/>
  <c r="K14" i="4" a="1"/>
  <c r="BI8" i="4" a="1"/>
  <c r="CR14" i="4" a="1"/>
  <c r="AN5" i="4" a="1"/>
  <c r="AM14" i="4" a="1"/>
  <c r="EE12" i="4" a="1"/>
  <c r="CG5" i="4" a="1"/>
  <c r="BJ13" i="4" a="1"/>
  <c r="CH5" i="4" a="1"/>
  <c r="EK16" i="4" a="1"/>
  <c r="X15" i="4" a="1"/>
  <c r="ED6" i="4" a="1"/>
  <c r="DI11" i="4" a="1"/>
  <c r="Y8" i="4" a="1"/>
  <c r="D16" i="4" a="1"/>
  <c r="CJ6" i="4" a="1"/>
  <c r="AA9" i="4" a="1"/>
  <c r="X6" i="4" a="1"/>
  <c r="AA8" i="4" a="1"/>
  <c r="DZ7" i="4" a="1"/>
  <c r="CG15" i="4" a="1"/>
  <c r="DG15" i="4" a="1"/>
  <c r="DS9" i="4" a="1"/>
  <c r="BN12" i="4" a="1"/>
  <c r="C11" i="4" a="1"/>
  <c r="BI11" i="4" a="1"/>
  <c r="L8" i="4" a="1"/>
  <c r="AJ14" i="4" a="1"/>
  <c r="AS6" i="4" a="1"/>
  <c r="CQ8" i="4" a="1"/>
  <c r="AU5" i="4" a="1"/>
  <c r="BO6" i="4" a="1"/>
  <c r="EG6" i="4" a="1"/>
  <c r="Q8" i="4" a="1"/>
  <c r="DQ5" i="4" a="1"/>
  <c r="I5" i="4" a="1"/>
  <c r="BG14" i="4" a="1"/>
  <c r="V12" i="4" a="1"/>
  <c r="K12" i="4" a="1"/>
  <c r="AA15" i="4" a="1"/>
  <c r="AW15" i="4" a="1"/>
  <c r="EF5" i="4" a="1"/>
  <c r="EG12" i="4" a="1"/>
  <c r="DW11" i="4" a="1"/>
  <c r="CQ11" i="4" a="1"/>
  <c r="BN7" i="4" a="1"/>
  <c r="L5" i="4" a="1"/>
  <c r="J15" i="4" a="1"/>
  <c r="BV16" i="4" a="1"/>
  <c r="EE9" i="4" a="1"/>
  <c r="BH15" i="4" a="1"/>
  <c r="DA14" i="4" a="1"/>
  <c r="BV8" i="4" a="1"/>
  <c r="BA16" i="4" a="1"/>
  <c r="L13" i="4" a="1"/>
  <c r="EB7" i="4" a="1"/>
  <c r="AT16" i="4" a="1"/>
  <c r="DJ15" i="4" a="1"/>
  <c r="AV14" i="4" a="1"/>
  <c r="DD12" i="4" a="1"/>
  <c r="AD13" i="4" a="1"/>
  <c r="CX15" i="4" a="1"/>
  <c r="AK14" i="4" a="1"/>
  <c r="BL7" i="4" a="1"/>
  <c r="DY12" i="4" a="1"/>
  <c r="BY14" i="4" a="1"/>
  <c r="BY15" i="4" a="1"/>
  <c r="BG13" i="4" a="1"/>
  <c r="W11" i="4" a="1"/>
  <c r="W13" i="4" a="1"/>
  <c r="CX7" i="4" a="1"/>
  <c r="DZ15" i="4" a="1"/>
  <c r="X9" i="4" a="1"/>
  <c r="DG5" i="4" a="1"/>
  <c r="CH11" i="4" a="1"/>
  <c r="D6" i="4" a="1"/>
  <c r="CW11" i="4" a="1"/>
  <c r="EA8" i="4" a="1"/>
  <c r="ED8" i="4" a="1"/>
  <c r="CQ14" i="4" a="1"/>
  <c r="AU13" i="4" a="1"/>
  <c r="CJ5" i="4" a="1"/>
  <c r="P11" i="4" a="1"/>
  <c r="CW15" i="4" a="1"/>
  <c r="AT11" i="4" a="1"/>
  <c r="CE13" i="4" a="1"/>
  <c r="BA9" i="4" a="1"/>
  <c r="CL15" i="4" a="1"/>
  <c r="CA14" i="4" a="1"/>
  <c r="AS9" i="4" a="1"/>
  <c r="BD12" i="4" a="1"/>
  <c r="DJ6" i="4" a="1"/>
  <c r="AG15" i="4" a="1"/>
  <c r="DI8" i="4" a="1"/>
  <c r="AM7" i="4" a="1"/>
  <c r="W14" i="4" a="1"/>
  <c r="CD11" i="4" a="1"/>
  <c r="DV16" i="4" a="1"/>
  <c r="DO8" i="4" a="1"/>
  <c r="BS7" i="4" a="1"/>
  <c r="M12" i="4" a="1"/>
  <c r="EC6" i="4" a="1"/>
  <c r="AR15" i="4" a="1"/>
  <c r="CT12" i="4" a="1"/>
  <c r="CU12" i="4" a="1"/>
  <c r="CT11" i="4" a="1"/>
  <c r="G11" i="4" a="1"/>
  <c r="Q11" i="4" a="1"/>
  <c r="Y16" i="4" a="1"/>
  <c r="CW13" i="4" a="1"/>
  <c r="I11" i="4" a="1"/>
  <c r="BY9" i="4" a="1"/>
  <c r="DN16" i="4" a="1"/>
  <c r="DO16" i="4" a="1"/>
  <c r="EB8" i="4" a="1"/>
  <c r="BM6" i="4" a="1"/>
  <c r="CZ5" i="4" a="1"/>
  <c r="EI15" i="4" a="1"/>
  <c r="EI9" i="4" a="1"/>
  <c r="AK8" i="4" a="1"/>
  <c r="DV15" i="4" a="1"/>
  <c r="AQ13" i="4" a="1"/>
  <c r="DF6" i="4" a="1"/>
  <c r="CH7" i="4" a="1"/>
  <c r="AG6" i="4" a="1"/>
  <c r="J11" i="4" a="1"/>
  <c r="L9" i="4" a="1"/>
  <c r="DZ5" i="4" a="1"/>
  <c r="EA7" i="4" a="1"/>
  <c r="BV9" i="4" a="1"/>
  <c r="AO15" i="4" a="1"/>
  <c r="DU6" i="4" a="1"/>
  <c r="Y13" i="4" a="1"/>
  <c r="BS14" i="4" a="1"/>
  <c r="AL14" i="4" a="1"/>
  <c r="BY11" i="4" a="1"/>
  <c r="BB14" i="4" a="1"/>
  <c r="AC9" i="4" a="1"/>
  <c r="BQ5" i="4" a="1"/>
  <c r="CP11" i="4" a="1"/>
  <c r="D8" i="4" a="1"/>
  <c r="N14" i="4" a="1"/>
  <c r="BW5" i="4" a="1"/>
  <c r="BP8" i="4" a="1"/>
  <c r="DT11" i="4" a="1"/>
  <c r="G9" i="4" a="1"/>
  <c r="DX12" i="4" a="1"/>
  <c r="V6" i="4" a="1"/>
  <c r="EI11" i="4" a="1"/>
  <c r="DO15" i="4" a="1"/>
  <c r="AX8" i="4" a="1"/>
  <c r="F11" i="4" a="1"/>
  <c r="CA5" i="4" a="1"/>
  <c r="DG11" i="4" a="1"/>
  <c r="AC13" i="4" a="1"/>
  <c r="CT7" i="4" a="1"/>
  <c r="AJ11" i="4" a="1"/>
  <c r="CX11" i="4" a="1"/>
  <c r="BO5" i="4" a="1"/>
  <c r="BZ14" i="4" a="1"/>
  <c r="DF8" i="4" a="1"/>
  <c r="DN12" i="4" a="1"/>
  <c r="CW16" i="4" a="1"/>
  <c r="BQ8" i="4" a="1"/>
  <c r="CG9" i="4" a="1"/>
  <c r="BC12" i="4" a="1"/>
  <c r="N12" i="4" a="1"/>
  <c r="AG11" i="4" a="1"/>
  <c r="AF16" i="4" a="1"/>
  <c r="Q16" i="4" a="1"/>
  <c r="DZ14" i="4" a="1"/>
  <c r="AQ7" i="4" a="1"/>
  <c r="E6" i="4" a="1"/>
  <c r="N15" i="4" a="1"/>
  <c r="DM14" i="4" a="1"/>
  <c r="BB15" i="4" a="1"/>
  <c r="AP5" i="4" a="1"/>
  <c r="AQ12" i="4" a="1"/>
  <c r="DV5" i="4" a="1"/>
  <c r="F5" i="4" a="1"/>
  <c r="CS8" i="4" a="1"/>
  <c r="AL6" i="4" a="1"/>
  <c r="AA12" i="4" a="1"/>
  <c r="BU12" i="4" a="1"/>
  <c r="BW6" i="4" a="1"/>
  <c r="BK7" i="4" a="1"/>
  <c r="R8" i="4" a="1"/>
  <c r="J7" i="4" a="1"/>
  <c r="R6" i="4" a="1"/>
  <c r="CV6" i="4" a="1"/>
  <c r="F7" i="4" a="1"/>
  <c r="CM15" i="4" a="1"/>
  <c r="BG6" i="4" a="1"/>
  <c r="O15" i="4" a="1"/>
  <c r="AI12" i="4" a="1"/>
  <c r="O5" i="4" a="1"/>
  <c r="DU9" i="4" a="1"/>
  <c r="CT6" i="4" a="1"/>
  <c r="CN5" i="4" a="1"/>
  <c r="CC14" i="4" a="1"/>
  <c r="CS15" i="4" a="1"/>
  <c r="AK11" i="4" a="1"/>
  <c r="DB14" i="4" a="1"/>
  <c r="AY8" i="4" a="1"/>
  <c r="R14" i="4" a="1"/>
  <c r="BA13" i="4" a="1"/>
  <c r="W15" i="4" a="1"/>
  <c r="DB15" i="4" a="1"/>
  <c r="BU7" i="4" a="1"/>
  <c r="BE5" i="4" a="1"/>
  <c r="AG5" i="4" a="1"/>
  <c r="CN8" i="4" a="1"/>
  <c r="BG5" i="4" a="1"/>
  <c r="R9" i="4" a="1"/>
  <c r="CK9" i="4" a="1"/>
  <c r="DY5" i="4" a="1"/>
  <c r="CJ12" i="4" a="1"/>
  <c r="CA6" i="4" a="1"/>
  <c r="DM11" i="4" a="1"/>
  <c r="AP16" i="4" a="1"/>
  <c r="AX7" i="4" a="1"/>
  <c r="CY9" i="4" a="1"/>
  <c r="DT8" i="4" a="1"/>
  <c r="Y15" i="4" a="1"/>
  <c r="AA16" i="4" a="1"/>
  <c r="CU9" i="4" a="1"/>
  <c r="CL7" i="4" a="1"/>
  <c r="CM13" i="4" a="1"/>
  <c r="CC12" i="4" a="1"/>
  <c r="DS6" i="4" a="1"/>
  <c r="CM8" i="4" a="1"/>
  <c r="EK5" i="4" a="1"/>
  <c r="CV14" i="4" a="1"/>
  <c r="CY15" i="4" a="1"/>
  <c r="F13" i="4" a="1"/>
  <c r="AV13" i="4" a="1"/>
  <c r="AH5" i="4" a="1"/>
  <c r="DI9" i="4" a="1"/>
  <c r="CZ12" i="4" a="1"/>
  <c r="EA14" i="4" a="1"/>
  <c r="DJ16" i="4" a="1"/>
  <c r="CI9" i="4" a="1"/>
  <c r="DL5" i="4" a="1"/>
  <c r="BV13" i="4" a="1"/>
  <c r="BZ8" i="4" a="1"/>
  <c r="AD8" i="4" a="1"/>
  <c r="G7" i="4" a="1"/>
  <c r="O14" i="4" a="1"/>
  <c r="CD12" i="4" a="1"/>
  <c r="BT16" i="4" a="1"/>
  <c r="BI12" i="4" a="1"/>
  <c r="BL16" i="4" a="1"/>
  <c r="EJ9" i="4" a="1"/>
  <c r="O11" i="4" a="1"/>
  <c r="K5" i="4" a="1"/>
  <c r="AA11" i="4" a="1"/>
  <c r="AC15" i="4" a="1"/>
  <c r="CC16" i="4" a="1"/>
  <c r="AF14" i="4" a="1"/>
  <c r="CV9" i="4" a="1"/>
  <c r="AH15" i="4" a="1"/>
  <c r="K6" i="4" a="1"/>
  <c r="DH6" i="4" a="1"/>
  <c r="CR5" i="4" a="1"/>
  <c r="AG8" i="4" a="1"/>
  <c r="AZ7" i="4" a="1"/>
  <c r="AW13" i="4" a="1"/>
  <c r="DL8" i="4" a="1"/>
  <c r="BP9" i="4" a="1"/>
  <c r="D12" i="4" a="1"/>
  <c r="AZ13" i="4" a="1"/>
  <c r="CO7" i="4" a="1"/>
  <c r="BQ9" i="4" a="1"/>
  <c r="EB9" i="4" a="1"/>
  <c r="AC12" i="4" a="1"/>
  <c r="DU8" i="4" a="1"/>
  <c r="AX15" i="4" a="1"/>
  <c r="CN15" i="4" a="1"/>
  <c r="AM13" i="4" a="1"/>
  <c r="BL12" i="4" a="1"/>
  <c r="DY13" i="4" a="1"/>
  <c r="DB7" i="4" a="1"/>
  <c r="AP8" i="4" a="1"/>
  <c r="DP7" i="4" a="1"/>
  <c r="BN13" i="4" a="1"/>
  <c r="CI13" i="4" a="1"/>
  <c r="CJ9" i="4" a="1"/>
  <c r="AZ5" i="4" a="1"/>
  <c r="EJ16" i="4" a="1"/>
  <c r="EH15" i="4" a="1"/>
  <c r="BP11" i="4" a="1"/>
  <c r="DH11" i="4" a="1"/>
  <c r="BP6" i="4" a="1"/>
  <c r="EC14" i="4" a="1"/>
  <c r="AZ8" i="4" a="1"/>
  <c r="BO12" i="4" a="1"/>
  <c r="BK12" i="4" a="1"/>
  <c r="CY8" i="4" a="1"/>
  <c r="T12" i="4" a="1"/>
  <c r="BK9" i="4" a="1"/>
  <c r="BA14" i="4" a="1"/>
  <c r="DX8" i="4" a="1"/>
  <c r="AK5" i="4" a="1"/>
  <c r="AS5" i="4" a="1"/>
  <c r="CO5" i="4" a="1"/>
  <c r="E15" i="4" a="1"/>
  <c r="DR7" i="4" a="1"/>
  <c r="EF13" i="4" a="1"/>
  <c r="Y5" i="4" a="1"/>
  <c r="BF13" i="4" a="1"/>
  <c r="DQ6" i="4" a="1"/>
  <c r="E16" i="4" a="1"/>
  <c r="AU8" i="4" a="1"/>
  <c r="AN14" i="4" a="1"/>
  <c r="AB13" i="4" a="1"/>
  <c r="AE11" i="4" a="1"/>
  <c r="AV12" i="4" a="1"/>
  <c r="AX5" i="4" a="1"/>
  <c r="E14" i="4" a="1"/>
  <c r="DH14" i="4" a="1"/>
  <c r="C8" i="4" a="1"/>
  <c r="CQ13" i="4" a="1"/>
  <c r="CF11" i="4" a="1"/>
  <c r="M11" i="4" a="1"/>
  <c r="DN5" i="4" a="1"/>
  <c r="DK7" i="4" a="1"/>
  <c r="DE6" i="4" a="1"/>
  <c r="AR5" i="4" a="1"/>
  <c r="CA12" i="4" a="1"/>
  <c r="DL14" i="4" a="1"/>
  <c r="AF7" i="4" a="1"/>
  <c r="DF11" i="4" a="1"/>
  <c r="P6" i="4" a="1"/>
  <c r="EB6" i="4" a="1"/>
  <c r="DD16" i="4" a="1"/>
  <c r="X7" i="4" a="1"/>
  <c r="BF7" i="4" a="1"/>
  <c r="EI12" i="4" a="1"/>
  <c r="L16" i="4" a="1"/>
  <c r="EE8" i="4" a="1"/>
  <c r="N9" i="4" a="1"/>
  <c r="BB13" i="4" a="1"/>
  <c r="CH12" i="4" a="1"/>
  <c r="AL13" i="4" a="1"/>
  <c r="CB11" i="4" a="1"/>
  <c r="BT8" i="4" a="1"/>
  <c r="CH13" i="4" a="1"/>
  <c r="CF16" i="4" a="1"/>
  <c r="S9" i="4" a="1"/>
  <c r="AJ9" i="4" a="1"/>
  <c r="BT6" i="4" a="1"/>
  <c r="CZ7" i="4" a="1"/>
  <c r="AX6" i="4" a="1"/>
  <c r="DR16" i="4" a="1"/>
  <c r="EA12" i="4" a="1"/>
  <c r="AB6" i="4" a="1"/>
  <c r="AB15" i="4" a="1"/>
  <c r="U5" i="4" a="1"/>
  <c r="BX14" i="4" a="1"/>
  <c r="CV8" i="4" a="1"/>
  <c r="EB5" i="4" a="1"/>
  <c r="N16" i="4" a="1"/>
  <c r="AX16" i="4" a="1"/>
  <c r="CY11" i="4" a="1"/>
  <c r="BH13" i="4" a="1"/>
  <c r="AB7" i="4" a="1"/>
  <c r="EA11" i="4" a="1"/>
  <c r="S12" i="4" a="1"/>
  <c r="AX13" i="4" a="1"/>
  <c r="BX12" i="4" a="1"/>
  <c r="DN13" i="4" a="1"/>
  <c r="BM12" i="4" a="1"/>
  <c r="CH15" i="4" a="1"/>
  <c r="X13" i="4" a="1"/>
  <c r="F16" i="4" a="1"/>
  <c r="CW14" i="4" a="1"/>
  <c r="G16" i="4" a="1"/>
  <c r="DG6" i="4" a="1"/>
  <c r="CZ9" i="4" a="1"/>
  <c r="J14" i="4" a="1"/>
  <c r="DW14" i="4" a="1"/>
  <c r="H5" i="4" a="1"/>
  <c r="DT14" i="4" a="1"/>
  <c r="I15" i="4" a="1"/>
  <c r="BA15" i="4" a="1"/>
  <c r="CZ6" i="4" a="1"/>
  <c r="CK11" i="4" a="1"/>
  <c r="AY9" i="4" a="1"/>
  <c r="EF9" i="4" a="1"/>
  <c r="AU9" i="4" a="1"/>
  <c r="DN15" i="4" a="1"/>
  <c r="CU6" i="4" a="1"/>
  <c r="BE8" i="4" a="1"/>
  <c r="CF9" i="4" a="1"/>
  <c r="BP14" i="4" a="1"/>
  <c r="DC15" i="4" a="1"/>
  <c r="P8" i="4" a="1"/>
  <c r="E11" i="4" a="1"/>
  <c r="Z12" i="4" a="1"/>
  <c r="AL5" i="4" a="1"/>
  <c r="BL6" i="4" a="1"/>
  <c r="EK15" i="4" a="1"/>
  <c r="BO7" i="4" a="1"/>
  <c r="CA16" i="4" a="1"/>
  <c r="BK6" i="4" a="1"/>
  <c r="BB12" i="4" a="1"/>
  <c r="DK14" i="4" a="1"/>
  <c r="O9" i="4" a="1"/>
  <c r="G5" i="4" a="1"/>
  <c r="AO5" i="4" a="1"/>
  <c r="CX12" i="4" a="1"/>
  <c r="CD13" i="4" a="1"/>
  <c r="BT7" i="4" a="1"/>
  <c r="AT15" i="4" a="1"/>
  <c r="AP9" i="4" a="1"/>
  <c r="BK15" i="4" a="1"/>
  <c r="F14" i="4" a="1"/>
  <c r="G14" i="4" a="1"/>
  <c r="BS16" i="4" a="1"/>
  <c r="BQ12" i="4" a="1"/>
  <c r="AA14" i="4" a="1"/>
  <c r="X8" i="4" a="1"/>
  <c r="BH14" i="4" a="1"/>
  <c r="AL9" i="4" a="1"/>
  <c r="DP14" i="4" a="1"/>
  <c r="G8" i="4" a="1"/>
  <c r="AV7" i="4" a="1"/>
  <c r="DJ14" i="4" a="1"/>
  <c r="AL11" i="4" a="1"/>
  <c r="AP7" i="4" a="1"/>
  <c r="AO12" i="4" a="1"/>
  <c r="EC12" i="4" a="1"/>
  <c r="H6" i="4" a="1"/>
  <c r="CK14" i="4" a="1"/>
  <c r="R5" i="4" a="1"/>
  <c r="CL6" i="4" a="1"/>
  <c r="CL13" i="4" a="1"/>
  <c r="W16" i="4" a="1"/>
  <c r="CI8" i="4" a="1"/>
  <c r="AC14" i="4" a="1"/>
  <c r="CF8" i="4" a="1"/>
  <c r="CG12" i="4" a="1"/>
  <c r="AD14" i="4" a="1"/>
  <c r="BS8" i="4" a="1"/>
  <c r="BH12" i="4" a="1"/>
  <c r="CT13" i="4" a="1"/>
  <c r="DH9" i="4" a="1"/>
  <c r="BN9" i="4" a="1"/>
  <c r="AQ15" i="4" a="1"/>
  <c r="DD9" i="4" a="1"/>
  <c r="DF16" i="4" a="1"/>
  <c r="BH16" i="4" a="1"/>
  <c r="CM16" i="4" a="1"/>
  <c r="BH6" i="4" a="1"/>
  <c r="EA6" i="4" a="1"/>
  <c r="AJ7" i="4" a="1"/>
  <c r="G12" i="4" a="1"/>
  <c r="BH9" i="4" a="1"/>
  <c r="BM5" i="4" a="1"/>
  <c r="BK8" i="4" a="1"/>
  <c r="AN9" i="4" a="1"/>
  <c r="BW8" i="4" a="1"/>
  <c r="DE7" i="4" a="1"/>
  <c r="BC7" i="4" a="1"/>
  <c r="CV12" i="4" a="1"/>
  <c r="CK15" i="4" a="1"/>
  <c r="BF12" i="4" a="1"/>
  <c r="BJ5" i="4" a="1"/>
  <c r="D26" i="3"/>
  <c r="AR11" i="3"/>
  <c r="AQ46" i="3"/>
  <c r="AR45" i="3"/>
  <c r="D45" i="3"/>
  <c r="AR90" i="3"/>
  <c r="AM46" i="3"/>
  <c r="E26" i="3"/>
  <c r="G46" i="3"/>
  <c r="G29" i="3"/>
  <c r="AR20" i="3"/>
  <c r="AR48" i="3"/>
  <c r="X46" i="3"/>
  <c r="AR42" i="3"/>
  <c r="F8" i="3"/>
  <c r="F6" i="3"/>
  <c r="F15" i="3"/>
  <c r="F16" i="3"/>
  <c r="E6" i="3"/>
  <c r="M46" i="3"/>
  <c r="F13" i="3"/>
  <c r="D32" i="3"/>
  <c r="F42" i="3"/>
  <c r="D5" i="3"/>
  <c r="U45" i="3"/>
  <c r="D9" i="3"/>
  <c r="D25" i="3"/>
  <c r="D28" i="3"/>
  <c r="D35" i="3"/>
  <c r="AR58" i="3"/>
  <c r="E20" i="3"/>
  <c r="AD15" i="3"/>
  <c r="D39" i="3"/>
  <c r="AN45" i="3"/>
  <c r="S46" i="3"/>
  <c r="F36" i="3"/>
  <c r="F24" i="3"/>
  <c r="Z45" i="3"/>
  <c r="D59" i="3"/>
  <c r="D61" i="3"/>
  <c r="D90" i="3"/>
  <c r="G7" i="3"/>
  <c r="G27" i="3"/>
  <c r="T46" i="3"/>
  <c r="E8" i="3"/>
  <c r="F29" i="3"/>
  <c r="F11" i="3"/>
  <c r="AR82" i="3"/>
  <c r="E45" i="3"/>
  <c r="D16" i="3"/>
  <c r="D12" i="3"/>
  <c r="AR13" i="3"/>
  <c r="D46" i="3"/>
  <c r="D27" i="3"/>
  <c r="AR56" i="3"/>
  <c r="E33" i="3"/>
  <c r="D18" i="3"/>
  <c r="AG45" i="3"/>
  <c r="G11" i="3"/>
  <c r="D10" i="3"/>
  <c r="AR32" i="3"/>
  <c r="AR79" i="3"/>
  <c r="D71" i="3"/>
  <c r="D72" i="3"/>
  <c r="AI46" i="3"/>
  <c r="AR87" i="3"/>
  <c r="E10" i="3"/>
  <c r="AR33" i="3"/>
  <c r="G30" i="3"/>
  <c r="E38" i="3"/>
  <c r="F23" i="3"/>
  <c r="AR41" i="3"/>
  <c r="F22" i="3"/>
  <c r="J45" i="3"/>
  <c r="AR14" i="3"/>
  <c r="AC46" i="3"/>
  <c r="F33" i="3"/>
  <c r="D30" i="3"/>
  <c r="AA45" i="3"/>
  <c r="D8" i="3"/>
  <c r="F28" i="3"/>
  <c r="G12" i="3"/>
  <c r="P45" i="3"/>
  <c r="AR68" i="3"/>
  <c r="E28" i="3"/>
  <c r="AQ6" i="3"/>
  <c r="D70" i="3"/>
  <c r="D54" i="3"/>
  <c r="D84" i="3"/>
  <c r="D89" i="3"/>
  <c r="D68" i="3"/>
  <c r="D92" i="3"/>
  <c r="E32" i="3"/>
  <c r="AF50" i="3"/>
  <c r="AR27" i="3"/>
  <c r="AB45" i="3"/>
  <c r="D41" i="3"/>
  <c r="AJ46" i="3"/>
  <c r="AB46" i="3"/>
  <c r="AR57" i="3"/>
  <c r="Y46" i="3"/>
  <c r="F5" i="3"/>
  <c r="D20" i="3"/>
  <c r="AK46" i="3"/>
  <c r="AM45" i="3"/>
  <c r="F20" i="3"/>
  <c r="E22" i="3"/>
  <c r="AA46" i="3"/>
  <c r="G21" i="3"/>
  <c r="V46" i="3"/>
  <c r="AR84" i="3"/>
  <c r="G19" i="3"/>
  <c r="K46" i="3"/>
  <c r="F93" i="3"/>
  <c r="F72" i="3"/>
  <c r="F92" i="3"/>
  <c r="G5" i="3"/>
  <c r="AR95" i="3"/>
  <c r="E30" i="3"/>
  <c r="AR73" i="3"/>
  <c r="AN46" i="3"/>
  <c r="AR66" i="3"/>
  <c r="AR8" i="3"/>
  <c r="AR76" i="3"/>
  <c r="AR34" i="3"/>
  <c r="AO45" i="3"/>
  <c r="E13" i="3"/>
  <c r="AR54" i="3"/>
  <c r="G6" i="3"/>
  <c r="H45" i="3"/>
  <c r="AR55" i="3"/>
  <c r="AR78" i="3"/>
  <c r="D58" i="3"/>
  <c r="D82" i="3"/>
  <c r="D64" i="3"/>
  <c r="F77" i="3"/>
  <c r="F54" i="3"/>
  <c r="G97" i="3"/>
  <c r="F65" i="3"/>
  <c r="F88" i="3"/>
  <c r="AD8" i="3"/>
  <c r="J46" i="3"/>
  <c r="AR15" i="3"/>
  <c r="AR46" i="3"/>
  <c r="D23" i="3"/>
  <c r="D42" i="3"/>
  <c r="AD12" i="3"/>
  <c r="AI45" i="3"/>
  <c r="AK45" i="3"/>
  <c r="AP46" i="3"/>
  <c r="F26" i="3"/>
  <c r="G17" i="3"/>
  <c r="AR64" i="3"/>
  <c r="R45" i="3"/>
  <c r="AR80" i="3"/>
  <c r="G16" i="3"/>
  <c r="D33" i="3"/>
  <c r="AS49" i="3"/>
  <c r="AE45" i="3"/>
  <c r="Q46" i="3"/>
  <c r="R46" i="3"/>
  <c r="G63" i="3"/>
  <c r="F60" i="3"/>
  <c r="D62" i="3"/>
  <c r="F94" i="3"/>
  <c r="F55" i="3"/>
  <c r="D79" i="3"/>
  <c r="D73" i="3"/>
  <c r="F73" i="3"/>
  <c r="G57" i="3"/>
  <c r="G66" i="3"/>
  <c r="AR59" i="3"/>
  <c r="F9" i="3"/>
  <c r="AR24" i="3"/>
  <c r="O45" i="3"/>
  <c r="AD9" i="3"/>
  <c r="H46" i="3"/>
  <c r="F17" i="3"/>
  <c r="C45" i="3"/>
  <c r="D14" i="3"/>
  <c r="F39" i="3"/>
  <c r="AR28" i="3"/>
  <c r="W45" i="3"/>
  <c r="AR21" i="3"/>
  <c r="AR94" i="3"/>
  <c r="F19" i="3"/>
  <c r="AR25" i="3"/>
  <c r="F34" i="3"/>
  <c r="F27" i="3"/>
  <c r="E29" i="3"/>
  <c r="U46" i="3"/>
  <c r="AP45" i="3"/>
  <c r="AR71" i="3"/>
  <c r="AL46" i="3"/>
  <c r="G92" i="3"/>
  <c r="D76" i="3"/>
  <c r="F68" i="3"/>
  <c r="D96" i="3"/>
  <c r="F48" i="3"/>
  <c r="F81" i="3"/>
  <c r="D83" i="3"/>
  <c r="G55" i="3"/>
  <c r="F89" i="3"/>
  <c r="G88" i="3"/>
  <c r="G96" i="3"/>
  <c r="G62" i="3"/>
  <c r="D93" i="3"/>
  <c r="D55" i="3"/>
  <c r="D66" i="3"/>
  <c r="F87" i="3"/>
  <c r="G59" i="3"/>
  <c r="G54" i="3"/>
  <c r="G78" i="3"/>
  <c r="D91" i="3"/>
  <c r="D63" i="3"/>
  <c r="E36" i="3"/>
  <c r="AH46" i="3"/>
  <c r="E23" i="3"/>
  <c r="E34" i="3"/>
  <c r="D38" i="3"/>
  <c r="E15" i="3"/>
  <c r="AR26" i="3"/>
  <c r="AS47" i="3"/>
  <c r="F12" i="3"/>
  <c r="AR22" i="3"/>
  <c r="S45" i="3"/>
  <c r="AR19" i="3"/>
  <c r="E14" i="3"/>
  <c r="E11" i="3"/>
  <c r="G23" i="3"/>
  <c r="E19" i="3"/>
  <c r="G13" i="3"/>
  <c r="AC45" i="3"/>
  <c r="AR35" i="3"/>
  <c r="G10" i="3"/>
  <c r="G24" i="3"/>
  <c r="F82" i="3"/>
  <c r="F61" i="3"/>
  <c r="F78" i="3"/>
  <c r="AR16" i="3"/>
  <c r="AE46" i="3"/>
  <c r="E27" i="3"/>
  <c r="D29" i="3"/>
  <c r="E31" i="3"/>
  <c r="AR18" i="3"/>
  <c r="AO6" i="3"/>
  <c r="AR36" i="3"/>
  <c r="AG46" i="3"/>
  <c r="F32" i="3"/>
  <c r="D36" i="3"/>
  <c r="AR62" i="3"/>
  <c r="E9" i="3"/>
  <c r="F41" i="3"/>
  <c r="AR72" i="3"/>
  <c r="AR75" i="3"/>
  <c r="D75" i="3"/>
  <c r="D87" i="3"/>
  <c r="G75" i="3"/>
  <c r="D86" i="3"/>
  <c r="D94" i="3"/>
  <c r="F83" i="3"/>
  <c r="D78" i="3"/>
  <c r="D74" i="3"/>
  <c r="AR23" i="3"/>
  <c r="D15" i="3"/>
  <c r="AR65" i="3"/>
  <c r="V45" i="3"/>
  <c r="AR93" i="3"/>
  <c r="P46" i="3"/>
  <c r="D6" i="3"/>
  <c r="E5" i="3"/>
  <c r="AR47" i="3"/>
  <c r="AR83" i="3"/>
  <c r="AL45" i="3"/>
  <c r="D24" i="3"/>
  <c r="L46" i="3"/>
  <c r="D37" i="3"/>
  <c r="AR31" i="3"/>
  <c r="AR77" i="3"/>
  <c r="AR50" i="3"/>
  <c r="D19" i="3"/>
  <c r="AD18" i="3"/>
  <c r="AQ45" i="3"/>
  <c r="D21" i="3"/>
  <c r="D95" i="3"/>
  <c r="G76" i="3"/>
  <c r="G72" i="3"/>
  <c r="E62" i="3"/>
  <c r="G64" i="3"/>
  <c r="F47" i="3"/>
  <c r="E78" i="3"/>
  <c r="E70" i="3"/>
  <c r="AD13" i="3"/>
  <c r="D17" i="3"/>
  <c r="AR17" i="3"/>
  <c r="F38" i="3"/>
  <c r="F31" i="3"/>
  <c r="G18" i="3"/>
  <c r="L45" i="3"/>
  <c r="G8" i="3"/>
  <c r="T45" i="3"/>
  <c r="D31" i="3"/>
  <c r="F25" i="3"/>
  <c r="G20" i="3"/>
  <c r="F35" i="3"/>
  <c r="F10" i="3"/>
  <c r="G9" i="3"/>
  <c r="AD45" i="3"/>
  <c r="AR39" i="3"/>
  <c r="AJ45" i="3"/>
  <c r="F14" i="3"/>
  <c r="E18" i="3"/>
  <c r="D22" i="3"/>
  <c r="E42" i="3"/>
  <c r="AR12" i="3"/>
  <c r="G77" i="3"/>
  <c r="G85" i="3"/>
  <c r="G68" i="3"/>
  <c r="D60" i="3"/>
  <c r="E71" i="3"/>
  <c r="D67" i="3"/>
  <c r="D81" i="3"/>
  <c r="G65" i="3"/>
  <c r="E87" i="3"/>
  <c r="E94" i="3"/>
  <c r="X45" i="3"/>
  <c r="AR91" i="3"/>
  <c r="AD46" i="3"/>
  <c r="Q45" i="3"/>
  <c r="AR97" i="3"/>
  <c r="AR69" i="3"/>
  <c r="AR92" i="3"/>
  <c r="D13" i="3"/>
  <c r="N45" i="3"/>
  <c r="F37" i="3"/>
  <c r="G25" i="3"/>
  <c r="E12" i="3"/>
  <c r="AF48" i="3"/>
  <c r="G45" i="3"/>
  <c r="E7" i="3"/>
  <c r="O46" i="3"/>
  <c r="AR61" i="3"/>
  <c r="AR30" i="3"/>
  <c r="E24" i="3"/>
  <c r="AR81" i="3"/>
  <c r="F79" i="3"/>
  <c r="G22" i="3"/>
  <c r="E37" i="3"/>
  <c r="F21" i="3"/>
  <c r="AR40" i="3"/>
  <c r="AR38" i="3"/>
  <c r="AR89" i="3"/>
  <c r="AO46" i="3"/>
  <c r="F18" i="3"/>
  <c r="D34" i="3"/>
  <c r="N46" i="3"/>
  <c r="E39" i="3"/>
  <c r="AR96" i="3"/>
  <c r="I46" i="3"/>
  <c r="AR70" i="3"/>
  <c r="AH45" i="3"/>
  <c r="AR10" i="3"/>
  <c r="D40" i="3"/>
  <c r="G31" i="3"/>
  <c r="D11" i="3"/>
  <c r="E21" i="3"/>
  <c r="G26" i="3"/>
  <c r="F30" i="3"/>
  <c r="G28" i="3"/>
  <c r="AD5" i="3"/>
  <c r="AR88" i="3"/>
  <c r="F7" i="3"/>
  <c r="AR9" i="3"/>
  <c r="AR60" i="3"/>
  <c r="E25" i="3"/>
  <c r="I45" i="3"/>
  <c r="AD17" i="3"/>
  <c r="E35" i="3"/>
  <c r="E46" i="3"/>
  <c r="AR29" i="3"/>
  <c r="AR67" i="3"/>
  <c r="AR63" i="3"/>
  <c r="E41" i="3"/>
  <c r="C46" i="3"/>
  <c r="M45" i="3"/>
  <c r="G94" i="3"/>
  <c r="AD79" i="3"/>
  <c r="AD88" i="3"/>
  <c r="G82" i="3"/>
  <c r="AD10" i="3"/>
  <c r="W46" i="3"/>
  <c r="E16" i="3"/>
  <c r="AD14" i="3"/>
  <c r="F40" i="3"/>
  <c r="AR74" i="3"/>
  <c r="AR37" i="3"/>
  <c r="G14" i="3"/>
  <c r="Z46" i="3"/>
  <c r="AD6" i="3"/>
  <c r="AR49" i="3"/>
  <c r="AR85" i="3"/>
  <c r="Y45" i="3"/>
  <c r="AD11" i="3"/>
  <c r="AD16" i="3"/>
  <c r="G15" i="3"/>
  <c r="AD7" i="3"/>
  <c r="K45" i="3"/>
  <c r="D7" i="3"/>
  <c r="AR86" i="3"/>
  <c r="E17" i="3"/>
  <c r="E40" i="3"/>
  <c r="G61" i="3"/>
  <c r="AD82" i="3"/>
  <c r="AD71" i="3"/>
  <c r="E80" i="3"/>
  <c r="AD77" i="3"/>
  <c r="AD83" i="3"/>
  <c r="AD73" i="3"/>
  <c r="AD90" i="3"/>
  <c r="AD58" i="3"/>
  <c r="AD78" i="3"/>
  <c r="AD63" i="3"/>
  <c r="AD75" i="3"/>
  <c r="AD61" i="3"/>
  <c r="E90" i="3" l="1"/>
  <c r="F80" i="3"/>
  <c r="F50" i="3"/>
  <c r="G84" i="3"/>
  <c r="D77" i="3"/>
  <c r="D69" i="3"/>
  <c r="E86" i="3"/>
  <c r="G79" i="3"/>
  <c r="D97" i="3"/>
  <c r="F62" i="3"/>
  <c r="E75" i="3"/>
  <c r="G74" i="3"/>
  <c r="D56" i="3"/>
  <c r="F95" i="3"/>
  <c r="F84" i="3"/>
  <c r="E91" i="3"/>
  <c r="F59" i="3"/>
  <c r="G95" i="3"/>
  <c r="F70" i="3"/>
  <c r="G93" i="3"/>
  <c r="F96" i="3"/>
  <c r="G91" i="3"/>
  <c r="G58" i="3"/>
  <c r="D88" i="3"/>
  <c r="D65" i="3"/>
  <c r="G71" i="3"/>
  <c r="F97" i="3"/>
  <c r="F71" i="3"/>
  <c r="G80" i="3"/>
  <c r="E64" i="3"/>
  <c r="E68" i="3"/>
  <c r="F57" i="3"/>
  <c r="G73" i="3"/>
  <c r="F58" i="3"/>
  <c r="E79" i="3"/>
  <c r="D57" i="3"/>
  <c r="F85" i="3"/>
  <c r="G90" i="3"/>
  <c r="E58" i="3"/>
  <c r="E56" i="3"/>
  <c r="D85" i="3"/>
  <c r="E57" i="3"/>
  <c r="F91" i="3"/>
  <c r="G70" i="3"/>
  <c r="E77" i="3"/>
  <c r="E89" i="3"/>
  <c r="E93" i="3"/>
  <c r="E67" i="3"/>
  <c r="E66" i="3"/>
  <c r="E97" i="3"/>
  <c r="E65" i="3"/>
  <c r="E96" i="3"/>
  <c r="E95" i="3"/>
  <c r="AD64" i="3"/>
  <c r="AD74" i="3"/>
  <c r="AD95" i="3"/>
  <c r="AD86" i="3"/>
  <c r="AD56" i="3"/>
  <c r="AD85" i="3"/>
  <c r="AD62" i="3"/>
  <c r="AD54" i="3"/>
  <c r="AD93" i="3"/>
  <c r="F64" i="3"/>
  <c r="E88" i="3"/>
  <c r="F69" i="3"/>
  <c r="AD76" i="3"/>
  <c r="G60" i="3"/>
  <c r="D80" i="3"/>
  <c r="AD67" i="3"/>
  <c r="E92" i="3"/>
  <c r="F66" i="3"/>
  <c r="F75" i="3"/>
  <c r="F63" i="3"/>
  <c r="F74" i="3"/>
  <c r="G89" i="3"/>
  <c r="G83" i="3"/>
  <c r="G69" i="3"/>
  <c r="E81" i="3"/>
  <c r="E82" i="3"/>
  <c r="E73" i="3"/>
  <c r="E85" i="3"/>
  <c r="E55" i="3"/>
  <c r="E69" i="3"/>
  <c r="E60" i="3"/>
  <c r="AD59" i="3"/>
  <c r="AD60" i="3"/>
  <c r="AD89" i="3"/>
  <c r="AD84" i="3"/>
  <c r="AD87" i="3"/>
  <c r="AD66" i="3"/>
  <c r="AD72" i="3"/>
  <c r="AD70" i="3"/>
  <c r="AD65" i="3"/>
  <c r="F86" i="3"/>
  <c r="G81" i="3"/>
  <c r="AD97" i="3"/>
  <c r="E59" i="3"/>
  <c r="G67" i="3"/>
  <c r="G87" i="3"/>
  <c r="AD96" i="3"/>
  <c r="AD91" i="3"/>
  <c r="F49" i="3"/>
  <c r="F90" i="3"/>
  <c r="F56" i="3"/>
  <c r="F67" i="3"/>
  <c r="F76" i="3"/>
  <c r="G86" i="3"/>
  <c r="G56" i="3"/>
  <c r="E74" i="3"/>
  <c r="E72" i="3"/>
  <c r="E83" i="3"/>
  <c r="E76" i="3"/>
  <c r="E63" i="3"/>
  <c r="E84" i="3"/>
  <c r="E54" i="3"/>
  <c r="E61" i="3"/>
  <c r="AD80" i="3"/>
  <c r="AD69" i="3"/>
  <c r="AD55" i="3"/>
  <c r="AD92" i="3"/>
  <c r="AD68" i="3"/>
  <c r="AD57" i="3"/>
  <c r="AD81" i="3"/>
  <c r="AD94" i="3"/>
  <c r="BX170" i="1"/>
  <c r="H171" i="1"/>
  <c r="B197" i="1"/>
  <c r="I198" i="1"/>
  <c r="HP16" i="4" s="1"/>
  <c r="J169" i="1"/>
  <c r="I179" i="1"/>
  <c r="Q180" i="1"/>
  <c r="P182" i="1"/>
  <c r="G208" i="1"/>
  <c r="B207" i="1"/>
  <c r="C213" i="1"/>
  <c r="K179" i="1"/>
  <c r="H194" i="1"/>
  <c r="H361" i="1" s="1"/>
  <c r="IH16" i="4" s="1"/>
  <c r="V213" i="1"/>
  <c r="BX311" i="1"/>
  <c r="C197" i="1"/>
  <c r="D177" i="1"/>
  <c r="AM169" i="1"/>
  <c r="J197" i="1"/>
  <c r="IX9" i="4" s="1"/>
  <c r="I209" i="1"/>
  <c r="N171" i="1"/>
  <c r="AK213" i="1"/>
  <c r="E198" i="1"/>
  <c r="U194" i="1"/>
  <c r="U76" i="1" s="1"/>
  <c r="P179" i="1"/>
  <c r="M198" i="1"/>
  <c r="AK194" i="1"/>
  <c r="AK361" i="1" s="1"/>
  <c r="W299" i="1"/>
  <c r="BX208" i="1"/>
  <c r="AJ179" i="1"/>
  <c r="Q165" i="1"/>
  <c r="G171" i="1"/>
  <c r="C177" i="1"/>
  <c r="C165" i="1"/>
  <c r="HT9" i="4" s="1"/>
  <c r="N198" i="1"/>
  <c r="O197" i="1"/>
  <c r="BX310" i="1"/>
  <c r="BY310" i="1" s="1"/>
  <c r="W207" i="1"/>
  <c r="U171" i="1"/>
  <c r="L197" i="1"/>
  <c r="V197" i="1"/>
  <c r="L171" i="1"/>
  <c r="J207" i="1"/>
  <c r="BX309" i="1"/>
  <c r="BY309" i="1" s="1"/>
  <c r="BX313" i="1"/>
  <c r="BY313" i="1" s="1"/>
  <c r="P165" i="1"/>
  <c r="IJ9" i="4" s="1"/>
  <c r="AK178" i="1"/>
  <c r="L169" i="1"/>
  <c r="HZ9" i="4" s="1"/>
  <c r="IB9" i="4" s="1"/>
  <c r="P320" i="1"/>
  <c r="T165" i="1"/>
  <c r="IH9" i="4" s="1"/>
  <c r="J179" i="1"/>
  <c r="B194" i="1"/>
  <c r="BX298" i="1"/>
  <c r="AK164" i="1"/>
  <c r="AK398" i="1" s="1"/>
  <c r="I178" i="1"/>
  <c r="BX169" i="1"/>
  <c r="D209" i="1"/>
  <c r="I194" i="1"/>
  <c r="I361" i="1" s="1"/>
  <c r="I165" i="1"/>
  <c r="M197" i="1"/>
  <c r="Q197" i="1"/>
  <c r="N182" i="1"/>
  <c r="BX302" i="1"/>
  <c r="BY302" i="1" s="1"/>
  <c r="Q182" i="1"/>
  <c r="U178" i="1"/>
  <c r="E178" i="1"/>
  <c r="HS9" i="4" s="1"/>
  <c r="HR16" i="4" s="1"/>
  <c r="BJ182" i="1"/>
  <c r="L178" i="1"/>
  <c r="AK182" i="1"/>
  <c r="B181" i="1"/>
  <c r="W171" i="1"/>
  <c r="O213" i="1"/>
  <c r="E171" i="1"/>
  <c r="T209" i="1"/>
  <c r="AJ169" i="1"/>
  <c r="IX16" i="4" s="1"/>
  <c r="BX292" i="1"/>
  <c r="BY292" i="1" s="1"/>
  <c r="Q209" i="1"/>
  <c r="T208" i="1"/>
  <c r="H182" i="1"/>
  <c r="H178" i="1"/>
  <c r="S171" i="1"/>
  <c r="JH9" i="4" s="1"/>
  <c r="BY235" i="1"/>
  <c r="W178" i="1"/>
  <c r="AM171" i="1"/>
  <c r="S177" i="1"/>
  <c r="Q164" i="1"/>
  <c r="Q398" i="1" s="1"/>
  <c r="N208" i="1"/>
  <c r="F169" i="1"/>
  <c r="BX236" i="1"/>
  <c r="T198" i="1"/>
  <c r="J182" i="1"/>
  <c r="JC9" i="4" s="1"/>
  <c r="V209" i="1"/>
  <c r="AL177" i="1"/>
  <c r="IP9" i="4" s="1"/>
  <c r="R182" i="1"/>
  <c r="W194" i="1"/>
  <c r="W76" i="1" s="1"/>
  <c r="AL180" i="1"/>
  <c r="AK201" i="1"/>
  <c r="K201" i="1"/>
  <c r="AM170" i="1"/>
  <c r="C181" i="1"/>
  <c r="HW9" i="4" s="1"/>
  <c r="S182" i="1"/>
  <c r="V169" i="1"/>
  <c r="Q178" i="1"/>
  <c r="G207" i="1"/>
  <c r="E194" i="1"/>
  <c r="E361" i="1" s="1"/>
  <c r="P207" i="1"/>
  <c r="K178" i="1"/>
  <c r="U169" i="1"/>
  <c r="T201" i="1"/>
  <c r="M182" i="1"/>
  <c r="BX201" i="1"/>
  <c r="E182" i="1"/>
  <c r="HR9" i="4" s="1"/>
  <c r="BX307" i="1"/>
  <c r="BY307" i="1" s="1"/>
  <c r="BZ369" i="1" s="1"/>
  <c r="B177" i="1"/>
  <c r="R179" i="1"/>
  <c r="J208" i="1"/>
  <c r="JI16" i="4" s="1"/>
  <c r="IE9" i="4" s="1"/>
  <c r="E181" i="1"/>
  <c r="AM177" i="1"/>
  <c r="AL194" i="1"/>
  <c r="AL361" i="1" s="1"/>
  <c r="F177" i="1"/>
  <c r="II9" i="4" s="1"/>
  <c r="AJ182" i="1"/>
  <c r="O198" i="1"/>
  <c r="I182" i="1"/>
  <c r="O179" i="1"/>
  <c r="Q213" i="1"/>
  <c r="B201" i="1"/>
  <c r="D171" i="1"/>
  <c r="W169" i="1"/>
  <c r="AM179" i="1"/>
  <c r="M201" i="1"/>
  <c r="AL181" i="1"/>
  <c r="L164" i="1"/>
  <c r="L398" i="1" s="1"/>
  <c r="O164" i="1"/>
  <c r="G180" i="1"/>
  <c r="J164" i="1"/>
  <c r="J398" i="1" s="1"/>
  <c r="W208" i="1"/>
  <c r="G197" i="1"/>
  <c r="AL207" i="1"/>
  <c r="E213" i="1"/>
  <c r="B209" i="1"/>
  <c r="P177" i="1"/>
  <c r="B169" i="1"/>
  <c r="IZ9" i="4" s="1"/>
  <c r="F208" i="1"/>
  <c r="B178" i="1"/>
  <c r="AM181" i="1"/>
  <c r="J180" i="1"/>
  <c r="D179" i="1"/>
  <c r="BX300" i="1"/>
  <c r="P171" i="1"/>
  <c r="C291" i="1"/>
  <c r="AL164" i="1"/>
  <c r="C201" i="1"/>
  <c r="P209" i="1"/>
  <c r="G179" i="1"/>
  <c r="U182" i="1"/>
  <c r="JD16" i="4" s="1"/>
  <c r="Q181" i="1"/>
  <c r="H198" i="1"/>
  <c r="BX326" i="1"/>
  <c r="JF9" i="4" s="1"/>
  <c r="ID16" i="4" s="1"/>
  <c r="F182" i="1"/>
  <c r="O180" i="1"/>
  <c r="IK9" i="4" s="1"/>
  <c r="G198" i="1"/>
  <c r="AM197" i="1"/>
  <c r="N179" i="1"/>
  <c r="S179" i="1"/>
  <c r="E180" i="1"/>
  <c r="J171" i="1"/>
  <c r="B165" i="1"/>
  <c r="BX198" i="1"/>
  <c r="E177" i="1"/>
  <c r="Q208" i="1"/>
  <c r="IW16" i="4" s="1"/>
  <c r="IC9" i="4" s="1"/>
  <c r="C164" i="1"/>
  <c r="C398" i="1" s="1"/>
  <c r="IA9" i="4" s="1"/>
  <c r="O165" i="1"/>
  <c r="AM164" i="1"/>
  <c r="AM398" i="1" s="1"/>
  <c r="J201" i="1"/>
  <c r="IY9" i="4" s="1"/>
  <c r="O194" i="1"/>
  <c r="O361" i="1" s="1"/>
  <c r="R165" i="1"/>
  <c r="F179" i="1"/>
  <c r="BJ177" i="1"/>
  <c r="AK208" i="1"/>
  <c r="O209" i="1"/>
  <c r="IO16" i="4" s="1"/>
  <c r="B208" i="1"/>
  <c r="L179" i="1"/>
  <c r="JA9" i="4" s="1"/>
  <c r="W284" i="1"/>
  <c r="V208" i="1"/>
  <c r="E209" i="1"/>
  <c r="J165" i="1"/>
  <c r="B164" i="1"/>
  <c r="B420" i="1" s="1"/>
  <c r="C194" i="1"/>
  <c r="I208" i="1"/>
  <c r="AK171" i="1"/>
  <c r="IL16" i="4" s="1"/>
  <c r="E165" i="1"/>
  <c r="IR9" i="4" s="1"/>
  <c r="HV9" i="4" s="1"/>
  <c r="U209" i="1"/>
  <c r="BJ171" i="1"/>
  <c r="T194" i="1"/>
  <c r="T361" i="1" s="1"/>
  <c r="AL165" i="1"/>
  <c r="B182" i="1"/>
  <c r="K171" i="1"/>
  <c r="IT16" i="4" s="1"/>
  <c r="V178" i="1"/>
  <c r="AL169" i="1"/>
  <c r="IQ9" i="4" s="1"/>
  <c r="IZ16" i="4" s="1"/>
  <c r="BX213" i="1"/>
  <c r="U165" i="1"/>
  <c r="U166" i="1" s="1"/>
  <c r="U260" i="1" s="1"/>
  <c r="O201" i="1"/>
  <c r="JA16" i="4" s="1"/>
  <c r="M180" i="1"/>
  <c r="BX284" i="1"/>
  <c r="BY284" i="1" s="1"/>
  <c r="IY16" i="4" s="1"/>
  <c r="BX291" i="1"/>
  <c r="BY291" i="1" s="1"/>
  <c r="W165" i="1"/>
  <c r="W166" i="1" s="1"/>
  <c r="BJ178" i="1"/>
  <c r="I169" i="1"/>
  <c r="M194" i="1"/>
  <c r="M361" i="1" s="1"/>
  <c r="AK180" i="1"/>
  <c r="L207" i="1"/>
  <c r="H177" i="1"/>
  <c r="IW9" i="4" s="1"/>
  <c r="D194" i="1"/>
  <c r="C180" i="1"/>
  <c r="N213" i="1"/>
  <c r="T179" i="1"/>
  <c r="I181" i="1"/>
  <c r="BX330" i="1"/>
  <c r="BY330" i="1" s="1"/>
  <c r="R213" i="1"/>
  <c r="AL208" i="1"/>
  <c r="E179" i="1"/>
  <c r="M213" i="1"/>
  <c r="C207" i="1"/>
  <c r="BX179" i="1"/>
  <c r="BX316" i="1"/>
  <c r="BY316" i="1" s="1"/>
  <c r="Q171" i="1"/>
  <c r="O171" i="1"/>
  <c r="HZ16" i="4" s="1"/>
  <c r="J209" i="1"/>
  <c r="V165" i="1"/>
  <c r="V166" i="1" s="1"/>
  <c r="V260" i="1" s="1"/>
  <c r="Q177" i="1"/>
  <c r="AK170" i="1"/>
  <c r="BX314" i="1"/>
  <c r="BY314" i="1" s="1"/>
  <c r="P197" i="1"/>
  <c r="Q198" i="1"/>
  <c r="G213" i="1"/>
  <c r="BJ181" i="1"/>
  <c r="Q179" i="1"/>
  <c r="L181" i="1"/>
  <c r="U197" i="1"/>
  <c r="N207" i="1"/>
  <c r="O208" i="1"/>
  <c r="D181" i="1"/>
  <c r="S165" i="1"/>
  <c r="IU9" i="4" s="1"/>
  <c r="AM165" i="1"/>
  <c r="L194" i="1"/>
  <c r="L420" i="1" s="1"/>
  <c r="AM178" i="1"/>
  <c r="P322" i="1"/>
  <c r="N180" i="1"/>
  <c r="HW16" i="4" s="1"/>
  <c r="HW21" i="4" s="1"/>
  <c r="AQ239" i="1" s="1"/>
  <c r="E208" i="1"/>
  <c r="F194" i="1"/>
  <c r="U181" i="1"/>
  <c r="R178" i="1"/>
  <c r="AM198" i="1"/>
  <c r="D178" i="1"/>
  <c r="P164" i="1"/>
  <c r="P398" i="1" s="1"/>
  <c r="JG16" i="4" s="1"/>
  <c r="AJ165" i="1"/>
  <c r="N201" i="1"/>
  <c r="BX180" i="1"/>
  <c r="O182" i="1"/>
  <c r="O169" i="1"/>
  <c r="R177" i="1"/>
  <c r="BX235" i="1"/>
  <c r="AL198" i="1"/>
  <c r="G165" i="1"/>
  <c r="U198" i="1"/>
  <c r="U419" i="1" s="1"/>
  <c r="HX16" i="4" s="1"/>
  <c r="T180" i="1"/>
  <c r="S178" i="1"/>
  <c r="IV9" i="4" s="1"/>
  <c r="W213" i="1"/>
  <c r="G178" i="1"/>
  <c r="IB16" i="4" s="1"/>
  <c r="HT16" i="4" s="1"/>
  <c r="HT21" i="4" s="1"/>
  <c r="AN239" i="1" s="1"/>
  <c r="D213" i="1"/>
  <c r="JB16" i="4" s="1"/>
  <c r="BX194" i="1"/>
  <c r="BX361" i="1" s="1"/>
  <c r="AK198" i="1"/>
  <c r="F198" i="1"/>
  <c r="J178" i="1"/>
  <c r="C179" i="1"/>
  <c r="JG9" i="4" s="1"/>
  <c r="IT9" i="4" s="1"/>
  <c r="M207" i="1"/>
  <c r="IN16" i="4" s="1"/>
  <c r="BX165" i="1"/>
  <c r="D289" i="1"/>
  <c r="D164" i="1"/>
  <c r="D398" i="1" s="1"/>
  <c r="D198" i="1"/>
  <c r="IK16" i="4" s="1"/>
  <c r="V177" i="1"/>
  <c r="F201" i="1"/>
  <c r="H197" i="1"/>
  <c r="JB7" i="4" s="1"/>
  <c r="N169" i="1"/>
  <c r="H207" i="1"/>
  <c r="G209" i="1"/>
  <c r="AL209" i="1"/>
  <c r="AK165" i="1"/>
  <c r="C208" i="1"/>
  <c r="O181" i="1"/>
  <c r="IU16" i="4" s="1"/>
  <c r="BJ164" i="1"/>
  <c r="BJ398" i="1" s="1"/>
  <c r="W182" i="1"/>
  <c r="D201" i="1"/>
  <c r="F180" i="1"/>
  <c r="R209" i="1"/>
  <c r="P198" i="1"/>
  <c r="BX289" i="1"/>
  <c r="BY289" i="1" s="1"/>
  <c r="F213" i="1"/>
  <c r="C209" i="1"/>
  <c r="BX327" i="1"/>
  <c r="AM201" i="1"/>
  <c r="C178" i="1"/>
  <c r="B171" i="1"/>
  <c r="C182" i="1"/>
  <c r="O177" i="1"/>
  <c r="R207" i="1"/>
  <c r="S209" i="1"/>
  <c r="Q169" i="1"/>
  <c r="W180" i="1"/>
  <c r="N178" i="1"/>
  <c r="IF16" i="4" s="1"/>
  <c r="M178" i="1"/>
  <c r="H169" i="1"/>
  <c r="E169" i="1"/>
  <c r="AJ170" i="1"/>
  <c r="V207" i="1"/>
  <c r="AL170" i="1"/>
  <c r="P181" i="1"/>
  <c r="Q201" i="1"/>
  <c r="M179" i="1"/>
  <c r="AJ180" i="1"/>
  <c r="S207" i="1"/>
  <c r="R194" i="1"/>
  <c r="R361" i="1" s="1"/>
  <c r="BX207" i="1"/>
  <c r="L213" i="1"/>
  <c r="N165" i="1"/>
  <c r="F207" i="1"/>
  <c r="H201" i="1"/>
  <c r="G330" i="1"/>
  <c r="BX286" i="1"/>
  <c r="BY286" i="1" s="1"/>
  <c r="N194" i="1"/>
  <c r="N361" i="1" s="1"/>
  <c r="AM180" i="1"/>
  <c r="AJ207" i="1"/>
  <c r="I177" i="1"/>
  <c r="L209" i="1"/>
  <c r="W177" i="1"/>
  <c r="IA16" i="4" s="1"/>
  <c r="S181" i="1"/>
  <c r="N164" i="1"/>
  <c r="N398" i="1" s="1"/>
  <c r="ID9" i="4" s="1"/>
  <c r="AJ177" i="1"/>
  <c r="D182" i="1"/>
  <c r="C198" i="1"/>
  <c r="G182" i="1"/>
  <c r="O178" i="1"/>
  <c r="IG16" i="4" s="1"/>
  <c r="IF9" i="4" s="1"/>
  <c r="HY16" i="4" s="1"/>
  <c r="G194" i="1"/>
  <c r="G361" i="1" s="1"/>
  <c r="H179" i="1"/>
  <c r="F178" i="1"/>
  <c r="T207" i="1"/>
  <c r="N181" i="1"/>
  <c r="L201" i="1"/>
  <c r="R197" i="1"/>
  <c r="AL197" i="1"/>
  <c r="W198" i="1"/>
  <c r="W419" i="1" s="1"/>
  <c r="F165" i="1"/>
  <c r="IM16" i="4" s="1"/>
  <c r="BX285" i="1"/>
  <c r="BY285" i="1" s="1"/>
  <c r="D207" i="1"/>
  <c r="B180" i="1"/>
  <c r="JD9" i="4" s="1"/>
  <c r="AJ208" i="1"/>
  <c r="AK209" i="1"/>
  <c r="V171" i="1"/>
  <c r="M169" i="1"/>
  <c r="F181" i="1"/>
  <c r="K209" i="1"/>
  <c r="U179" i="1"/>
  <c r="J198" i="1"/>
  <c r="IR16" i="4" s="1"/>
  <c r="AL182" i="1"/>
  <c r="BX322" i="1"/>
  <c r="BY322" i="1" s="1"/>
  <c r="Q207" i="1"/>
  <c r="T178" i="1"/>
  <c r="U201" i="1"/>
  <c r="BX209" i="1"/>
  <c r="AL178" i="1"/>
  <c r="BX294" i="1"/>
  <c r="BY294" i="1" s="1"/>
  <c r="S194" i="1"/>
  <c r="S361" i="1" s="1"/>
  <c r="U208" i="1"/>
  <c r="V179" i="1"/>
  <c r="M171" i="1"/>
  <c r="II16" i="4" s="1"/>
  <c r="II21" i="4" s="1"/>
  <c r="BC239" i="1" s="1"/>
  <c r="IC7" i="4" s="1"/>
  <c r="T213" i="1"/>
  <c r="D208" i="1"/>
  <c r="R181" i="1"/>
  <c r="W197" i="1"/>
  <c r="H181" i="1"/>
  <c r="J213" i="1"/>
  <c r="JF16" i="4" s="1"/>
  <c r="JF21" i="4" s="1"/>
  <c r="BZ239" i="1" s="1"/>
  <c r="BZ273" i="1" s="1"/>
  <c r="BZ269" i="1" s="1"/>
  <c r="BX164" i="1"/>
  <c r="BX46" i="1" s="1"/>
  <c r="BX299" i="1"/>
  <c r="S208" i="1"/>
  <c r="AJ164" i="1"/>
  <c r="AJ398" i="1" s="1"/>
  <c r="T181" i="1"/>
  <c r="T169" i="1"/>
  <c r="S213" i="1"/>
  <c r="IC16" i="4" s="1"/>
  <c r="IC21" i="4" s="1"/>
  <c r="AW239" i="1" s="1"/>
  <c r="AJ194" i="1"/>
  <c r="AJ361" i="1" s="1"/>
  <c r="M181" i="1"/>
  <c r="BJ170" i="1"/>
  <c r="K169" i="1"/>
  <c r="M209" i="1"/>
  <c r="R169" i="1"/>
  <c r="K177" i="1"/>
  <c r="R201" i="1"/>
  <c r="D180" i="1"/>
  <c r="JE9" i="4" s="1"/>
  <c r="BX312" i="1"/>
  <c r="AK181" i="1"/>
  <c r="U177" i="1"/>
  <c r="S169" i="1"/>
  <c r="W179" i="1"/>
  <c r="BX304" i="1"/>
  <c r="BY304" i="1" s="1"/>
  <c r="BX182" i="1"/>
  <c r="BX293" i="1"/>
  <c r="BY293" i="1" s="1"/>
  <c r="P169" i="1"/>
  <c r="HS16" i="4" s="1"/>
  <c r="BX318" i="1"/>
  <c r="BY318" i="1" s="1"/>
  <c r="K198" i="1"/>
  <c r="H209" i="1"/>
  <c r="U207" i="1"/>
  <c r="IL9" i="4" s="1"/>
  <c r="N197" i="1"/>
  <c r="P194" i="1"/>
  <c r="P361" i="1" s="1"/>
  <c r="J181" i="1"/>
  <c r="AJ198" i="1"/>
  <c r="G181" i="1"/>
  <c r="AJ213" i="1"/>
  <c r="BX320" i="1"/>
  <c r="Q320" i="1"/>
  <c r="AM182" i="1"/>
  <c r="P201" i="1"/>
  <c r="S180" i="1"/>
  <c r="G320" i="1"/>
  <c r="HY9" i="4" s="1"/>
  <c r="S197" i="1"/>
  <c r="HP9" i="4" s="1"/>
  <c r="U180" i="1"/>
  <c r="Q194" i="1"/>
  <c r="Q361" i="1" s="1"/>
  <c r="H213" i="1"/>
  <c r="K208" i="1"/>
  <c r="E197" i="1"/>
  <c r="C171" i="1"/>
  <c r="I207" i="1"/>
  <c r="AL171" i="1"/>
  <c r="S164" i="1"/>
  <c r="S398" i="1" s="1"/>
  <c r="F209" i="1"/>
  <c r="AM194" i="1"/>
  <c r="AM361" i="1" s="1"/>
  <c r="H180" i="1"/>
  <c r="V201" i="1"/>
  <c r="I201" i="1"/>
  <c r="M208" i="1"/>
  <c r="HV16" i="4" s="1"/>
  <c r="JE16" i="4" s="1"/>
  <c r="H165" i="1"/>
  <c r="V181" i="1"/>
  <c r="K207" i="1"/>
  <c r="L182" i="1"/>
  <c r="AK207" i="1"/>
  <c r="IG9" i="4" s="1"/>
  <c r="G177" i="1"/>
  <c r="P178" i="1"/>
  <c r="W209" i="1"/>
  <c r="K164" i="1"/>
  <c r="K398" i="1" s="1"/>
  <c r="R180" i="1"/>
  <c r="E164" i="1"/>
  <c r="E398" i="1" s="1"/>
  <c r="IJ16" i="4" s="1"/>
  <c r="AJ201" i="1"/>
  <c r="AJ197" i="1"/>
  <c r="D169" i="1"/>
  <c r="V182" i="1"/>
  <c r="K213" i="1"/>
  <c r="U213" i="1"/>
  <c r="AL201" i="1"/>
  <c r="H164" i="1"/>
  <c r="H398" i="1" s="1"/>
  <c r="B179" i="1"/>
  <c r="H208" i="1"/>
  <c r="IS9" i="4" s="1"/>
  <c r="D197" i="1"/>
  <c r="L208" i="1"/>
  <c r="IM9" i="4" s="1"/>
  <c r="JC16" i="4" s="1"/>
  <c r="AK197" i="1"/>
  <c r="P180" i="1"/>
  <c r="K181" i="1"/>
  <c r="F171" i="1"/>
  <c r="J286" i="1"/>
  <c r="W181" i="1"/>
  <c r="IN9" i="4" s="1"/>
  <c r="D165" i="1"/>
  <c r="HQ16" i="4" s="1"/>
  <c r="B213" i="1"/>
  <c r="J177" i="1"/>
  <c r="W201" i="1"/>
  <c r="R171" i="1"/>
  <c r="BJ180" i="1"/>
  <c r="I213" i="1"/>
  <c r="BX321" i="1"/>
  <c r="BY321" i="1" s="1"/>
  <c r="M164" i="1"/>
  <c r="M398" i="1" s="1"/>
  <c r="R198" i="1"/>
  <c r="P208" i="1"/>
  <c r="IQ7" i="4" s="1"/>
  <c r="B198" i="1"/>
  <c r="IV16" i="4" s="1"/>
  <c r="J194" i="1"/>
  <c r="J361" i="1" s="1"/>
  <c r="T182" i="1"/>
  <c r="AK169" i="1"/>
  <c r="T164" i="1"/>
  <c r="T398" i="1" s="1"/>
  <c r="HU16" i="4" s="1"/>
  <c r="V180" i="1"/>
  <c r="G164" i="1"/>
  <c r="G398" i="1" s="1"/>
  <c r="AK177" i="1"/>
  <c r="N209" i="1"/>
  <c r="BL236" i="1"/>
  <c r="E326" i="1"/>
  <c r="BX178" i="1"/>
  <c r="BX317" i="1"/>
  <c r="BY317" i="1" s="1"/>
  <c r="I164" i="1"/>
  <c r="I398" i="1" s="1"/>
  <c r="BX181" i="1"/>
  <c r="L180" i="1"/>
  <c r="JB9" i="4" s="1"/>
  <c r="K182" i="1"/>
  <c r="F197" i="1"/>
  <c r="HU9" i="4" s="1"/>
  <c r="BX171" i="1"/>
  <c r="BX319" i="1"/>
  <c r="BY319" i="1" s="1"/>
  <c r="G169" i="1"/>
  <c r="M177" i="1"/>
  <c r="P213" i="1"/>
  <c r="N177" i="1"/>
  <c r="JH16" i="4" s="1"/>
  <c r="S198" i="1"/>
  <c r="AK179" i="1"/>
  <c r="IQ16" i="4" s="1"/>
  <c r="AL179" i="1"/>
  <c r="G201" i="1"/>
  <c r="V198" i="1"/>
  <c r="V419" i="1" s="1"/>
  <c r="AJ181" i="1"/>
  <c r="BX331" i="1"/>
  <c r="BY331" i="1" s="1"/>
  <c r="O207" i="1"/>
  <c r="P294" i="1"/>
  <c r="AL213" i="1"/>
  <c r="K165" i="1"/>
  <c r="HX9" i="4" s="1"/>
  <c r="AJ178" i="1"/>
  <c r="V194" i="1"/>
  <c r="V76" i="1" s="1"/>
  <c r="L198" i="1"/>
  <c r="R208" i="1"/>
  <c r="R164" i="1"/>
  <c r="R398" i="1" s="1"/>
  <c r="F164" i="1"/>
  <c r="F398" i="1" s="1"/>
  <c r="IE16" i="4" s="1"/>
  <c r="AJ171" i="1"/>
  <c r="T177" i="1"/>
  <c r="K194" i="1"/>
  <c r="K361" i="1" s="1"/>
  <c r="L177" i="1"/>
  <c r="HQ9" i="4" s="1"/>
  <c r="BX177" i="1"/>
  <c r="E207" i="1"/>
  <c r="P327" i="1"/>
  <c r="E201" i="1"/>
  <c r="I171" i="1"/>
  <c r="JI9" i="4" s="1"/>
  <c r="BX197" i="1"/>
  <c r="C169" i="1"/>
  <c r="M165" i="1"/>
  <c r="I180" i="1"/>
  <c r="BJ169" i="1"/>
  <c r="L165" i="1"/>
  <c r="IS16" i="4" s="1"/>
  <c r="K197" i="1"/>
  <c r="IO9" i="4" s="1"/>
  <c r="T197" i="1"/>
  <c r="K180" i="1"/>
  <c r="AJ209" i="1"/>
  <c r="I197" i="1"/>
  <c r="S201" i="1"/>
  <c r="T171" i="1"/>
  <c r="CY51" i="1"/>
  <c r="CZ13" i="1"/>
  <c r="AL322" i="1"/>
  <c r="AM322" i="1" s="1"/>
  <c r="AJ291" i="1"/>
  <c r="AK291" i="1" s="1"/>
  <c r="AJ330" i="1"/>
  <c r="AK330" i="1" s="1"/>
  <c r="BJ294" i="1"/>
  <c r="BK294" i="1" s="1"/>
  <c r="AJ289" i="1"/>
  <c r="AK289" i="1" s="1"/>
  <c r="AL312" i="1"/>
  <c r="AL317" i="1"/>
  <c r="AM317" i="1" s="1"/>
  <c r="AL309" i="1"/>
  <c r="AM309" i="1" s="1"/>
  <c r="AL298" i="1"/>
  <c r="BJ327" i="1"/>
  <c r="AJ320" i="1"/>
  <c r="AJ318" i="1"/>
  <c r="AK318" i="1" s="1"/>
  <c r="AL302" i="1"/>
  <c r="AM302" i="1" s="1"/>
  <c r="AJ316" i="1"/>
  <c r="AK316" i="1" s="1"/>
  <c r="BJ312" i="1"/>
  <c r="AJ319" i="1"/>
  <c r="AK319" i="1" s="1"/>
  <c r="AJ309" i="1"/>
  <c r="AK309" i="1" s="1"/>
  <c r="AJ321" i="1"/>
  <c r="AK321" i="1" s="1"/>
  <c r="BJ286" i="1"/>
  <c r="AL289" i="1"/>
  <c r="AM289" i="1" s="1"/>
  <c r="BJ293" i="1"/>
  <c r="BK293" i="1" s="1"/>
  <c r="AL320" i="1"/>
  <c r="AL319" i="1"/>
  <c r="AM319" i="1" s="1"/>
  <c r="AL311" i="1"/>
  <c r="BJ307" i="1"/>
  <c r="BK307" i="1" s="1"/>
  <c r="BL369" i="1" s="1"/>
  <c r="BJ292" i="1"/>
  <c r="BK292" i="1" s="1"/>
  <c r="BJ309" i="1"/>
  <c r="BK309" i="1" s="1"/>
  <c r="AJ300" i="1"/>
  <c r="AJ311" i="1"/>
  <c r="AJ312" i="1"/>
  <c r="AJ327" i="1"/>
  <c r="AJ286" i="1"/>
  <c r="AJ313" i="1"/>
  <c r="AK313" i="1" s="1"/>
  <c r="AJ292" i="1"/>
  <c r="AK292" i="1" s="1"/>
  <c r="AL327" i="1"/>
  <c r="AL294" i="1"/>
  <c r="AM294" i="1" s="1"/>
  <c r="AJ331" i="1"/>
  <c r="AK331" i="1" s="1"/>
  <c r="AJ293" i="1"/>
  <c r="AK293" i="1" s="1"/>
  <c r="AJ322" i="1"/>
  <c r="AK322" i="1" s="1"/>
  <c r="AL307" i="1"/>
  <c r="AM307" i="1" s="1"/>
  <c r="AM369" i="1" s="1"/>
  <c r="AJ298" i="1"/>
  <c r="AJ302" i="1"/>
  <c r="AK302" i="1" s="1"/>
  <c r="AJ310" i="1"/>
  <c r="AK310" i="1" s="1"/>
  <c r="AJ304" i="1"/>
  <c r="AK304" i="1" s="1"/>
  <c r="IA14" i="4"/>
  <c r="ID8" i="4"/>
  <c r="IL7" i="4"/>
  <c r="JA14" i="4"/>
  <c r="HX14" i="4"/>
  <c r="JF7" i="4"/>
  <c r="HX8" i="4"/>
  <c r="IF15" i="4"/>
  <c r="IW15" i="4"/>
  <c r="IA15" i="4"/>
  <c r="HW8" i="4"/>
  <c r="IG14" i="4"/>
  <c r="IS14" i="4"/>
  <c r="HR15" i="4"/>
  <c r="IV8" i="4"/>
  <c r="IJ15" i="4"/>
  <c r="IE15" i="4"/>
  <c r="HW7" i="4"/>
  <c r="JH8" i="4"/>
  <c r="HZ8" i="4"/>
  <c r="IR15" i="4"/>
  <c r="JA15" i="4"/>
  <c r="IX8" i="4"/>
  <c r="JA8" i="4"/>
  <c r="IJ7" i="4"/>
  <c r="IT8" i="4"/>
  <c r="IM8" i="4"/>
  <c r="IU7" i="4"/>
  <c r="IS8" i="4"/>
  <c r="JD8" i="4"/>
  <c r="IF8" i="4"/>
  <c r="HW15" i="4"/>
  <c r="CP239" i="1"/>
  <c r="CN225" i="1"/>
  <c r="CM227" i="1"/>
  <c r="HS21" i="4" l="1"/>
  <c r="AM239" i="1" s="1"/>
  <c r="AL236" i="1"/>
  <c r="AL331" i="1"/>
  <c r="AM331" i="1" s="1"/>
  <c r="AL313" i="1"/>
  <c r="AM313" i="1" s="1"/>
  <c r="AL326" i="1"/>
  <c r="AJ284" i="1"/>
  <c r="AK284" i="1" s="1"/>
  <c r="AL291" i="1"/>
  <c r="AM291" i="1" s="1"/>
  <c r="AJ299" i="1"/>
  <c r="AJ307" i="1"/>
  <c r="AK307" i="1" s="1"/>
  <c r="IH21" i="4"/>
  <c r="BB239" i="1" s="1"/>
  <c r="IP16" i="4" s="1"/>
  <c r="IP21" i="4" s="1"/>
  <c r="BJ239" i="1" s="1"/>
  <c r="IZ21" i="4"/>
  <c r="BT239" i="1" s="1"/>
  <c r="AJ294" i="1"/>
  <c r="AK294" i="1" s="1"/>
  <c r="AL286" i="1"/>
  <c r="AJ317" i="1"/>
  <c r="AK317" i="1" s="1"/>
  <c r="AL300" i="1"/>
  <c r="AL330" i="1"/>
  <c r="AM330" i="1" s="1"/>
  <c r="AL321" i="1"/>
  <c r="AM321" i="1" s="1"/>
  <c r="AL285" i="1"/>
  <c r="AM285" i="1" s="1"/>
  <c r="AL314" i="1"/>
  <c r="AM314" i="1" s="1"/>
  <c r="AJ285" i="1"/>
  <c r="AK285" i="1" s="1"/>
  <c r="AJ314" i="1"/>
  <c r="AK314" i="1" s="1"/>
  <c r="D361" i="1"/>
  <c r="HY21" i="4"/>
  <c r="AS239" i="1" s="1"/>
  <c r="IF21" i="4"/>
  <c r="AZ239" i="1" s="1"/>
  <c r="HP21" i="4"/>
  <c r="AJ239" i="1" s="1"/>
  <c r="AJ145" i="1" s="1"/>
  <c r="IM21" i="4"/>
  <c r="BG239" i="1" s="1"/>
  <c r="JA21" i="4"/>
  <c r="BU239" i="1" s="1"/>
  <c r="V361" i="1"/>
  <c r="JH21" i="4"/>
  <c r="CB239" i="1" s="1"/>
  <c r="IX21" i="4"/>
  <c r="BR239" i="1" s="1"/>
  <c r="IQ21" i="4"/>
  <c r="BK239" i="1" s="1"/>
  <c r="HR21" i="4"/>
  <c r="AL239" i="1" s="1"/>
  <c r="JC21" i="4"/>
  <c r="BW239" i="1" s="1"/>
  <c r="IB21" i="4"/>
  <c r="AV239" i="1" s="1"/>
  <c r="IL8" i="4"/>
  <c r="JD21" i="4"/>
  <c r="BX239" i="1" s="1"/>
  <c r="IU15" i="4"/>
  <c r="IP14" i="4"/>
  <c r="II8" i="4"/>
  <c r="JE15" i="4"/>
  <c r="IB14" i="4"/>
  <c r="HV14" i="4"/>
  <c r="C361" i="1"/>
  <c r="JB21" i="4"/>
  <c r="BV239" i="1" s="1"/>
  <c r="HU21" i="4"/>
  <c r="AO239" i="1" s="1"/>
  <c r="HU14" i="4"/>
  <c r="IC8" i="4"/>
  <c r="IJ14" i="4"/>
  <c r="IG8" i="4"/>
  <c r="AL346" i="1"/>
  <c r="AM346" i="1" s="1"/>
  <c r="IJ21" i="4"/>
  <c r="BD239" i="1" s="1"/>
  <c r="HX21" i="4"/>
  <c r="AR239" i="1" s="1"/>
  <c r="IW21" i="4"/>
  <c r="BQ239" i="1" s="1"/>
  <c r="JC7" i="4"/>
  <c r="AJ195" i="1"/>
  <c r="HZ21" i="4"/>
  <c r="AT239" i="1" s="1"/>
  <c r="ID15" i="4"/>
  <c r="HP15" i="4"/>
  <c r="IG7" i="4"/>
  <c r="JD7" i="4"/>
  <c r="IZ7" i="4"/>
  <c r="IH15" i="4"/>
  <c r="HP8" i="4"/>
  <c r="IK8" i="4"/>
  <c r="HT8" i="4"/>
  <c r="HX7" i="4"/>
  <c r="HS7" i="4"/>
  <c r="JB8" i="4"/>
  <c r="F361" i="1"/>
  <c r="HY7" i="4"/>
  <c r="IW7" i="4"/>
  <c r="IR7" i="4"/>
  <c r="IE8" i="4"/>
  <c r="IZ14" i="4"/>
  <c r="IO14" i="4"/>
  <c r="IY15" i="4"/>
  <c r="HX15" i="4"/>
  <c r="IK14" i="4"/>
  <c r="K419" i="1"/>
  <c r="S419" i="1"/>
  <c r="S166" i="1"/>
  <c r="JE8" i="4"/>
  <c r="IY21" i="4"/>
  <c r="BS239" i="1" s="1"/>
  <c r="JG21" i="4"/>
  <c r="CA239" i="1" s="1"/>
  <c r="IT21" i="4"/>
  <c r="BN239" i="1" s="1"/>
  <c r="IT14" i="4"/>
  <c r="IA21" i="4"/>
  <c r="AU239" i="1" s="1"/>
  <c r="IX14" i="4"/>
  <c r="IR21" i="4"/>
  <c r="BL239" i="1" s="1"/>
  <c r="BL273" i="1" s="1"/>
  <c r="BL269" i="1" s="1"/>
  <c r="IN15" i="4"/>
  <c r="HV21" i="4"/>
  <c r="AP239" i="1" s="1"/>
  <c r="IA8" i="4"/>
  <c r="JE21" i="4"/>
  <c r="BY239" i="1" s="1"/>
  <c r="IE7" i="4"/>
  <c r="IQ15" i="4"/>
  <c r="IO7" i="4"/>
  <c r="IN21" i="4"/>
  <c r="BH239" i="1" s="1"/>
  <c r="D166" i="1"/>
  <c r="B419" i="1"/>
  <c r="JA7" i="4"/>
  <c r="IH7" i="4"/>
  <c r="JG15" i="4"/>
  <c r="HZ15" i="4"/>
  <c r="K166" i="1"/>
  <c r="HS8" i="4"/>
  <c r="IY14" i="4"/>
  <c r="IE21" i="4"/>
  <c r="AY239" i="1" s="1"/>
  <c r="IT7" i="4"/>
  <c r="JI21" i="4"/>
  <c r="CC239" i="1" s="1"/>
  <c r="CC273" i="1" s="1"/>
  <c r="CC269" i="1" s="1"/>
  <c r="JI14" i="4"/>
  <c r="IY8" i="4"/>
  <c r="HY14" i="4"/>
  <c r="JI8" i="4"/>
  <c r="IS21" i="4"/>
  <c r="BM239" i="1" s="1"/>
  <c r="IO21" i="4"/>
  <c r="BI239" i="1" s="1"/>
  <c r="HQ21" i="4"/>
  <c r="AK239" i="1" s="1"/>
  <c r="AK145" i="1" s="1"/>
  <c r="BJ330" i="1"/>
  <c r="BK330" i="1" s="1"/>
  <c r="BJ321" i="1"/>
  <c r="BK321" i="1" s="1"/>
  <c r="BJ311" i="1"/>
  <c r="AJ326" i="1"/>
  <c r="AL292" i="1"/>
  <c r="AM292" i="1" s="1"/>
  <c r="AL316" i="1"/>
  <c r="AM316" i="1" s="1"/>
  <c r="BJ326" i="1"/>
  <c r="BJ314" i="1"/>
  <c r="BK314" i="1" s="1"/>
  <c r="BJ316" i="1"/>
  <c r="BJ322" i="1"/>
  <c r="BK322" i="1" s="1"/>
  <c r="BJ291" i="1"/>
  <c r="BK291" i="1" s="1"/>
  <c r="BJ298" i="1"/>
  <c r="BJ331" i="1"/>
  <c r="AL318" i="1"/>
  <c r="AM318" i="1" s="1"/>
  <c r="BJ319" i="1"/>
  <c r="BK319" i="1" s="1"/>
  <c r="BJ302" i="1"/>
  <c r="BK302" i="1" s="1"/>
  <c r="BJ299" i="1"/>
  <c r="AL284" i="1"/>
  <c r="AM284" i="1" s="1"/>
  <c r="BJ313" i="1"/>
  <c r="BK313" i="1" s="1"/>
  <c r="AL293" i="1"/>
  <c r="AM293" i="1" s="1"/>
  <c r="AL299" i="1"/>
  <c r="AL235" i="1"/>
  <c r="BJ285" i="1"/>
  <c r="BK285" i="1" s="1"/>
  <c r="BJ320" i="1"/>
  <c r="BJ317" i="1"/>
  <c r="BK317" i="1" s="1"/>
  <c r="BJ300" i="1"/>
  <c r="BJ318" i="1"/>
  <c r="BK318" i="1" s="1"/>
  <c r="BJ289" i="1"/>
  <c r="BK289" i="1" s="1"/>
  <c r="BJ284" i="1"/>
  <c r="AL304" i="1"/>
  <c r="AM304" i="1" s="1"/>
  <c r="BJ304" i="1"/>
  <c r="BK304" i="1" s="1"/>
  <c r="BJ310" i="1"/>
  <c r="AL310" i="1"/>
  <c r="IU21" i="4"/>
  <c r="BO239" i="1" s="1"/>
  <c r="IX7" i="4"/>
  <c r="IG15" i="4"/>
  <c r="BB145" i="1"/>
  <c r="BB273" i="1"/>
  <c r="BB269" i="1" s="1"/>
  <c r="BT145" i="1"/>
  <c r="BT153" i="1" s="1"/>
  <c r="BT273" i="1"/>
  <c r="BT269" i="1" s="1"/>
  <c r="AQ145" i="1"/>
  <c r="AQ273" i="1"/>
  <c r="AN145" i="1"/>
  <c r="AN273" i="1"/>
  <c r="BC145" i="1"/>
  <c r="BC273" i="1"/>
  <c r="BC269" i="1" s="1"/>
  <c r="AW145" i="1"/>
  <c r="AW273" i="1"/>
  <c r="AM145" i="1"/>
  <c r="AM273" i="1"/>
  <c r="AS145" i="1"/>
  <c r="AS273" i="1"/>
  <c r="AZ145" i="1"/>
  <c r="AZ273" i="1"/>
  <c r="AZ269" i="1" s="1"/>
  <c r="BJ145" i="1"/>
  <c r="BJ273" i="1"/>
  <c r="BJ269" i="1" s="1"/>
  <c r="CM121" i="1"/>
  <c r="CM273" i="1"/>
  <c r="C420" i="1"/>
  <c r="AM420" i="1"/>
  <c r="W361" i="1"/>
  <c r="AM419" i="1"/>
  <c r="F420" i="1"/>
  <c r="M188" i="1"/>
  <c r="P419" i="1"/>
  <c r="AL347" i="1"/>
  <c r="AM347" i="1" s="1"/>
  <c r="AM166" i="1"/>
  <c r="AM172" i="1" s="1"/>
  <c r="AM173" i="1" s="1"/>
  <c r="H166" i="1"/>
  <c r="H260" i="1" s="1"/>
  <c r="HP7" i="4"/>
  <c r="IQ8" i="4"/>
  <c r="IU8" i="4"/>
  <c r="IU20" i="4" s="1"/>
  <c r="BO241" i="1" s="1"/>
  <c r="HQ14" i="4"/>
  <c r="JD14" i="4"/>
  <c r="JG7" i="4"/>
  <c r="ID14" i="4"/>
  <c r="IM7" i="4"/>
  <c r="IL21" i="4"/>
  <c r="BF239" i="1" s="1"/>
  <c r="IV7" i="4"/>
  <c r="HR14" i="4"/>
  <c r="JF14" i="4"/>
  <c r="HS15" i="4"/>
  <c r="HS20" i="4" s="1"/>
  <c r="AM241" i="1" s="1"/>
  <c r="AM147" i="1" s="1"/>
  <c r="IR14" i="4"/>
  <c r="II7" i="4"/>
  <c r="IM14" i="4"/>
  <c r="HZ14" i="4"/>
  <c r="IL14" i="4"/>
  <c r="HZ7" i="4"/>
  <c r="IM15" i="4"/>
  <c r="JC15" i="4"/>
  <c r="IV21" i="4"/>
  <c r="BP239" i="1" s="1"/>
  <c r="HV8" i="4"/>
  <c r="IQ14" i="4"/>
  <c r="JG8" i="4"/>
  <c r="IK21" i="4"/>
  <c r="BE239" i="1" s="1"/>
  <c r="IC15" i="4"/>
  <c r="IB8" i="4"/>
  <c r="JF8" i="4"/>
  <c r="IW8" i="4"/>
  <c r="IF14" i="4"/>
  <c r="HP14" i="4"/>
  <c r="HW14" i="4"/>
  <c r="HW19" i="4" s="1"/>
  <c r="AQ240" i="1" s="1"/>
  <c r="IP7" i="4"/>
  <c r="JC8" i="4"/>
  <c r="IL15" i="4"/>
  <c r="IG21" i="4"/>
  <c r="BA239" i="1" s="1"/>
  <c r="IZ15" i="4"/>
  <c r="IJ8" i="4"/>
  <c r="HU7" i="4"/>
  <c r="II14" i="4"/>
  <c r="HU8" i="4"/>
  <c r="JH7" i="4"/>
  <c r="IS15" i="4"/>
  <c r="HU15" i="4"/>
  <c r="HT7" i="4"/>
  <c r="ID7" i="4"/>
  <c r="IK7" i="4"/>
  <c r="HQ7" i="4"/>
  <c r="IS7" i="4"/>
  <c r="IW14" i="4"/>
  <c r="IV14" i="4"/>
  <c r="IT15" i="4"/>
  <c r="IF7" i="4"/>
  <c r="IZ8" i="4"/>
  <c r="IA7" i="4"/>
  <c r="JH15" i="4"/>
  <c r="JH20" i="4" s="1"/>
  <c r="CB241" i="1" s="1"/>
  <c r="CB147" i="1" s="1"/>
  <c r="CB155" i="1" s="1"/>
  <c r="CB160" i="1" s="1"/>
  <c r="ID21" i="4"/>
  <c r="AX239" i="1" s="1"/>
  <c r="JD15" i="4"/>
  <c r="JE14" i="4"/>
  <c r="IN14" i="4"/>
  <c r="V167" i="1"/>
  <c r="P166" i="1"/>
  <c r="F419" i="1"/>
  <c r="H420" i="1"/>
  <c r="AL420" i="1"/>
  <c r="G350" i="1"/>
  <c r="Q166" i="1"/>
  <c r="Q167" i="1" s="1"/>
  <c r="B398" i="1"/>
  <c r="W355" i="1"/>
  <c r="E166" i="1"/>
  <c r="H419" i="1"/>
  <c r="U172" i="1"/>
  <c r="U173" i="1" s="1"/>
  <c r="V172" i="1"/>
  <c r="V173" i="1" s="1"/>
  <c r="D419" i="1"/>
  <c r="D420" i="1"/>
  <c r="BX76" i="1"/>
  <c r="L188" i="1"/>
  <c r="P188" i="1"/>
  <c r="I188" i="1"/>
  <c r="O420" i="1"/>
  <c r="E188" i="1"/>
  <c r="J188" i="1"/>
  <c r="Q420" i="1"/>
  <c r="Q350" i="1"/>
  <c r="V188" i="1"/>
  <c r="V189" i="1" s="1"/>
  <c r="S188" i="1"/>
  <c r="Q419" i="1"/>
  <c r="W172" i="1"/>
  <c r="X174" i="1" s="1"/>
  <c r="X355" i="1"/>
  <c r="B166" i="1"/>
  <c r="B172" i="1" s="1"/>
  <c r="B173" i="1" s="1"/>
  <c r="R419" i="1"/>
  <c r="D188" i="1"/>
  <c r="J166" i="1"/>
  <c r="BX301" i="1"/>
  <c r="BY301" i="1" s="1"/>
  <c r="BY305" i="1" s="1"/>
  <c r="BZ370" i="1" s="1"/>
  <c r="BZ368" i="1" s="1"/>
  <c r="BX347" i="1"/>
  <c r="BY347" i="1" s="1"/>
  <c r="AK166" i="1"/>
  <c r="AK172" i="1" s="1"/>
  <c r="AK188" i="1"/>
  <c r="BX188" i="1"/>
  <c r="BX287" i="1"/>
  <c r="BX254" i="1" s="1"/>
  <c r="BY287" i="1"/>
  <c r="BZ374" i="1" s="1"/>
  <c r="BX328" i="1"/>
  <c r="BY376" i="1" s="1"/>
  <c r="J420" i="1"/>
  <c r="L419" i="1"/>
  <c r="G188" i="1"/>
  <c r="II15" i="4"/>
  <c r="AJ188" i="1"/>
  <c r="JI15" i="4"/>
  <c r="AM188" i="1"/>
  <c r="HQ8" i="4"/>
  <c r="HY8" i="4"/>
  <c r="JB14" i="4"/>
  <c r="JB19" i="4" s="1"/>
  <c r="BV240" i="1" s="1"/>
  <c r="IO8" i="4"/>
  <c r="U361" i="1"/>
  <c r="IB15" i="4"/>
  <c r="P350" i="1"/>
  <c r="JB15" i="4"/>
  <c r="HV7" i="4"/>
  <c r="U420" i="1"/>
  <c r="AL398" i="1"/>
  <c r="HV15" i="4"/>
  <c r="IH14" i="4"/>
  <c r="J419" i="1"/>
  <c r="O166" i="1"/>
  <c r="O172" i="1" s="1"/>
  <c r="O173" i="1" s="1"/>
  <c r="AL350" i="1"/>
  <c r="AM350" i="1" s="1"/>
  <c r="AL188" i="1"/>
  <c r="AL419" i="1"/>
  <c r="AL166" i="1"/>
  <c r="X167" i="1"/>
  <c r="W167" i="1"/>
  <c r="W260" i="1"/>
  <c r="L166" i="1"/>
  <c r="L167" i="1" s="1"/>
  <c r="HR8" i="4"/>
  <c r="IX15" i="4"/>
  <c r="IX20" i="4" s="1"/>
  <c r="BR241" i="1" s="1"/>
  <c r="JI7" i="4"/>
  <c r="K188" i="1"/>
  <c r="HT14" i="4"/>
  <c r="HT19" i="4" s="1"/>
  <c r="AN240" i="1" s="1"/>
  <c r="G419" i="1"/>
  <c r="AJ166" i="1"/>
  <c r="AJ172" i="1" s="1"/>
  <c r="AJ173" i="1" s="1"/>
  <c r="M419" i="1"/>
  <c r="IP15" i="4"/>
  <c r="JH14" i="4"/>
  <c r="JH19" i="4" s="1"/>
  <c r="CB240" i="1" s="1"/>
  <c r="CB146" i="1" s="1"/>
  <c r="CB154" i="1" s="1"/>
  <c r="CB159" i="1" s="1"/>
  <c r="BY295" i="1"/>
  <c r="BZ373" i="1" s="1"/>
  <c r="IH8" i="4"/>
  <c r="HQ15" i="4"/>
  <c r="W188" i="1"/>
  <c r="W189" i="1" s="1"/>
  <c r="IN7" i="4"/>
  <c r="F188" i="1"/>
  <c r="M420" i="1"/>
  <c r="AJ346" i="1"/>
  <c r="T419" i="1"/>
  <c r="C166" i="1"/>
  <c r="D355" i="1" s="1"/>
  <c r="N188" i="1"/>
  <c r="IB7" i="4"/>
  <c r="IB19" i="4" s="1"/>
  <c r="AV240" i="1" s="1"/>
  <c r="IV15" i="4"/>
  <c r="IY7" i="4"/>
  <c r="AJ199" i="1"/>
  <c r="U188" i="1"/>
  <c r="T188" i="1"/>
  <c r="B188" i="1"/>
  <c r="C419" i="1"/>
  <c r="IR8" i="4"/>
  <c r="JC14" i="4"/>
  <c r="JC19" i="4" s="1"/>
  <c r="BW240" i="1" s="1"/>
  <c r="C188" i="1"/>
  <c r="O188" i="1"/>
  <c r="IK15" i="4"/>
  <c r="IU14" i="4"/>
  <c r="HY15" i="4"/>
  <c r="HY20" i="4" s="1"/>
  <c r="AS241" i="1" s="1"/>
  <c r="JG14" i="4"/>
  <c r="I420" i="1"/>
  <c r="IO15" i="4"/>
  <c r="IE14" i="4"/>
  <c r="Q188" i="1"/>
  <c r="S420" i="1"/>
  <c r="V420" i="1"/>
  <c r="N419" i="1"/>
  <c r="BX295" i="1"/>
  <c r="IN8" i="4"/>
  <c r="JF15" i="4"/>
  <c r="BX315" i="1"/>
  <c r="BX349" i="1" s="1"/>
  <c r="T420" i="1"/>
  <c r="T166" i="1"/>
  <c r="JE7" i="4"/>
  <c r="HT15" i="4"/>
  <c r="IC14" i="4"/>
  <c r="IC19" i="4" s="1"/>
  <c r="AW240" i="1" s="1"/>
  <c r="IP8" i="4"/>
  <c r="HS14" i="4"/>
  <c r="HR7" i="4"/>
  <c r="H188" i="1"/>
  <c r="R188" i="1"/>
  <c r="K420" i="1"/>
  <c r="AM260" i="1"/>
  <c r="AM261" i="1" s="1"/>
  <c r="O398" i="1"/>
  <c r="N420" i="1"/>
  <c r="BX350" i="1"/>
  <c r="BY350" i="1" s="1"/>
  <c r="O419" i="1"/>
  <c r="R166" i="1"/>
  <c r="R260" i="1" s="1"/>
  <c r="AJ350" i="1"/>
  <c r="BX398" i="1"/>
  <c r="L361" i="1"/>
  <c r="BX166" i="1"/>
  <c r="BX172" i="1" s="1"/>
  <c r="BX419" i="1"/>
  <c r="BX420" i="1"/>
  <c r="G420" i="1"/>
  <c r="BX346" i="1"/>
  <c r="BY346" i="1" s="1"/>
  <c r="M166" i="1"/>
  <c r="M260" i="1" s="1"/>
  <c r="BJ347" i="1"/>
  <c r="BK347" i="1" s="1"/>
  <c r="BX323" i="1"/>
  <c r="BX352" i="1" s="1"/>
  <c r="CA260" i="1"/>
  <c r="CA261" i="1" s="1"/>
  <c r="R420" i="1"/>
  <c r="I166" i="1"/>
  <c r="I260" i="1" s="1"/>
  <c r="G166" i="1"/>
  <c r="G260" i="1" s="1"/>
  <c r="N166" i="1"/>
  <c r="N172" i="1" s="1"/>
  <c r="W420" i="1"/>
  <c r="F166" i="1"/>
  <c r="I419" i="1"/>
  <c r="V355" i="1"/>
  <c r="P420" i="1"/>
  <c r="BZ256" i="1"/>
  <c r="BZ145" i="1"/>
  <c r="BZ153" i="1" s="1"/>
  <c r="BZ158" i="1" s="1"/>
  <c r="CZ15" i="1"/>
  <c r="AI363" i="1"/>
  <c r="AI365" i="1" s="1"/>
  <c r="AJ347" i="1"/>
  <c r="AK347" i="1" s="1"/>
  <c r="JA20" i="4"/>
  <c r="BU241" i="1" s="1"/>
  <c r="IF20" i="4"/>
  <c r="AZ241" i="1" s="1"/>
  <c r="HW20" i="4"/>
  <c r="AQ241" i="1" s="1"/>
  <c r="BK369" i="1"/>
  <c r="BY369" i="1"/>
  <c r="CM194" i="1"/>
  <c r="CM75" i="1" s="1"/>
  <c r="AB239" i="1"/>
  <c r="CQ239" i="1"/>
  <c r="AC307" i="1"/>
  <c r="CN227" i="1"/>
  <c r="CO225" i="1"/>
  <c r="CB256" i="1" l="1"/>
  <c r="CB264" i="1"/>
  <c r="CB247" i="1"/>
  <c r="BK273" i="1"/>
  <c r="BK269" i="1" s="1"/>
  <c r="BG145" i="1"/>
  <c r="BG273" i="1"/>
  <c r="BG269" i="1" s="1"/>
  <c r="BU145" i="1"/>
  <c r="BU153" i="1" s="1"/>
  <c r="BU273" i="1"/>
  <c r="BU269" i="1" s="1"/>
  <c r="CB145" i="1"/>
  <c r="CB153" i="1" s="1"/>
  <c r="CB158" i="1" s="1"/>
  <c r="CB273" i="1"/>
  <c r="CB269" i="1" s="1"/>
  <c r="BR145" i="1"/>
  <c r="BR273" i="1"/>
  <c r="BR269" i="1" s="1"/>
  <c r="BK145" i="1"/>
  <c r="AL145" i="1"/>
  <c r="AL273" i="1"/>
  <c r="BW145" i="1"/>
  <c r="BW153" i="1" s="1"/>
  <c r="BW158" i="1" s="1"/>
  <c r="BW273" i="1"/>
  <c r="BW269" i="1" s="1"/>
  <c r="AV145" i="1"/>
  <c r="AV273" i="1"/>
  <c r="K355" i="1"/>
  <c r="E355" i="1"/>
  <c r="D189" i="1"/>
  <c r="JG19" i="4"/>
  <c r="CA240" i="1" s="1"/>
  <c r="CA146" i="1" s="1"/>
  <c r="CA154" i="1" s="1"/>
  <c r="CA159" i="1" s="1"/>
  <c r="AL328" i="1"/>
  <c r="AM376" i="1" s="1"/>
  <c r="AJ369" i="1"/>
  <c r="AJ301" i="1"/>
  <c r="AK195" i="1" s="1"/>
  <c r="AL369" i="1"/>
  <c r="AK369" i="1"/>
  <c r="IF19" i="4"/>
  <c r="AZ240" i="1" s="1"/>
  <c r="BX256" i="1"/>
  <c r="JI20" i="4"/>
  <c r="CC241" i="1" s="1"/>
  <c r="CC147" i="1" s="1"/>
  <c r="CC155" i="1" s="1"/>
  <c r="CC160" i="1" s="1"/>
  <c r="IE19" i="4"/>
  <c r="AY240" i="1" s="1"/>
  <c r="HT20" i="4"/>
  <c r="AN241" i="1" s="1"/>
  <c r="AM264" i="1"/>
  <c r="IA20" i="4"/>
  <c r="AU241" i="1" s="1"/>
  <c r="BJ346" i="1"/>
  <c r="BK346" i="1" s="1"/>
  <c r="BX145" i="1"/>
  <c r="BX153" i="1" s="1"/>
  <c r="BX158" i="1" s="1"/>
  <c r="BX273" i="1"/>
  <c r="BX269" i="1" s="1"/>
  <c r="IN20" i="4"/>
  <c r="BH241" i="1" s="1"/>
  <c r="T167" i="1"/>
  <c r="BX335" i="1"/>
  <c r="AJ295" i="1"/>
  <c r="AJ315" i="1"/>
  <c r="AK295" i="1"/>
  <c r="AJ287" i="1"/>
  <c r="AJ323" i="1"/>
  <c r="BV145" i="1"/>
  <c r="BV153" i="1" s="1"/>
  <c r="BV158" i="1" s="1"/>
  <c r="BV273" i="1"/>
  <c r="BV269" i="1" s="1"/>
  <c r="AO145" i="1"/>
  <c r="AO273" i="1"/>
  <c r="BD145" i="1"/>
  <c r="BD273" i="1"/>
  <c r="BD269" i="1" s="1"/>
  <c r="AR145" i="1"/>
  <c r="AR273" i="1"/>
  <c r="BQ145" i="1"/>
  <c r="BQ273" i="1"/>
  <c r="BQ269" i="1" s="1"/>
  <c r="AT145" i="1"/>
  <c r="AT273" i="1"/>
  <c r="II19" i="4"/>
  <c r="BC240" i="1" s="1"/>
  <c r="BJ350" i="1"/>
  <c r="BK350" i="1" s="1"/>
  <c r="HV20" i="4"/>
  <c r="AP241" i="1" s="1"/>
  <c r="IH19" i="4"/>
  <c r="BB240" i="1" s="1"/>
  <c r="CA264" i="1"/>
  <c r="F355" i="1"/>
  <c r="CC247" i="1"/>
  <c r="CC145" i="1"/>
  <c r="CC153" i="1" s="1"/>
  <c r="CC158" i="1" s="1"/>
  <c r="BL256" i="1"/>
  <c r="BL145" i="1"/>
  <c r="CM139" i="1"/>
  <c r="CM137" i="1"/>
  <c r="CM138" i="1"/>
  <c r="HR20" i="4"/>
  <c r="AL241" i="1" s="1"/>
  <c r="AL147" i="1" s="1"/>
  <c r="JA19" i="4"/>
  <c r="BU240" i="1" s="1"/>
  <c r="HX19" i="4"/>
  <c r="AR240" i="1" s="1"/>
  <c r="IW20" i="4"/>
  <c r="BQ241" i="1" s="1"/>
  <c r="IA19" i="4"/>
  <c r="AU240" i="1" s="1"/>
  <c r="IG19" i="4"/>
  <c r="BA240" i="1" s="1"/>
  <c r="IE20" i="4"/>
  <c r="AY241" i="1" s="1"/>
  <c r="E189" i="1"/>
  <c r="BJ328" i="1"/>
  <c r="BK376" i="1" s="1"/>
  <c r="BJ301" i="1"/>
  <c r="BK295" i="1"/>
  <c r="BK284" i="1"/>
  <c r="BJ287" i="1"/>
  <c r="AJ328" i="1"/>
  <c r="AK376" i="1" s="1"/>
  <c r="AM295" i="1"/>
  <c r="BJ323" i="1"/>
  <c r="BJ352" i="1" s="1"/>
  <c r="AL301" i="1"/>
  <c r="AM301" i="1" s="1"/>
  <c r="AM305" i="1" s="1"/>
  <c r="IG20" i="4"/>
  <c r="BA241" i="1" s="1"/>
  <c r="HX20" i="4"/>
  <c r="AR241" i="1" s="1"/>
  <c r="HP20" i="4"/>
  <c r="AJ241" i="1" s="1"/>
  <c r="AJ147" i="1" s="1"/>
  <c r="ID20" i="4"/>
  <c r="AX241" i="1" s="1"/>
  <c r="IL19" i="4"/>
  <c r="BF240" i="1" s="1"/>
  <c r="JF19" i="4"/>
  <c r="BZ240" i="1" s="1"/>
  <c r="BZ146" i="1" s="1"/>
  <c r="BZ154" i="1" s="1"/>
  <c r="BZ159" i="1" s="1"/>
  <c r="IL20" i="4"/>
  <c r="BF241" i="1" s="1"/>
  <c r="IX19" i="4"/>
  <c r="BR240" i="1" s="1"/>
  <c r="HS19" i="4"/>
  <c r="AM240" i="1" s="1"/>
  <c r="AM146" i="1" s="1"/>
  <c r="JD19" i="4"/>
  <c r="BX240" i="1" s="1"/>
  <c r="JE20" i="4"/>
  <c r="BY241" i="1" s="1"/>
  <c r="JC20" i="4"/>
  <c r="BW241" i="1" s="1"/>
  <c r="II20" i="4"/>
  <c r="BC241" i="1" s="1"/>
  <c r="IS20" i="4"/>
  <c r="BM241" i="1" s="1"/>
  <c r="IR19" i="4"/>
  <c r="BL240" i="1" s="1"/>
  <c r="BL146" i="1" s="1"/>
  <c r="IH20" i="4"/>
  <c r="BB241" i="1" s="1"/>
  <c r="JG20" i="4"/>
  <c r="CA241" i="1" s="1"/>
  <c r="CA147" i="1" s="1"/>
  <c r="CA155" i="1" s="1"/>
  <c r="CA160" i="1" s="1"/>
  <c r="IZ19" i="4"/>
  <c r="BT240" i="1" s="1"/>
  <c r="IJ19" i="4"/>
  <c r="BD240" i="1" s="1"/>
  <c r="BK316" i="1"/>
  <c r="BJ295" i="1"/>
  <c r="AL323" i="1"/>
  <c r="AL352" i="1" s="1"/>
  <c r="AL287" i="1"/>
  <c r="AL295" i="1"/>
  <c r="BK310" i="1"/>
  <c r="BJ315" i="1"/>
  <c r="AM310" i="1"/>
  <c r="AL315" i="1"/>
  <c r="S260" i="1"/>
  <c r="S172" i="1"/>
  <c r="S173" i="1" s="1"/>
  <c r="K172" i="1"/>
  <c r="D172" i="1"/>
  <c r="BS273" i="1"/>
  <c r="BS269" i="1" s="1"/>
  <c r="BS145" i="1"/>
  <c r="BS153" i="1" s="1"/>
  <c r="CA273" i="1"/>
  <c r="CA269" i="1" s="1"/>
  <c r="CA145" i="1"/>
  <c r="CA153" i="1" s="1"/>
  <c r="CA158" i="1" s="1"/>
  <c r="BN273" i="1"/>
  <c r="BN269" i="1" s="1"/>
  <c r="BN145" i="1"/>
  <c r="AU273" i="1"/>
  <c r="AU145" i="1"/>
  <c r="AP273" i="1"/>
  <c r="AP145" i="1"/>
  <c r="BY273" i="1"/>
  <c r="BY269" i="1" s="1"/>
  <c r="BY145" i="1"/>
  <c r="BY153" i="1" s="1"/>
  <c r="BY158" i="1" s="1"/>
  <c r="BH273" i="1"/>
  <c r="BH269" i="1" s="1"/>
  <c r="BH145" i="1"/>
  <c r="AY273" i="1"/>
  <c r="AY269" i="1" s="1"/>
  <c r="AY145" i="1"/>
  <c r="BM273" i="1"/>
  <c r="BM269" i="1" s="1"/>
  <c r="BM145" i="1"/>
  <c r="BI273" i="1"/>
  <c r="BI269" i="1" s="1"/>
  <c r="BI145" i="1"/>
  <c r="BO273" i="1"/>
  <c r="BO269" i="1" s="1"/>
  <c r="BO145" i="1"/>
  <c r="IN19" i="4"/>
  <c r="BH240" i="1" s="1"/>
  <c r="IP20" i="4"/>
  <c r="BJ241" i="1" s="1"/>
  <c r="HQ20" i="4"/>
  <c r="AK241" i="1" s="1"/>
  <c r="AK147" i="1" s="1"/>
  <c r="CA256" i="1"/>
  <c r="IO20" i="4"/>
  <c r="BI241" i="1" s="1"/>
  <c r="JI19" i="4"/>
  <c r="CC240" i="1" s="1"/>
  <c r="CC146" i="1" s="1"/>
  <c r="CC154" i="1" s="1"/>
  <c r="CC159" i="1" s="1"/>
  <c r="IM20" i="4"/>
  <c r="BG241" i="1" s="1"/>
  <c r="JB20" i="4"/>
  <c r="BV241" i="1" s="1"/>
  <c r="IV19" i="4"/>
  <c r="BP240" i="1" s="1"/>
  <c r="IS19" i="4"/>
  <c r="BM240" i="1" s="1"/>
  <c r="IC20" i="4"/>
  <c r="AW241" i="1" s="1"/>
  <c r="BY195" i="1"/>
  <c r="HR19" i="4"/>
  <c r="AL240" i="1" s="1"/>
  <c r="AL146" i="1" s="1"/>
  <c r="HZ19" i="4"/>
  <c r="AT240" i="1" s="1"/>
  <c r="HP19" i="4"/>
  <c r="AJ240" i="1" s="1"/>
  <c r="AJ146" i="1" s="1"/>
  <c r="IJ20" i="4"/>
  <c r="BD241" i="1" s="1"/>
  <c r="JF20" i="4"/>
  <c r="BZ241" i="1" s="1"/>
  <c r="BZ147" i="1" s="1"/>
  <c r="BZ155" i="1" s="1"/>
  <c r="BZ160" i="1" s="1"/>
  <c r="HV19" i="4"/>
  <c r="AP240" i="1" s="1"/>
  <c r="CC264" i="1"/>
  <c r="HU20" i="4"/>
  <c r="AO241" i="1" s="1"/>
  <c r="ID19" i="4"/>
  <c r="AX240" i="1" s="1"/>
  <c r="IV20" i="4"/>
  <c r="BP241" i="1" s="1"/>
  <c r="CC256" i="1"/>
  <c r="IK20" i="4"/>
  <c r="BE241" i="1" s="1"/>
  <c r="IQ20" i="4"/>
  <c r="BK241" i="1" s="1"/>
  <c r="BZ195" i="1"/>
  <c r="IP19" i="4"/>
  <c r="BJ240" i="1" s="1"/>
  <c r="IY19" i="4"/>
  <c r="BS240" i="1" s="1"/>
  <c r="IT20" i="4"/>
  <c r="BN241" i="1" s="1"/>
  <c r="IW19" i="4"/>
  <c r="BQ240" i="1" s="1"/>
  <c r="IY20" i="4"/>
  <c r="BS241" i="1" s="1"/>
  <c r="IU19" i="4"/>
  <c r="BO240" i="1" s="1"/>
  <c r="IQ19" i="4"/>
  <c r="BK240" i="1" s="1"/>
  <c r="IZ20" i="4"/>
  <c r="BT241" i="1" s="1"/>
  <c r="IO19" i="4"/>
  <c r="BI240" i="1" s="1"/>
  <c r="HZ20" i="4"/>
  <c r="AT241" i="1" s="1"/>
  <c r="HY19" i="4"/>
  <c r="AS240" i="1" s="1"/>
  <c r="IB20" i="4"/>
  <c r="AV241" i="1" s="1"/>
  <c r="IM19" i="4"/>
  <c r="BG240" i="1" s="1"/>
  <c r="AL189" i="1"/>
  <c r="HU19" i="4"/>
  <c r="AO240" i="1" s="1"/>
  <c r="HQ19" i="4"/>
  <c r="AK240" i="1" s="1"/>
  <c r="AK146" i="1" s="1"/>
  <c r="JE19" i="4"/>
  <c r="BY240" i="1" s="1"/>
  <c r="BY146" i="1" s="1"/>
  <c r="BY154" i="1" s="1"/>
  <c r="BY159" i="1" s="1"/>
  <c r="IR20" i="4"/>
  <c r="BL241" i="1" s="1"/>
  <c r="IK19" i="4"/>
  <c r="BE240" i="1" s="1"/>
  <c r="JD20" i="4"/>
  <c r="BX241" i="1" s="1"/>
  <c r="IT19" i="4"/>
  <c r="BN240" i="1" s="1"/>
  <c r="E172" i="1"/>
  <c r="K260" i="1"/>
  <c r="P260" i="1"/>
  <c r="P172" i="1"/>
  <c r="BF145" i="1"/>
  <c r="BF273" i="1"/>
  <c r="BF269" i="1" s="1"/>
  <c r="BP145" i="1"/>
  <c r="BP273" i="1"/>
  <c r="BP269" i="1" s="1"/>
  <c r="BE145" i="1"/>
  <c r="BE273" i="1"/>
  <c r="BE269" i="1" s="1"/>
  <c r="BA145" i="1"/>
  <c r="BA273" i="1"/>
  <c r="BA269" i="1" s="1"/>
  <c r="AX145" i="1"/>
  <c r="AX273" i="1"/>
  <c r="CN121" i="1"/>
  <c r="CN273" i="1"/>
  <c r="AB145" i="1"/>
  <c r="R167" i="1"/>
  <c r="H172" i="1"/>
  <c r="H173" i="1" s="1"/>
  <c r="C189" i="1"/>
  <c r="AM189" i="1"/>
  <c r="Q260" i="1"/>
  <c r="Q172" i="1"/>
  <c r="Q173" i="1" s="1"/>
  <c r="CC355" i="1"/>
  <c r="B189" i="1"/>
  <c r="Q355" i="1"/>
  <c r="CB167" i="1"/>
  <c r="AM168" i="1"/>
  <c r="AL172" i="1"/>
  <c r="AL173" i="1" s="1"/>
  <c r="BX305" i="1"/>
  <c r="BX413" i="1" s="1"/>
  <c r="C172" i="1"/>
  <c r="C190" i="1" s="1"/>
  <c r="J172" i="1"/>
  <c r="J173" i="1" s="1"/>
  <c r="K167" i="1"/>
  <c r="L260" i="1"/>
  <c r="L355" i="1"/>
  <c r="L172" i="1"/>
  <c r="C167" i="1"/>
  <c r="E167" i="1"/>
  <c r="E260" i="1"/>
  <c r="C355" i="1"/>
  <c r="F172" i="1"/>
  <c r="F173" i="1" s="1"/>
  <c r="J260" i="1"/>
  <c r="AM190" i="1"/>
  <c r="AJ189" i="1"/>
  <c r="V174" i="1"/>
  <c r="W173" i="1"/>
  <c r="V190" i="1"/>
  <c r="V60" i="1" s="1"/>
  <c r="W174" i="1"/>
  <c r="AL168" i="1"/>
  <c r="BX189" i="1"/>
  <c r="BY168" i="1"/>
  <c r="AK168" i="1"/>
  <c r="S355" i="1"/>
  <c r="BX296" i="1"/>
  <c r="H355" i="1"/>
  <c r="BY374" i="1"/>
  <c r="AJ190" i="1"/>
  <c r="AJ196" i="1" s="1"/>
  <c r="AJ200" i="1" s="1"/>
  <c r="BX415" i="1"/>
  <c r="O355" i="1"/>
  <c r="AK189" i="1"/>
  <c r="AM392" i="1"/>
  <c r="BY254" i="1"/>
  <c r="BY296" i="1"/>
  <c r="BY373" i="1"/>
  <c r="BZ416" i="1"/>
  <c r="BZ418" i="1" s="1"/>
  <c r="BY416" i="1"/>
  <c r="P355" i="1"/>
  <c r="P167" i="1"/>
  <c r="B190" i="1"/>
  <c r="B191" i="1" s="1"/>
  <c r="O167" i="1"/>
  <c r="O260" i="1"/>
  <c r="BX348" i="1"/>
  <c r="G172" i="1"/>
  <c r="G173" i="1" s="1"/>
  <c r="H167" i="1"/>
  <c r="U355" i="1"/>
  <c r="T172" i="1"/>
  <c r="T173" i="1" s="1"/>
  <c r="T355" i="1"/>
  <c r="T260" i="1"/>
  <c r="U167" i="1"/>
  <c r="N260" i="1"/>
  <c r="W190" i="1"/>
  <c r="W60" i="1" s="1"/>
  <c r="M355" i="1"/>
  <c r="G355" i="1"/>
  <c r="D167" i="1"/>
  <c r="I167" i="1"/>
  <c r="N355" i="1"/>
  <c r="BX351" i="1"/>
  <c r="F260" i="1"/>
  <c r="G167" i="1"/>
  <c r="BX353" i="1"/>
  <c r="CB356" i="1" s="1"/>
  <c r="M167" i="1"/>
  <c r="S167" i="1"/>
  <c r="BX324" i="1"/>
  <c r="R172" i="1"/>
  <c r="M172" i="1"/>
  <c r="M173" i="1" s="1"/>
  <c r="CM265" i="1"/>
  <c r="CN265" i="1" s="1"/>
  <c r="CO265" i="1" s="1"/>
  <c r="CP265" i="1" s="1"/>
  <c r="CQ265" i="1" s="1"/>
  <c r="CR265" i="1" s="1"/>
  <c r="CS265" i="1" s="1"/>
  <c r="CT265" i="1" s="1"/>
  <c r="CU265" i="1" s="1"/>
  <c r="CV265" i="1" s="1"/>
  <c r="CW265" i="1" s="1"/>
  <c r="CX265" i="1" s="1"/>
  <c r="CY265" i="1" s="1"/>
  <c r="CZ265" i="1" s="1"/>
  <c r="DA265" i="1" s="1"/>
  <c r="DB265" i="1" s="1"/>
  <c r="CM266" i="1"/>
  <c r="CN266" i="1" s="1"/>
  <c r="CO266" i="1" s="1"/>
  <c r="CP266" i="1" s="1"/>
  <c r="CQ266" i="1" s="1"/>
  <c r="CR266" i="1" s="1"/>
  <c r="CS266" i="1" s="1"/>
  <c r="CT266" i="1" s="1"/>
  <c r="CU266" i="1" s="1"/>
  <c r="CV266" i="1" s="1"/>
  <c r="CW266" i="1" s="1"/>
  <c r="CX266" i="1" s="1"/>
  <c r="CY266" i="1" s="1"/>
  <c r="CZ266" i="1" s="1"/>
  <c r="DA266" i="1" s="1"/>
  <c r="DB266" i="1" s="1"/>
  <c r="I355" i="1"/>
  <c r="I172" i="1"/>
  <c r="I173" i="1" s="1"/>
  <c r="N167" i="1"/>
  <c r="F167" i="1"/>
  <c r="J355" i="1"/>
  <c r="J167" i="1"/>
  <c r="R355" i="1"/>
  <c r="AQ274" i="1"/>
  <c r="AQ146" i="1"/>
  <c r="AQ275" i="1"/>
  <c r="AQ147" i="1"/>
  <c r="BU275" i="1"/>
  <c r="BU271" i="1" s="1"/>
  <c r="BU147" i="1"/>
  <c r="BU155" i="1" s="1"/>
  <c r="BW274" i="1"/>
  <c r="BW270" i="1" s="1"/>
  <c r="BW146" i="1"/>
  <c r="BW154" i="1" s="1"/>
  <c r="BW159" i="1" s="1"/>
  <c r="AN274" i="1"/>
  <c r="AN146" i="1"/>
  <c r="BV274" i="1"/>
  <c r="BV270" i="1" s="1"/>
  <c r="BV146" i="1"/>
  <c r="BV154" i="1" s="1"/>
  <c r="BV159" i="1" s="1"/>
  <c r="AV274" i="1"/>
  <c r="AV146" i="1"/>
  <c r="AZ275" i="1"/>
  <c r="AZ271" i="1" s="1"/>
  <c r="AZ147" i="1"/>
  <c r="BR275" i="1"/>
  <c r="BR271" i="1" s="1"/>
  <c r="BR147" i="1"/>
  <c r="AS275" i="1"/>
  <c r="AS147" i="1"/>
  <c r="AW274" i="1"/>
  <c r="AW146" i="1"/>
  <c r="BO275" i="1"/>
  <c r="BO271" i="1" s="1"/>
  <c r="BO147" i="1"/>
  <c r="CM71" i="1"/>
  <c r="CZ38" i="1"/>
  <c r="CM76" i="1"/>
  <c r="CZ16" i="1"/>
  <c r="DA13" i="1" s="1"/>
  <c r="AM275" i="1"/>
  <c r="AM266" i="1"/>
  <c r="BZ372" i="1"/>
  <c r="CB248" i="1"/>
  <c r="CB265" i="1"/>
  <c r="CB257" i="1"/>
  <c r="CB274" i="1"/>
  <c r="N173" i="1"/>
  <c r="CB258" i="1"/>
  <c r="CB275" i="1"/>
  <c r="O174" i="1"/>
  <c r="CB266" i="1"/>
  <c r="CB249" i="1"/>
  <c r="BX173" i="1"/>
  <c r="CB174" i="1"/>
  <c r="BY175" i="1"/>
  <c r="BX190" i="1"/>
  <c r="BX60" i="1" s="1"/>
  <c r="AK190" i="1"/>
  <c r="AK173" i="1"/>
  <c r="AK175" i="1"/>
  <c r="CM361" i="1"/>
  <c r="CM299" i="1"/>
  <c r="CM301" i="1" s="1"/>
  <c r="CM305" i="1" s="1"/>
  <c r="CM370" i="1" s="1"/>
  <c r="CM368" i="1" s="1"/>
  <c r="CR239" i="1"/>
  <c r="AC369" i="1"/>
  <c r="AB316" i="1"/>
  <c r="AB284" i="1"/>
  <c r="CO227" i="1"/>
  <c r="CP225" i="1"/>
  <c r="AB225" i="1" s="1"/>
  <c r="AA225" i="1" s="1"/>
  <c r="AA227" i="1" s="1"/>
  <c r="CA392" i="1"/>
  <c r="CN138" i="1" l="1"/>
  <c r="CN139" i="1"/>
  <c r="AR274" i="1"/>
  <c r="AR146" i="1"/>
  <c r="AZ274" i="1"/>
  <c r="AZ270" i="1" s="1"/>
  <c r="AZ146" i="1"/>
  <c r="AM265" i="1"/>
  <c r="BB274" i="1"/>
  <c r="BB270" i="1" s="1"/>
  <c r="BB146" i="1"/>
  <c r="AY275" i="1"/>
  <c r="AY271" i="1" s="1"/>
  <c r="AY147" i="1"/>
  <c r="BA274" i="1"/>
  <c r="BA270" i="1" s="1"/>
  <c r="BA146" i="1"/>
  <c r="BQ275" i="1"/>
  <c r="BQ271" i="1" s="1"/>
  <c r="BQ147" i="1"/>
  <c r="BU274" i="1"/>
  <c r="BU270" i="1" s="1"/>
  <c r="BU146" i="1"/>
  <c r="BU154" i="1" s="1"/>
  <c r="BH275" i="1"/>
  <c r="BH271" i="1" s="1"/>
  <c r="BH147" i="1"/>
  <c r="AP147" i="1"/>
  <c r="AU274" i="1"/>
  <c r="AU146" i="1"/>
  <c r="BC274" i="1"/>
  <c r="BC270" i="1" s="1"/>
  <c r="BC146" i="1"/>
  <c r="AU147" i="1"/>
  <c r="AN275" i="1"/>
  <c r="AJ373" i="1"/>
  <c r="AK301" i="1"/>
  <c r="AJ324" i="1"/>
  <c r="AJ349" i="1"/>
  <c r="AL275" i="1"/>
  <c r="BZ257" i="1"/>
  <c r="BZ251" i="1"/>
  <c r="BZ274" i="1"/>
  <c r="BX251" i="1"/>
  <c r="BX274" i="1"/>
  <c r="BX270" i="1" s="1"/>
  <c r="CC266" i="1"/>
  <c r="CA274" i="1"/>
  <c r="CA270" i="1" s="1"/>
  <c r="BX276" i="1"/>
  <c r="AP275" i="1"/>
  <c r="AU275" i="1"/>
  <c r="AY274" i="1"/>
  <c r="AY270" i="1" s="1"/>
  <c r="AY146" i="1"/>
  <c r="AN147" i="1"/>
  <c r="CM140" i="1"/>
  <c r="CM153" i="1" s="1"/>
  <c r="AJ364" i="1"/>
  <c r="AJ352" i="1"/>
  <c r="AJ305" i="1"/>
  <c r="AJ363" i="1"/>
  <c r="CC258" i="1"/>
  <c r="CC275" i="1"/>
  <c r="CC271" i="1" s="1"/>
  <c r="CC249" i="1"/>
  <c r="CA265" i="1"/>
  <c r="CA257" i="1"/>
  <c r="BY199" i="1"/>
  <c r="AA228" i="1"/>
  <c r="AA261" i="1"/>
  <c r="AA275" i="1"/>
  <c r="AA273" i="1"/>
  <c r="AA254" i="1"/>
  <c r="AA274" i="1"/>
  <c r="BJ415" i="1"/>
  <c r="BJ305" i="1"/>
  <c r="AJ335" i="1"/>
  <c r="AK199" i="1" s="1"/>
  <c r="AM195" i="1"/>
  <c r="AJ296" i="1"/>
  <c r="AK373" i="1"/>
  <c r="BL373" i="1"/>
  <c r="BL416" i="1"/>
  <c r="BJ254" i="1"/>
  <c r="AL305" i="1"/>
  <c r="CN137" i="1"/>
  <c r="BK301" i="1"/>
  <c r="BJ351" i="1"/>
  <c r="AL351" i="1"/>
  <c r="S174" i="1"/>
  <c r="AL254" i="1"/>
  <c r="AL258" i="1" s="1"/>
  <c r="AM373" i="1"/>
  <c r="AL335" i="1"/>
  <c r="BJ296" i="1"/>
  <c r="AL296" i="1"/>
  <c r="BJ349" i="1"/>
  <c r="AL324" i="1"/>
  <c r="AM274" i="1"/>
  <c r="CA275" i="1"/>
  <c r="CA271" i="1" s="1"/>
  <c r="BL258" i="1"/>
  <c r="BL147" i="1"/>
  <c r="BK274" i="1"/>
  <c r="BK270" i="1" s="1"/>
  <c r="BK146" i="1"/>
  <c r="BS274" i="1"/>
  <c r="BS270" i="1" s="1"/>
  <c r="BS146" i="1"/>
  <c r="BS154" i="1" s="1"/>
  <c r="BJ275" i="1"/>
  <c r="BJ271" i="1" s="1"/>
  <c r="BJ147" i="1"/>
  <c r="BI275" i="1"/>
  <c r="BI271" i="1" s="1"/>
  <c r="BI147" i="1"/>
  <c r="BC275" i="1"/>
  <c r="BC271" i="1" s="1"/>
  <c r="BC147" i="1"/>
  <c r="BR274" i="1"/>
  <c r="BR270" i="1" s="1"/>
  <c r="BR146" i="1"/>
  <c r="AO274" i="1"/>
  <c r="AO146" i="1"/>
  <c r="BI274" i="1"/>
  <c r="BI270" i="1" s="1"/>
  <c r="BI146" i="1"/>
  <c r="BQ274" i="1"/>
  <c r="BQ270" i="1" s="1"/>
  <c r="BQ146" i="1"/>
  <c r="BT274" i="1"/>
  <c r="BT270" i="1" s="1"/>
  <c r="BT146" i="1"/>
  <c r="BT154" i="1" s="1"/>
  <c r="AP274" i="1"/>
  <c r="AP146" i="1"/>
  <c r="BF274" i="1"/>
  <c r="BF270" i="1" s="1"/>
  <c r="BF146" i="1"/>
  <c r="AR275" i="1"/>
  <c r="AR147" i="1"/>
  <c r="BS275" i="1"/>
  <c r="BS271" i="1" s="1"/>
  <c r="BS147" i="1"/>
  <c r="BS155" i="1" s="1"/>
  <c r="BD275" i="1"/>
  <c r="BD271" i="1" s="1"/>
  <c r="BD147" i="1"/>
  <c r="BP274" i="1"/>
  <c r="BP270" i="1" s="1"/>
  <c r="BP146" i="1"/>
  <c r="BG274" i="1"/>
  <c r="BG270" i="1" s="1"/>
  <c r="BG146" i="1"/>
  <c r="BN274" i="1"/>
  <c r="BN270" i="1" s="1"/>
  <c r="BN146" i="1"/>
  <c r="BX275" i="1"/>
  <c r="BX271" i="1" s="1"/>
  <c r="BX147" i="1"/>
  <c r="BX155" i="1" s="1"/>
  <c r="BX160" i="1" s="1"/>
  <c r="AS274" i="1"/>
  <c r="AS146" i="1"/>
  <c r="BT275" i="1"/>
  <c r="BT271" i="1" s="1"/>
  <c r="BT147" i="1"/>
  <c r="BT155" i="1" s="1"/>
  <c r="BO274" i="1"/>
  <c r="BO270" i="1" s="1"/>
  <c r="BO146" i="1"/>
  <c r="BN275" i="1"/>
  <c r="BN271" i="1" s="1"/>
  <c r="BN147" i="1"/>
  <c r="BJ274" i="1"/>
  <c r="BJ270" i="1" s="1"/>
  <c r="BJ146" i="1"/>
  <c r="BK275" i="1"/>
  <c r="BK271" i="1" s="1"/>
  <c r="BK147" i="1"/>
  <c r="BP275" i="1"/>
  <c r="BP271" i="1" s="1"/>
  <c r="BP147" i="1"/>
  <c r="AO275" i="1"/>
  <c r="AO147" i="1"/>
  <c r="AT274" i="1"/>
  <c r="AT146" i="1"/>
  <c r="AW275" i="1"/>
  <c r="AW147" i="1"/>
  <c r="BG275" i="1"/>
  <c r="BG271" i="1" s="1"/>
  <c r="BG147" i="1"/>
  <c r="BH274" i="1"/>
  <c r="BH270" i="1" s="1"/>
  <c r="BH146" i="1"/>
  <c r="BM275" i="1"/>
  <c r="BM271" i="1" s="1"/>
  <c r="BM147" i="1"/>
  <c r="BY275" i="1"/>
  <c r="BY271" i="1" s="1"/>
  <c r="BY147" i="1"/>
  <c r="BY155" i="1" s="1"/>
  <c r="BY160" i="1" s="1"/>
  <c r="BF275" i="1"/>
  <c r="BF271" i="1" s="1"/>
  <c r="BF147" i="1"/>
  <c r="AX275" i="1"/>
  <c r="AX147" i="1"/>
  <c r="BA275" i="1"/>
  <c r="BA271" i="1" s="1"/>
  <c r="BA147" i="1"/>
  <c r="AT275" i="1"/>
  <c r="AT147" i="1"/>
  <c r="AX274" i="1"/>
  <c r="AX146" i="1"/>
  <c r="AV275" i="1"/>
  <c r="AV147" i="1"/>
  <c r="BE274" i="1"/>
  <c r="BE270" i="1" s="1"/>
  <c r="BE146" i="1"/>
  <c r="BD274" i="1"/>
  <c r="BD270" i="1" s="1"/>
  <c r="BD146" i="1"/>
  <c r="BE275" i="1"/>
  <c r="BE271" i="1" s="1"/>
  <c r="BE147" i="1"/>
  <c r="BM274" i="1"/>
  <c r="BM270" i="1" s="1"/>
  <c r="BM146" i="1"/>
  <c r="BV275" i="1"/>
  <c r="BV271" i="1" s="1"/>
  <c r="BV147" i="1"/>
  <c r="BV155" i="1" s="1"/>
  <c r="BV160" i="1" s="1"/>
  <c r="BB275" i="1"/>
  <c r="BB271" i="1" s="1"/>
  <c r="BB147" i="1"/>
  <c r="BW275" i="1"/>
  <c r="BW271" i="1" s="1"/>
  <c r="BW147" i="1"/>
  <c r="BW155" i="1" s="1"/>
  <c r="BW160" i="1" s="1"/>
  <c r="BX257" i="1"/>
  <c r="BX146" i="1"/>
  <c r="BX154" i="1" s="1"/>
  <c r="BX159" i="1" s="1"/>
  <c r="BK416" i="1"/>
  <c r="AM416" i="1"/>
  <c r="AL415" i="1"/>
  <c r="AL373" i="1"/>
  <c r="BJ335" i="1"/>
  <c r="BJ276" i="1" s="1"/>
  <c r="BK373" i="1"/>
  <c r="AL416" i="1"/>
  <c r="BJ324" i="1"/>
  <c r="AL349" i="1"/>
  <c r="BL274" i="1"/>
  <c r="BL257" i="1"/>
  <c r="CA258" i="1"/>
  <c r="CA266" i="1"/>
  <c r="D190" i="1"/>
  <c r="D173" i="1"/>
  <c r="K173" i="1"/>
  <c r="BY257" i="1"/>
  <c r="AM175" i="1"/>
  <c r="AL190" i="1"/>
  <c r="AL196" i="1" s="1"/>
  <c r="AL200" i="1" s="1"/>
  <c r="L173" i="1"/>
  <c r="BY370" i="1"/>
  <c r="BY368" i="1" s="1"/>
  <c r="U174" i="1"/>
  <c r="CC257" i="1"/>
  <c r="CC274" i="1"/>
  <c r="CC270" i="1" s="1"/>
  <c r="CC265" i="1"/>
  <c r="CC248" i="1"/>
  <c r="CF252" i="1" s="1"/>
  <c r="AL274" i="1"/>
  <c r="BZ275" i="1"/>
  <c r="BZ258" i="1"/>
  <c r="P174" i="1"/>
  <c r="BX258" i="1"/>
  <c r="BL275" i="1"/>
  <c r="BY274" i="1"/>
  <c r="BY270" i="1" s="1"/>
  <c r="BY251" i="1"/>
  <c r="AJ191" i="1"/>
  <c r="E174" i="1"/>
  <c r="P173" i="1"/>
  <c r="AM196" i="1"/>
  <c r="AM200" i="1" s="1"/>
  <c r="AM191" i="1"/>
  <c r="AL175" i="1"/>
  <c r="L174" i="1"/>
  <c r="E190" i="1"/>
  <c r="E191" i="1" s="1"/>
  <c r="E173" i="1"/>
  <c r="AM399" i="1"/>
  <c r="AM400" i="1" s="1"/>
  <c r="BL277" i="1"/>
  <c r="BL270" i="1"/>
  <c r="CB277" i="1"/>
  <c r="CB280" i="1" s="1"/>
  <c r="CB270" i="1"/>
  <c r="CB278" i="1"/>
  <c r="CB281" i="1" s="1"/>
  <c r="CB271" i="1"/>
  <c r="CO121" i="1"/>
  <c r="CO273" i="1"/>
  <c r="AB227" i="1"/>
  <c r="C173" i="1"/>
  <c r="D174" i="1"/>
  <c r="C174" i="1"/>
  <c r="V191" i="1"/>
  <c r="Q174" i="1"/>
  <c r="K174" i="1"/>
  <c r="T174" i="1"/>
  <c r="F174" i="1"/>
  <c r="BX332" i="1"/>
  <c r="BX333" i="1" s="1"/>
  <c r="W191" i="1"/>
  <c r="X192" i="1"/>
  <c r="BY256" i="1"/>
  <c r="AM193" i="1"/>
  <c r="W192" i="1"/>
  <c r="V399" i="1"/>
  <c r="V400" i="1" s="1"/>
  <c r="G174" i="1"/>
  <c r="W399" i="1"/>
  <c r="W400" i="1" s="1"/>
  <c r="H174" i="1"/>
  <c r="AL191" i="1"/>
  <c r="W417" i="1"/>
  <c r="W196" i="1"/>
  <c r="W200" i="1" s="1"/>
  <c r="W203" i="1" s="1"/>
  <c r="BY258" i="1"/>
  <c r="R174" i="1"/>
  <c r="R173" i="1"/>
  <c r="V279" i="1"/>
  <c r="W279" i="1"/>
  <c r="X417" i="1"/>
  <c r="B279" i="1"/>
  <c r="V196" i="1"/>
  <c r="V200" i="1" s="1"/>
  <c r="V203" i="1" s="1"/>
  <c r="N174" i="1"/>
  <c r="BY372" i="1"/>
  <c r="AJ399" i="1"/>
  <c r="AJ400" i="1" s="1"/>
  <c r="J174" i="1"/>
  <c r="I174" i="1"/>
  <c r="M174" i="1"/>
  <c r="CZ51" i="1"/>
  <c r="DA15" i="1"/>
  <c r="AJ203" i="1"/>
  <c r="AJ202" i="1"/>
  <c r="D191" i="1"/>
  <c r="D196" i="1"/>
  <c r="D200" i="1" s="1"/>
  <c r="D399" i="1"/>
  <c r="D400" i="1" s="1"/>
  <c r="D417" i="1"/>
  <c r="D279" i="1"/>
  <c r="AL203" i="1"/>
  <c r="AL202" i="1"/>
  <c r="C417" i="1"/>
  <c r="C191" i="1"/>
  <c r="D192" i="1"/>
  <c r="C192" i="1"/>
  <c r="AK399" i="1"/>
  <c r="AK400" i="1" s="1"/>
  <c r="AL193" i="1"/>
  <c r="AK191" i="1"/>
  <c r="AK196" i="1"/>
  <c r="AK200" i="1" s="1"/>
  <c r="AM279" i="1"/>
  <c r="AK193" i="1"/>
  <c r="BX191" i="1"/>
  <c r="BX196" i="1"/>
  <c r="CB192" i="1"/>
  <c r="CA279" i="1"/>
  <c r="BX399" i="1"/>
  <c r="BX400" i="1" s="1"/>
  <c r="BY193" i="1"/>
  <c r="BY417" i="1"/>
  <c r="BY418" i="1" s="1"/>
  <c r="CN194" i="1"/>
  <c r="CS239" i="1"/>
  <c r="AB330" i="1"/>
  <c r="CP227" i="1"/>
  <c r="CQ225" i="1"/>
  <c r="AC284" i="1"/>
  <c r="AC316" i="1"/>
  <c r="CB392" i="1"/>
  <c r="BQ1" i="1"/>
  <c r="BR1" i="1" s="1"/>
  <c r="BS1" i="1" s="1"/>
  <c r="BT1" i="1" s="1"/>
  <c r="AM417" i="1" l="1"/>
  <c r="AL399" i="1"/>
  <c r="AL400" i="1" s="1"/>
  <c r="CO138" i="1"/>
  <c r="CO139" i="1"/>
  <c r="AL195" i="1"/>
  <c r="CN140" i="1"/>
  <c r="CN153" i="1" s="1"/>
  <c r="BX277" i="1"/>
  <c r="AK305" i="1"/>
  <c r="AJ365" i="1"/>
  <c r="BZ277" i="1"/>
  <c r="BZ270" i="1"/>
  <c r="AJ332" i="1"/>
  <c r="AJ370" i="1"/>
  <c r="AJ368" i="1" s="1"/>
  <c r="AA231" i="1"/>
  <c r="AA230" i="1"/>
  <c r="AA264" i="1"/>
  <c r="AA266" i="1"/>
  <c r="AA265" i="1"/>
  <c r="AA278" i="1"/>
  <c r="AA281" i="1" s="1"/>
  <c r="AA257" i="1"/>
  <c r="AA258" i="1"/>
  <c r="AA256" i="1"/>
  <c r="AA277" i="1"/>
  <c r="AA280" i="1" s="1"/>
  <c r="BJ413" i="1"/>
  <c r="CO137" i="1"/>
  <c r="BJ256" i="1"/>
  <c r="BJ257" i="1"/>
  <c r="BJ258" i="1"/>
  <c r="AM370" i="1"/>
  <c r="AM368" i="1" s="1"/>
  <c r="AL413" i="1"/>
  <c r="AM418" i="1"/>
  <c r="BJ277" i="1"/>
  <c r="BJ278" i="1"/>
  <c r="AL348" i="1"/>
  <c r="AL353" i="1"/>
  <c r="AL417" i="1"/>
  <c r="AL418" i="1" s="1"/>
  <c r="AM393" i="1"/>
  <c r="BX278" i="1"/>
  <c r="AM203" i="1"/>
  <c r="AM204" i="1" s="1"/>
  <c r="AM412" i="1" s="1"/>
  <c r="AM202" i="1"/>
  <c r="E192" i="1"/>
  <c r="BL195" i="1"/>
  <c r="BK305" i="1"/>
  <c r="BL370" i="1" s="1"/>
  <c r="BL368" i="1" s="1"/>
  <c r="AL256" i="1"/>
  <c r="AL257" i="1"/>
  <c r="AL276" i="1"/>
  <c r="AM199" i="1"/>
  <c r="BJ353" i="1"/>
  <c r="BJ348" i="1"/>
  <c r="AL332" i="1"/>
  <c r="AL333" i="1" s="1"/>
  <c r="CE252" i="1"/>
  <c r="AB121" i="1"/>
  <c r="AB273" i="1"/>
  <c r="BZ271" i="1"/>
  <c r="BZ278" i="1"/>
  <c r="BL271" i="1"/>
  <c r="BL278" i="1"/>
  <c r="Z225" i="1"/>
  <c r="CP121" i="1"/>
  <c r="CP273" i="1"/>
  <c r="V202" i="1"/>
  <c r="W202" i="1"/>
  <c r="DA38" i="1"/>
  <c r="CO140" i="1"/>
  <c r="CO153" i="1" s="1"/>
  <c r="DA16" i="1"/>
  <c r="DB13" i="1" s="1"/>
  <c r="DB15" i="1" s="1"/>
  <c r="CN75" i="1"/>
  <c r="AL370" i="1"/>
  <c r="AL368" i="1" s="1"/>
  <c r="AK370" i="1"/>
  <c r="AK368" i="1" s="1"/>
  <c r="V204" i="1"/>
  <c r="V412" i="1" s="1"/>
  <c r="V210" i="1"/>
  <c r="AJ204" i="1"/>
  <c r="AJ210" i="1"/>
  <c r="AJ401" i="1"/>
  <c r="AL401" i="1"/>
  <c r="AL210" i="1"/>
  <c r="AL204" i="1"/>
  <c r="AL412" i="1" s="1"/>
  <c r="BX200" i="1"/>
  <c r="CA217" i="1"/>
  <c r="AK203" i="1"/>
  <c r="AK202" i="1"/>
  <c r="D203" i="1"/>
  <c r="D202" i="1"/>
  <c r="W210" i="1"/>
  <c r="W401" i="1"/>
  <c r="W204" i="1"/>
  <c r="W412" i="1" s="1"/>
  <c r="W205" i="1"/>
  <c r="X205" i="1"/>
  <c r="CN299" i="1"/>
  <c r="CN301" i="1" s="1"/>
  <c r="CO194" i="1" s="1"/>
  <c r="CT239" i="1"/>
  <c r="AB304" i="1"/>
  <c r="AD316" i="1"/>
  <c r="AE316" i="1"/>
  <c r="AD284" i="1"/>
  <c r="AE284" i="1"/>
  <c r="CQ227" i="1"/>
  <c r="CR225" i="1"/>
  <c r="AC330" i="1"/>
  <c r="BU1" i="1"/>
  <c r="Q189" i="1"/>
  <c r="P189" i="1"/>
  <c r="O189" i="1"/>
  <c r="I189" i="1"/>
  <c r="H189" i="1"/>
  <c r="G189" i="1"/>
  <c r="U189" i="1"/>
  <c r="T189" i="1"/>
  <c r="S189" i="1"/>
  <c r="R189" i="1"/>
  <c r="N189" i="1"/>
  <c r="M189" i="1"/>
  <c r="L189" i="1"/>
  <c r="K189" i="1"/>
  <c r="J189" i="1"/>
  <c r="F189" i="1"/>
  <c r="AJ333" i="1" l="1"/>
  <c r="AA248" i="1"/>
  <c r="AA247" i="1"/>
  <c r="AA249" i="1"/>
  <c r="AM206" i="1"/>
  <c r="AL278" i="1"/>
  <c r="AL277" i="1"/>
  <c r="AB138" i="1"/>
  <c r="AB137" i="1"/>
  <c r="AB139" i="1"/>
  <c r="CP138" i="1"/>
  <c r="CP139" i="1"/>
  <c r="CP137" i="1"/>
  <c r="Z227" i="1"/>
  <c r="Y225" i="1"/>
  <c r="AA121" i="1"/>
  <c r="CQ121" i="1"/>
  <c r="CQ273" i="1"/>
  <c r="DA51" i="1"/>
  <c r="W214" i="1"/>
  <c r="W119" i="1"/>
  <c r="CN71" i="1"/>
  <c r="DB38" i="1"/>
  <c r="DB51" i="1" s="1"/>
  <c r="AE15" i="1"/>
  <c r="CQ138" i="1"/>
  <c r="CQ137" i="1"/>
  <c r="CQ139" i="1"/>
  <c r="CO75" i="1"/>
  <c r="CO71" i="1" s="1"/>
  <c r="CN76" i="1"/>
  <c r="DB16" i="1"/>
  <c r="AJ360" i="1"/>
  <c r="AJ362" i="1" s="1"/>
  <c r="AJ366" i="1" s="1"/>
  <c r="AJ380" i="1" s="1"/>
  <c r="AJ374" i="1"/>
  <c r="AJ372" i="1" s="1"/>
  <c r="AJ214" i="1"/>
  <c r="AJ228" i="1"/>
  <c r="AK401" i="1"/>
  <c r="AK210" i="1"/>
  <c r="AK286" i="1" s="1"/>
  <c r="AK287" i="1" s="1"/>
  <c r="AK296" i="1" s="1"/>
  <c r="AK204" i="1"/>
  <c r="AK206" i="1"/>
  <c r="AL206" i="1"/>
  <c r="AL360" i="1"/>
  <c r="AL362" i="1" s="1"/>
  <c r="AL228" i="1"/>
  <c r="AL214" i="1"/>
  <c r="D401" i="1"/>
  <c r="D204" i="1"/>
  <c r="D210" i="1"/>
  <c r="BX202" i="1"/>
  <c r="BX203" i="1"/>
  <c r="CO361" i="1"/>
  <c r="CO299" i="1"/>
  <c r="CN305" i="1"/>
  <c r="CN361" i="1"/>
  <c r="AC239" i="1"/>
  <c r="CU239" i="1"/>
  <c r="AD330" i="1"/>
  <c r="AE330" i="1"/>
  <c r="AD307" i="1"/>
  <c r="CR227" i="1"/>
  <c r="CS225" i="1"/>
  <c r="AC304" i="1"/>
  <c r="BV1" i="1"/>
  <c r="BW1" i="1" s="1"/>
  <c r="BX1" i="1" s="1"/>
  <c r="AM394" i="1"/>
  <c r="AM401" i="1"/>
  <c r="B399" i="1"/>
  <c r="B400" i="1" s="1"/>
  <c r="BL399" i="1"/>
  <c r="BL400" i="1" s="1"/>
  <c r="G190" i="1"/>
  <c r="O190" i="1"/>
  <c r="H190" i="1"/>
  <c r="P190" i="1"/>
  <c r="I190" i="1"/>
  <c r="Q190" i="1"/>
  <c r="J190" i="1"/>
  <c r="R190" i="1"/>
  <c r="K190" i="1"/>
  <c r="S190" i="1"/>
  <c r="L190" i="1"/>
  <c r="T190" i="1"/>
  <c r="M190" i="1"/>
  <c r="U190" i="1"/>
  <c r="U60" i="1" s="1"/>
  <c r="F190" i="1"/>
  <c r="F417" i="1" s="1"/>
  <c r="N190" i="1"/>
  <c r="AB140" i="1" l="1"/>
  <c r="AB153" i="1" s="1"/>
  <c r="CP140" i="1"/>
  <c r="Z228" i="1"/>
  <c r="Z254" i="1"/>
  <c r="Z274" i="1"/>
  <c r="Z261" i="1"/>
  <c r="Z275" i="1"/>
  <c r="Z273" i="1"/>
  <c r="Z269" i="1" s="1"/>
  <c r="Z121" i="1"/>
  <c r="Y227" i="1"/>
  <c r="X225" i="1"/>
  <c r="AA139" i="1"/>
  <c r="AA138" i="1"/>
  <c r="AA137" i="1"/>
  <c r="AA140" i="1" s="1"/>
  <c r="AA153" i="1" s="1"/>
  <c r="CR121" i="1"/>
  <c r="CR273" i="1"/>
  <c r="AC145" i="1"/>
  <c r="AE114" i="1"/>
  <c r="AE38" i="1"/>
  <c r="AE51" i="1"/>
  <c r="CP153" i="1"/>
  <c r="AE18" i="1"/>
  <c r="AE16" i="1"/>
  <c r="CQ140" i="1"/>
  <c r="CQ153" i="1" s="1"/>
  <c r="CO76" i="1"/>
  <c r="AJ377" i="1"/>
  <c r="AJ378" i="1" s="1"/>
  <c r="T417" i="1"/>
  <c r="P417" i="1"/>
  <c r="D360" i="1"/>
  <c r="D362" i="1" s="1"/>
  <c r="D214" i="1"/>
  <c r="CB205" i="1"/>
  <c r="BX401" i="1"/>
  <c r="BX204" i="1"/>
  <c r="BX412" i="1" s="1"/>
  <c r="BX210" i="1"/>
  <c r="BX119" i="1" s="1"/>
  <c r="BY206" i="1"/>
  <c r="AK360" i="1"/>
  <c r="AK362" i="1" s="1"/>
  <c r="AK228" i="1"/>
  <c r="AK214" i="1"/>
  <c r="M417" i="1"/>
  <c r="R417" i="1"/>
  <c r="I417" i="1"/>
  <c r="K417" i="1"/>
  <c r="G417" i="1"/>
  <c r="H417" i="1"/>
  <c r="L417" i="1"/>
  <c r="S417" i="1"/>
  <c r="O417" i="1"/>
  <c r="J417" i="1"/>
  <c r="N417" i="1"/>
  <c r="U417" i="1"/>
  <c r="V417" i="1"/>
  <c r="Q417" i="1"/>
  <c r="R279" i="1"/>
  <c r="S192" i="1"/>
  <c r="T279" i="1"/>
  <c r="U192" i="1"/>
  <c r="U279" i="1"/>
  <c r="V192" i="1"/>
  <c r="P279" i="1"/>
  <c r="Q192" i="1"/>
  <c r="Q279" i="1"/>
  <c r="R192" i="1"/>
  <c r="I279" i="1"/>
  <c r="J192" i="1"/>
  <c r="S279" i="1"/>
  <c r="T192" i="1"/>
  <c r="H279" i="1"/>
  <c r="I192" i="1"/>
  <c r="E279" i="1"/>
  <c r="F192" i="1"/>
  <c r="L279" i="1"/>
  <c r="M192" i="1"/>
  <c r="O279" i="1"/>
  <c r="P192" i="1"/>
  <c r="N279" i="1"/>
  <c r="O192" i="1"/>
  <c r="K279" i="1"/>
  <c r="L192" i="1"/>
  <c r="F279" i="1"/>
  <c r="G192" i="1"/>
  <c r="G279" i="1"/>
  <c r="H192" i="1"/>
  <c r="M279" i="1"/>
  <c r="N192" i="1"/>
  <c r="J279" i="1"/>
  <c r="K192" i="1"/>
  <c r="CN370" i="1"/>
  <c r="CN368" i="1" s="1"/>
  <c r="CO301" i="1"/>
  <c r="CV239" i="1"/>
  <c r="AD369" i="1"/>
  <c r="AB309" i="1"/>
  <c r="AE304" i="1"/>
  <c r="AD304" i="1"/>
  <c r="CT225" i="1"/>
  <c r="AC225" i="1" s="1"/>
  <c r="AC227" i="1" s="1"/>
  <c r="AC121" i="1" s="1"/>
  <c r="CS227" i="1"/>
  <c r="C279" i="1"/>
  <c r="BY1" i="1"/>
  <c r="L191" i="1"/>
  <c r="N191" i="1"/>
  <c r="F191" i="1"/>
  <c r="O191" i="1"/>
  <c r="U196" i="1"/>
  <c r="U200" i="1" s="1"/>
  <c r="U191" i="1"/>
  <c r="G191" i="1"/>
  <c r="S191" i="1"/>
  <c r="M191" i="1"/>
  <c r="R191" i="1"/>
  <c r="J191" i="1"/>
  <c r="I191" i="1"/>
  <c r="P191" i="1"/>
  <c r="H191" i="1"/>
  <c r="K191" i="1"/>
  <c r="T191" i="1"/>
  <c r="Q191" i="1"/>
  <c r="T399" i="1"/>
  <c r="T400" i="1" s="1"/>
  <c r="Q399" i="1"/>
  <c r="Q400" i="1" s="1"/>
  <c r="K399" i="1"/>
  <c r="K400" i="1" s="1"/>
  <c r="O399" i="1"/>
  <c r="O400" i="1" s="1"/>
  <c r="U399" i="1"/>
  <c r="U400" i="1" s="1"/>
  <c r="L399" i="1"/>
  <c r="L400" i="1" s="1"/>
  <c r="C399" i="1"/>
  <c r="C400" i="1" s="1"/>
  <c r="I399" i="1"/>
  <c r="I400" i="1" s="1"/>
  <c r="G399" i="1"/>
  <c r="G400" i="1" s="1"/>
  <c r="R399" i="1"/>
  <c r="R400" i="1" s="1"/>
  <c r="P399" i="1"/>
  <c r="P400" i="1" s="1"/>
  <c r="F399" i="1"/>
  <c r="F400" i="1" s="1"/>
  <c r="M399" i="1"/>
  <c r="M400" i="1" s="1"/>
  <c r="N399" i="1"/>
  <c r="N400" i="1" s="1"/>
  <c r="E399" i="1"/>
  <c r="E400" i="1" s="1"/>
  <c r="S399" i="1"/>
  <c r="S400" i="1" s="1"/>
  <c r="J399" i="1"/>
  <c r="J400" i="1" s="1"/>
  <c r="H399" i="1"/>
  <c r="H400" i="1" s="1"/>
  <c r="B196" i="1"/>
  <c r="L196" i="1"/>
  <c r="Q196" i="1"/>
  <c r="T196" i="1"/>
  <c r="N196" i="1"/>
  <c r="S196" i="1"/>
  <c r="F196" i="1"/>
  <c r="K196" i="1"/>
  <c r="H196" i="1"/>
  <c r="I196" i="1"/>
  <c r="P196" i="1"/>
  <c r="C196" i="1"/>
  <c r="O196" i="1"/>
  <c r="R196" i="1"/>
  <c r="M196" i="1"/>
  <c r="G196" i="1"/>
  <c r="E196" i="1"/>
  <c r="J196" i="1"/>
  <c r="CR139" i="1" l="1"/>
  <c r="CR138" i="1"/>
  <c r="CR137" i="1"/>
  <c r="Z230" i="1"/>
  <c r="Z231" i="1"/>
  <c r="AA232" i="1" s="1"/>
  <c r="Z256" i="1"/>
  <c r="Z257" i="1"/>
  <c r="Z258" i="1"/>
  <c r="Z270" i="1"/>
  <c r="Z277" i="1"/>
  <c r="Z280" i="1" s="1"/>
  <c r="Z265" i="1"/>
  <c r="Z266" i="1"/>
  <c r="Z264" i="1"/>
  <c r="Z271" i="1"/>
  <c r="Z278" i="1"/>
  <c r="Z281" i="1" s="1"/>
  <c r="Z122" i="1"/>
  <c r="Z123" i="1" s="1"/>
  <c r="Z138" i="1"/>
  <c r="Z139" i="1"/>
  <c r="Z137" i="1"/>
  <c r="Y228" i="1"/>
  <c r="Y254" i="1"/>
  <c r="Y275" i="1"/>
  <c r="Y261" i="1"/>
  <c r="Y274" i="1"/>
  <c r="Y273" i="1"/>
  <c r="Y269" i="1" s="1"/>
  <c r="Y121" i="1"/>
  <c r="X227" i="1"/>
  <c r="W225" i="1"/>
  <c r="V225" i="1" s="1"/>
  <c r="U225" i="1" s="1"/>
  <c r="T225" i="1" s="1"/>
  <c r="S225" i="1" s="1"/>
  <c r="R225" i="1" s="1"/>
  <c r="Q225" i="1" s="1"/>
  <c r="P225" i="1" s="1"/>
  <c r="O225" i="1" s="1"/>
  <c r="N225" i="1" s="1"/>
  <c r="M225" i="1" s="1"/>
  <c r="L225" i="1" s="1"/>
  <c r="K225" i="1" s="1"/>
  <c r="J225" i="1" s="1"/>
  <c r="I225" i="1" s="1"/>
  <c r="H225" i="1" s="1"/>
  <c r="G225" i="1" s="1"/>
  <c r="F225" i="1" s="1"/>
  <c r="E225" i="1" s="1"/>
  <c r="AC273" i="1"/>
  <c r="CS121" i="1"/>
  <c r="CS273" i="1"/>
  <c r="AC139" i="1"/>
  <c r="AC137" i="1"/>
  <c r="AC138" i="1"/>
  <c r="AE65" i="1"/>
  <c r="CA216" i="1"/>
  <c r="BX228" i="1"/>
  <c r="CA231" i="1" s="1"/>
  <c r="BX360" i="1"/>
  <c r="BX362" i="1" s="1"/>
  <c r="BX214" i="1"/>
  <c r="AK374" i="1"/>
  <c r="AK372" i="1" s="1"/>
  <c r="AL374" i="1"/>
  <c r="AL372" i="1" s="1"/>
  <c r="BK331" i="1"/>
  <c r="BM331" i="1"/>
  <c r="CO305" i="1"/>
  <c r="CP194" i="1"/>
  <c r="CW239" i="1"/>
  <c r="AE307" i="1"/>
  <c r="AE369" i="1" s="1"/>
  <c r="CT227" i="1"/>
  <c r="CU225" i="1"/>
  <c r="BZ1" i="1"/>
  <c r="U203" i="1"/>
  <c r="V205" i="1" s="1"/>
  <c r="U202" i="1"/>
  <c r="P200" i="1"/>
  <c r="P203" i="1" s="1"/>
  <c r="R200" i="1"/>
  <c r="R203" i="1" s="1"/>
  <c r="E200" i="1"/>
  <c r="S200" i="1"/>
  <c r="S202" i="1" s="1"/>
  <c r="G200" i="1"/>
  <c r="G203" i="1" s="1"/>
  <c r="K200" i="1"/>
  <c r="K203" i="1" s="1"/>
  <c r="B200" i="1"/>
  <c r="O200" i="1"/>
  <c r="O203" i="1" s="1"/>
  <c r="H200" i="1"/>
  <c r="H203" i="1" s="1"/>
  <c r="N200" i="1"/>
  <c r="N203" i="1" s="1"/>
  <c r="L200" i="1"/>
  <c r="L202" i="1" s="1"/>
  <c r="C200" i="1"/>
  <c r="M200" i="1"/>
  <c r="M202" i="1" s="1"/>
  <c r="T200" i="1"/>
  <c r="T203" i="1" s="1"/>
  <c r="F200" i="1"/>
  <c r="F202" i="1" s="1"/>
  <c r="J200" i="1"/>
  <c r="J202" i="1" s="1"/>
  <c r="I200" i="1"/>
  <c r="I202" i="1" s="1"/>
  <c r="Q200" i="1"/>
  <c r="Q203" i="1" s="1"/>
  <c r="V401" i="1"/>
  <c r="Z140" i="1" l="1"/>
  <c r="CS138" i="1"/>
  <c r="CS137" i="1"/>
  <c r="CS139" i="1"/>
  <c r="CR140" i="1"/>
  <c r="CR153" i="1" s="1"/>
  <c r="Z249" i="1"/>
  <c r="Z247" i="1"/>
  <c r="Z248" i="1"/>
  <c r="Z153" i="1"/>
  <c r="Z158" i="1" s="1"/>
  <c r="Z154" i="1"/>
  <c r="Z159" i="1" s="1"/>
  <c r="Z155" i="1"/>
  <c r="Z160" i="1" s="1"/>
  <c r="Y231" i="1"/>
  <c r="Y230" i="1"/>
  <c r="Y258" i="1"/>
  <c r="Y256" i="1"/>
  <c r="Y257" i="1"/>
  <c r="Y271" i="1"/>
  <c r="Y278" i="1"/>
  <c r="Y281" i="1" s="1"/>
  <c r="Y266" i="1"/>
  <c r="Y264" i="1"/>
  <c r="Y265" i="1"/>
  <c r="Y270" i="1"/>
  <c r="Y277" i="1"/>
  <c r="Y280" i="1" s="1"/>
  <c r="Y137" i="1"/>
  <c r="Y139" i="1"/>
  <c r="Y138" i="1"/>
  <c r="Y122" i="1"/>
  <c r="Y123" i="1" s="1"/>
  <c r="Z124" i="1" s="1"/>
  <c r="X228" i="1"/>
  <c r="X275" i="1"/>
  <c r="X254" i="1"/>
  <c r="X274" i="1"/>
  <c r="X261" i="1"/>
  <c r="X273" i="1"/>
  <c r="X269" i="1" s="1"/>
  <c r="X121" i="1"/>
  <c r="CT121" i="1"/>
  <c r="CT273" i="1"/>
  <c r="AC140" i="1"/>
  <c r="AC153" i="1" s="1"/>
  <c r="CT137" i="1"/>
  <c r="CP75" i="1"/>
  <c r="R205" i="1"/>
  <c r="CE232" i="1"/>
  <c r="CA249" i="1"/>
  <c r="CA248" i="1"/>
  <c r="CD252" i="1" s="1"/>
  <c r="BW251" i="1"/>
  <c r="CA247" i="1"/>
  <c r="U205" i="1"/>
  <c r="O205" i="1"/>
  <c r="AB194" i="1"/>
  <c r="B203" i="1"/>
  <c r="B202" i="1"/>
  <c r="C203" i="1"/>
  <c r="C202" i="1"/>
  <c r="E203" i="1"/>
  <c r="E210" i="1" s="1"/>
  <c r="E202" i="1"/>
  <c r="P205" i="1"/>
  <c r="H205" i="1"/>
  <c r="Q205" i="1"/>
  <c r="BJ332" i="1"/>
  <c r="BJ333" i="1" s="1"/>
  <c r="BL332" i="1"/>
  <c r="BL333" i="1" s="1"/>
  <c r="CP361" i="1"/>
  <c r="CP299" i="1"/>
  <c r="CO370" i="1"/>
  <c r="CO368" i="1" s="1"/>
  <c r="CX239" i="1"/>
  <c r="CV225" i="1"/>
  <c r="CU227" i="1"/>
  <c r="CA1" i="1"/>
  <c r="CB1" i="1" s="1"/>
  <c r="O202" i="1"/>
  <c r="BL401" i="1"/>
  <c r="S203" i="1"/>
  <c r="U204" i="1"/>
  <c r="U412" i="1" s="1"/>
  <c r="P204" i="1"/>
  <c r="P412" i="1" s="1"/>
  <c r="Q210" i="1"/>
  <c r="Q204" i="1"/>
  <c r="Q412" i="1" s="1"/>
  <c r="L203" i="1"/>
  <c r="P202" i="1"/>
  <c r="H204" i="1"/>
  <c r="H412" i="1" s="1"/>
  <c r="G204" i="1"/>
  <c r="G412" i="1" s="1"/>
  <c r="U210" i="1"/>
  <c r="N204" i="1"/>
  <c r="N412" i="1" s="1"/>
  <c r="R204" i="1"/>
  <c r="R412" i="1" s="1"/>
  <c r="K204" i="1"/>
  <c r="K412" i="1" s="1"/>
  <c r="O210" i="1"/>
  <c r="O204" i="1"/>
  <c r="O412" i="1" s="1"/>
  <c r="T210" i="1"/>
  <c r="T204" i="1"/>
  <c r="T412" i="1" s="1"/>
  <c r="R202" i="1"/>
  <c r="K202" i="1"/>
  <c r="N202" i="1"/>
  <c r="G202" i="1"/>
  <c r="H202" i="1"/>
  <c r="J203" i="1"/>
  <c r="K205" i="1" s="1"/>
  <c r="M203" i="1"/>
  <c r="N205" i="1" s="1"/>
  <c r="T202" i="1"/>
  <c r="F203" i="1"/>
  <c r="G205" i="1" s="1"/>
  <c r="I203" i="1"/>
  <c r="I205" i="1" s="1"/>
  <c r="O401" i="1"/>
  <c r="Q202" i="1"/>
  <c r="P401" i="1"/>
  <c r="P210" i="1"/>
  <c r="K401" i="1"/>
  <c r="K210" i="1"/>
  <c r="H401" i="1"/>
  <c r="H210" i="1"/>
  <c r="R210" i="1"/>
  <c r="N210" i="1"/>
  <c r="G210" i="1"/>
  <c r="G401" i="1"/>
  <c r="R401" i="1"/>
  <c r="N401" i="1"/>
  <c r="Q401" i="1"/>
  <c r="U401" i="1"/>
  <c r="T401" i="1"/>
  <c r="V214" i="1"/>
  <c r="V360" i="1"/>
  <c r="V362" i="1" s="1"/>
  <c r="Y140" i="1" l="1"/>
  <c r="CT139" i="1"/>
  <c r="CT138" i="1"/>
  <c r="CS140" i="1"/>
  <c r="CS153" i="1" s="1"/>
  <c r="Y249" i="1"/>
  <c r="Y248" i="1"/>
  <c r="Y247" i="1"/>
  <c r="Y155" i="1"/>
  <c r="Y160" i="1" s="1"/>
  <c r="Y153" i="1"/>
  <c r="Y158" i="1" s="1"/>
  <c r="Y154" i="1"/>
  <c r="Y159" i="1" s="1"/>
  <c r="X230" i="1"/>
  <c r="X231" i="1"/>
  <c r="X278" i="1"/>
  <c r="X281" i="1" s="1"/>
  <c r="X271" i="1"/>
  <c r="X257" i="1"/>
  <c r="X258" i="1"/>
  <c r="X256" i="1"/>
  <c r="X270" i="1"/>
  <c r="X277" i="1"/>
  <c r="X280" i="1" s="1"/>
  <c r="X265" i="1"/>
  <c r="X264" i="1"/>
  <c r="X266" i="1"/>
  <c r="X139" i="1"/>
  <c r="X137" i="1"/>
  <c r="X138" i="1"/>
  <c r="X122" i="1"/>
  <c r="X123" i="1" s="1"/>
  <c r="Y124" i="1" s="1"/>
  <c r="Z232" i="1"/>
  <c r="CU121" i="1"/>
  <c r="CU273" i="1"/>
  <c r="CP71" i="1"/>
  <c r="AB75" i="1"/>
  <c r="AB76" i="1" s="1"/>
  <c r="CU137" i="1"/>
  <c r="CU139" i="1"/>
  <c r="CU138" i="1"/>
  <c r="CP76" i="1"/>
  <c r="E401" i="1"/>
  <c r="AB361" i="1"/>
  <c r="E204" i="1"/>
  <c r="E412" i="1" s="1"/>
  <c r="E205" i="1"/>
  <c r="D205" i="1"/>
  <c r="C204" i="1"/>
  <c r="B204" i="1"/>
  <c r="C205" i="1"/>
  <c r="F205" i="1"/>
  <c r="M205" i="1"/>
  <c r="S204" i="1"/>
  <c r="S412" i="1" s="1"/>
  <c r="T205" i="1"/>
  <c r="L205" i="1"/>
  <c r="J205" i="1"/>
  <c r="S205" i="1"/>
  <c r="I227" i="1"/>
  <c r="Q227" i="1"/>
  <c r="U227" i="1"/>
  <c r="F227" i="1"/>
  <c r="R227" i="1"/>
  <c r="J227" i="1"/>
  <c r="N227" i="1"/>
  <c r="T227" i="1"/>
  <c r="E227" i="1"/>
  <c r="H227" i="1"/>
  <c r="S227" i="1"/>
  <c r="V227" i="1"/>
  <c r="P227" i="1"/>
  <c r="G227" i="1"/>
  <c r="L227" i="1"/>
  <c r="K227" i="1"/>
  <c r="AB299" i="1"/>
  <c r="AB301" i="1" s="1"/>
  <c r="AB195" i="1" s="1"/>
  <c r="CP301" i="1"/>
  <c r="AD239" i="1"/>
  <c r="CY239" i="1"/>
  <c r="CV227" i="1"/>
  <c r="CW225" i="1"/>
  <c r="CC1" i="1"/>
  <c r="K214" i="1"/>
  <c r="G214" i="1"/>
  <c r="E214" i="1"/>
  <c r="S210" i="1"/>
  <c r="S401" i="1"/>
  <c r="L401" i="1"/>
  <c r="L210" i="1"/>
  <c r="O360" i="1"/>
  <c r="O362" i="1" s="1"/>
  <c r="O214" i="1"/>
  <c r="B401" i="1"/>
  <c r="B210" i="1"/>
  <c r="M210" i="1"/>
  <c r="M204" i="1"/>
  <c r="M412" i="1" s="1"/>
  <c r="C401" i="1"/>
  <c r="I210" i="1"/>
  <c r="I204" i="1"/>
  <c r="I412" i="1" s="1"/>
  <c r="J210" i="1"/>
  <c r="J204" i="1"/>
  <c r="J412" i="1" s="1"/>
  <c r="F210" i="1"/>
  <c r="F204" i="1"/>
  <c r="F412" i="1" s="1"/>
  <c r="L204" i="1"/>
  <c r="L412" i="1" s="1"/>
  <c r="J401" i="1"/>
  <c r="E360" i="1"/>
  <c r="E362" i="1" s="1"/>
  <c r="R360" i="1"/>
  <c r="R362" i="1" s="1"/>
  <c r="M401" i="1"/>
  <c r="R214" i="1"/>
  <c r="I401" i="1"/>
  <c r="H214" i="1"/>
  <c r="H360" i="1"/>
  <c r="H362" i="1" s="1"/>
  <c r="F401" i="1"/>
  <c r="C210" i="1"/>
  <c r="N360" i="1"/>
  <c r="N362" i="1" s="1"/>
  <c r="N214" i="1"/>
  <c r="G360" i="1"/>
  <c r="G362" i="1" s="1"/>
  <c r="P214" i="1"/>
  <c r="K360" i="1"/>
  <c r="K362" i="1" s="1"/>
  <c r="P360" i="1"/>
  <c r="P362" i="1" s="1"/>
  <c r="U214" i="1"/>
  <c r="U360" i="1"/>
  <c r="U362" i="1" s="1"/>
  <c r="Q214" i="1"/>
  <c r="Q360" i="1"/>
  <c r="Q362" i="1" s="1"/>
  <c r="T214" i="1"/>
  <c r="T360" i="1"/>
  <c r="T362" i="1" s="1"/>
  <c r="CT140" i="1" l="1"/>
  <c r="CT153" i="1" s="1"/>
  <c r="X140" i="1"/>
  <c r="X248" i="1"/>
  <c r="X249" i="1"/>
  <c r="X247" i="1"/>
  <c r="Y232" i="1"/>
  <c r="X155" i="1"/>
  <c r="X160" i="1" s="1"/>
  <c r="X153" i="1"/>
  <c r="X158" i="1" s="1"/>
  <c r="X154" i="1"/>
  <c r="X159" i="1" s="1"/>
  <c r="CV121" i="1"/>
  <c r="CV273" i="1"/>
  <c r="I261" i="1"/>
  <c r="Q261" i="1"/>
  <c r="U261" i="1"/>
  <c r="F261" i="1"/>
  <c r="R261" i="1"/>
  <c r="N228" i="1"/>
  <c r="N231" i="1" s="1"/>
  <c r="E261" i="1"/>
  <c r="H261" i="1"/>
  <c r="V261" i="1"/>
  <c r="G228" i="1"/>
  <c r="G231" i="1" s="1"/>
  <c r="AD145" i="1"/>
  <c r="AB71" i="1"/>
  <c r="CU140" i="1"/>
  <c r="CU153" i="1" s="1"/>
  <c r="R228" i="1"/>
  <c r="R231" i="1" s="1"/>
  <c r="K261" i="1"/>
  <c r="L261" i="1"/>
  <c r="T261" i="1"/>
  <c r="P261" i="1"/>
  <c r="G261" i="1"/>
  <c r="S261" i="1"/>
  <c r="J261" i="1"/>
  <c r="N261" i="1"/>
  <c r="H228" i="1"/>
  <c r="U228" i="1"/>
  <c r="U231" i="1" s="1"/>
  <c r="V228" i="1"/>
  <c r="E228" i="1"/>
  <c r="Q228" i="1"/>
  <c r="T228" i="1"/>
  <c r="T231" i="1" s="1"/>
  <c r="M227" i="1"/>
  <c r="O227" i="1"/>
  <c r="W227" i="1"/>
  <c r="K228" i="1"/>
  <c r="P228" i="1"/>
  <c r="P231" i="1" s="1"/>
  <c r="CP305" i="1"/>
  <c r="CP370" i="1" s="1"/>
  <c r="CP368" i="1" s="1"/>
  <c r="CQ194" i="1"/>
  <c r="CZ239" i="1"/>
  <c r="AC309" i="1"/>
  <c r="CX225" i="1"/>
  <c r="AD225" i="1" s="1"/>
  <c r="AD227" i="1" s="1"/>
  <c r="AD121" i="1" s="1"/>
  <c r="CW227" i="1"/>
  <c r="CD1" i="1"/>
  <c r="CE1" i="1" s="1"/>
  <c r="CF1" i="1" s="1"/>
  <c r="CG1" i="1" s="1"/>
  <c r="CH1" i="1" s="1"/>
  <c r="CI1" i="1" s="1"/>
  <c r="CJ1" i="1" s="1"/>
  <c r="L360" i="1"/>
  <c r="L362" i="1" s="1"/>
  <c r="J360" i="1"/>
  <c r="J362" i="1" s="1"/>
  <c r="J228" i="1"/>
  <c r="J231" i="1" s="1"/>
  <c r="M360" i="1"/>
  <c r="M362" i="1" s="1"/>
  <c r="B214" i="1"/>
  <c r="F214" i="1"/>
  <c r="F228" i="1"/>
  <c r="F231" i="1" s="1"/>
  <c r="I214" i="1"/>
  <c r="I228" i="1"/>
  <c r="C214" i="1"/>
  <c r="L214" i="1"/>
  <c r="L228" i="1"/>
  <c r="S228" i="1"/>
  <c r="S214" i="1"/>
  <c r="J214" i="1"/>
  <c r="S360" i="1"/>
  <c r="S362" i="1" s="1"/>
  <c r="M214" i="1"/>
  <c r="I360" i="1"/>
  <c r="I362" i="1" s="1"/>
  <c r="F360" i="1"/>
  <c r="F362" i="1" s="1"/>
  <c r="C360" i="1"/>
  <c r="C362" i="1" s="1"/>
  <c r="CV139" i="1" l="1"/>
  <c r="CV137" i="1"/>
  <c r="CV138" i="1"/>
  <c r="AD273" i="1"/>
  <c r="CW121" i="1"/>
  <c r="CW273" i="1"/>
  <c r="M228" i="1"/>
  <c r="M231" i="1" s="1"/>
  <c r="O261" i="1"/>
  <c r="AD138" i="1"/>
  <c r="AD139" i="1"/>
  <c r="AD137" i="1"/>
  <c r="W261" i="1"/>
  <c r="W121" i="1"/>
  <c r="CV140" i="1"/>
  <c r="CV153" i="1" s="1"/>
  <c r="CW138" i="1"/>
  <c r="CW137" i="1"/>
  <c r="CW139" i="1"/>
  <c r="CQ75" i="1"/>
  <c r="K231" i="1"/>
  <c r="Q231" i="1"/>
  <c r="U232" i="1"/>
  <c r="M261" i="1"/>
  <c r="H231" i="1"/>
  <c r="E231" i="1"/>
  <c r="V231" i="1"/>
  <c r="O228" i="1"/>
  <c r="W228" i="1"/>
  <c r="CQ361" i="1"/>
  <c r="CQ299" i="1"/>
  <c r="DA239" i="1"/>
  <c r="CX227" i="1"/>
  <c r="CY225" i="1"/>
  <c r="AB291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N232" i="1"/>
  <c r="G232" i="1"/>
  <c r="S231" i="1"/>
  <c r="I231" i="1"/>
  <c r="J232" i="1" s="1"/>
  <c r="L231" i="1"/>
  <c r="U80" i="2"/>
  <c r="Q63" i="2"/>
  <c r="U92" i="2"/>
  <c r="C47" i="2"/>
  <c r="D96" i="2"/>
  <c r="X105" i="2"/>
  <c r="I110" i="2"/>
  <c r="K111" i="2"/>
  <c r="P84" i="2"/>
  <c r="F57" i="2"/>
  <c r="Q93" i="2"/>
  <c r="K57" i="2"/>
  <c r="F84" i="2"/>
  <c r="I70" i="2"/>
  <c r="X88" i="2"/>
  <c r="H57" i="2"/>
  <c r="T98" i="2"/>
  <c r="C48" i="2"/>
  <c r="H105" i="2"/>
  <c r="V86" i="2"/>
  <c r="K66" i="2"/>
  <c r="E72" i="2"/>
  <c r="F85" i="2"/>
  <c r="O62" i="2"/>
  <c r="O77" i="2"/>
  <c r="K104" i="2"/>
  <c r="R64" i="2"/>
  <c r="O111" i="2"/>
  <c r="O84" i="2"/>
  <c r="C49" i="2"/>
  <c r="N52" i="2"/>
  <c r="O91" i="2"/>
  <c r="U99" i="2"/>
  <c r="I85" i="2"/>
  <c r="U53" i="2"/>
  <c r="F49" i="2"/>
  <c r="S97" i="2"/>
  <c r="M43" i="2"/>
  <c r="K46" i="2"/>
  <c r="S64" i="2"/>
  <c r="P90" i="2"/>
  <c r="L112" i="2"/>
  <c r="V71" i="2"/>
  <c r="H47" i="2"/>
  <c r="I64" i="2"/>
  <c r="T72" i="2"/>
  <c r="O45" i="2"/>
  <c r="W64" i="2"/>
  <c r="S91" i="2"/>
  <c r="H48" i="2"/>
  <c r="P97" i="2"/>
  <c r="I96" i="2"/>
  <c r="O46" i="2"/>
  <c r="C54" i="2"/>
  <c r="V59" i="2"/>
  <c r="M111" i="2"/>
  <c r="G65" i="2"/>
  <c r="K90" i="2"/>
  <c r="L45" i="2"/>
  <c r="Q80" i="2"/>
  <c r="I49" i="2"/>
  <c r="T90" i="2"/>
  <c r="S93" i="2"/>
  <c r="G90" i="2"/>
  <c r="E84" i="2"/>
  <c r="X50" i="2"/>
  <c r="R55" i="2"/>
  <c r="X113" i="2"/>
  <c r="X51" i="2"/>
  <c r="X107" i="2"/>
  <c r="E97" i="2"/>
  <c r="L97" i="2"/>
  <c r="E75" i="2"/>
  <c r="Q67" i="2"/>
  <c r="E55" i="2"/>
  <c r="W76" i="2"/>
  <c r="X65" i="2"/>
  <c r="W75" i="2"/>
  <c r="O63" i="2"/>
  <c r="H90" i="2"/>
  <c r="U42" i="2"/>
  <c r="O49" i="2"/>
  <c r="L72" i="2"/>
  <c r="X82" i="2"/>
  <c r="I99" i="2"/>
  <c r="G63" i="2"/>
  <c r="I105" i="2"/>
  <c r="E96" i="2"/>
  <c r="V60" i="2"/>
  <c r="V43" i="2"/>
  <c r="C45" i="2"/>
  <c r="T96" i="2"/>
  <c r="R44" i="2"/>
  <c r="F87" i="2"/>
  <c r="X106" i="2"/>
  <c r="D65" i="2"/>
  <c r="S73" i="2"/>
  <c r="G57" i="2"/>
  <c r="Q90" i="2"/>
  <c r="D95" i="2"/>
  <c r="P57" i="2"/>
  <c r="C87" i="2"/>
  <c r="I94" i="2"/>
  <c r="U48" i="2"/>
  <c r="I59" i="2"/>
  <c r="D40" i="2"/>
  <c r="H64" i="2"/>
  <c r="G84" i="2"/>
  <c r="C106" i="2"/>
  <c r="T105" i="2"/>
  <c r="X83" i="2"/>
  <c r="M57" i="2"/>
  <c r="L51" i="2"/>
  <c r="H44" i="2"/>
  <c r="R111" i="2"/>
  <c r="M72" i="2"/>
  <c r="F77" i="2"/>
  <c r="V79" i="2"/>
  <c r="H66" i="2"/>
  <c r="R42" i="2"/>
  <c r="N94" i="2"/>
  <c r="V108" i="2"/>
  <c r="N97" i="2"/>
  <c r="G92" i="2"/>
  <c r="F42" i="2"/>
  <c r="L94" i="2"/>
  <c r="J68" i="2"/>
  <c r="I87" i="2"/>
  <c r="G94" i="2"/>
  <c r="C81" i="2"/>
  <c r="K44" i="2"/>
  <c r="G52" i="2"/>
  <c r="N110" i="2"/>
  <c r="C50" i="2"/>
  <c r="K47" i="2"/>
  <c r="F91" i="2"/>
  <c r="D113" i="2"/>
  <c r="F47" i="2"/>
  <c r="D69" i="2"/>
  <c r="Q52" i="2"/>
  <c r="J108" i="2"/>
  <c r="C107" i="2"/>
  <c r="U46" i="2"/>
  <c r="P110" i="2"/>
  <c r="F50" i="2"/>
  <c r="O43" i="2"/>
  <c r="K51" i="2"/>
  <c r="T52" i="2"/>
  <c r="E52" i="2"/>
  <c r="W83" i="2"/>
  <c r="D71" i="2"/>
  <c r="U85" i="2"/>
  <c r="G109" i="2"/>
  <c r="C67" i="2"/>
  <c r="W88" i="2"/>
  <c r="P62" i="2"/>
  <c r="X42" i="2"/>
  <c r="F79" i="2"/>
  <c r="X104" i="2"/>
  <c r="D78" i="2"/>
  <c r="X98" i="2"/>
  <c r="L108" i="2"/>
  <c r="R94" i="2"/>
  <c r="H75" i="2"/>
  <c r="V51" i="2"/>
  <c r="L73" i="2"/>
  <c r="N46" i="2"/>
  <c r="I74" i="2"/>
  <c r="F65" i="2"/>
  <c r="L91" i="2"/>
  <c r="I72" i="2"/>
  <c r="V69" i="2"/>
  <c r="N42" i="2"/>
  <c r="N71" i="2"/>
  <c r="L83" i="2"/>
  <c r="X73" i="2"/>
  <c r="G96" i="2"/>
  <c r="H70" i="2"/>
  <c r="S84" i="2"/>
  <c r="W67" i="2"/>
  <c r="U59" i="2"/>
  <c r="K73" i="2"/>
  <c r="T44" i="2"/>
  <c r="F52" i="2"/>
  <c r="S45" i="2"/>
  <c r="R68" i="2"/>
  <c r="L93" i="2"/>
  <c r="C89" i="2"/>
  <c r="O80" i="2"/>
  <c r="X109" i="2"/>
  <c r="T55" i="2"/>
  <c r="D83" i="2"/>
  <c r="W47" i="2"/>
  <c r="T107" i="2"/>
  <c r="D46" i="2"/>
  <c r="C77" i="2"/>
  <c r="F66" i="2"/>
  <c r="E53" i="2"/>
  <c r="W77" i="2"/>
  <c r="E108" i="2"/>
  <c r="K41" i="2"/>
  <c r="W63" i="2"/>
  <c r="E58" i="2"/>
  <c r="P61" i="2"/>
  <c r="O50" i="2"/>
  <c r="T88" i="2"/>
  <c r="H112" i="2"/>
  <c r="P87" i="2"/>
  <c r="E99" i="2"/>
  <c r="Q79" i="2"/>
  <c r="Q61" i="2"/>
  <c r="I75" i="2"/>
  <c r="C88" i="2"/>
  <c r="E60" i="2"/>
  <c r="V50" i="2"/>
  <c r="X86" i="2"/>
  <c r="O68" i="2"/>
  <c r="J54" i="2"/>
  <c r="R46" i="2"/>
  <c r="P79" i="2"/>
  <c r="R57" i="2"/>
  <c r="D84" i="2"/>
  <c r="N111" i="2"/>
  <c r="I111" i="2"/>
  <c r="C61" i="2"/>
  <c r="N56" i="2"/>
  <c r="P54" i="2"/>
  <c r="M73" i="2"/>
  <c r="L61" i="2"/>
  <c r="S77" i="2"/>
  <c r="W95" i="2"/>
  <c r="J97" i="2"/>
  <c r="I73" i="2"/>
  <c r="P50" i="2"/>
  <c r="W93" i="2"/>
  <c r="C58" i="2"/>
  <c r="U81" i="2"/>
  <c r="R74" i="2"/>
  <c r="J73" i="2"/>
  <c r="U106" i="2"/>
  <c r="X78" i="2"/>
  <c r="Q110" i="2"/>
  <c r="S81" i="2"/>
  <c r="I112" i="2"/>
  <c r="X74" i="2"/>
  <c r="V87" i="2"/>
  <c r="D44" i="2"/>
  <c r="V47" i="2"/>
  <c r="N57" i="2"/>
  <c r="U66" i="2"/>
  <c r="D90" i="2"/>
  <c r="M46" i="2"/>
  <c r="O106" i="2"/>
  <c r="R98" i="2"/>
  <c r="K48" i="2"/>
  <c r="O104" i="2"/>
  <c r="G64" i="2"/>
  <c r="P46" i="2"/>
  <c r="E79" i="2"/>
  <c r="G50" i="2"/>
  <c r="H77" i="2"/>
  <c r="I54" i="2"/>
  <c r="J110" i="2"/>
  <c r="N69" i="2"/>
  <c r="U51" i="2"/>
  <c r="G41" i="2"/>
  <c r="N96" i="2"/>
  <c r="X64" i="2"/>
  <c r="O42" i="2"/>
  <c r="N80" i="2"/>
  <c r="C86" i="2"/>
  <c r="U93" i="2"/>
  <c r="H45" i="2"/>
  <c r="M91" i="2"/>
  <c r="N105" i="2"/>
  <c r="U61" i="2"/>
  <c r="J95" i="2"/>
  <c r="F99" i="2"/>
  <c r="L69" i="2"/>
  <c r="N106" i="2"/>
  <c r="M47" i="2"/>
  <c r="J49" i="2"/>
  <c r="O113" i="2"/>
  <c r="C41" i="2"/>
  <c r="K108" i="2"/>
  <c r="S79" i="2"/>
  <c r="X96" i="2"/>
  <c r="O110" i="2"/>
  <c r="T71" i="2"/>
  <c r="T58" i="2"/>
  <c r="S74" i="2"/>
  <c r="M45" i="2"/>
  <c r="P43" i="2"/>
  <c r="C51" i="2"/>
  <c r="V88" i="2"/>
  <c r="E94" i="2"/>
  <c r="E91" i="2"/>
  <c r="V83" i="2"/>
  <c r="K56" i="2"/>
  <c r="T113" i="2"/>
  <c r="L92" i="2"/>
  <c r="L43" i="2"/>
  <c r="H50" i="2"/>
  <c r="F44" i="2"/>
  <c r="E74" i="2"/>
  <c r="J45" i="2"/>
  <c r="R86" i="2"/>
  <c r="V80" i="2"/>
  <c r="E54" i="2"/>
  <c r="C66" i="2"/>
  <c r="M53" i="2"/>
  <c r="L44" i="2"/>
  <c r="J85" i="2"/>
  <c r="M88" i="2"/>
  <c r="J41" i="2"/>
  <c r="C84" i="2"/>
  <c r="N82" i="2"/>
  <c r="F60" i="2"/>
  <c r="S69" i="2"/>
  <c r="F105" i="2"/>
  <c r="S86" i="2"/>
  <c r="O105" i="2"/>
  <c r="I47" i="2"/>
  <c r="U77" i="2"/>
  <c r="S83" i="2"/>
  <c r="N63" i="2"/>
  <c r="S51" i="2"/>
  <c r="D105" i="2"/>
  <c r="E105" i="2"/>
  <c r="G51" i="2"/>
  <c r="U75" i="2"/>
  <c r="P99" i="2"/>
  <c r="V82" i="2"/>
  <c r="K75" i="2"/>
  <c r="J112" i="2"/>
  <c r="P71" i="2"/>
  <c r="R58" i="2"/>
  <c r="G43" i="2"/>
  <c r="H113" i="2"/>
  <c r="D88" i="2"/>
  <c r="R66" i="2"/>
  <c r="C99" i="2"/>
  <c r="R70" i="2"/>
  <c r="X43" i="2"/>
  <c r="Q51" i="2"/>
  <c r="I71" i="2"/>
  <c r="L47" i="2"/>
  <c r="M107" i="2"/>
  <c r="X68" i="2"/>
  <c r="E109" i="2"/>
  <c r="V40" i="2"/>
  <c r="V105" i="2"/>
  <c r="G56" i="2"/>
  <c r="G98" i="2"/>
  <c r="K94" i="2"/>
  <c r="T50" i="2"/>
  <c r="S63" i="2"/>
  <c r="Q88" i="2"/>
  <c r="L98" i="2"/>
  <c r="C104" i="2"/>
  <c r="I40" i="2"/>
  <c r="U76" i="2"/>
  <c r="F76" i="2"/>
  <c r="H52" i="2"/>
  <c r="C108" i="2"/>
  <c r="U52" i="2"/>
  <c r="X57" i="2"/>
  <c r="Q48" i="2"/>
  <c r="M109" i="2"/>
  <c r="T57" i="2"/>
  <c r="L54" i="2"/>
  <c r="R53" i="2"/>
  <c r="G44" i="2"/>
  <c r="S46" i="2"/>
  <c r="T79" i="2"/>
  <c r="C105" i="2"/>
  <c r="G54" i="2"/>
  <c r="Q73" i="2"/>
  <c r="Q84" i="2"/>
  <c r="I90" i="2"/>
  <c r="J64" i="2"/>
  <c r="C95" i="2"/>
  <c r="T67" i="2"/>
  <c r="E92" i="2"/>
  <c r="V81" i="2"/>
  <c r="T108" i="2"/>
  <c r="S94" i="2"/>
  <c r="D63" i="2"/>
  <c r="I66" i="2"/>
  <c r="U111" i="2"/>
  <c r="H71" i="2"/>
  <c r="P93" i="2"/>
  <c r="G55" i="2"/>
  <c r="O75" i="2"/>
  <c r="O85" i="2"/>
  <c r="N83" i="2"/>
  <c r="X54" i="2"/>
  <c r="T76" i="2"/>
  <c r="J71" i="2"/>
  <c r="Q91" i="2"/>
  <c r="P41" i="2"/>
  <c r="W111" i="2"/>
  <c r="V56" i="2"/>
  <c r="V46" i="2"/>
  <c r="L67" i="2"/>
  <c r="I80" i="2"/>
  <c r="N40" i="2"/>
  <c r="V93" i="2"/>
  <c r="N77" i="2"/>
  <c r="U98" i="2"/>
  <c r="L68" i="2"/>
  <c r="I63" i="2"/>
  <c r="F58" i="2"/>
  <c r="L84" i="2"/>
  <c r="K76" i="2"/>
  <c r="F71" i="2"/>
  <c r="F72" i="2"/>
  <c r="U83" i="2"/>
  <c r="L96" i="2"/>
  <c r="M68" i="2"/>
  <c r="E78" i="2"/>
  <c r="Q109" i="2"/>
  <c r="G112" i="2"/>
  <c r="O64" i="2"/>
  <c r="I95" i="2"/>
  <c r="X108" i="2"/>
  <c r="K72" i="2"/>
  <c r="D43" i="2"/>
  <c r="K107" i="2"/>
  <c r="V96" i="2"/>
  <c r="W71" i="2"/>
  <c r="K60" i="2"/>
  <c r="W55" i="2"/>
  <c r="K81" i="2"/>
  <c r="G80" i="2"/>
  <c r="K64" i="2"/>
  <c r="C85" i="2"/>
  <c r="M69" i="2"/>
  <c r="D82" i="2"/>
  <c r="O48" i="2"/>
  <c r="R79" i="2"/>
  <c r="S49" i="2"/>
  <c r="D73" i="2"/>
  <c r="X45" i="2"/>
  <c r="I108" i="2"/>
  <c r="O41" i="2"/>
  <c r="J80" i="2"/>
  <c r="H41" i="2"/>
  <c r="M94" i="2"/>
  <c r="I43" i="2"/>
  <c r="X53" i="2"/>
  <c r="P92" i="2"/>
  <c r="X71" i="2"/>
  <c r="I41" i="2"/>
  <c r="J52" i="2"/>
  <c r="D97" i="2"/>
  <c r="U73" i="2"/>
  <c r="V66" i="2"/>
  <c r="H58" i="2"/>
  <c r="W112" i="2"/>
  <c r="Q45" i="2"/>
  <c r="W97" i="2"/>
  <c r="J106" i="2"/>
  <c r="I55" i="2"/>
  <c r="L85" i="2"/>
  <c r="R110" i="2"/>
  <c r="O96" i="2"/>
  <c r="V77" i="2"/>
  <c r="J61" i="2"/>
  <c r="P63" i="2"/>
  <c r="I113" i="2"/>
  <c r="T80" i="2"/>
  <c r="F51" i="2"/>
  <c r="U89" i="2"/>
  <c r="D67" i="2"/>
  <c r="E77" i="2"/>
  <c r="N87" i="2"/>
  <c r="J83" i="2"/>
  <c r="Q92" i="2"/>
  <c r="K69" i="2"/>
  <c r="G108" i="2"/>
  <c r="X40" i="2"/>
  <c r="L76" i="2"/>
  <c r="C110" i="2"/>
  <c r="U54" i="2"/>
  <c r="L90" i="2"/>
  <c r="T53" i="2"/>
  <c r="P81" i="2"/>
  <c r="C57" i="2"/>
  <c r="X77" i="2"/>
  <c r="S104" i="2"/>
  <c r="V85" i="2"/>
  <c r="M99" i="2"/>
  <c r="G59" i="2"/>
  <c r="W96" i="2"/>
  <c r="Q70" i="2"/>
  <c r="H106" i="2"/>
  <c r="D70" i="2"/>
  <c r="H111" i="2"/>
  <c r="J67" i="2"/>
  <c r="H60" i="2"/>
  <c r="T43" i="2"/>
  <c r="C69" i="2"/>
  <c r="R83" i="2"/>
  <c r="W45" i="2"/>
  <c r="K86" i="2"/>
  <c r="H94" i="2"/>
  <c r="C80" i="2"/>
  <c r="G107" i="2"/>
  <c r="E81" i="2"/>
  <c r="I51" i="2"/>
  <c r="T84" i="2"/>
  <c r="O40" i="2"/>
  <c r="L41" i="2"/>
  <c r="K67" i="2"/>
  <c r="J113" i="2"/>
  <c r="C40" i="2"/>
  <c r="F81" i="2"/>
  <c r="I65" i="2"/>
  <c r="M77" i="2"/>
  <c r="T60" i="2"/>
  <c r="H104" i="2"/>
  <c r="Q87" i="2"/>
  <c r="C55" i="2"/>
  <c r="G49" i="2"/>
  <c r="I98" i="2"/>
  <c r="E86" i="2"/>
  <c r="O78" i="2"/>
  <c r="N72" i="2"/>
  <c r="U63" i="2"/>
  <c r="O60" i="2"/>
  <c r="I81" i="2"/>
  <c r="S66" i="2"/>
  <c r="O94" i="2"/>
  <c r="N89" i="2"/>
  <c r="E44" i="2"/>
  <c r="E42" i="2"/>
  <c r="P105" i="2"/>
  <c r="Q97" i="2"/>
  <c r="V54" i="2"/>
  <c r="R73" i="2"/>
  <c r="U44" i="2"/>
  <c r="J46" i="2"/>
  <c r="L48" i="2"/>
  <c r="R87" i="2"/>
  <c r="R112" i="2"/>
  <c r="J111" i="2"/>
  <c r="P60" i="2"/>
  <c r="X81" i="2"/>
  <c r="F78" i="2"/>
  <c r="F41" i="2"/>
  <c r="D89" i="2"/>
  <c r="J94" i="2"/>
  <c r="X56" i="2"/>
  <c r="U40" i="2"/>
  <c r="V57" i="2"/>
  <c r="C74" i="2"/>
  <c r="S42" i="2"/>
  <c r="G47" i="2"/>
  <c r="R84" i="2"/>
  <c r="U113" i="2"/>
  <c r="G40" i="2"/>
  <c r="E61" i="2"/>
  <c r="D52" i="2"/>
  <c r="N53" i="2"/>
  <c r="J96" i="2"/>
  <c r="L65" i="2"/>
  <c r="I53" i="2"/>
  <c r="O88" i="2"/>
  <c r="W65" i="2"/>
  <c r="L89" i="2"/>
  <c r="O66" i="2"/>
  <c r="E82" i="2"/>
  <c r="Q108" i="2"/>
  <c r="R48" i="2"/>
  <c r="S108" i="2"/>
  <c r="I86" i="2"/>
  <c r="E93" i="2"/>
  <c r="Q86" i="2"/>
  <c r="P45" i="2"/>
  <c r="M40" i="2"/>
  <c r="E64" i="2"/>
  <c r="H85" i="2"/>
  <c r="N91" i="2"/>
  <c r="P96" i="2"/>
  <c r="I109" i="2"/>
  <c r="F90" i="2"/>
  <c r="P49" i="2"/>
  <c r="R69" i="2"/>
  <c r="F104" i="2"/>
  <c r="J59" i="2"/>
  <c r="X44" i="2"/>
  <c r="G91" i="2"/>
  <c r="V112" i="2"/>
  <c r="C44" i="2"/>
  <c r="R50" i="2"/>
  <c r="Q89" i="2"/>
  <c r="R105" i="2"/>
  <c r="K71" i="2"/>
  <c r="G66" i="2"/>
  <c r="H84" i="2"/>
  <c r="G110" i="2"/>
  <c r="K78" i="2"/>
  <c r="E46" i="2"/>
  <c r="J50" i="2"/>
  <c r="C72" i="2"/>
  <c r="E67" i="2"/>
  <c r="V94" i="2"/>
  <c r="G105" i="2"/>
  <c r="E113" i="2"/>
  <c r="J81" i="2"/>
  <c r="Q43" i="2"/>
  <c r="L52" i="2"/>
  <c r="L74" i="2"/>
  <c r="C75" i="2"/>
  <c r="O95" i="2"/>
  <c r="W60" i="2"/>
  <c r="R89" i="2"/>
  <c r="T86" i="2"/>
  <c r="H91" i="2"/>
  <c r="O76" i="2"/>
  <c r="M54" i="2"/>
  <c r="V113" i="2"/>
  <c r="H72" i="2"/>
  <c r="F107" i="2"/>
  <c r="M63" i="2"/>
  <c r="H59" i="2"/>
  <c r="U41" i="2"/>
  <c r="N59" i="2"/>
  <c r="V107" i="2"/>
  <c r="U78" i="2"/>
  <c r="P53" i="2"/>
  <c r="S98" i="2"/>
  <c r="P51" i="2"/>
  <c r="H87" i="2"/>
  <c r="U108" i="2"/>
  <c r="I60" i="2"/>
  <c r="S71" i="2"/>
  <c r="J43" i="2"/>
  <c r="V61" i="2"/>
  <c r="L77" i="2"/>
  <c r="X55" i="2"/>
  <c r="U43" i="2"/>
  <c r="S85" i="2"/>
  <c r="C109" i="2"/>
  <c r="X80" i="2"/>
  <c r="U82" i="2"/>
  <c r="T68" i="2"/>
  <c r="U57" i="2"/>
  <c r="V49" i="2"/>
  <c r="I76" i="2"/>
  <c r="T94" i="2"/>
  <c r="H79" i="2"/>
  <c r="O65" i="2"/>
  <c r="S56" i="2"/>
  <c r="U64" i="2"/>
  <c r="H40" i="2"/>
  <c r="W90" i="2"/>
  <c r="J91" i="2"/>
  <c r="M74" i="2"/>
  <c r="M85" i="2"/>
  <c r="R62" i="2"/>
  <c r="W89" i="2"/>
  <c r="V68" i="2"/>
  <c r="U79" i="2"/>
  <c r="X49" i="2"/>
  <c r="K80" i="2"/>
  <c r="N76" i="2"/>
  <c r="V76" i="2"/>
  <c r="M83" i="2"/>
  <c r="T112" i="2"/>
  <c r="D107" i="2"/>
  <c r="P78" i="2"/>
  <c r="U47" i="2"/>
  <c r="J44" i="2"/>
  <c r="H110" i="2"/>
  <c r="U45" i="2"/>
  <c r="W82" i="2"/>
  <c r="S87" i="2"/>
  <c r="V48" i="2"/>
  <c r="O108" i="2"/>
  <c r="O98" i="2"/>
  <c r="F112" i="2"/>
  <c r="D61" i="2"/>
  <c r="S99" i="2"/>
  <c r="L111" i="2"/>
  <c r="O99" i="2"/>
  <c r="N54" i="2"/>
  <c r="W43" i="2"/>
  <c r="E51" i="2"/>
  <c r="I58" i="2"/>
  <c r="G113" i="2"/>
  <c r="U67" i="2"/>
  <c r="F55" i="2"/>
  <c r="N84" i="2"/>
  <c r="S43" i="2"/>
  <c r="F109" i="2"/>
  <c r="G93" i="2"/>
  <c r="N86" i="2"/>
  <c r="Q50" i="2"/>
  <c r="M42" i="2"/>
  <c r="G75" i="2"/>
  <c r="S61" i="2"/>
  <c r="M52" i="2"/>
  <c r="S59" i="2"/>
  <c r="E110" i="2"/>
  <c r="J75" i="2"/>
  <c r="P108" i="2"/>
  <c r="S90" i="2"/>
  <c r="K54" i="2"/>
  <c r="K70" i="2"/>
  <c r="K93" i="2"/>
  <c r="M89" i="2"/>
  <c r="S65" i="2"/>
  <c r="R95" i="2"/>
  <c r="W49" i="2"/>
  <c r="N79" i="2"/>
  <c r="R52" i="2"/>
  <c r="Q81" i="2"/>
  <c r="C63" i="2"/>
  <c r="T99" i="2"/>
  <c r="M81" i="2"/>
  <c r="W108" i="2"/>
  <c r="C96" i="2"/>
  <c r="E85" i="2"/>
  <c r="X76" i="2"/>
  <c r="T74" i="2"/>
  <c r="H65" i="2"/>
  <c r="L57" i="2"/>
  <c r="R82" i="2"/>
  <c r="K62" i="2"/>
  <c r="D87" i="2"/>
  <c r="I79" i="2"/>
  <c r="N65" i="2"/>
  <c r="E89" i="2"/>
  <c r="J77" i="2"/>
  <c r="G77" i="2"/>
  <c r="K110" i="2"/>
  <c r="R81" i="2"/>
  <c r="R96" i="2"/>
  <c r="S40" i="2"/>
  <c r="E68" i="2"/>
  <c r="Q95" i="2"/>
  <c r="L49" i="2"/>
  <c r="I91" i="2"/>
  <c r="D86" i="2"/>
  <c r="O52" i="2"/>
  <c r="V75" i="2"/>
  <c r="V84" i="2"/>
  <c r="G48" i="2"/>
  <c r="F56" i="2"/>
  <c r="Q65" i="2"/>
  <c r="N81" i="2"/>
  <c r="G95" i="2"/>
  <c r="O55" i="2"/>
  <c r="I44" i="2"/>
  <c r="R56" i="2"/>
  <c r="U60" i="2"/>
  <c r="E95" i="2"/>
  <c r="F83" i="2"/>
  <c r="R47" i="2"/>
  <c r="P76" i="2"/>
  <c r="P109" i="2"/>
  <c r="S53" i="2"/>
  <c r="U55" i="2"/>
  <c r="R93" i="2"/>
  <c r="L66" i="2"/>
  <c r="F59" i="2"/>
  <c r="N85" i="2"/>
  <c r="X60" i="2"/>
  <c r="H98" i="2"/>
  <c r="J88" i="2"/>
  <c r="J56" i="2"/>
  <c r="X79" i="2"/>
  <c r="F61" i="2"/>
  <c r="G62" i="2"/>
  <c r="U72" i="2"/>
  <c r="I104" i="2"/>
  <c r="J82" i="2"/>
  <c r="O92" i="2"/>
  <c r="P47" i="2"/>
  <c r="N75" i="2"/>
  <c r="W73" i="2"/>
  <c r="Q94" i="2"/>
  <c r="R107" i="2"/>
  <c r="J53" i="2"/>
  <c r="N95" i="2"/>
  <c r="Q113" i="2"/>
  <c r="W40" i="2"/>
  <c r="C97" i="2"/>
  <c r="P65" i="2"/>
  <c r="S78" i="2"/>
  <c r="F48" i="2"/>
  <c r="U69" i="2"/>
  <c r="H93" i="2"/>
  <c r="H51" i="2"/>
  <c r="G89" i="2"/>
  <c r="H62" i="2"/>
  <c r="R67" i="2"/>
  <c r="X90" i="2"/>
  <c r="L60" i="2"/>
  <c r="M93" i="2"/>
  <c r="C46" i="2"/>
  <c r="J57" i="2"/>
  <c r="T46" i="2"/>
  <c r="L79" i="2"/>
  <c r="T56" i="2"/>
  <c r="G86" i="2"/>
  <c r="M104" i="2"/>
  <c r="V73" i="2"/>
  <c r="C62" i="2"/>
  <c r="K83" i="2"/>
  <c r="M80" i="2"/>
  <c r="W81" i="2"/>
  <c r="R76" i="2"/>
  <c r="S95" i="2"/>
  <c r="V98" i="2"/>
  <c r="P94" i="2"/>
  <c r="P59" i="2"/>
  <c r="U58" i="2"/>
  <c r="W94" i="2"/>
  <c r="W51" i="2"/>
  <c r="E59" i="2"/>
  <c r="L42" i="2"/>
  <c r="K50" i="2"/>
  <c r="D110" i="2"/>
  <c r="P82" i="2"/>
  <c r="S111" i="2"/>
  <c r="N49" i="2"/>
  <c r="F54" i="2"/>
  <c r="H67" i="2"/>
  <c r="T111" i="2"/>
  <c r="P42" i="2"/>
  <c r="L53" i="2"/>
  <c r="D56" i="2"/>
  <c r="Q104" i="2"/>
  <c r="K40" i="2"/>
  <c r="D99" i="2"/>
  <c r="R91" i="2"/>
  <c r="Q72" i="2"/>
  <c r="O74" i="2"/>
  <c r="Q76" i="2"/>
  <c r="E71" i="2"/>
  <c r="L64" i="2"/>
  <c r="K63" i="2"/>
  <c r="K91" i="2"/>
  <c r="I62" i="2"/>
  <c r="T89" i="2"/>
  <c r="O69" i="2"/>
  <c r="L59" i="2"/>
  <c r="D112" i="2"/>
  <c r="D93" i="2"/>
  <c r="D50" i="2"/>
  <c r="Q99" i="2"/>
  <c r="W42" i="2"/>
  <c r="U90" i="2"/>
  <c r="C90" i="2"/>
  <c r="E87" i="2"/>
  <c r="D66" i="2"/>
  <c r="U56" i="2"/>
  <c r="T87" i="2"/>
  <c r="W79" i="2"/>
  <c r="K52" i="2"/>
  <c r="O87" i="2"/>
  <c r="D64" i="2"/>
  <c r="F97" i="2"/>
  <c r="I89" i="2"/>
  <c r="D111" i="2"/>
  <c r="P67" i="2"/>
  <c r="X46" i="2"/>
  <c r="K109" i="2"/>
  <c r="C82" i="2"/>
  <c r="D59" i="2"/>
  <c r="U70" i="2"/>
  <c r="E63" i="2"/>
  <c r="S112" i="2"/>
  <c r="T106" i="2"/>
  <c r="G78" i="2"/>
  <c r="G73" i="2"/>
  <c r="P98" i="2"/>
  <c r="C68" i="2"/>
  <c r="T63" i="2"/>
  <c r="V42" i="2"/>
  <c r="S57" i="2"/>
  <c r="S60" i="2"/>
  <c r="P72" i="2"/>
  <c r="C43" i="2"/>
  <c r="T47" i="2"/>
  <c r="D58" i="2"/>
  <c r="R59" i="2"/>
  <c r="F110" i="2"/>
  <c r="T54" i="2"/>
  <c r="I46" i="2"/>
  <c r="H108" i="2"/>
  <c r="N99" i="2"/>
  <c r="D68" i="2"/>
  <c r="T45" i="2"/>
  <c r="K82" i="2"/>
  <c r="N74" i="2"/>
  <c r="J60" i="2"/>
  <c r="Q96" i="2"/>
  <c r="W78" i="2"/>
  <c r="N51" i="2"/>
  <c r="T75" i="2"/>
  <c r="M56" i="2"/>
  <c r="O56" i="2"/>
  <c r="G58" i="2"/>
  <c r="G61" i="2"/>
  <c r="D74" i="2"/>
  <c r="P86" i="2"/>
  <c r="L105" i="2"/>
  <c r="X59" i="2"/>
  <c r="M113" i="2"/>
  <c r="S75" i="2"/>
  <c r="S44" i="2"/>
  <c r="T40" i="2"/>
  <c r="J87" i="2"/>
  <c r="Q85" i="2"/>
  <c r="H74" i="2"/>
  <c r="P70" i="2"/>
  <c r="F68" i="2"/>
  <c r="O51" i="2"/>
  <c r="V70" i="2"/>
  <c r="P56" i="2"/>
  <c r="K97" i="2"/>
  <c r="N41" i="2"/>
  <c r="H92" i="2"/>
  <c r="K106" i="2"/>
  <c r="T70" i="2"/>
  <c r="N98" i="2"/>
  <c r="E106" i="2"/>
  <c r="S58" i="2"/>
  <c r="P83" i="2"/>
  <c r="E43" i="2"/>
  <c r="T41" i="2"/>
  <c r="G70" i="2"/>
  <c r="Q71" i="2"/>
  <c r="J86" i="2"/>
  <c r="M62" i="2"/>
  <c r="W85" i="2"/>
  <c r="R104" i="2"/>
  <c r="P95" i="2"/>
  <c r="D62" i="2"/>
  <c r="F92" i="2"/>
  <c r="C60" i="2"/>
  <c r="T91" i="2"/>
  <c r="G83" i="2"/>
  <c r="S67" i="2"/>
  <c r="I61" i="2"/>
  <c r="R43" i="2"/>
  <c r="N68" i="2"/>
  <c r="G82" i="2"/>
  <c r="C93" i="2"/>
  <c r="L95" i="2"/>
  <c r="M92" i="2"/>
  <c r="H95" i="2"/>
  <c r="M60" i="2"/>
  <c r="J42" i="2"/>
  <c r="R97" i="2"/>
  <c r="L82" i="2"/>
  <c r="H80" i="2"/>
  <c r="U84" i="2"/>
  <c r="N45" i="2"/>
  <c r="F43" i="2"/>
  <c r="V110" i="2"/>
  <c r="H83" i="2"/>
  <c r="Q64" i="2"/>
  <c r="M50" i="2"/>
  <c r="C64" i="2"/>
  <c r="Q75" i="2"/>
  <c r="N67" i="2"/>
  <c r="R92" i="2"/>
  <c r="X58" i="2"/>
  <c r="X75" i="2"/>
  <c r="T104" i="2"/>
  <c r="T109" i="2"/>
  <c r="T92" i="2"/>
  <c r="M97" i="2"/>
  <c r="F106" i="2"/>
  <c r="S48" i="2"/>
  <c r="F64" i="2"/>
  <c r="E48" i="2"/>
  <c r="G99" i="2"/>
  <c r="U87" i="2"/>
  <c r="E73" i="2"/>
  <c r="M82" i="2"/>
  <c r="V89" i="2"/>
  <c r="M51" i="2"/>
  <c r="F53" i="2"/>
  <c r="D98" i="2"/>
  <c r="F111" i="2"/>
  <c r="O72" i="2"/>
  <c r="V63" i="2"/>
  <c r="K112" i="2"/>
  <c r="H76" i="2"/>
  <c r="V62" i="2"/>
  <c r="E70" i="2"/>
  <c r="N92" i="2"/>
  <c r="T42" i="2"/>
  <c r="T97" i="2"/>
  <c r="M84" i="2"/>
  <c r="D54" i="2"/>
  <c r="E90" i="2"/>
  <c r="N43" i="2"/>
  <c r="G45" i="2"/>
  <c r="Q106" i="2"/>
  <c r="H69" i="2"/>
  <c r="U107" i="2"/>
  <c r="U68" i="2"/>
  <c r="O53" i="2"/>
  <c r="M87" i="2"/>
  <c r="I56" i="2"/>
  <c r="V44" i="2"/>
  <c r="G71" i="2"/>
  <c r="V72" i="2"/>
  <c r="I107" i="2"/>
  <c r="S88" i="2"/>
  <c r="L99" i="2"/>
  <c r="N70" i="2"/>
  <c r="L70" i="2"/>
  <c r="X95" i="2"/>
  <c r="J90" i="2"/>
  <c r="Q62" i="2"/>
  <c r="R106" i="2"/>
  <c r="H73" i="2"/>
  <c r="J51" i="2"/>
  <c r="C94" i="2"/>
  <c r="T95" i="2"/>
  <c r="C76" i="2"/>
  <c r="K98" i="2"/>
  <c r="G88" i="2"/>
  <c r="F98" i="2"/>
  <c r="O109" i="2"/>
  <c r="G72" i="2"/>
  <c r="D57" i="2"/>
  <c r="L58" i="2"/>
  <c r="Q60" i="2"/>
  <c r="T77" i="2"/>
  <c r="O83" i="2"/>
  <c r="V99" i="2"/>
  <c r="E112" i="2"/>
  <c r="M106" i="2"/>
  <c r="S109" i="2"/>
  <c r="I52" i="2"/>
  <c r="W99" i="2"/>
  <c r="J79" i="2"/>
  <c r="V41" i="2"/>
  <c r="C78" i="2"/>
  <c r="G74" i="2"/>
  <c r="I68" i="2"/>
  <c r="V58" i="2"/>
  <c r="Q112" i="2"/>
  <c r="N44" i="2"/>
  <c r="R78" i="2"/>
  <c r="U65" i="2"/>
  <c r="P106" i="2"/>
  <c r="D49" i="2"/>
  <c r="O44" i="2"/>
  <c r="I93" i="2"/>
  <c r="W58" i="2"/>
  <c r="T48" i="2"/>
  <c r="H61" i="2"/>
  <c r="U104" i="2"/>
  <c r="F69" i="2"/>
  <c r="F74" i="2"/>
  <c r="O58" i="2"/>
  <c r="L78" i="2"/>
  <c r="O81" i="2"/>
  <c r="V74" i="2"/>
  <c r="E56" i="2"/>
  <c r="T81" i="2"/>
  <c r="M55" i="2"/>
  <c r="W53" i="2"/>
  <c r="N112" i="2"/>
  <c r="N90" i="2"/>
  <c r="O112" i="2"/>
  <c r="F62" i="2"/>
  <c r="L55" i="2"/>
  <c r="U112" i="2"/>
  <c r="K49" i="2"/>
  <c r="X110" i="2"/>
  <c r="I88" i="2"/>
  <c r="U74" i="2"/>
  <c r="J65" i="2"/>
  <c r="V92" i="2"/>
  <c r="J89" i="2"/>
  <c r="D104" i="2"/>
  <c r="H109" i="2"/>
  <c r="P107" i="2"/>
  <c r="M98" i="2"/>
  <c r="D94" i="2"/>
  <c r="V106" i="2"/>
  <c r="E49" i="2"/>
  <c r="J76" i="2"/>
  <c r="M64" i="2"/>
  <c r="F67" i="2"/>
  <c r="F73" i="2"/>
  <c r="W84" i="2"/>
  <c r="N73" i="2"/>
  <c r="W59" i="2"/>
  <c r="W52" i="2"/>
  <c r="T49" i="2"/>
  <c r="E41" i="2"/>
  <c r="U97" i="2"/>
  <c r="L109" i="2"/>
  <c r="P68" i="2"/>
  <c r="L107" i="2"/>
  <c r="O97" i="2"/>
  <c r="V111" i="2"/>
  <c r="R108" i="2"/>
  <c r="I83" i="2"/>
  <c r="E80" i="2"/>
  <c r="J58" i="2"/>
  <c r="P64" i="2"/>
  <c r="X48" i="2"/>
  <c r="M71" i="2"/>
  <c r="S70" i="2"/>
  <c r="J63" i="2"/>
  <c r="X52" i="2"/>
  <c r="O47" i="2"/>
  <c r="U49" i="2"/>
  <c r="M61" i="2"/>
  <c r="S113" i="2"/>
  <c r="T51" i="2"/>
  <c r="S107" i="2"/>
  <c r="M67" i="2"/>
  <c r="O73" i="2"/>
  <c r="O82" i="2"/>
  <c r="M44" i="2"/>
  <c r="J84" i="2"/>
  <c r="G87" i="2"/>
  <c r="F82" i="2"/>
  <c r="T59" i="2"/>
  <c r="Q49" i="2"/>
  <c r="W106" i="2"/>
  <c r="L46" i="2"/>
  <c r="I57" i="2"/>
  <c r="J55" i="2"/>
  <c r="S76" i="2"/>
  <c r="T62" i="2"/>
  <c r="V67" i="2"/>
  <c r="L87" i="2"/>
  <c r="N107" i="2"/>
  <c r="W68" i="2"/>
  <c r="R49" i="2"/>
  <c r="R72" i="2"/>
  <c r="U86" i="2"/>
  <c r="R60" i="2"/>
  <c r="N64" i="2"/>
  <c r="X62" i="2"/>
  <c r="H89" i="2"/>
  <c r="V97" i="2"/>
  <c r="F113" i="2"/>
  <c r="J105" i="2"/>
  <c r="V104" i="2"/>
  <c r="H96" i="2"/>
  <c r="I42" i="2"/>
  <c r="C42" i="2"/>
  <c r="V45" i="2"/>
  <c r="D79" i="2"/>
  <c r="D51" i="2"/>
  <c r="K42" i="2"/>
  <c r="H82" i="2"/>
  <c r="J109" i="2"/>
  <c r="H97" i="2"/>
  <c r="D92" i="2"/>
  <c r="K74" i="2"/>
  <c r="N62" i="2"/>
  <c r="U50" i="2"/>
  <c r="C71" i="2"/>
  <c r="X111" i="2"/>
  <c r="S41" i="2"/>
  <c r="W57" i="2"/>
  <c r="K55" i="2"/>
  <c r="P113" i="2"/>
  <c r="W113" i="2"/>
  <c r="J99" i="2"/>
  <c r="D60" i="2"/>
  <c r="H55" i="2"/>
  <c r="G111" i="2"/>
  <c r="P75" i="2"/>
  <c r="S110" i="2"/>
  <c r="V65" i="2"/>
  <c r="Q105" i="2"/>
  <c r="K58" i="2"/>
  <c r="P66" i="2"/>
  <c r="Q66" i="2"/>
  <c r="R63" i="2"/>
  <c r="N108" i="2"/>
  <c r="X87" i="2"/>
  <c r="M59" i="2"/>
  <c r="L86" i="2"/>
  <c r="I82" i="2"/>
  <c r="O59" i="2"/>
  <c r="S54" i="2"/>
  <c r="P91" i="2"/>
  <c r="V78" i="2"/>
  <c r="L56" i="2"/>
  <c r="G76" i="2"/>
  <c r="J62" i="2"/>
  <c r="G106" i="2"/>
  <c r="F46" i="2"/>
  <c r="H81" i="2"/>
  <c r="W61" i="2"/>
  <c r="O93" i="2"/>
  <c r="U110" i="2"/>
  <c r="G46" i="2"/>
  <c r="Q77" i="2"/>
  <c r="J74" i="2"/>
  <c r="M79" i="2"/>
  <c r="D106" i="2"/>
  <c r="M110" i="2"/>
  <c r="O90" i="2"/>
  <c r="O67" i="2"/>
  <c r="I78" i="2"/>
  <c r="W72" i="2"/>
  <c r="L104" i="2"/>
  <c r="V90" i="2"/>
  <c r="U94" i="2"/>
  <c r="C83" i="2"/>
  <c r="T73" i="2"/>
  <c r="E57" i="2"/>
  <c r="Q111" i="2"/>
  <c r="F70" i="2"/>
  <c r="M58" i="2"/>
  <c r="W69" i="2"/>
  <c r="O57" i="2"/>
  <c r="I69" i="2"/>
  <c r="D80" i="2"/>
  <c r="T93" i="2"/>
  <c r="F96" i="2"/>
  <c r="R65" i="2"/>
  <c r="P104" i="2"/>
  <c r="C53" i="2"/>
  <c r="E69" i="2"/>
  <c r="J48" i="2"/>
  <c r="F88" i="2"/>
  <c r="Q53" i="2"/>
  <c r="W44" i="2"/>
  <c r="T61" i="2"/>
  <c r="M76" i="2"/>
  <c r="R80" i="2"/>
  <c r="Q47" i="2"/>
  <c r="N88" i="2"/>
  <c r="G97" i="2"/>
  <c r="D76" i="2"/>
  <c r="K84" i="2"/>
  <c r="W110" i="2"/>
  <c r="N47" i="2"/>
  <c r="N60" i="2"/>
  <c r="L50" i="2"/>
  <c r="E107" i="2"/>
  <c r="M108" i="2"/>
  <c r="S82" i="2"/>
  <c r="D72" i="2"/>
  <c r="T82" i="2"/>
  <c r="G69" i="2"/>
  <c r="Q83" i="2"/>
  <c r="T78" i="2"/>
  <c r="J104" i="2"/>
  <c r="X99" i="2"/>
  <c r="E111" i="2"/>
  <c r="K92" i="2"/>
  <c r="G67" i="2"/>
  <c r="M96" i="2"/>
  <c r="R99" i="2"/>
  <c r="D108" i="2"/>
  <c r="S68" i="2"/>
  <c r="G104" i="2"/>
  <c r="D77" i="2"/>
  <c r="X70" i="2"/>
  <c r="W80" i="2"/>
  <c r="P74" i="2"/>
  <c r="M105" i="2"/>
  <c r="X61" i="2"/>
  <c r="G81" i="2"/>
  <c r="O79" i="2"/>
  <c r="U91" i="2"/>
  <c r="E47" i="2"/>
  <c r="R109" i="2"/>
  <c r="T64" i="2"/>
  <c r="P58" i="2"/>
  <c r="R71" i="2"/>
  <c r="D81" i="2"/>
  <c r="F45" i="2"/>
  <c r="P73" i="2"/>
  <c r="G85" i="2"/>
  <c r="D45" i="2"/>
  <c r="K77" i="2"/>
  <c r="C70" i="2"/>
  <c r="E65" i="2"/>
  <c r="O86" i="2"/>
  <c r="S52" i="2"/>
  <c r="M66" i="2"/>
  <c r="W56" i="2"/>
  <c r="R45" i="2"/>
  <c r="K45" i="2"/>
  <c r="E98" i="2"/>
  <c r="V95" i="2"/>
  <c r="F108" i="2"/>
  <c r="I92" i="2"/>
  <c r="S105" i="2"/>
  <c r="E83" i="2"/>
  <c r="W86" i="2"/>
  <c r="J66" i="2"/>
  <c r="R61" i="2"/>
  <c r="K96" i="2"/>
  <c r="C91" i="2"/>
  <c r="L81" i="2"/>
  <c r="P111" i="2"/>
  <c r="T83" i="2"/>
  <c r="O61" i="2"/>
  <c r="P55" i="2"/>
  <c r="J72" i="2"/>
  <c r="T65" i="2"/>
  <c r="I84" i="2"/>
  <c r="M41" i="2"/>
  <c r="C52" i="2"/>
  <c r="O70" i="2"/>
  <c r="K88" i="2"/>
  <c r="U105" i="2"/>
  <c r="R77" i="2"/>
  <c r="K99" i="2"/>
  <c r="N61" i="2"/>
  <c r="M90" i="2"/>
  <c r="H78" i="2"/>
  <c r="V91" i="2"/>
  <c r="H86" i="2"/>
  <c r="N66" i="2"/>
  <c r="Q44" i="2"/>
  <c r="X47" i="2"/>
  <c r="P77" i="2"/>
  <c r="N50" i="2"/>
  <c r="C56" i="2"/>
  <c r="N48" i="2"/>
  <c r="L75" i="2"/>
  <c r="L113" i="2"/>
  <c r="I97" i="2"/>
  <c r="X91" i="2"/>
  <c r="R41" i="2"/>
  <c r="P112" i="2"/>
  <c r="I77" i="2"/>
  <c r="J70" i="2"/>
  <c r="L40" i="2"/>
  <c r="O71" i="2"/>
  <c r="M70" i="2"/>
  <c r="Q40" i="2"/>
  <c r="H107" i="2"/>
  <c r="U109" i="2"/>
  <c r="W41" i="2"/>
  <c r="R40" i="2"/>
  <c r="W91" i="2"/>
  <c r="K105" i="2"/>
  <c r="N55" i="2"/>
  <c r="K79" i="2"/>
  <c r="X84" i="2"/>
  <c r="M86" i="2"/>
  <c r="E62" i="2"/>
  <c r="W87" i="2"/>
  <c r="G68" i="2"/>
  <c r="H63" i="2"/>
  <c r="V64" i="2"/>
  <c r="I50" i="2"/>
  <c r="C79" i="2"/>
  <c r="J92" i="2"/>
  <c r="E104" i="2"/>
  <c r="E50" i="2"/>
  <c r="T110" i="2"/>
  <c r="W48" i="2"/>
  <c r="O107" i="2"/>
  <c r="J47" i="2"/>
  <c r="L62" i="2"/>
  <c r="D55" i="2"/>
  <c r="X97" i="2"/>
  <c r="X94" i="2"/>
  <c r="R85" i="2"/>
  <c r="K89" i="2"/>
  <c r="I48" i="2"/>
  <c r="S92" i="2"/>
  <c r="L80" i="2"/>
  <c r="S106" i="2"/>
  <c r="N93" i="2"/>
  <c r="H53" i="2"/>
  <c r="W105" i="2"/>
  <c r="X67" i="2"/>
  <c r="M75" i="2"/>
  <c r="D41" i="2"/>
  <c r="O89" i="2"/>
  <c r="L71" i="2"/>
  <c r="P89" i="2"/>
  <c r="D42" i="2"/>
  <c r="H43" i="2"/>
  <c r="C73" i="2"/>
  <c r="M49" i="2"/>
  <c r="H42" i="2"/>
  <c r="D85" i="2"/>
  <c r="H46" i="2"/>
  <c r="N113" i="2"/>
  <c r="L63" i="2"/>
  <c r="K61" i="2"/>
  <c r="U96" i="2"/>
  <c r="U88" i="2"/>
  <c r="M112" i="2"/>
  <c r="Q42" i="2"/>
  <c r="G79" i="2"/>
  <c r="N58" i="2"/>
  <c r="W92" i="2"/>
  <c r="Q107" i="2"/>
  <c r="D109" i="2"/>
  <c r="F95" i="2"/>
  <c r="X69" i="2"/>
  <c r="H68" i="2"/>
  <c r="D48" i="2"/>
  <c r="C98" i="2"/>
  <c r="W107" i="2"/>
  <c r="W50" i="2"/>
  <c r="E66" i="2"/>
  <c r="Q74" i="2"/>
  <c r="D75" i="2"/>
  <c r="X112" i="2"/>
  <c r="F94" i="2"/>
  <c r="W54" i="2"/>
  <c r="F93" i="2"/>
  <c r="X93" i="2"/>
  <c r="X72" i="2"/>
  <c r="E76" i="2"/>
  <c r="R88" i="2"/>
  <c r="R113" i="2"/>
  <c r="L106" i="2"/>
  <c r="T69" i="2"/>
  <c r="D91" i="2"/>
  <c r="G60" i="2"/>
  <c r="R90" i="2"/>
  <c r="W62" i="2"/>
  <c r="E88" i="2"/>
  <c r="V55" i="2"/>
  <c r="L88" i="2"/>
  <c r="U71" i="2"/>
  <c r="Q82" i="2"/>
  <c r="K68" i="2"/>
  <c r="G42" i="2"/>
  <c r="I106" i="2"/>
  <c r="P80" i="2"/>
  <c r="S47" i="2"/>
  <c r="L110" i="2"/>
  <c r="S80" i="2"/>
  <c r="H56" i="2"/>
  <c r="S89" i="2"/>
  <c r="R75" i="2"/>
  <c r="I67" i="2"/>
  <c r="N104" i="2"/>
  <c r="J40" i="2"/>
  <c r="P52" i="2"/>
  <c r="S96" i="2"/>
  <c r="K53" i="2"/>
  <c r="X85" i="2"/>
  <c r="M65" i="2"/>
  <c r="T85" i="2"/>
  <c r="I45" i="2"/>
  <c r="P88" i="2"/>
  <c r="J93" i="2"/>
  <c r="T66" i="2"/>
  <c r="W66" i="2"/>
  <c r="M95" i="2"/>
  <c r="W104" i="2"/>
  <c r="F80" i="2"/>
  <c r="R51" i="2"/>
  <c r="V53" i="2"/>
  <c r="J78" i="2"/>
  <c r="S55" i="2"/>
  <c r="N109" i="2"/>
  <c r="J107" i="2"/>
  <c r="D53" i="2"/>
  <c r="V52" i="2"/>
  <c r="W109" i="2"/>
  <c r="S72" i="2"/>
  <c r="E40" i="2"/>
  <c r="J98" i="2"/>
  <c r="K113" i="2"/>
  <c r="Q98" i="2"/>
  <c r="V109" i="2"/>
  <c r="U95" i="2"/>
  <c r="P85" i="2"/>
  <c r="Q41" i="2"/>
  <c r="M48" i="2"/>
  <c r="X89" i="2"/>
  <c r="M78" i="2"/>
  <c r="G53" i="2"/>
  <c r="W98" i="2"/>
  <c r="U62" i="2"/>
  <c r="P44" i="2"/>
  <c r="H88" i="2"/>
  <c r="N78" i="2"/>
  <c r="S50" i="2"/>
  <c r="F40" i="2"/>
  <c r="K95" i="2"/>
  <c r="K65" i="2"/>
  <c r="C92" i="2"/>
  <c r="O54" i="2"/>
  <c r="Q68" i="2"/>
  <c r="F86" i="2"/>
  <c r="J69" i="2"/>
  <c r="P48" i="2"/>
  <c r="F63" i="2"/>
  <c r="P40" i="2"/>
  <c r="K85" i="2"/>
  <c r="CX121" i="1" l="1"/>
  <c r="CX273" i="1"/>
  <c r="AD140" i="1"/>
  <c r="AD153" i="1" s="1"/>
  <c r="J337" i="1"/>
  <c r="E299" i="1"/>
  <c r="O292" i="1"/>
  <c r="E302" i="1"/>
  <c r="E298" i="1" s="1"/>
  <c r="P303" i="1"/>
  <c r="N320" i="1"/>
  <c r="N350" i="1" s="1"/>
  <c r="J338" i="1"/>
  <c r="R316" i="1"/>
  <c r="M327" i="1"/>
  <c r="L327" i="1"/>
  <c r="L292" i="1"/>
  <c r="P284" i="1"/>
  <c r="O337" i="1"/>
  <c r="T338" i="1"/>
  <c r="J236" i="1"/>
  <c r="R309" i="1"/>
  <c r="U318" i="1"/>
  <c r="I240" i="1"/>
  <c r="I274" i="1" s="1"/>
  <c r="I327" i="1"/>
  <c r="Q317" i="1"/>
  <c r="E314" i="1"/>
  <c r="L338" i="1"/>
  <c r="I339" i="1"/>
  <c r="H289" i="1"/>
  <c r="S337" i="1"/>
  <c r="W337" i="1"/>
  <c r="O318" i="1"/>
  <c r="H304" i="1"/>
  <c r="Q326" i="1"/>
  <c r="G294" i="1"/>
  <c r="R314" i="1"/>
  <c r="K229" i="1"/>
  <c r="K230" i="1" s="1"/>
  <c r="R291" i="1"/>
  <c r="O314" i="1"/>
  <c r="H239" i="1"/>
  <c r="F285" i="1"/>
  <c r="J303" i="1"/>
  <c r="T307" i="1"/>
  <c r="K239" i="1"/>
  <c r="K273" i="1" s="1"/>
  <c r="Q236" i="1"/>
  <c r="D311" i="1"/>
  <c r="D346" i="1" s="1"/>
  <c r="W309" i="1"/>
  <c r="W339" i="1"/>
  <c r="E339" i="1"/>
  <c r="V320" i="1"/>
  <c r="V350" i="1" s="1"/>
  <c r="W235" i="1"/>
  <c r="C326" i="1"/>
  <c r="V316" i="1"/>
  <c r="V240" i="1"/>
  <c r="V146" i="1" s="1"/>
  <c r="C292" i="1"/>
  <c r="G303" i="1"/>
  <c r="E338" i="1"/>
  <c r="P240" i="1"/>
  <c r="P274" i="1" s="1"/>
  <c r="F313" i="1"/>
  <c r="P285" i="1"/>
  <c r="L235" i="1"/>
  <c r="K299" i="1"/>
  <c r="M236" i="1"/>
  <c r="C337" i="1"/>
  <c r="G285" i="1"/>
  <c r="L330" i="1"/>
  <c r="B310" i="1"/>
  <c r="G286" i="1"/>
  <c r="C285" i="1"/>
  <c r="K307" i="1"/>
  <c r="C284" i="1"/>
  <c r="L326" i="1"/>
  <c r="W304" i="1"/>
  <c r="M339" i="1"/>
  <c r="R239" i="1"/>
  <c r="K314" i="1"/>
  <c r="H292" i="1"/>
  <c r="Q337" i="1"/>
  <c r="I291" i="1"/>
  <c r="N240" i="1"/>
  <c r="V292" i="1"/>
  <c r="S229" i="1"/>
  <c r="S230" i="1" s="1"/>
  <c r="D316" i="1"/>
  <c r="D225" i="1"/>
  <c r="B313" i="1"/>
  <c r="H316" i="1"/>
  <c r="U300" i="1"/>
  <c r="G299" i="1"/>
  <c r="F303" i="1"/>
  <c r="V293" i="1"/>
  <c r="V321" i="1" s="1"/>
  <c r="D298" i="1"/>
  <c r="L302" i="1"/>
  <c r="L298" i="1" s="1"/>
  <c r="J313" i="1"/>
  <c r="V284" i="1"/>
  <c r="G240" i="1"/>
  <c r="G265" i="1" s="1"/>
  <c r="N307" i="1"/>
  <c r="H312" i="1"/>
  <c r="H347" i="1" s="1"/>
  <c r="O235" i="1"/>
  <c r="Q284" i="1"/>
  <c r="K236" i="1"/>
  <c r="K326" i="1"/>
  <c r="M292" i="1"/>
  <c r="B294" i="1"/>
  <c r="M316" i="1"/>
  <c r="O312" i="1"/>
  <c r="O347" i="1" s="1"/>
  <c r="W291" i="1"/>
  <c r="G302" i="1"/>
  <c r="G298" i="1" s="1"/>
  <c r="G327" i="1"/>
  <c r="Q312" i="1"/>
  <c r="Q347" i="1" s="1"/>
  <c r="J293" i="1"/>
  <c r="J321" i="1" s="1"/>
  <c r="B318" i="1"/>
  <c r="L284" i="1"/>
  <c r="I309" i="1"/>
  <c r="S331" i="1"/>
  <c r="V302" i="1"/>
  <c r="V298" i="1" s="1"/>
  <c r="D331" i="1"/>
  <c r="E241" i="1"/>
  <c r="U338" i="1"/>
  <c r="J289" i="1"/>
  <c r="Q289" i="1"/>
  <c r="V294" i="1"/>
  <c r="R318" i="1"/>
  <c r="N302" i="1"/>
  <c r="N298" i="1" s="1"/>
  <c r="J312" i="1"/>
  <c r="J347" i="1" s="1"/>
  <c r="C289" i="1"/>
  <c r="F337" i="1"/>
  <c r="O310" i="1"/>
  <c r="E289" i="1"/>
  <c r="Q307" i="1"/>
  <c r="S300" i="1"/>
  <c r="D291" i="1"/>
  <c r="N313" i="1"/>
  <c r="V314" i="1"/>
  <c r="C312" i="1"/>
  <c r="C347" i="1" s="1"/>
  <c r="R303" i="1"/>
  <c r="C241" i="1"/>
  <c r="F304" i="1"/>
  <c r="S327" i="1"/>
  <c r="P331" i="1"/>
  <c r="C309" i="1"/>
  <c r="L241" i="1"/>
  <c r="D240" i="1"/>
  <c r="K316" i="1"/>
  <c r="M291" i="1"/>
  <c r="V229" i="1"/>
  <c r="V230" i="1" s="1"/>
  <c r="C311" i="1"/>
  <c r="P291" i="1"/>
  <c r="Q314" i="1"/>
  <c r="L311" i="1"/>
  <c r="L346" i="1" s="1"/>
  <c r="I292" i="1"/>
  <c r="S339" i="1"/>
  <c r="C314" i="1"/>
  <c r="N322" i="1"/>
  <c r="D322" i="1"/>
  <c r="S310" i="1"/>
  <c r="B331" i="1"/>
  <c r="V309" i="1"/>
  <c r="H327" i="1"/>
  <c r="N304" i="1"/>
  <c r="L229" i="1"/>
  <c r="L230" i="1" s="1"/>
  <c r="C239" i="1"/>
  <c r="L313" i="1"/>
  <c r="P312" i="1"/>
  <c r="P347" i="1" s="1"/>
  <c r="T229" i="1"/>
  <c r="T230" i="1" s="1"/>
  <c r="N339" i="1"/>
  <c r="F239" i="1"/>
  <c r="F273" i="1" s="1"/>
  <c r="F311" i="1"/>
  <c r="F346" i="1" s="1"/>
  <c r="K294" i="1"/>
  <c r="U327" i="1"/>
  <c r="R320" i="1"/>
  <c r="R350" i="1" s="1"/>
  <c r="K302" i="1"/>
  <c r="K298" i="1" s="1"/>
  <c r="W293" i="1"/>
  <c r="W321" i="1" s="1"/>
  <c r="M241" i="1"/>
  <c r="Q299" i="1"/>
  <c r="R229" i="1"/>
  <c r="R230" i="1" s="1"/>
  <c r="O326" i="1"/>
  <c r="V236" i="1"/>
  <c r="O236" i="1"/>
  <c r="V322" i="1"/>
  <c r="R284" i="1"/>
  <c r="B307" i="1"/>
  <c r="T316" i="1"/>
  <c r="J285" i="1"/>
  <c r="C317" i="1"/>
  <c r="C313" i="1"/>
  <c r="U289" i="1"/>
  <c r="B285" i="1"/>
  <c r="H285" i="1"/>
  <c r="E236" i="1"/>
  <c r="M300" i="1"/>
  <c r="T302" i="1"/>
  <c r="T298" i="1" s="1"/>
  <c r="Q309" i="1"/>
  <c r="Q330" i="1"/>
  <c r="V303" i="1"/>
  <c r="M240" i="1"/>
  <c r="M251" i="1" s="1"/>
  <c r="K293" i="1"/>
  <c r="K321" i="1" s="1"/>
  <c r="U304" i="1"/>
  <c r="R311" i="1"/>
  <c r="R346" i="1" s="1"/>
  <c r="H322" i="1"/>
  <c r="V239" i="1"/>
  <c r="P330" i="1"/>
  <c r="F293" i="1"/>
  <c r="F321" i="1" s="1"/>
  <c r="N310" i="1"/>
  <c r="L304" i="1"/>
  <c r="R240" i="1"/>
  <c r="R274" i="1" s="1"/>
  <c r="S317" i="1"/>
  <c r="R236" i="1"/>
  <c r="T330" i="1"/>
  <c r="N291" i="1"/>
  <c r="W318" i="1"/>
  <c r="I299" i="1"/>
  <c r="L307" i="1"/>
  <c r="W292" i="1"/>
  <c r="O300" i="1"/>
  <c r="D314" i="1"/>
  <c r="H331" i="1"/>
  <c r="Q241" i="1"/>
  <c r="Q266" i="1" s="1"/>
  <c r="K240" i="1"/>
  <c r="K274" i="1" s="1"/>
  <c r="O303" i="1"/>
  <c r="D284" i="1"/>
  <c r="S330" i="1"/>
  <c r="V318" i="1"/>
  <c r="M310" i="1"/>
  <c r="E310" i="1"/>
  <c r="E304" i="1"/>
  <c r="L300" i="1"/>
  <c r="I311" i="1"/>
  <c r="I346" i="1" s="1"/>
  <c r="D330" i="1"/>
  <c r="U239" i="1"/>
  <c r="O240" i="1"/>
  <c r="O265" i="1" s="1"/>
  <c r="C225" i="1"/>
  <c r="W229" i="1"/>
  <c r="J330" i="1"/>
  <c r="T235" i="1"/>
  <c r="N235" i="1"/>
  <c r="M235" i="1"/>
  <c r="D294" i="1"/>
  <c r="K327" i="1"/>
  <c r="K328" i="1" s="1"/>
  <c r="S292" i="1"/>
  <c r="H339" i="1"/>
  <c r="C330" i="1"/>
  <c r="O239" i="1"/>
  <c r="Q327" i="1"/>
  <c r="P235" i="1"/>
  <c r="H303" i="1"/>
  <c r="B327" i="1"/>
  <c r="U284" i="1"/>
  <c r="I313" i="1"/>
  <c r="H318" i="1"/>
  <c r="L239" i="1"/>
  <c r="D235" i="1"/>
  <c r="N331" i="1"/>
  <c r="S312" i="1"/>
  <c r="S347" i="1" s="1"/>
  <c r="C322" i="1"/>
  <c r="F309" i="1"/>
  <c r="B311" i="1"/>
  <c r="B346" i="1" s="1"/>
  <c r="S338" i="1"/>
  <c r="I317" i="1"/>
  <c r="G310" i="1"/>
  <c r="Q239" i="1"/>
  <c r="W338" i="1"/>
  <c r="H240" i="1"/>
  <c r="H274" i="1" s="1"/>
  <c r="U309" i="1"/>
  <c r="F307" i="1"/>
  <c r="H294" i="1"/>
  <c r="L293" i="1"/>
  <c r="L321" i="1" s="1"/>
  <c r="T303" i="1"/>
  <c r="T240" i="1"/>
  <c r="P239" i="1"/>
  <c r="F289" i="1"/>
  <c r="M286" i="1"/>
  <c r="C320" i="1"/>
  <c r="C350" i="1" s="1"/>
  <c r="S285" i="1"/>
  <c r="G311" i="1"/>
  <c r="G346" i="1" s="1"/>
  <c r="J235" i="1"/>
  <c r="U299" i="1"/>
  <c r="N309" i="1"/>
  <c r="L317" i="1"/>
  <c r="D310" i="1"/>
  <c r="T293" i="1"/>
  <c r="T321" i="1" s="1"/>
  <c r="D292" i="1"/>
  <c r="E300" i="1"/>
  <c r="R292" i="1"/>
  <c r="E239" i="1"/>
  <c r="W326" i="1"/>
  <c r="M304" i="1"/>
  <c r="P326" i="1"/>
  <c r="P328" i="1" s="1"/>
  <c r="Q376" i="1" s="1"/>
  <c r="B300" i="1"/>
  <c r="L316" i="1"/>
  <c r="P300" i="1"/>
  <c r="G331" i="1"/>
  <c r="U229" i="1"/>
  <c r="U230" i="1" s="1"/>
  <c r="E286" i="1"/>
  <c r="M289" i="1"/>
  <c r="G314" i="1"/>
  <c r="I285" i="1"/>
  <c r="G338" i="1"/>
  <c r="K338" i="1"/>
  <c r="B339" i="1"/>
  <c r="M303" i="1"/>
  <c r="Q286" i="1"/>
  <c r="R304" i="1"/>
  <c r="F331" i="1"/>
  <c r="C298" i="1"/>
  <c r="O338" i="1"/>
  <c r="V337" i="1"/>
  <c r="I302" i="1"/>
  <c r="I298" i="1" s="1"/>
  <c r="P307" i="1"/>
  <c r="S284" i="1"/>
  <c r="D286" i="1"/>
  <c r="O331" i="1"/>
  <c r="D239" i="1"/>
  <c r="J239" i="1"/>
  <c r="M284" i="1"/>
  <c r="O294" i="1"/>
  <c r="N317" i="1"/>
  <c r="E303" i="1"/>
  <c r="P337" i="1"/>
  <c r="I293" i="1"/>
  <c r="I321" i="1" s="1"/>
  <c r="R326" i="1"/>
  <c r="L236" i="1"/>
  <c r="O302" i="1"/>
  <c r="O298" i="1" s="1"/>
  <c r="N294" i="1"/>
  <c r="L294" i="1"/>
  <c r="S326" i="1"/>
  <c r="M317" i="1"/>
  <c r="V327" i="1"/>
  <c r="S289" i="1"/>
  <c r="C303" i="1"/>
  <c r="G241" i="1"/>
  <c r="G266" i="1" s="1"/>
  <c r="S320" i="1"/>
  <c r="S350" i="1" s="1"/>
  <c r="E229" i="1"/>
  <c r="E230" i="1" s="1"/>
  <c r="S291" i="1"/>
  <c r="B286" i="1"/>
  <c r="O309" i="1"/>
  <c r="R322" i="1"/>
  <c r="U285" i="1"/>
  <c r="S299" i="1"/>
  <c r="B303" i="1"/>
  <c r="F310" i="1"/>
  <c r="F327" i="1"/>
  <c r="S239" i="1"/>
  <c r="R235" i="1"/>
  <c r="D299" i="1"/>
  <c r="O304" i="1"/>
  <c r="C300" i="1"/>
  <c r="N293" i="1"/>
  <c r="N321" i="1" s="1"/>
  <c r="J318" i="1"/>
  <c r="V313" i="1"/>
  <c r="S293" i="1"/>
  <c r="S321" i="1" s="1"/>
  <c r="T294" i="1"/>
  <c r="D293" i="1"/>
  <c r="D321" i="1" s="1"/>
  <c r="V285" i="1"/>
  <c r="C316" i="1"/>
  <c r="C339" i="1"/>
  <c r="C235" i="1"/>
  <c r="J299" i="1"/>
  <c r="K300" i="1"/>
  <c r="D307" i="1"/>
  <c r="P311" i="1"/>
  <c r="P346" i="1" s="1"/>
  <c r="P309" i="1"/>
  <c r="C294" i="1"/>
  <c r="O285" i="1"/>
  <c r="G304" i="1"/>
  <c r="E320" i="1"/>
  <c r="E350" i="1" s="1"/>
  <c r="M330" i="1"/>
  <c r="C229" i="1"/>
  <c r="J316" i="1"/>
  <c r="K285" i="1"/>
  <c r="V317" i="1"/>
  <c r="R338" i="1"/>
  <c r="Q311" i="1"/>
  <c r="Q346" i="1" s="1"/>
  <c r="L314" i="1"/>
  <c r="J331" i="1"/>
  <c r="B298" i="1"/>
  <c r="U310" i="1"/>
  <c r="F302" i="1"/>
  <c r="F298" i="1" s="1"/>
  <c r="S294" i="1"/>
  <c r="K313" i="1"/>
  <c r="I322" i="1"/>
  <c r="L339" i="1"/>
  <c r="Q304" i="1"/>
  <c r="G317" i="1"/>
  <c r="G339" i="1"/>
  <c r="E292" i="1"/>
  <c r="R327" i="1"/>
  <c r="P236" i="1"/>
  <c r="M338" i="1"/>
  <c r="Q240" i="1"/>
  <c r="Q251" i="1" s="1"/>
  <c r="V310" i="1"/>
  <c r="M326" i="1"/>
  <c r="O291" i="1"/>
  <c r="T309" i="1"/>
  <c r="W313" i="1"/>
  <c r="I294" i="1"/>
  <c r="M337" i="1"/>
  <c r="Q339" i="1"/>
  <c r="O311" i="1"/>
  <c r="O346" i="1" s="1"/>
  <c r="Q291" i="1"/>
  <c r="E331" i="1"/>
  <c r="D338" i="1"/>
  <c r="Q294" i="1"/>
  <c r="F338" i="1"/>
  <c r="E294" i="1"/>
  <c r="F292" i="1"/>
  <c r="U326" i="1"/>
  <c r="N318" i="1"/>
  <c r="C302" i="1"/>
  <c r="K330" i="1"/>
  <c r="P338" i="1"/>
  <c r="D303" i="1"/>
  <c r="J229" i="1"/>
  <c r="J230" i="1" s="1"/>
  <c r="F312" i="1"/>
  <c r="F347" i="1" s="1"/>
  <c r="I312" i="1"/>
  <c r="I347" i="1" s="1"/>
  <c r="H313" i="1"/>
  <c r="C293" i="1"/>
  <c r="C321" i="1" s="1"/>
  <c r="K322" i="1"/>
  <c r="W311" i="1"/>
  <c r="D337" i="1"/>
  <c r="V241" i="1"/>
  <c r="V147" i="1" s="1"/>
  <c r="B299" i="1"/>
  <c r="Q318" i="1"/>
  <c r="M313" i="1"/>
  <c r="V330" i="1"/>
  <c r="Q338" i="1"/>
  <c r="J339" i="1"/>
  <c r="J340" i="1" s="1"/>
  <c r="J320" i="1"/>
  <c r="J350" i="1" s="1"/>
  <c r="O241" i="1"/>
  <c r="O266" i="1" s="1"/>
  <c r="I326" i="1"/>
  <c r="D229" i="1"/>
  <c r="L318" i="1"/>
  <c r="F326" i="1"/>
  <c r="L285" i="1"/>
  <c r="P316" i="1"/>
  <c r="M302" i="1"/>
  <c r="M298" i="1" s="1"/>
  <c r="F339" i="1"/>
  <c r="R286" i="1"/>
  <c r="T304" i="1"/>
  <c r="F236" i="1"/>
  <c r="D317" i="1"/>
  <c r="V286" i="1"/>
  <c r="M320" i="1"/>
  <c r="M350" i="1" s="1"/>
  <c r="E235" i="1"/>
  <c r="N241" i="1"/>
  <c r="N249" i="1" s="1"/>
  <c r="U292" i="1"/>
  <c r="R293" i="1"/>
  <c r="R321" i="1" s="1"/>
  <c r="T289" i="1"/>
  <c r="G229" i="1"/>
  <c r="G230" i="1" s="1"/>
  <c r="T291" i="1"/>
  <c r="O327" i="1"/>
  <c r="C240" i="1"/>
  <c r="S235" i="1"/>
  <c r="L331" i="1"/>
  <c r="U311" i="1"/>
  <c r="U346" i="1" s="1"/>
  <c r="M311" i="1"/>
  <c r="M346" i="1" s="1"/>
  <c r="J314" i="1"/>
  <c r="W330" i="1"/>
  <c r="T313" i="1"/>
  <c r="U303" i="1"/>
  <c r="L337" i="1"/>
  <c r="T300" i="1"/>
  <c r="R294" i="1"/>
  <c r="G313" i="1"/>
  <c r="H311" i="1"/>
  <c r="H346" i="1" s="1"/>
  <c r="U330" i="1"/>
  <c r="T322" i="1"/>
  <c r="S303" i="1"/>
  <c r="W314" i="1"/>
  <c r="R337" i="1"/>
  <c r="T286" i="1"/>
  <c r="K312" i="1"/>
  <c r="K347" i="1" s="1"/>
  <c r="I286" i="1"/>
  <c r="R307" i="1"/>
  <c r="T241" i="1"/>
  <c r="T275" i="1" s="1"/>
  <c r="T271" i="1" s="1"/>
  <c r="G293" i="1"/>
  <c r="G321" i="1" s="1"/>
  <c r="O317" i="1"/>
  <c r="T327" i="1"/>
  <c r="U240" i="1"/>
  <c r="U146" i="1" s="1"/>
  <c r="T284" i="1"/>
  <c r="L299" i="1"/>
  <c r="E240" i="1"/>
  <c r="E248" i="1" s="1"/>
  <c r="G309" i="1"/>
  <c r="U236" i="1"/>
  <c r="L320" i="1"/>
  <c r="L350" i="1" s="1"/>
  <c r="N311" i="1"/>
  <c r="S302" i="1"/>
  <c r="S298" i="1" s="1"/>
  <c r="N338" i="1"/>
  <c r="B326" i="1"/>
  <c r="K318" i="1"/>
  <c r="P286" i="1"/>
  <c r="D236" i="1"/>
  <c r="D304" i="1"/>
  <c r="B309" i="1"/>
  <c r="I316" i="1"/>
  <c r="J327" i="1"/>
  <c r="F229" i="1"/>
  <c r="F230" i="1" s="1"/>
  <c r="J307" i="1"/>
  <c r="K369" i="1" s="1"/>
  <c r="Q316" i="1"/>
  <c r="U235" i="1"/>
  <c r="O330" i="1"/>
  <c r="G337" i="1"/>
  <c r="D300" i="1"/>
  <c r="O289" i="1"/>
  <c r="P302" i="1"/>
  <c r="P298" i="1" s="1"/>
  <c r="D339" i="1"/>
  <c r="H302" i="1"/>
  <c r="H298" i="1" s="1"/>
  <c r="R241" i="1"/>
  <c r="R266" i="1" s="1"/>
  <c r="Q292" i="1"/>
  <c r="P241" i="1"/>
  <c r="C318" i="1"/>
  <c r="T236" i="1"/>
  <c r="F291" i="1"/>
  <c r="R285" i="1"/>
  <c r="R287" i="1" s="1"/>
  <c r="U322" i="1"/>
  <c r="W294" i="1"/>
  <c r="E284" i="1"/>
  <c r="E327" i="1"/>
  <c r="E328" i="1" s="1"/>
  <c r="F376" i="1" s="1"/>
  <c r="Q235" i="1"/>
  <c r="Q293" i="1"/>
  <c r="Q321" i="1" s="1"/>
  <c r="K292" i="1"/>
  <c r="Q310" i="1"/>
  <c r="U320" i="1"/>
  <c r="U350" i="1" s="1"/>
  <c r="D285" i="1"/>
  <c r="T299" i="1"/>
  <c r="T301" i="1" s="1"/>
  <c r="T195" i="1" s="1"/>
  <c r="M309" i="1"/>
  <c r="N327" i="1"/>
  <c r="D302" i="1"/>
  <c r="F330" i="1"/>
  <c r="P293" i="1"/>
  <c r="P321" i="1" s="1"/>
  <c r="L312" i="1"/>
  <c r="L347" i="1" s="1"/>
  <c r="I236" i="1"/>
  <c r="J304" i="1"/>
  <c r="K284" i="1"/>
  <c r="H317" i="1"/>
  <c r="F240" i="1"/>
  <c r="F265" i="1" s="1"/>
  <c r="B314" i="1"/>
  <c r="J302" i="1"/>
  <c r="J298" i="1" s="1"/>
  <c r="V289" i="1"/>
  <c r="Q331" i="1"/>
  <c r="S286" i="1"/>
  <c r="I304" i="1"/>
  <c r="G239" i="1"/>
  <c r="U337" i="1"/>
  <c r="W312" i="1"/>
  <c r="B322" i="1"/>
  <c r="T320" i="1"/>
  <c r="T350" i="1" s="1"/>
  <c r="B229" i="1"/>
  <c r="K311" i="1"/>
  <c r="K346" i="1" s="1"/>
  <c r="F241" i="1"/>
  <c r="F275" i="1" s="1"/>
  <c r="I331" i="1"/>
  <c r="M293" i="1"/>
  <c r="D312" i="1"/>
  <c r="D347" i="1" s="1"/>
  <c r="C304" i="1"/>
  <c r="E317" i="1"/>
  <c r="S314" i="1"/>
  <c r="H236" i="1"/>
  <c r="O299" i="1"/>
  <c r="U312" i="1"/>
  <c r="U347" i="1" s="1"/>
  <c r="Q229" i="1"/>
  <c r="Q230" i="1" s="1"/>
  <c r="K337" i="1"/>
  <c r="I239" i="1"/>
  <c r="P289" i="1"/>
  <c r="V235" i="1"/>
  <c r="T310" i="1"/>
  <c r="I318" i="1"/>
  <c r="H284" i="1"/>
  <c r="W307" i="1"/>
  <c r="X369" i="1" s="1"/>
  <c r="H286" i="1"/>
  <c r="G284" i="1"/>
  <c r="I314" i="1"/>
  <c r="N284" i="1"/>
  <c r="H241" i="1"/>
  <c r="W289" i="1"/>
  <c r="C310" i="1"/>
  <c r="R330" i="1"/>
  <c r="Q313" i="1"/>
  <c r="N292" i="1"/>
  <c r="B337" i="1"/>
  <c r="J300" i="1"/>
  <c r="F314" i="1"/>
  <c r="V307" i="1"/>
  <c r="J240" i="1"/>
  <c r="J274" i="1" s="1"/>
  <c r="C286" i="1"/>
  <c r="C287" i="1" s="1"/>
  <c r="C216" i="1" s="1"/>
  <c r="J309" i="1"/>
  <c r="W241" i="1"/>
  <c r="W147" i="1" s="1"/>
  <c r="H338" i="1"/>
  <c r="N300" i="1"/>
  <c r="F235" i="1"/>
  <c r="D327" i="1"/>
  <c r="L303" i="1"/>
  <c r="T331" i="1"/>
  <c r="E309" i="1"/>
  <c r="E307" i="1"/>
  <c r="J311" i="1"/>
  <c r="J346" i="1" s="1"/>
  <c r="H299" i="1"/>
  <c r="K303" i="1"/>
  <c r="M312" i="1"/>
  <c r="M347" i="1" s="1"/>
  <c r="U339" i="1"/>
  <c r="H314" i="1"/>
  <c r="K304" i="1"/>
  <c r="U294" i="1"/>
  <c r="O284" i="1"/>
  <c r="I307" i="1"/>
  <c r="S311" i="1"/>
  <c r="S346" i="1" s="1"/>
  <c r="W320" i="1"/>
  <c r="M331" i="1"/>
  <c r="N337" i="1"/>
  <c r="N326" i="1"/>
  <c r="O339" i="1"/>
  <c r="G307" i="1"/>
  <c r="C299" i="1"/>
  <c r="S241" i="1"/>
  <c r="S275" i="1" s="1"/>
  <c r="S304" i="1"/>
  <c r="B338" i="1"/>
  <c r="I300" i="1"/>
  <c r="P310" i="1"/>
  <c r="F320" i="1"/>
  <c r="F350" i="1" s="1"/>
  <c r="B226" i="1"/>
  <c r="S313" i="1"/>
  <c r="K320" i="1"/>
  <c r="K350" i="1" s="1"/>
  <c r="S322" i="1"/>
  <c r="P292" i="1"/>
  <c r="W322" i="1"/>
  <c r="T318" i="1"/>
  <c r="B241" i="1"/>
  <c r="G318" i="1"/>
  <c r="E311" i="1"/>
  <c r="E346" i="1" s="1"/>
  <c r="T311" i="1"/>
  <c r="T346" i="1" s="1"/>
  <c r="B225" i="1"/>
  <c r="R299" i="1"/>
  <c r="S316" i="1"/>
  <c r="F294" i="1"/>
  <c r="W303" i="1"/>
  <c r="L240" i="1"/>
  <c r="L265" i="1" s="1"/>
  <c r="K291" i="1"/>
  <c r="K295" i="1" s="1"/>
  <c r="H307" i="1"/>
  <c r="P317" i="1"/>
  <c r="W286" i="1"/>
  <c r="G236" i="1"/>
  <c r="F286" i="1"/>
  <c r="O307" i="1"/>
  <c r="O369" i="1" s="1"/>
  <c r="I235" i="1"/>
  <c r="J326" i="1"/>
  <c r="J328" i="1" s="1"/>
  <c r="T326" i="1"/>
  <c r="F317" i="1"/>
  <c r="D226" i="1"/>
  <c r="C226" i="1"/>
  <c r="C227" i="1" s="1"/>
  <c r="R317" i="1"/>
  <c r="M299" i="1"/>
  <c r="R331" i="1"/>
  <c r="T312" i="1"/>
  <c r="T347" i="1" s="1"/>
  <c r="H291" i="1"/>
  <c r="R302" i="1"/>
  <c r="R298" i="1" s="1"/>
  <c r="I284" i="1"/>
  <c r="I337" i="1"/>
  <c r="D320" i="1"/>
  <c r="U314" i="1"/>
  <c r="Q302" i="1"/>
  <c r="Q298" i="1" s="1"/>
  <c r="I289" i="1"/>
  <c r="G316" i="1"/>
  <c r="K286" i="1"/>
  <c r="S236" i="1"/>
  <c r="J294" i="1"/>
  <c r="U331" i="1"/>
  <c r="B317" i="1"/>
  <c r="O286" i="1"/>
  <c r="L289" i="1"/>
  <c r="S307" i="1"/>
  <c r="N229" i="1"/>
  <c r="N230" i="1" s="1"/>
  <c r="R313" i="1"/>
  <c r="J241" i="1"/>
  <c r="J266" i="1" s="1"/>
  <c r="B284" i="1"/>
  <c r="N236" i="1"/>
  <c r="I330" i="1"/>
  <c r="L291" i="1"/>
  <c r="L295" i="1" s="1"/>
  <c r="M239" i="1"/>
  <c r="I338" i="1"/>
  <c r="I340" i="1" s="1"/>
  <c r="G289" i="1"/>
  <c r="T339" i="1"/>
  <c r="B302" i="1"/>
  <c r="M314" i="1"/>
  <c r="N285" i="1"/>
  <c r="W300" i="1"/>
  <c r="F284" i="1"/>
  <c r="T317" i="1"/>
  <c r="I229" i="1"/>
  <c r="I230" i="1" s="1"/>
  <c r="H320" i="1"/>
  <c r="H350" i="1" s="1"/>
  <c r="G312" i="1"/>
  <c r="G347" i="1" s="1"/>
  <c r="F316" i="1"/>
  <c r="D313" i="1"/>
  <c r="D315" i="1" s="1"/>
  <c r="F300" i="1"/>
  <c r="J292" i="1"/>
  <c r="N239" i="1"/>
  <c r="M322" i="1"/>
  <c r="U291" i="1"/>
  <c r="U293" i="1"/>
  <c r="U321" i="1" s="1"/>
  <c r="H235" i="1"/>
  <c r="P229" i="1"/>
  <c r="P230" i="1" s="1"/>
  <c r="W327" i="1"/>
  <c r="T239" i="1"/>
  <c r="I310" i="1"/>
  <c r="V339" i="1"/>
  <c r="O316" i="1"/>
  <c r="H310" i="1"/>
  <c r="V338" i="1"/>
  <c r="R312" i="1"/>
  <c r="R347" i="1" s="1"/>
  <c r="L310" i="1"/>
  <c r="O320" i="1"/>
  <c r="O350" i="1" s="1"/>
  <c r="M294" i="1"/>
  <c r="Q322" i="1"/>
  <c r="O313" i="1"/>
  <c r="I320" i="1"/>
  <c r="I350" i="1" s="1"/>
  <c r="N303" i="1"/>
  <c r="W302" i="1"/>
  <c r="W298" i="1" s="1"/>
  <c r="U316" i="1"/>
  <c r="H326" i="1"/>
  <c r="P313" i="1"/>
  <c r="O293" i="1"/>
  <c r="O321" i="1" s="1"/>
  <c r="G235" i="1"/>
  <c r="N316" i="1"/>
  <c r="V299" i="1"/>
  <c r="J284" i="1"/>
  <c r="D241" i="1"/>
  <c r="V312" i="1"/>
  <c r="B312" i="1"/>
  <c r="B347" i="1" s="1"/>
  <c r="S240" i="1"/>
  <c r="S265" i="1" s="1"/>
  <c r="V291" i="1"/>
  <c r="C331" i="1"/>
  <c r="N314" i="1"/>
  <c r="K339" i="1"/>
  <c r="Q303" i="1"/>
  <c r="R289" i="1"/>
  <c r="E318" i="1"/>
  <c r="J310" i="1"/>
  <c r="V304" i="1"/>
  <c r="W310" i="1"/>
  <c r="K331" i="1"/>
  <c r="M307" i="1"/>
  <c r="M285" i="1"/>
  <c r="H309" i="1"/>
  <c r="K310" i="1"/>
  <c r="U317" i="1"/>
  <c r="G326" i="1"/>
  <c r="K241" i="1"/>
  <c r="K275" i="1" s="1"/>
  <c r="C327" i="1"/>
  <c r="E313" i="1"/>
  <c r="W285" i="1"/>
  <c r="B304" i="1"/>
  <c r="T337" i="1"/>
  <c r="C307" i="1"/>
  <c r="V331" i="1"/>
  <c r="D318" i="1"/>
  <c r="S318" i="1"/>
  <c r="J317" i="1"/>
  <c r="N286" i="1"/>
  <c r="E316" i="1"/>
  <c r="O229" i="1"/>
  <c r="O230" i="1" s="1"/>
  <c r="B240" i="1"/>
  <c r="I241" i="1"/>
  <c r="I275" i="1" s="1"/>
  <c r="P318" i="1"/>
  <c r="E291" i="1"/>
  <c r="C236" i="1"/>
  <c r="J291" i="1"/>
  <c r="B316" i="1"/>
  <c r="M229" i="1"/>
  <c r="M230" i="1" s="1"/>
  <c r="F318" i="1"/>
  <c r="H293" i="1"/>
  <c r="H321" i="1" s="1"/>
  <c r="I303" i="1"/>
  <c r="E285" i="1"/>
  <c r="U241" i="1"/>
  <c r="U147" i="1" s="1"/>
  <c r="Q285" i="1"/>
  <c r="U313" i="1"/>
  <c r="E312" i="1"/>
  <c r="E347" i="1" s="1"/>
  <c r="L309" i="1"/>
  <c r="K317" i="1"/>
  <c r="L322" i="1"/>
  <c r="W331" i="1"/>
  <c r="B239" i="1"/>
  <c r="G300" i="1"/>
  <c r="T292" i="1"/>
  <c r="B293" i="1"/>
  <c r="B321" i="1" s="1"/>
  <c r="O322" i="1"/>
  <c r="C338" i="1"/>
  <c r="F322" i="1"/>
  <c r="R310" i="1"/>
  <c r="W239" i="1"/>
  <c r="E293" i="1"/>
  <c r="E321" i="1" s="1"/>
  <c r="B289" i="1"/>
  <c r="U286" i="1"/>
  <c r="F299" i="1"/>
  <c r="K309" i="1"/>
  <c r="N330" i="1"/>
  <c r="T285" i="1"/>
  <c r="N299" i="1"/>
  <c r="V326" i="1"/>
  <c r="V311" i="1"/>
  <c r="V346" i="1" s="1"/>
  <c r="P304" i="1"/>
  <c r="D326" i="1"/>
  <c r="W240" i="1"/>
  <c r="W146" i="1" s="1"/>
  <c r="W317" i="1"/>
  <c r="W236" i="1"/>
  <c r="W316" i="1"/>
  <c r="R339" i="1"/>
  <c r="H330" i="1"/>
  <c r="P314" i="1"/>
  <c r="K289" i="1"/>
  <c r="B320" i="1"/>
  <c r="B350" i="1" s="1"/>
  <c r="G292" i="1"/>
  <c r="V300" i="1"/>
  <c r="N289" i="1"/>
  <c r="S309" i="1"/>
  <c r="H300" i="1"/>
  <c r="G291" i="1"/>
  <c r="U307" i="1"/>
  <c r="K235" i="1"/>
  <c r="R300" i="1"/>
  <c r="L286" i="1"/>
  <c r="E330" i="1"/>
  <c r="H337" i="1"/>
  <c r="M318" i="1"/>
  <c r="B330" i="1"/>
  <c r="Q300" i="1"/>
  <c r="N312" i="1"/>
  <c r="N347" i="1" s="1"/>
  <c r="E337" i="1"/>
  <c r="D309" i="1"/>
  <c r="U302" i="1"/>
  <c r="U298" i="1" s="1"/>
  <c r="B292" i="1"/>
  <c r="G322" i="1"/>
  <c r="J322" i="1"/>
  <c r="P339" i="1"/>
  <c r="E322" i="1"/>
  <c r="H229" i="1"/>
  <c r="H230" i="1" s="1"/>
  <c r="B291" i="1"/>
  <c r="P299" i="1"/>
  <c r="T314" i="1"/>
  <c r="W122" i="1"/>
  <c r="W123" i="1" s="1"/>
  <c r="X124" i="1" s="1"/>
  <c r="W138" i="1"/>
  <c r="W139" i="1"/>
  <c r="W137" i="1"/>
  <c r="CQ71" i="1"/>
  <c r="CW140" i="1"/>
  <c r="CW153" i="1" s="1"/>
  <c r="CX137" i="1"/>
  <c r="CX139" i="1"/>
  <c r="CX138" i="1"/>
  <c r="CQ76" i="1"/>
  <c r="I328" i="1"/>
  <c r="J376" i="1" s="1"/>
  <c r="L232" i="1"/>
  <c r="L275" i="1"/>
  <c r="L266" i="1"/>
  <c r="Q265" i="1"/>
  <c r="Q274" i="1"/>
  <c r="N346" i="1"/>
  <c r="Q248" i="1"/>
  <c r="E249" i="1"/>
  <c r="U266" i="1"/>
  <c r="M275" i="1"/>
  <c r="M249" i="1"/>
  <c r="R248" i="1"/>
  <c r="V265" i="1"/>
  <c r="V274" i="1"/>
  <c r="V270" i="1" s="1"/>
  <c r="N274" i="1"/>
  <c r="N248" i="1"/>
  <c r="N265" i="1"/>
  <c r="F264" i="1"/>
  <c r="F247" i="1"/>
  <c r="E275" i="1"/>
  <c r="E266" i="1"/>
  <c r="P275" i="1"/>
  <c r="P249" i="1"/>
  <c r="P266" i="1"/>
  <c r="U248" i="1"/>
  <c r="U274" i="1"/>
  <c r="U270" i="1" s="1"/>
  <c r="U265" i="1"/>
  <c r="K265" i="1"/>
  <c r="R232" i="1"/>
  <c r="K232" i="1"/>
  <c r="K249" i="1"/>
  <c r="Q249" i="1"/>
  <c r="Q232" i="1"/>
  <c r="H232" i="1"/>
  <c r="F232" i="1"/>
  <c r="D251" i="1"/>
  <c r="M266" i="1"/>
  <c r="U251" i="1"/>
  <c r="V248" i="1"/>
  <c r="V232" i="1"/>
  <c r="O231" i="1"/>
  <c r="CQ301" i="1"/>
  <c r="DB239" i="1"/>
  <c r="CY227" i="1"/>
  <c r="CZ225" i="1"/>
  <c r="S232" i="1"/>
  <c r="T232" i="1"/>
  <c r="M232" i="1"/>
  <c r="I232" i="1"/>
  <c r="I249" i="1"/>
  <c r="L249" i="1"/>
  <c r="AN27" i="3"/>
  <c r="J29" i="3"/>
  <c r="M5" i="3"/>
  <c r="N11" i="3"/>
  <c r="P24" i="3"/>
  <c r="AK23" i="3"/>
  <c r="L13" i="3"/>
  <c r="AK16" i="3"/>
  <c r="AE6" i="3"/>
  <c r="AB83" i="3"/>
  <c r="AL27" i="3"/>
  <c r="AE25" i="3"/>
  <c r="AO31" i="3"/>
  <c r="AB50" i="3"/>
  <c r="W33" i="3"/>
  <c r="AM26" i="3"/>
  <c r="W16" i="3"/>
  <c r="AI26" i="3"/>
  <c r="Z15" i="3"/>
  <c r="AB57" i="3"/>
  <c r="G35" i="3"/>
  <c r="AI27" i="3"/>
  <c r="AP18" i="3"/>
  <c r="AQ30" i="3"/>
  <c r="W17" i="3"/>
  <c r="R19" i="3"/>
  <c r="X11" i="3"/>
  <c r="H41" i="3"/>
  <c r="N39" i="3"/>
  <c r="AD48" i="3"/>
  <c r="AB84" i="3"/>
  <c r="M25" i="3"/>
  <c r="AB32" i="3"/>
  <c r="AQ8" i="3"/>
  <c r="X41" i="3"/>
  <c r="AH39" i="3"/>
  <c r="O5" i="3"/>
  <c r="X13" i="3"/>
  <c r="M27" i="3"/>
  <c r="AD39" i="3"/>
  <c r="R15" i="3"/>
  <c r="AD23" i="3"/>
  <c r="T27" i="3"/>
  <c r="S11" i="3"/>
  <c r="U30" i="3"/>
  <c r="X12" i="3"/>
  <c r="X8" i="3"/>
  <c r="AN6" i="3"/>
  <c r="AP48" i="3"/>
  <c r="P11" i="3"/>
  <c r="C35" i="3"/>
  <c r="AB41" i="3"/>
  <c r="O31" i="3"/>
  <c r="AA18" i="3"/>
  <c r="W18" i="3"/>
  <c r="J5" i="3"/>
  <c r="R24" i="3"/>
  <c r="AH38" i="3"/>
  <c r="T37" i="3"/>
  <c r="AO40" i="3"/>
  <c r="W36" i="3"/>
  <c r="L25" i="3"/>
  <c r="C4" i="3"/>
  <c r="V36" i="3"/>
  <c r="W39" i="3"/>
  <c r="AB71" i="3"/>
  <c r="K28" i="3"/>
  <c r="AP28" i="3"/>
  <c r="AE5" i="3"/>
  <c r="N15" i="3"/>
  <c r="AN34" i="3"/>
  <c r="AK11" i="3"/>
  <c r="M31" i="3"/>
  <c r="AN28" i="3"/>
  <c r="AL40" i="3"/>
  <c r="W11" i="3"/>
  <c r="AQ25" i="3"/>
  <c r="AB75" i="3"/>
  <c r="AP63" i="3"/>
  <c r="H28" i="3"/>
  <c r="R10" i="3"/>
  <c r="AP42" i="3"/>
  <c r="S15" i="3"/>
  <c r="AE26" i="3"/>
  <c r="V20" i="3"/>
  <c r="AG34" i="3"/>
  <c r="AM38" i="3"/>
  <c r="C21" i="3"/>
  <c r="Z28" i="3"/>
  <c r="AJ32" i="3"/>
  <c r="AM15" i="3"/>
  <c r="AM14" i="3"/>
  <c r="AP22" i="3"/>
  <c r="AO27" i="3"/>
  <c r="O9" i="3"/>
  <c r="AN33" i="3"/>
  <c r="AH11" i="3"/>
  <c r="AI29" i="3"/>
  <c r="C13" i="3"/>
  <c r="K12" i="3"/>
  <c r="L9" i="3"/>
  <c r="I31" i="3"/>
  <c r="V7" i="3"/>
  <c r="H19" i="3"/>
  <c r="K25" i="3"/>
  <c r="W30" i="3"/>
  <c r="AG24" i="3"/>
  <c r="L42" i="3"/>
  <c r="AE15" i="3"/>
  <c r="AP55" i="3"/>
  <c r="S12" i="3"/>
  <c r="R17" i="3"/>
  <c r="M8" i="3"/>
  <c r="T34" i="3"/>
  <c r="AA5" i="3"/>
  <c r="AG31" i="3"/>
  <c r="J40" i="3"/>
  <c r="AJ15" i="3"/>
  <c r="AC20" i="3"/>
  <c r="AL20" i="3"/>
  <c r="W34" i="3"/>
  <c r="AH17" i="3"/>
  <c r="AK22" i="3"/>
  <c r="H37" i="3"/>
  <c r="X25" i="3"/>
  <c r="AB25" i="3"/>
  <c r="H5" i="3"/>
  <c r="AO23" i="3"/>
  <c r="AQ15" i="3"/>
  <c r="C8" i="3"/>
  <c r="P37" i="3"/>
  <c r="AQ26" i="3"/>
  <c r="R34" i="3"/>
  <c r="X42" i="3"/>
  <c r="P8" i="3"/>
  <c r="O24" i="3"/>
  <c r="AQ40" i="3"/>
  <c r="U34" i="3"/>
  <c r="AQ27" i="3"/>
  <c r="AL23" i="3"/>
  <c r="O19" i="3"/>
  <c r="P7" i="3"/>
  <c r="AB94" i="3"/>
  <c r="AB55" i="3"/>
  <c r="H21" i="3"/>
  <c r="AQ21" i="3"/>
  <c r="O22" i="3"/>
  <c r="AG39" i="3"/>
  <c r="Y36" i="3"/>
  <c r="H31" i="3"/>
  <c r="L12" i="3"/>
  <c r="H13" i="3"/>
  <c r="O16" i="3"/>
  <c r="C37" i="3"/>
  <c r="AN41" i="3"/>
  <c r="AA6" i="3"/>
  <c r="K10" i="3"/>
  <c r="AJ17" i="3"/>
  <c r="T42" i="3"/>
  <c r="U41" i="3"/>
  <c r="R12" i="3"/>
  <c r="T24" i="3"/>
  <c r="N42" i="3"/>
  <c r="AK18" i="3"/>
  <c r="X22" i="3"/>
  <c r="C34" i="3"/>
  <c r="S39" i="3"/>
  <c r="R41" i="3"/>
  <c r="D49" i="3"/>
  <c r="I37" i="3"/>
  <c r="AP40" i="3"/>
  <c r="AP92" i="3"/>
  <c r="AH20" i="3"/>
  <c r="G47" i="3"/>
  <c r="V22" i="3"/>
  <c r="M42" i="3"/>
  <c r="Q27" i="3"/>
  <c r="AD37" i="3"/>
  <c r="P16" i="3"/>
  <c r="X5" i="3"/>
  <c r="O39" i="3"/>
  <c r="AG37" i="3"/>
  <c r="E50" i="3"/>
  <c r="AI18" i="3"/>
  <c r="Y20" i="3"/>
  <c r="AI8" i="3"/>
  <c r="AK30" i="3"/>
  <c r="AO30" i="3"/>
  <c r="AJ8" i="3"/>
  <c r="C10" i="3"/>
  <c r="P9" i="3"/>
  <c r="V37" i="3"/>
  <c r="AA39" i="3"/>
  <c r="AL8" i="3"/>
  <c r="AB59" i="3"/>
  <c r="T5" i="3"/>
  <c r="K38" i="3"/>
  <c r="H35" i="3"/>
  <c r="X33" i="3"/>
  <c r="U27" i="3"/>
  <c r="AL11" i="3"/>
  <c r="AM35" i="3"/>
  <c r="AP79" i="3"/>
  <c r="AE7" i="3"/>
  <c r="AJ30" i="3"/>
  <c r="AB42" i="3"/>
  <c r="AI20" i="3"/>
  <c r="AG5" i="3"/>
  <c r="AA20" i="3"/>
  <c r="T36" i="3"/>
  <c r="AB69" i="3"/>
  <c r="L40" i="3"/>
  <c r="AI11" i="3"/>
  <c r="AH30" i="3"/>
  <c r="Z31" i="3"/>
  <c r="AN31" i="3"/>
  <c r="K14" i="3"/>
  <c r="AO9" i="3"/>
  <c r="AI17" i="3"/>
  <c r="N21" i="3"/>
  <c r="N17" i="3"/>
  <c r="H18" i="3"/>
  <c r="G37" i="3"/>
  <c r="AB66" i="3"/>
  <c r="P28" i="3"/>
  <c r="AP8" i="3"/>
  <c r="L19" i="3"/>
  <c r="AN16" i="3"/>
  <c r="N13" i="3"/>
  <c r="P10" i="3"/>
  <c r="AB9" i="3"/>
  <c r="AO42" i="3"/>
  <c r="I20" i="3"/>
  <c r="P29" i="3"/>
  <c r="Y13" i="3"/>
  <c r="AN35" i="3"/>
  <c r="N36" i="3"/>
  <c r="X7" i="3"/>
  <c r="H36" i="3"/>
  <c r="AJ26" i="3"/>
  <c r="M23" i="3"/>
  <c r="Y31" i="3"/>
  <c r="Q38" i="3"/>
  <c r="U9" i="3"/>
  <c r="U25" i="3"/>
  <c r="AD24" i="3"/>
  <c r="W42" i="3"/>
  <c r="AG28" i="3"/>
  <c r="R20" i="3"/>
  <c r="S28" i="3"/>
  <c r="S31" i="3"/>
  <c r="X26" i="3"/>
  <c r="AB47" i="3"/>
  <c r="M34" i="3"/>
  <c r="AE31" i="3"/>
  <c r="V11" i="3"/>
  <c r="L15" i="3"/>
  <c r="AD34" i="3"/>
  <c r="S18" i="3"/>
  <c r="AC24" i="3"/>
  <c r="R14" i="3"/>
  <c r="AP69" i="3"/>
  <c r="U19" i="3"/>
  <c r="AN9" i="3"/>
  <c r="AD32" i="3"/>
  <c r="Y39" i="3"/>
  <c r="K18" i="3"/>
  <c r="N16" i="3"/>
  <c r="AL15" i="3"/>
  <c r="Z7" i="3"/>
  <c r="AD20" i="3"/>
  <c r="AP31" i="3"/>
  <c r="I22" i="3"/>
  <c r="H39" i="3"/>
  <c r="AG25" i="3"/>
  <c r="AO36" i="3"/>
  <c r="AK26" i="3"/>
  <c r="AP97" i="3"/>
  <c r="U5" i="3"/>
  <c r="Y23" i="3"/>
  <c r="G40" i="3"/>
  <c r="AP83" i="3"/>
  <c r="L10" i="3"/>
  <c r="AG9" i="3"/>
  <c r="O7" i="3"/>
  <c r="Z24" i="3"/>
  <c r="J32" i="3"/>
  <c r="Y8" i="3"/>
  <c r="M10" i="3"/>
  <c r="S27" i="3"/>
  <c r="N8" i="3"/>
  <c r="C19" i="3"/>
  <c r="AA37" i="3"/>
  <c r="AH15" i="3"/>
  <c r="AJ29" i="3"/>
  <c r="W23" i="3"/>
  <c r="W38" i="3"/>
  <c r="M20" i="3"/>
  <c r="C28" i="3"/>
  <c r="AB76" i="3"/>
  <c r="AJ7" i="3"/>
  <c r="L36" i="3"/>
  <c r="AM7" i="3"/>
  <c r="X36" i="3"/>
  <c r="AH34" i="3"/>
  <c r="AB40" i="3"/>
  <c r="AI13" i="3"/>
  <c r="AA27" i="3"/>
  <c r="AD29" i="3"/>
  <c r="AE22" i="3"/>
  <c r="P39" i="3"/>
  <c r="S33" i="3"/>
  <c r="AJ36" i="3"/>
  <c r="N32" i="3"/>
  <c r="R42" i="3"/>
  <c r="AC12" i="3"/>
  <c r="AI16" i="3"/>
  <c r="AC36" i="3"/>
  <c r="AL39" i="3"/>
  <c r="S21" i="3"/>
  <c r="AL21" i="3"/>
  <c r="AI25" i="3"/>
  <c r="L33" i="3"/>
  <c r="AN24" i="3"/>
  <c r="M28" i="3"/>
  <c r="Y35" i="3"/>
  <c r="AL30" i="3"/>
  <c r="V34" i="3"/>
  <c r="AL42" i="3"/>
  <c r="AC9" i="3"/>
  <c r="T41" i="3"/>
  <c r="R39" i="3"/>
  <c r="AE40" i="3"/>
  <c r="AO14" i="3"/>
  <c r="AK39" i="3"/>
  <c r="AM8" i="3"/>
  <c r="V13" i="3"/>
  <c r="AI12" i="3"/>
  <c r="U16" i="3"/>
  <c r="M16" i="3"/>
  <c r="V33" i="3"/>
  <c r="M15" i="3"/>
  <c r="Y38" i="3"/>
  <c r="P35" i="3"/>
  <c r="AM33" i="3"/>
  <c r="AQ16" i="3"/>
  <c r="U6" i="3"/>
  <c r="I34" i="3"/>
  <c r="C48" i="3"/>
  <c r="U18" i="3"/>
  <c r="AP33" i="3"/>
  <c r="Q40" i="3"/>
  <c r="Z22" i="3"/>
  <c r="AA35" i="3"/>
  <c r="AP58" i="3"/>
  <c r="AH13" i="3"/>
  <c r="P30" i="3"/>
  <c r="AM22" i="3"/>
  <c r="H25" i="3"/>
  <c r="I35" i="3"/>
  <c r="M40" i="3"/>
  <c r="AQ35" i="3"/>
  <c r="AJ9" i="3"/>
  <c r="AE19" i="3"/>
  <c r="M14" i="3"/>
  <c r="AB97" i="3"/>
  <c r="AP94" i="3"/>
  <c r="AM39" i="3"/>
  <c r="J41" i="3"/>
  <c r="AO33" i="3"/>
  <c r="I28" i="3"/>
  <c r="H27" i="3"/>
  <c r="AH24" i="3"/>
  <c r="AG7" i="3"/>
  <c r="AO11" i="3"/>
  <c r="V25" i="3"/>
  <c r="V28" i="3"/>
  <c r="AQ7" i="3"/>
  <c r="AA12" i="3"/>
  <c r="L26" i="3"/>
  <c r="AJ5" i="3"/>
  <c r="AN10" i="3"/>
  <c r="N29" i="3"/>
  <c r="AQ10" i="3"/>
  <c r="AG32" i="3"/>
  <c r="AB49" i="3"/>
  <c r="V10" i="3"/>
  <c r="C11" i="3"/>
  <c r="I30" i="3"/>
  <c r="AA33" i="3"/>
  <c r="AC26" i="3"/>
  <c r="K33" i="3"/>
  <c r="AC42" i="3"/>
  <c r="AO35" i="3"/>
  <c r="AJ40" i="3"/>
  <c r="AA11" i="3"/>
  <c r="AH23" i="3"/>
  <c r="AP36" i="3"/>
  <c r="K6" i="3"/>
  <c r="AC18" i="3"/>
  <c r="AB12" i="3"/>
  <c r="S17" i="3"/>
  <c r="R38" i="3"/>
  <c r="X32" i="3"/>
  <c r="J13" i="3"/>
  <c r="AO28" i="3"/>
  <c r="AK27" i="3"/>
  <c r="Q17" i="3"/>
  <c r="Z19" i="3"/>
  <c r="L28" i="3"/>
  <c r="AD25" i="3"/>
  <c r="AA7" i="3"/>
  <c r="R8" i="3"/>
  <c r="AQ42" i="3"/>
  <c r="Y33" i="3"/>
  <c r="AK31" i="3"/>
  <c r="AE8" i="3"/>
  <c r="Q8" i="3"/>
  <c r="S34" i="3"/>
  <c r="AI34" i="3"/>
  <c r="AD38" i="3"/>
  <c r="AG23" i="3"/>
  <c r="Q33" i="3"/>
  <c r="G50" i="3"/>
  <c r="AB91" i="3"/>
  <c r="N10" i="3"/>
  <c r="C32" i="3"/>
  <c r="P19" i="3"/>
  <c r="L16" i="3"/>
  <c r="Y17" i="3"/>
  <c r="AM21" i="3"/>
  <c r="U39" i="3"/>
  <c r="AB31" i="3"/>
  <c r="X18" i="3"/>
  <c r="AA26" i="3"/>
  <c r="AO15" i="3"/>
  <c r="H7" i="3"/>
  <c r="AM42" i="3"/>
  <c r="AJ24" i="3"/>
  <c r="T11" i="3"/>
  <c r="N31" i="3"/>
  <c r="X37" i="3"/>
  <c r="D50" i="3"/>
  <c r="Y15" i="3"/>
  <c r="AP67" i="3"/>
  <c r="AB70" i="3"/>
  <c r="N19" i="3"/>
  <c r="H22" i="3"/>
  <c r="T35" i="3"/>
  <c r="G39" i="3"/>
  <c r="AL22" i="3"/>
  <c r="G48" i="3"/>
  <c r="V42" i="3"/>
  <c r="J18" i="3"/>
  <c r="AM5" i="3"/>
  <c r="I7" i="3"/>
  <c r="L29" i="3"/>
  <c r="K17" i="3"/>
  <c r="U11" i="3"/>
  <c r="AJ23" i="3"/>
  <c r="AQ13" i="3"/>
  <c r="Q35" i="3"/>
  <c r="M33" i="3"/>
  <c r="AP80" i="3"/>
  <c r="M36" i="3"/>
  <c r="S7" i="3"/>
  <c r="Z23" i="3"/>
  <c r="AG14" i="3"/>
  <c r="R22" i="3"/>
  <c r="C17" i="3"/>
  <c r="AL10" i="3"/>
  <c r="V31" i="3"/>
  <c r="Z36" i="3"/>
  <c r="AP89" i="3"/>
  <c r="AK40" i="3"/>
  <c r="AL7" i="3"/>
  <c r="V24" i="3"/>
  <c r="K34" i="3"/>
  <c r="N18" i="3"/>
  <c r="Z32" i="3"/>
  <c r="V38" i="3"/>
  <c r="N5" i="3"/>
  <c r="Z29" i="3"/>
  <c r="AH26" i="3"/>
  <c r="J34" i="3"/>
  <c r="M21" i="3"/>
  <c r="W28" i="3"/>
  <c r="N27" i="3"/>
  <c r="AI35" i="3"/>
  <c r="R37" i="3"/>
  <c r="R9" i="3"/>
  <c r="AP10" i="3"/>
  <c r="AP37" i="3"/>
  <c r="Z11" i="3"/>
  <c r="Y28" i="3"/>
  <c r="I39" i="3"/>
  <c r="T28" i="3"/>
  <c r="AG41" i="3"/>
  <c r="L21" i="3"/>
  <c r="AK28" i="3"/>
  <c r="AD28" i="3"/>
  <c r="AH31" i="3"/>
  <c r="AI42" i="3"/>
  <c r="AL6" i="3"/>
  <c r="AI22" i="3"/>
  <c r="O37" i="3"/>
  <c r="R26" i="3"/>
  <c r="AL18" i="3"/>
  <c r="AK15" i="3"/>
  <c r="AB79" i="3"/>
  <c r="AQ17" i="3"/>
  <c r="P17" i="3"/>
  <c r="X17" i="3"/>
  <c r="Y14" i="3"/>
  <c r="O40" i="3"/>
  <c r="C25" i="3"/>
  <c r="C6" i="3"/>
  <c r="AQ34" i="3"/>
  <c r="AB63" i="3"/>
  <c r="AN32" i="3"/>
  <c r="C29" i="3"/>
  <c r="K20" i="3"/>
  <c r="AO16" i="3"/>
  <c r="L20" i="3"/>
  <c r="AK38" i="3"/>
  <c r="I8" i="3"/>
  <c r="G34" i="3"/>
  <c r="J36" i="3"/>
  <c r="AE38" i="3"/>
  <c r="K9" i="3"/>
  <c r="J8" i="3"/>
  <c r="S25" i="3"/>
  <c r="Y18" i="3"/>
  <c r="AA38" i="3"/>
  <c r="P13" i="3"/>
  <c r="AM36" i="3"/>
  <c r="AB85" i="3"/>
  <c r="I25" i="3"/>
  <c r="AE28" i="3"/>
  <c r="X23" i="3"/>
  <c r="AK12" i="3"/>
  <c r="AQ9" i="3"/>
  <c r="AP65" i="3"/>
  <c r="H26" i="3"/>
  <c r="AC25" i="3"/>
  <c r="AP54" i="3"/>
  <c r="Q6" i="3"/>
  <c r="Z25" i="3"/>
  <c r="L8" i="3"/>
  <c r="AB16" i="3"/>
  <c r="AJ31" i="3"/>
  <c r="P5" i="3"/>
  <c r="AL41" i="3"/>
  <c r="K39" i="3"/>
  <c r="U14" i="3"/>
  <c r="R7" i="3"/>
  <c r="P12" i="3"/>
  <c r="AM13" i="3"/>
  <c r="W9" i="3"/>
  <c r="Z17" i="3"/>
  <c r="AB73" i="3"/>
  <c r="AB19" i="3"/>
  <c r="R36" i="3"/>
  <c r="S36" i="3"/>
  <c r="AI9" i="3"/>
  <c r="Z35" i="3"/>
  <c r="AM34" i="3"/>
  <c r="AI40" i="3"/>
  <c r="V19" i="3"/>
  <c r="P41" i="3"/>
  <c r="H14" i="3"/>
  <c r="AQ23" i="3"/>
  <c r="AA17" i="3"/>
  <c r="AA23" i="3"/>
  <c r="N12" i="3"/>
  <c r="P26" i="3"/>
  <c r="O36" i="3"/>
  <c r="K32" i="3"/>
  <c r="Q7" i="3"/>
  <c r="R18" i="3"/>
  <c r="AJ41" i="3"/>
  <c r="AK36" i="3"/>
  <c r="T8" i="3"/>
  <c r="X24" i="3"/>
  <c r="I40" i="3"/>
  <c r="AI15" i="3"/>
  <c r="I21" i="3"/>
  <c r="AJ28" i="3"/>
  <c r="AN23" i="3"/>
  <c r="AO7" i="3"/>
  <c r="AP47" i="3"/>
  <c r="Y5" i="3"/>
  <c r="AH10" i="3"/>
  <c r="O10" i="3"/>
  <c r="W22" i="3"/>
  <c r="L22" i="3"/>
  <c r="AQ12" i="3"/>
  <c r="AI24" i="3"/>
  <c r="AG15" i="3"/>
  <c r="J39" i="3"/>
  <c r="T9" i="3"/>
  <c r="H38" i="3"/>
  <c r="S30" i="3"/>
  <c r="AQ41" i="3"/>
  <c r="AE41" i="3"/>
  <c r="AK33" i="3"/>
  <c r="R28" i="3"/>
  <c r="AH19" i="3"/>
  <c r="AA9" i="3"/>
  <c r="AM10" i="3"/>
  <c r="AB24" i="3"/>
  <c r="AO13" i="3"/>
  <c r="Q19" i="3"/>
  <c r="AH36" i="3"/>
  <c r="Z14" i="3"/>
  <c r="AO39" i="3"/>
  <c r="AQ39" i="3"/>
  <c r="AQ37" i="3"/>
  <c r="AE23" i="3"/>
  <c r="X27" i="3"/>
  <c r="AP20" i="3"/>
  <c r="AG12" i="3"/>
  <c r="AP29" i="3"/>
  <c r="AB8" i="3"/>
  <c r="Q18" i="3"/>
  <c r="AG29" i="3"/>
  <c r="C20" i="3"/>
  <c r="Q25" i="3"/>
  <c r="H24" i="3"/>
  <c r="AQ22" i="3"/>
  <c r="AN19" i="3"/>
  <c r="L37" i="3"/>
  <c r="I13" i="3"/>
  <c r="Y30" i="3"/>
  <c r="AI33" i="3"/>
  <c r="H10" i="3"/>
  <c r="J28" i="3"/>
  <c r="AP86" i="3"/>
  <c r="AB22" i="3"/>
  <c r="AI21" i="3"/>
  <c r="Y19" i="3"/>
  <c r="AP85" i="3"/>
  <c r="AB77" i="3"/>
  <c r="M30" i="3"/>
  <c r="AI7" i="3"/>
  <c r="Y24" i="3"/>
  <c r="I10" i="3"/>
  <c r="S5" i="3"/>
  <c r="AB26" i="3"/>
  <c r="J31" i="3"/>
  <c r="V41" i="3"/>
  <c r="R16" i="3"/>
  <c r="M12" i="3"/>
  <c r="AC13" i="3"/>
  <c r="AD30" i="3"/>
  <c r="L32" i="3"/>
  <c r="L35" i="3"/>
  <c r="Z27" i="3"/>
  <c r="AD26" i="3"/>
  <c r="AA32" i="3"/>
  <c r="AE24" i="3"/>
  <c r="P21" i="3"/>
  <c r="AE37" i="3"/>
  <c r="AA13" i="3"/>
  <c r="AK17" i="3"/>
  <c r="O41" i="3"/>
  <c r="AH41" i="3"/>
  <c r="H9" i="3"/>
  <c r="AJ16" i="3"/>
  <c r="AP14" i="3"/>
  <c r="AH32" i="3"/>
  <c r="AK42" i="3"/>
  <c r="Z18" i="3"/>
  <c r="AA25" i="3"/>
  <c r="Z10" i="3"/>
  <c r="AM9" i="3"/>
  <c r="R6" i="3"/>
  <c r="AN22" i="3"/>
  <c r="H11" i="3"/>
  <c r="Z20" i="3"/>
  <c r="V21" i="3"/>
  <c r="AI37" i="3"/>
  <c r="N22" i="3"/>
  <c r="Y21" i="3"/>
  <c r="U13" i="3"/>
  <c r="I16" i="3"/>
  <c r="O21" i="3"/>
  <c r="AP59" i="3"/>
  <c r="K40" i="3"/>
  <c r="C12" i="3"/>
  <c r="AK29" i="3"/>
  <c r="Q5" i="3"/>
  <c r="H40" i="3"/>
  <c r="V27" i="3"/>
  <c r="R33" i="3"/>
  <c r="P40" i="3"/>
  <c r="Q12" i="3"/>
  <c r="AP72" i="3"/>
  <c r="V29" i="3"/>
  <c r="AJ12" i="3"/>
  <c r="AH18" i="3"/>
  <c r="AP61" i="3"/>
  <c r="U32" i="3"/>
  <c r="W40" i="3"/>
  <c r="T15" i="3"/>
  <c r="T31" i="3"/>
  <c r="Z42" i="3"/>
  <c r="AP16" i="3"/>
  <c r="Y12" i="3"/>
  <c r="I32" i="3"/>
  <c r="AD33" i="3"/>
  <c r="AO24" i="3"/>
  <c r="AB27" i="3"/>
  <c r="W26" i="3"/>
  <c r="V35" i="3"/>
  <c r="AN18" i="3"/>
  <c r="AB36" i="3"/>
  <c r="I29" i="3"/>
  <c r="AE30" i="3"/>
  <c r="I5" i="3"/>
  <c r="AB78" i="3"/>
  <c r="AE33" i="3"/>
  <c r="AM25" i="3"/>
  <c r="AP34" i="3"/>
  <c r="C30" i="3"/>
  <c r="O33" i="3"/>
  <c r="AN36" i="3"/>
  <c r="T20" i="3"/>
  <c r="AQ11" i="3"/>
  <c r="AE32" i="3"/>
  <c r="AH40" i="3"/>
  <c r="AE17" i="3"/>
  <c r="K11" i="3"/>
  <c r="Q37" i="3"/>
  <c r="AN26" i="3"/>
  <c r="Z5" i="3"/>
  <c r="K37" i="3"/>
  <c r="J20" i="3"/>
  <c r="AC7" i="3"/>
  <c r="AB60" i="3"/>
  <c r="Q32" i="3"/>
  <c r="M29" i="3"/>
  <c r="Z8" i="3"/>
  <c r="AO32" i="3"/>
  <c r="I41" i="3"/>
  <c r="AA30" i="3"/>
  <c r="M6" i="3"/>
  <c r="AL32" i="3"/>
  <c r="Y16" i="3"/>
  <c r="Z26" i="3"/>
  <c r="J11" i="3"/>
  <c r="AL37" i="3"/>
  <c r="AB29" i="3"/>
  <c r="K15" i="3"/>
  <c r="P32" i="3"/>
  <c r="P25" i="3"/>
  <c r="O18" i="3"/>
  <c r="K23" i="3"/>
  <c r="M17" i="3"/>
  <c r="S9" i="3"/>
  <c r="Z9" i="3"/>
  <c r="AB89" i="3"/>
  <c r="AB34" i="3"/>
  <c r="C18" i="3"/>
  <c r="AC19" i="3"/>
  <c r="Q23" i="3"/>
  <c r="AJ34" i="3"/>
  <c r="AP17" i="3"/>
  <c r="G49" i="3"/>
  <c r="T17" i="3"/>
  <c r="AI30" i="3"/>
  <c r="K21" i="3"/>
  <c r="L30" i="3"/>
  <c r="AB54" i="3"/>
  <c r="AG35" i="3"/>
  <c r="AQ33" i="3"/>
  <c r="O25" i="3"/>
  <c r="AO25" i="3"/>
  <c r="AQ36" i="3"/>
  <c r="L41" i="3"/>
  <c r="AE10" i="3"/>
  <c r="U28" i="3"/>
  <c r="AD19" i="3"/>
  <c r="AM12" i="3"/>
  <c r="AB33" i="3"/>
  <c r="AL38" i="3"/>
  <c r="AQ20" i="3"/>
  <c r="AC34" i="3"/>
  <c r="N37" i="3"/>
  <c r="J23" i="3"/>
  <c r="S8" i="3"/>
  <c r="M41" i="3"/>
  <c r="Q20" i="3"/>
  <c r="I26" i="3"/>
  <c r="I15" i="3"/>
  <c r="S40" i="3"/>
  <c r="AI32" i="3"/>
  <c r="L24" i="3"/>
  <c r="Z30" i="3"/>
  <c r="K26" i="3"/>
  <c r="S24" i="3"/>
  <c r="P42" i="3"/>
  <c r="Q14" i="3"/>
  <c r="AM17" i="3"/>
  <c r="X39" i="3"/>
  <c r="AN39" i="3"/>
  <c r="AQ19" i="3"/>
  <c r="AL26" i="3"/>
  <c r="AO26" i="3"/>
  <c r="U24" i="3"/>
  <c r="AP30" i="3"/>
  <c r="AB86" i="3"/>
  <c r="AE21" i="3"/>
  <c r="M13" i="3"/>
  <c r="L31" i="3"/>
  <c r="O11" i="3"/>
  <c r="W31" i="3"/>
  <c r="AJ10" i="3"/>
  <c r="AP56" i="3"/>
  <c r="AQ24" i="3"/>
  <c r="AN11" i="3"/>
  <c r="AA10" i="3"/>
  <c r="M37" i="3"/>
  <c r="Y29" i="3"/>
  <c r="C40" i="3"/>
  <c r="AC30" i="3"/>
  <c r="AP71" i="3"/>
  <c r="K35" i="3"/>
  <c r="C16" i="3"/>
  <c r="G41" i="3"/>
  <c r="AP64" i="3"/>
  <c r="AE29" i="3"/>
  <c r="AB37" i="3"/>
  <c r="N40" i="3"/>
  <c r="J21" i="3"/>
  <c r="AB95" i="3"/>
  <c r="J15" i="3"/>
  <c r="R25" i="3"/>
  <c r="S22" i="3"/>
  <c r="J27" i="3"/>
  <c r="AI23" i="3"/>
  <c r="Q31" i="3"/>
  <c r="O34" i="3"/>
  <c r="AG33" i="3"/>
  <c r="AQ38" i="3"/>
  <c r="AN17" i="3"/>
  <c r="AO22" i="3"/>
  <c r="I9" i="3"/>
  <c r="V6" i="3"/>
  <c r="AK34" i="3"/>
  <c r="AP39" i="3"/>
  <c r="AD50" i="3"/>
  <c r="N33" i="3"/>
  <c r="AG11" i="3"/>
  <c r="AG13" i="3"/>
  <c r="AH42" i="3"/>
  <c r="U21" i="3"/>
  <c r="AL33" i="3"/>
  <c r="AI10" i="3"/>
  <c r="Z6" i="3"/>
  <c r="O20" i="3"/>
  <c r="G38" i="3"/>
  <c r="AN40" i="3"/>
  <c r="AO18" i="3"/>
  <c r="AP38" i="3"/>
  <c r="K41" i="3"/>
  <c r="Q13" i="3"/>
  <c r="AP82" i="3"/>
  <c r="AA34" i="3"/>
  <c r="I19" i="3"/>
  <c r="M32" i="3"/>
  <c r="Y26" i="3"/>
  <c r="H8" i="3"/>
  <c r="J19" i="3"/>
  <c r="AD31" i="3"/>
  <c r="T32" i="3"/>
  <c r="L34" i="3"/>
  <c r="AP12" i="3"/>
  <c r="P20" i="3"/>
  <c r="AQ31" i="3"/>
  <c r="AJ27" i="3"/>
  <c r="C49" i="3"/>
  <c r="AM31" i="3"/>
  <c r="U23" i="3"/>
  <c r="AD22" i="3"/>
  <c r="AM29" i="3"/>
  <c r="V9" i="3"/>
  <c r="AG36" i="3"/>
  <c r="AP57" i="3"/>
  <c r="AI14" i="3"/>
  <c r="K8" i="3"/>
  <c r="M24" i="3"/>
  <c r="V40" i="3"/>
  <c r="AC8" i="3"/>
  <c r="R40" i="3"/>
  <c r="K5" i="3"/>
  <c r="AI38" i="3"/>
  <c r="AP21" i="3"/>
  <c r="AH16" i="3"/>
  <c r="AN20" i="3"/>
  <c r="Q15" i="3"/>
  <c r="O30" i="3"/>
  <c r="AA29" i="3"/>
  <c r="AK35" i="3"/>
  <c r="C38" i="3"/>
  <c r="O12" i="3"/>
  <c r="T39" i="3"/>
  <c r="U38" i="3"/>
  <c r="AJ6" i="3"/>
  <c r="AQ29" i="3"/>
  <c r="N30" i="3"/>
  <c r="AA41" i="3"/>
  <c r="Y40" i="3"/>
  <c r="N6" i="3"/>
  <c r="O23" i="3"/>
  <c r="G36" i="3"/>
  <c r="X14" i="3"/>
  <c r="AL36" i="3"/>
  <c r="Q42" i="3"/>
  <c r="AJ14" i="3"/>
  <c r="AC29" i="3"/>
  <c r="J17" i="3"/>
  <c r="W6" i="3"/>
  <c r="K42" i="3"/>
  <c r="AB80" i="3"/>
  <c r="H33" i="3"/>
  <c r="O6" i="3"/>
  <c r="AC5" i="3"/>
  <c r="X9" i="3"/>
  <c r="AH5" i="3"/>
  <c r="AP27" i="3"/>
  <c r="AH12" i="3"/>
  <c r="R11" i="3"/>
  <c r="AH8" i="3"/>
  <c r="AJ33" i="3"/>
  <c r="AE14" i="3"/>
  <c r="T10" i="3"/>
  <c r="AJ38" i="3"/>
  <c r="AO20" i="3"/>
  <c r="X34" i="3"/>
  <c r="AC10" i="3"/>
  <c r="C23" i="3"/>
  <c r="Z33" i="3"/>
  <c r="K22" i="3"/>
  <c r="J24" i="3"/>
  <c r="AP60" i="3"/>
  <c r="H34" i="3"/>
  <c r="AP81" i="3"/>
  <c r="S23" i="3"/>
  <c r="Z39" i="3"/>
  <c r="AH14" i="3"/>
  <c r="AB38" i="3"/>
  <c r="AM16" i="3"/>
  <c r="AK5" i="3"/>
  <c r="M7" i="3"/>
  <c r="AN12" i="3"/>
  <c r="O35" i="3"/>
  <c r="M35" i="3"/>
  <c r="AP88" i="3"/>
  <c r="H32" i="3"/>
  <c r="X29" i="3"/>
  <c r="W27" i="3"/>
  <c r="AK37" i="3"/>
  <c r="AL14" i="3"/>
  <c r="AK19" i="3"/>
  <c r="Q41" i="3"/>
  <c r="H17" i="3"/>
  <c r="J30" i="3"/>
  <c r="AB92" i="3"/>
  <c r="AJ18" i="3"/>
  <c r="AP32" i="3"/>
  <c r="AG10" i="3"/>
  <c r="AG8" i="3"/>
  <c r="AI39" i="3"/>
  <c r="L7" i="3"/>
  <c r="U29" i="3"/>
  <c r="N20" i="3"/>
  <c r="AI41" i="3"/>
  <c r="O14" i="3"/>
  <c r="T12" i="3"/>
  <c r="AG30" i="3"/>
  <c r="I38" i="3"/>
  <c r="O13" i="3"/>
  <c r="S35" i="3"/>
  <c r="X20" i="3"/>
  <c r="AA36" i="3"/>
  <c r="AJ39" i="3"/>
  <c r="T6" i="3"/>
  <c r="H16" i="3"/>
  <c r="AG6" i="3"/>
  <c r="AO38" i="3"/>
  <c r="P27" i="3"/>
  <c r="AN5" i="3"/>
  <c r="P38" i="3"/>
  <c r="S13" i="3"/>
  <c r="Z13" i="3"/>
  <c r="L23" i="3"/>
  <c r="C41" i="3"/>
  <c r="V32" i="3"/>
  <c r="AM11" i="3"/>
  <c r="AO10" i="3"/>
  <c r="J14" i="3"/>
  <c r="Z12" i="3"/>
  <c r="O15" i="3"/>
  <c r="AD36" i="3"/>
  <c r="C47" i="3"/>
  <c r="AD49" i="3"/>
  <c r="O8" i="3"/>
  <c r="W14" i="3"/>
  <c r="P36" i="3"/>
  <c r="AC33" i="3"/>
  <c r="AG16" i="3"/>
  <c r="W8" i="3"/>
  <c r="T19" i="3"/>
  <c r="O28" i="3"/>
  <c r="AH25" i="3"/>
  <c r="T14" i="3"/>
  <c r="P34" i="3"/>
  <c r="AN7" i="3"/>
  <c r="AH28" i="3"/>
  <c r="K31" i="3"/>
  <c r="Z21" i="3"/>
  <c r="AO8" i="3"/>
  <c r="AE39" i="3"/>
  <c r="AB81" i="3"/>
  <c r="AN15" i="3"/>
  <c r="K24" i="3"/>
  <c r="AB90" i="3"/>
  <c r="X10" i="3"/>
  <c r="AE11" i="3"/>
  <c r="AB62" i="3"/>
  <c r="J25" i="3"/>
  <c r="AC35" i="3"/>
  <c r="I11" i="3"/>
  <c r="AP15" i="3"/>
  <c r="AK9" i="3"/>
  <c r="AP26" i="3"/>
  <c r="T13" i="3"/>
  <c r="AC27" i="3"/>
  <c r="AG21" i="3"/>
  <c r="AK24" i="3"/>
  <c r="T21" i="3"/>
  <c r="AP41" i="3"/>
  <c r="AP74" i="3"/>
  <c r="U15" i="3"/>
  <c r="AH21" i="3"/>
  <c r="AJ21" i="3"/>
  <c r="I23" i="3"/>
  <c r="AG42" i="3"/>
  <c r="AJ22" i="3"/>
  <c r="K7" i="3"/>
  <c r="AH6" i="3"/>
  <c r="M22" i="3"/>
  <c r="Q16" i="3"/>
  <c r="AC39" i="3"/>
  <c r="AA28" i="3"/>
  <c r="Q30" i="3"/>
  <c r="AP93" i="3"/>
  <c r="Q9" i="3"/>
  <c r="C36" i="3"/>
  <c r="AB14" i="3"/>
  <c r="AB10" i="3"/>
  <c r="T26" i="3"/>
  <c r="AP90" i="3"/>
  <c r="Q29" i="3"/>
  <c r="V16" i="3"/>
  <c r="N25" i="3"/>
  <c r="R27" i="3"/>
  <c r="N7" i="3"/>
  <c r="X31" i="3"/>
  <c r="Q21" i="3"/>
  <c r="AB21" i="3"/>
  <c r="AH7" i="3"/>
  <c r="AQ18" i="3"/>
  <c r="L11" i="3"/>
  <c r="AQ28" i="3"/>
  <c r="AK10" i="3"/>
  <c r="R35" i="3"/>
  <c r="AL31" i="3"/>
  <c r="O26" i="3"/>
  <c r="N34" i="3"/>
  <c r="C24" i="3"/>
  <c r="AA14" i="3"/>
  <c r="C14" i="3"/>
  <c r="L6" i="3"/>
  <c r="S42" i="3"/>
  <c r="AE27" i="3"/>
  <c r="AB72" i="3"/>
  <c r="Z40" i="3"/>
  <c r="H6" i="3"/>
  <c r="Z37" i="3"/>
  <c r="H29" i="3"/>
  <c r="AB20" i="3"/>
  <c r="AP11" i="3"/>
  <c r="P33" i="3"/>
  <c r="AO29" i="3"/>
  <c r="AP25" i="3"/>
  <c r="AL34" i="3"/>
  <c r="N24" i="3"/>
  <c r="H15" i="3"/>
  <c r="AJ20" i="3"/>
  <c r="AB6" i="3"/>
  <c r="N41" i="3"/>
  <c r="AA31" i="3"/>
  <c r="S41" i="3"/>
  <c r="C27" i="3"/>
  <c r="Q26" i="3"/>
  <c r="J10" i="3"/>
  <c r="AC21" i="3"/>
  <c r="AL35" i="3"/>
  <c r="J42" i="3"/>
  <c r="AO17" i="3"/>
  <c r="AQ32" i="3"/>
  <c r="I18" i="3"/>
  <c r="AP87" i="3"/>
  <c r="AP50" i="3"/>
  <c r="AG22" i="3"/>
  <c r="AP78" i="3"/>
  <c r="Z16" i="3"/>
  <c r="AB68" i="3"/>
  <c r="AB74" i="3"/>
  <c r="P6" i="3"/>
  <c r="AJ25" i="3"/>
  <c r="Y9" i="3"/>
  <c r="AM28" i="3"/>
  <c r="L5" i="3"/>
  <c r="C33" i="3"/>
  <c r="E48" i="3"/>
  <c r="P22" i="3"/>
  <c r="AM18" i="3"/>
  <c r="J9" i="3"/>
  <c r="AP68" i="3"/>
  <c r="AJ19" i="3"/>
  <c r="AC37" i="3"/>
  <c r="I14" i="3"/>
  <c r="C31" i="3"/>
  <c r="AN29" i="3"/>
  <c r="L27" i="3"/>
  <c r="AK25" i="3"/>
  <c r="S20" i="3"/>
  <c r="S29" i="3"/>
  <c r="AG17" i="3"/>
  <c r="AN25" i="3"/>
  <c r="AH37" i="3"/>
  <c r="AM32" i="3"/>
  <c r="X38" i="3"/>
  <c r="H12" i="3"/>
  <c r="M38" i="3"/>
  <c r="AB56" i="3"/>
  <c r="E47" i="3"/>
  <c r="AO34" i="3"/>
  <c r="AB64" i="3"/>
  <c r="AA16" i="3"/>
  <c r="O32" i="3"/>
  <c r="I17" i="3"/>
  <c r="U40" i="3"/>
  <c r="AL5" i="3"/>
  <c r="C42" i="3"/>
  <c r="N14" i="3"/>
  <c r="AB15" i="3"/>
  <c r="AC28" i="3"/>
  <c r="AI19" i="3"/>
  <c r="Q39" i="3"/>
  <c r="M11" i="3"/>
  <c r="C26" i="3"/>
  <c r="AK14" i="3"/>
  <c r="T18" i="3"/>
  <c r="AM30" i="3"/>
  <c r="AJ13" i="3"/>
  <c r="AB23" i="3"/>
  <c r="W19" i="3"/>
  <c r="U42" i="3"/>
  <c r="AB18" i="3"/>
  <c r="N35" i="3"/>
  <c r="AC23" i="3"/>
  <c r="AI36" i="3"/>
  <c r="W24" i="3"/>
  <c r="AB61" i="3"/>
  <c r="AG19" i="3"/>
  <c r="T29" i="3"/>
  <c r="AI6" i="3"/>
  <c r="AP62" i="3"/>
  <c r="Q24" i="3"/>
  <c r="X19" i="3"/>
  <c r="AI31" i="3"/>
  <c r="Z38" i="3"/>
  <c r="K19" i="3"/>
  <c r="M19" i="3"/>
  <c r="Y25" i="3"/>
  <c r="N38" i="3"/>
  <c r="W12" i="3"/>
  <c r="T40" i="3"/>
  <c r="X15" i="3"/>
  <c r="V5" i="3"/>
  <c r="D47" i="3"/>
  <c r="AP35" i="3"/>
  <c r="AL16" i="3"/>
  <c r="AL13" i="3"/>
  <c r="AC22" i="3"/>
  <c r="V39" i="3"/>
  <c r="AB30" i="3"/>
  <c r="I12" i="3"/>
  <c r="AA15" i="3"/>
  <c r="AG26" i="3"/>
  <c r="U26" i="3"/>
  <c r="AP95" i="3"/>
  <c r="AP73" i="3"/>
  <c r="AP76" i="3"/>
  <c r="W10" i="3"/>
  <c r="AB35" i="3"/>
  <c r="AA19" i="3"/>
  <c r="AD21" i="3"/>
  <c r="AE35" i="3"/>
  <c r="J33" i="3"/>
  <c r="AL28" i="3"/>
  <c r="AE16" i="3"/>
  <c r="W29" i="3"/>
  <c r="W25" i="3"/>
  <c r="AK21" i="3"/>
  <c r="AL24" i="3"/>
  <c r="AD35" i="3"/>
  <c r="AB11" i="3"/>
  <c r="C7" i="3"/>
  <c r="AN30" i="3"/>
  <c r="Y27" i="3"/>
  <c r="U36" i="3"/>
  <c r="AN42" i="3"/>
  <c r="AN38" i="3"/>
  <c r="R5" i="3"/>
  <c r="P14" i="3"/>
  <c r="AN14" i="3"/>
  <c r="O29" i="3"/>
  <c r="R29" i="3"/>
  <c r="T16" i="3"/>
  <c r="AP24" i="3"/>
  <c r="K13" i="3"/>
  <c r="U35" i="3"/>
  <c r="AQ5" i="3"/>
  <c r="AQ14" i="3"/>
  <c r="R23" i="3"/>
  <c r="AE18" i="3"/>
  <c r="H20" i="3"/>
  <c r="Y11" i="3"/>
  <c r="J38" i="3"/>
  <c r="AC17" i="3"/>
  <c r="K16" i="3"/>
  <c r="S14" i="3"/>
  <c r="V12" i="3"/>
  <c r="K29" i="3"/>
  <c r="R21" i="3"/>
  <c r="W37" i="3"/>
  <c r="AC11" i="3"/>
  <c r="I24" i="3"/>
  <c r="D48" i="3"/>
  <c r="U8" i="3"/>
  <c r="S10" i="3"/>
  <c r="AG40" i="3"/>
  <c r="Z34" i="3"/>
  <c r="I27" i="3"/>
  <c r="AN21" i="3"/>
  <c r="AD42" i="3"/>
  <c r="AA40" i="3"/>
  <c r="AH22" i="3"/>
  <c r="Q36" i="3"/>
  <c r="J16" i="3"/>
  <c r="AA21" i="3"/>
  <c r="X16" i="3"/>
  <c r="AM37" i="3"/>
  <c r="V26" i="3"/>
  <c r="S32" i="3"/>
  <c r="G33" i="3"/>
  <c r="L38" i="3"/>
  <c r="AK13" i="3"/>
  <c r="S19" i="3"/>
  <c r="AD27" i="3"/>
  <c r="U37" i="3"/>
  <c r="AH27" i="3"/>
  <c r="AL17" i="3"/>
  <c r="AC38" i="3"/>
  <c r="Y34" i="3"/>
  <c r="AB96" i="3"/>
  <c r="U31" i="3"/>
  <c r="J35" i="3"/>
  <c r="AO19" i="3"/>
  <c r="T30" i="3"/>
  <c r="AB87" i="3"/>
  <c r="J37" i="3"/>
  <c r="Q34" i="3"/>
  <c r="AP49" i="3"/>
  <c r="AJ11" i="3"/>
  <c r="L39" i="3"/>
  <c r="AO21" i="3"/>
  <c r="AJ42" i="3"/>
  <c r="S16" i="3"/>
  <c r="AB28" i="3"/>
  <c r="AP91" i="3"/>
  <c r="Q22" i="3"/>
  <c r="U22" i="3"/>
  <c r="W32" i="3"/>
  <c r="AM20" i="3"/>
  <c r="AE36" i="3"/>
  <c r="U12" i="3"/>
  <c r="V23" i="3"/>
  <c r="N9" i="3"/>
  <c r="AG18" i="3"/>
  <c r="AL25" i="3"/>
  <c r="C39" i="3"/>
  <c r="AK7" i="3"/>
  <c r="AC14" i="3"/>
  <c r="J22" i="3"/>
  <c r="S26" i="3"/>
  <c r="T23" i="3"/>
  <c r="S6" i="3"/>
  <c r="AB65" i="3"/>
  <c r="K30" i="3"/>
  <c r="H42" i="3"/>
  <c r="AI28" i="3"/>
  <c r="AD40" i="3"/>
  <c r="AN8" i="3"/>
  <c r="U7" i="3"/>
  <c r="O42" i="3"/>
  <c r="U17" i="3"/>
  <c r="W15" i="3"/>
  <c r="Q11" i="3"/>
  <c r="L14" i="3"/>
  <c r="AG27" i="3"/>
  <c r="P15" i="3"/>
  <c r="Y32" i="3"/>
  <c r="AH33" i="3"/>
  <c r="AB48" i="3"/>
  <c r="AC31" i="3"/>
  <c r="AK8" i="3"/>
  <c r="AP13" i="3"/>
  <c r="V8" i="3"/>
  <c r="N28" i="3"/>
  <c r="AB82" i="3"/>
  <c r="R32" i="3"/>
  <c r="R31" i="3"/>
  <c r="S38" i="3"/>
  <c r="AP75" i="3"/>
  <c r="AA24" i="3"/>
  <c r="AE9" i="3"/>
  <c r="E49" i="3"/>
  <c r="AD41" i="3"/>
  <c r="AM27" i="3"/>
  <c r="AL9" i="3"/>
  <c r="K27" i="3"/>
  <c r="AP23" i="3"/>
  <c r="AC6" i="3"/>
  <c r="AK20" i="3"/>
  <c r="M39" i="3"/>
  <c r="U33" i="3"/>
  <c r="O27" i="3"/>
  <c r="AE34" i="3"/>
  <c r="AM6" i="3"/>
  <c r="Y6" i="3"/>
  <c r="AK41" i="3"/>
  <c r="W7" i="3"/>
  <c r="V30" i="3"/>
  <c r="AE12" i="3"/>
  <c r="V18" i="3"/>
  <c r="AB13" i="3"/>
  <c r="AA22" i="3"/>
  <c r="AP66" i="3"/>
  <c r="P23" i="3"/>
  <c r="AO37" i="3"/>
  <c r="X21" i="3"/>
  <c r="J7" i="3"/>
  <c r="J26" i="3"/>
  <c r="H23" i="3"/>
  <c r="C22" i="3"/>
  <c r="AM23" i="3"/>
  <c r="AO41" i="3"/>
  <c r="AA42" i="3"/>
  <c r="AH35" i="3"/>
  <c r="AC16" i="3"/>
  <c r="M9" i="3"/>
  <c r="AG38" i="3"/>
  <c r="AI5" i="3"/>
  <c r="AO5" i="3"/>
  <c r="G42" i="3"/>
  <c r="J6" i="3"/>
  <c r="J12" i="3"/>
  <c r="Z41" i="3"/>
  <c r="T33" i="3"/>
  <c r="AB7" i="3"/>
  <c r="AB67" i="3"/>
  <c r="AK32" i="3"/>
  <c r="V14" i="3"/>
  <c r="I42" i="3"/>
  <c r="Q10" i="3"/>
  <c r="AL19" i="3"/>
  <c r="Y10" i="3"/>
  <c r="W5" i="3"/>
  <c r="AM24" i="3"/>
  <c r="N26" i="3"/>
  <c r="T38" i="3"/>
  <c r="AC41" i="3"/>
  <c r="AL29" i="3"/>
  <c r="Y37" i="3"/>
  <c r="AG20" i="3"/>
  <c r="W35" i="3"/>
  <c r="AB93" i="3"/>
  <c r="AC32" i="3"/>
  <c r="H30" i="3"/>
  <c r="O38" i="3"/>
  <c r="Q28" i="3"/>
  <c r="AB58" i="3"/>
  <c r="N23" i="3"/>
  <c r="AM19" i="3"/>
  <c r="W41" i="3"/>
  <c r="AD47" i="3"/>
  <c r="Y42" i="3"/>
  <c r="X35" i="3"/>
  <c r="AP96" i="3"/>
  <c r="AP70" i="3"/>
  <c r="K36" i="3"/>
  <c r="L18" i="3"/>
  <c r="AB88" i="3"/>
  <c r="M26" i="3"/>
  <c r="S37" i="3"/>
  <c r="C9" i="3"/>
  <c r="Y22" i="3"/>
  <c r="W13" i="3"/>
  <c r="AK6" i="3"/>
  <c r="X28" i="3"/>
  <c r="AL12" i="3"/>
  <c r="AP9" i="3"/>
  <c r="AB17" i="3"/>
  <c r="V15" i="3"/>
  <c r="T7" i="3"/>
  <c r="AP19" i="3"/>
  <c r="V17" i="3"/>
  <c r="I33" i="3"/>
  <c r="AM40" i="3"/>
  <c r="O17" i="3"/>
  <c r="AC40" i="3"/>
  <c r="AJ37" i="3"/>
  <c r="AM41" i="3"/>
  <c r="X6" i="3"/>
  <c r="R13" i="3"/>
  <c r="X40" i="3"/>
  <c r="I36" i="3"/>
  <c r="M18" i="3"/>
  <c r="P31" i="3"/>
  <c r="X30" i="3"/>
  <c r="AE20" i="3"/>
  <c r="I6" i="3"/>
  <c r="AN13" i="3"/>
  <c r="AO12" i="3"/>
  <c r="AE42" i="3"/>
  <c r="G32" i="3"/>
  <c r="W21" i="3"/>
  <c r="C15" i="3"/>
  <c r="AC15" i="3"/>
  <c r="Y41" i="3"/>
  <c r="W20" i="3"/>
  <c r="AE13" i="3"/>
  <c r="AJ35" i="3"/>
  <c r="AA8" i="3"/>
  <c r="AN37" i="3"/>
  <c r="T25" i="3"/>
  <c r="AH9" i="3"/>
  <c r="U20" i="3"/>
  <c r="AH29" i="3"/>
  <c r="L17" i="3"/>
  <c r="AP77" i="3"/>
  <c r="Y7" i="3"/>
  <c r="T22" i="3"/>
  <c r="P18" i="3"/>
  <c r="R30" i="3"/>
  <c r="AP84" i="3"/>
  <c r="U10" i="3"/>
  <c r="G301" i="1" l="1"/>
  <c r="R340" i="1"/>
  <c r="O274" i="1"/>
  <c r="O251" i="1"/>
  <c r="H251" i="1"/>
  <c r="L301" i="1"/>
  <c r="M321" i="1"/>
  <c r="C273" i="1"/>
  <c r="Q369" i="1"/>
  <c r="R328" i="1"/>
  <c r="Q323" i="1"/>
  <c r="H328" i="1"/>
  <c r="I376" i="1" s="1"/>
  <c r="M369" i="1"/>
  <c r="M287" i="1"/>
  <c r="M342" i="1" s="1"/>
  <c r="G328" i="1"/>
  <c r="C369" i="1"/>
  <c r="E287" i="1"/>
  <c r="E254" i="1" s="1"/>
  <c r="V328" i="1"/>
  <c r="W376" i="1" s="1"/>
  <c r="T265" i="1"/>
  <c r="T146" i="1"/>
  <c r="B328" i="1"/>
  <c r="C376" i="1" s="1"/>
  <c r="T248" i="1"/>
  <c r="N328" i="1"/>
  <c r="O376" i="1" s="1"/>
  <c r="H265" i="1"/>
  <c r="P247" i="1"/>
  <c r="B301" i="1"/>
  <c r="D328" i="1"/>
  <c r="F328" i="1"/>
  <c r="D227" i="1"/>
  <c r="W340" i="1"/>
  <c r="U264" i="1"/>
  <c r="U247" i="1"/>
  <c r="T274" i="1"/>
  <c r="T270" i="1" s="1"/>
  <c r="T251" i="1"/>
  <c r="T247" i="1"/>
  <c r="Q247" i="1"/>
  <c r="H248" i="1"/>
  <c r="M264" i="1"/>
  <c r="H264" i="1"/>
  <c r="H273" i="1"/>
  <c r="R247" i="1"/>
  <c r="R273" i="1"/>
  <c r="V145" i="1"/>
  <c r="V273" i="1"/>
  <c r="V269" i="1" s="1"/>
  <c r="U145" i="1"/>
  <c r="U273" i="1"/>
  <c r="U269" i="1" s="1"/>
  <c r="O264" i="1"/>
  <c r="O273" i="1"/>
  <c r="L264" i="1"/>
  <c r="L273" i="1"/>
  <c r="Q264" i="1"/>
  <c r="Q273" i="1"/>
  <c r="P264" i="1"/>
  <c r="P273" i="1"/>
  <c r="E264" i="1"/>
  <c r="E273" i="1"/>
  <c r="J247" i="1"/>
  <c r="J273" i="1"/>
  <c r="S264" i="1"/>
  <c r="S273" i="1"/>
  <c r="G247" i="1"/>
  <c r="G273" i="1"/>
  <c r="I264" i="1"/>
  <c r="I273" i="1"/>
  <c r="M247" i="1"/>
  <c r="M273" i="1"/>
  <c r="N247" i="1"/>
  <c r="N273" i="1"/>
  <c r="T145" i="1"/>
  <c r="T273" i="1"/>
  <c r="T269" i="1" s="1"/>
  <c r="W264" i="1"/>
  <c r="W273" i="1"/>
  <c r="W269" i="1" s="1"/>
  <c r="CY121" i="1"/>
  <c r="CY273" i="1"/>
  <c r="G295" i="1"/>
  <c r="R264" i="1"/>
  <c r="P369" i="1"/>
  <c r="M265" i="1"/>
  <c r="G275" i="1"/>
  <c r="L287" i="1"/>
  <c r="L254" i="1" s="1"/>
  <c r="L257" i="1" s="1"/>
  <c r="M248" i="1"/>
  <c r="E274" i="1"/>
  <c r="N301" i="1"/>
  <c r="N195" i="1" s="1"/>
  <c r="L247" i="1"/>
  <c r="L274" i="1"/>
  <c r="U249" i="1"/>
  <c r="F287" i="1"/>
  <c r="F342" i="1" s="1"/>
  <c r="N315" i="1"/>
  <c r="N349" i="1" s="1"/>
  <c r="M274" i="1"/>
  <c r="E251" i="1"/>
  <c r="R369" i="1"/>
  <c r="W266" i="1"/>
  <c r="E340" i="1"/>
  <c r="C323" i="1"/>
  <c r="N287" i="1"/>
  <c r="N216" i="1" s="1"/>
  <c r="J301" i="1"/>
  <c r="J305" i="1" s="1"/>
  <c r="K251" i="1"/>
  <c r="K248" i="1"/>
  <c r="E265" i="1"/>
  <c r="Q275" i="1"/>
  <c r="W275" i="1"/>
  <c r="W271" i="1" s="1"/>
  <c r="T147" i="1"/>
  <c r="S323" i="1"/>
  <c r="S352" i="1" s="1"/>
  <c r="S351" i="1" s="1"/>
  <c r="I301" i="1"/>
  <c r="I195" i="1" s="1"/>
  <c r="R315" i="1"/>
  <c r="R349" i="1" s="1"/>
  <c r="R348" i="1" s="1"/>
  <c r="L251" i="1"/>
  <c r="T266" i="1"/>
  <c r="T249" i="1"/>
  <c r="U369" i="1"/>
  <c r="L315" i="1"/>
  <c r="D301" i="1"/>
  <c r="D195" i="1" s="1"/>
  <c r="S301" i="1"/>
  <c r="S195" i="1" s="1"/>
  <c r="O287" i="1"/>
  <c r="O216" i="1" s="1"/>
  <c r="U275" i="1"/>
  <c r="U271" i="1" s="1"/>
  <c r="L248" i="1"/>
  <c r="K287" i="1"/>
  <c r="B227" i="1"/>
  <c r="B273" i="1" s="1"/>
  <c r="G340" i="1"/>
  <c r="BA169" i="1"/>
  <c r="AV182" i="1"/>
  <c r="AR178" i="1"/>
  <c r="BN201" i="1"/>
  <c r="AZ198" i="1"/>
  <c r="BP208" i="1"/>
  <c r="BC165" i="1"/>
  <c r="BI181" i="1"/>
  <c r="AI181" i="1"/>
  <c r="BC179" i="1"/>
  <c r="BU170" i="1"/>
  <c r="AS182" i="1"/>
  <c r="AU178" i="1"/>
  <c r="BB178" i="1"/>
  <c r="BB181" i="1"/>
  <c r="BH178" i="1"/>
  <c r="BR170" i="1"/>
  <c r="BD194" i="1"/>
  <c r="BD361" i="1" s="1"/>
  <c r="BQ164" i="1"/>
  <c r="AR182" i="1"/>
  <c r="BD208" i="1"/>
  <c r="AT197" i="1"/>
  <c r="AW194" i="1"/>
  <c r="AW361" i="1" s="1"/>
  <c r="BC208" i="1"/>
  <c r="BR201" i="1"/>
  <c r="BE169" i="1"/>
  <c r="AW169" i="1"/>
  <c r="BB180" i="1"/>
  <c r="AP170" i="1"/>
  <c r="BI177" i="1"/>
  <c r="BN208" i="1"/>
  <c r="BS197" i="1"/>
  <c r="AN197" i="1"/>
  <c r="BD179" i="1"/>
  <c r="AV197" i="1"/>
  <c r="BB182" i="1"/>
  <c r="BK170" i="1"/>
  <c r="BK207" i="1"/>
  <c r="BQ165" i="1"/>
  <c r="BI164" i="1"/>
  <c r="BI398" i="1" s="1"/>
  <c r="BV197" i="1"/>
  <c r="AT194" i="1"/>
  <c r="AT361" i="1" s="1"/>
  <c r="AV181" i="1"/>
  <c r="AR180" i="1"/>
  <c r="AW171" i="1"/>
  <c r="BC181" i="1"/>
  <c r="BA178" i="1"/>
  <c r="BO194" i="1"/>
  <c r="AY164" i="1"/>
  <c r="AY398" i="1" s="1"/>
  <c r="AZ197" i="1"/>
  <c r="BI180" i="1"/>
  <c r="BR198" i="1"/>
  <c r="BM182" i="1"/>
  <c r="BB197" i="1"/>
  <c r="BA170" i="1"/>
  <c r="BH194" i="1"/>
  <c r="AY177" i="1"/>
  <c r="BU179" i="1"/>
  <c r="BP171" i="1"/>
  <c r="AW207" i="1"/>
  <c r="AP208" i="1"/>
  <c r="BE207" i="1"/>
  <c r="BR178" i="1"/>
  <c r="BD177" i="1"/>
  <c r="BG179" i="1"/>
  <c r="AP177" i="1"/>
  <c r="BT179" i="1"/>
  <c r="BF207" i="1"/>
  <c r="AY169" i="1"/>
  <c r="BI171" i="1"/>
  <c r="AX179" i="1"/>
  <c r="AQ201" i="1"/>
  <c r="BB170" i="1"/>
  <c r="AY180" i="1"/>
  <c r="AQ177" i="1"/>
  <c r="BI178" i="1"/>
  <c r="BE171" i="1"/>
  <c r="BK182" i="1"/>
  <c r="AX197" i="1"/>
  <c r="BW180" i="1"/>
  <c r="BA208" i="1"/>
  <c r="AZ177" i="1"/>
  <c r="AX201" i="1"/>
  <c r="AU201" i="1"/>
  <c r="BT180" i="1"/>
  <c r="AV180" i="1"/>
  <c r="BH171" i="1"/>
  <c r="BJ208" i="1"/>
  <c r="BQ179" i="1"/>
  <c r="BC198" i="1"/>
  <c r="BC201" i="1"/>
  <c r="BK177" i="1"/>
  <c r="BR194" i="1"/>
  <c r="BR361" i="1" s="1"/>
  <c r="BK208" i="1"/>
  <c r="BJ179" i="1"/>
  <c r="BJ188" i="1" s="1"/>
  <c r="BH208" i="1"/>
  <c r="BC169" i="1"/>
  <c r="BG181" i="1"/>
  <c r="AO170" i="1"/>
  <c r="BR177" i="1"/>
  <c r="BV208" i="1"/>
  <c r="BD181" i="1"/>
  <c r="BC170" i="1"/>
  <c r="BE198" i="1"/>
  <c r="AZ201" i="1"/>
  <c r="BI197" i="1"/>
  <c r="AT208" i="1"/>
  <c r="BH182" i="1"/>
  <c r="BH197" i="1"/>
  <c r="AZ182" i="1"/>
  <c r="BQ180" i="1"/>
  <c r="AS171" i="1"/>
  <c r="BI194" i="1"/>
  <c r="BI361" i="1" s="1"/>
  <c r="BH181" i="1"/>
  <c r="AT180" i="1"/>
  <c r="AO178" i="1"/>
  <c r="BG177" i="1"/>
  <c r="BU207" i="1"/>
  <c r="AN170" i="1"/>
  <c r="BT198" i="1"/>
  <c r="BM178" i="1"/>
  <c r="AY201" i="1"/>
  <c r="BQ198" i="1"/>
  <c r="BQ419" i="1" s="1"/>
  <c r="BT201" i="1"/>
  <c r="AO180" i="1"/>
  <c r="BS182" i="1"/>
  <c r="BS194" i="1"/>
  <c r="BP198" i="1"/>
  <c r="BF177" i="1"/>
  <c r="AO182" i="1"/>
  <c r="BU178" i="1"/>
  <c r="BR208" i="1"/>
  <c r="BI179" i="1"/>
  <c r="AP169" i="1"/>
  <c r="BH164" i="1"/>
  <c r="BH398" i="1" s="1"/>
  <c r="AN181" i="1"/>
  <c r="BR207" i="1"/>
  <c r="BV198" i="1"/>
  <c r="BU201" i="1"/>
  <c r="BV171" i="1"/>
  <c r="AN201" i="1"/>
  <c r="AN164" i="1"/>
  <c r="AN398" i="1" s="1"/>
  <c r="AI180" i="1"/>
  <c r="BG180" i="1"/>
  <c r="AT207" i="1"/>
  <c r="AX208" i="1"/>
  <c r="BQ169" i="1"/>
  <c r="BW194" i="1"/>
  <c r="AR171" i="1"/>
  <c r="BW182" i="1"/>
  <c r="BH179" i="1"/>
  <c r="AW179" i="1"/>
  <c r="AT198" i="1"/>
  <c r="BB177" i="1"/>
  <c r="AW201" i="1"/>
  <c r="BH169" i="1"/>
  <c r="BH180" i="1"/>
  <c r="BG194" i="1"/>
  <c r="BG361" i="1" s="1"/>
  <c r="AW177" i="1"/>
  <c r="BN164" i="1"/>
  <c r="AO197" i="1"/>
  <c r="BP179" i="1"/>
  <c r="BN179" i="1"/>
  <c r="BA181" i="1"/>
  <c r="AZ179" i="1"/>
  <c r="BM179" i="1"/>
  <c r="BV181" i="1"/>
  <c r="AO171" i="1"/>
  <c r="BI208" i="1"/>
  <c r="AP198" i="1"/>
  <c r="BK171" i="1"/>
  <c r="BD169" i="1"/>
  <c r="BT181" i="1"/>
  <c r="BU164" i="1"/>
  <c r="BF179" i="1"/>
  <c r="BN194" i="1"/>
  <c r="BN195" i="1" s="1"/>
  <c r="AV207" i="1"/>
  <c r="AZ180" i="1"/>
  <c r="BN198" i="1"/>
  <c r="BN419" i="1" s="1"/>
  <c r="AU194" i="1"/>
  <c r="BM177" i="1"/>
  <c r="BC180" i="1"/>
  <c r="AU181" i="1"/>
  <c r="BF170" i="1"/>
  <c r="AP180" i="1"/>
  <c r="BU169" i="1"/>
  <c r="BS171" i="1"/>
  <c r="AR197" i="1"/>
  <c r="BM164" i="1"/>
  <c r="BM46" i="1" s="1"/>
  <c r="AN177" i="1"/>
  <c r="AY208" i="1"/>
  <c r="AZ170" i="1"/>
  <c r="AU180" i="1"/>
  <c r="BA201" i="1"/>
  <c r="BM169" i="1"/>
  <c r="BP182" i="1"/>
  <c r="AN178" i="1"/>
  <c r="BR180" i="1"/>
  <c r="BD201" i="1"/>
  <c r="AS208" i="1"/>
  <c r="AU208" i="1"/>
  <c r="BT170" i="1"/>
  <c r="BS177" i="1"/>
  <c r="BN180" i="1"/>
  <c r="AY197" i="1"/>
  <c r="AN207" i="1"/>
  <c r="AI197" i="1"/>
  <c r="BI169" i="1"/>
  <c r="BD207" i="1"/>
  <c r="AZ169" i="1"/>
  <c r="BK180" i="1"/>
  <c r="AX171" i="1"/>
  <c r="BN170" i="1"/>
  <c r="AU164" i="1"/>
  <c r="BC164" i="1"/>
  <c r="BC398" i="1" s="1"/>
  <c r="AP178" i="1"/>
  <c r="BI201" i="1"/>
  <c r="BP180" i="1"/>
  <c r="BD180" i="1"/>
  <c r="AU197" i="1"/>
  <c r="BW201" i="1"/>
  <c r="AU170" i="1"/>
  <c r="BQ208" i="1"/>
  <c r="BG201" i="1"/>
  <c r="AW181" i="1"/>
  <c r="BT165" i="1"/>
  <c r="BN177" i="1"/>
  <c r="BV179" i="1"/>
  <c r="BO180" i="1"/>
  <c r="BS201" i="1"/>
  <c r="BA197" i="1"/>
  <c r="BV170" i="1"/>
  <c r="AR207" i="1"/>
  <c r="BG207" i="1"/>
  <c r="BU182" i="1"/>
  <c r="BF164" i="1"/>
  <c r="BO169" i="1"/>
  <c r="BA179" i="1"/>
  <c r="BM171" i="1"/>
  <c r="BQ207" i="1"/>
  <c r="BB164" i="1"/>
  <c r="BB398" i="1" s="1"/>
  <c r="BT178" i="1"/>
  <c r="AU207" i="1"/>
  <c r="BO197" i="1"/>
  <c r="AX198" i="1"/>
  <c r="AP181" i="1"/>
  <c r="AP179" i="1"/>
  <c r="BK201" i="1"/>
  <c r="AI177" i="1"/>
  <c r="AQ208" i="1"/>
  <c r="BE201" i="1"/>
  <c r="BG169" i="1"/>
  <c r="BT171" i="1"/>
  <c r="BP169" i="1"/>
  <c r="AU171" i="1"/>
  <c r="BK179" i="1"/>
  <c r="BS178" i="1"/>
  <c r="AW180" i="1"/>
  <c r="AO181" i="1"/>
  <c r="AP197" i="1"/>
  <c r="BI207" i="1"/>
  <c r="BS170" i="1"/>
  <c r="BA194" i="1"/>
  <c r="BA361" i="1" s="1"/>
  <c r="BK169" i="1"/>
  <c r="BU198" i="1"/>
  <c r="BU419" i="1" s="1"/>
  <c r="AU198" i="1"/>
  <c r="BM208" i="1"/>
  <c r="AQ179" i="1"/>
  <c r="AZ178" i="1"/>
  <c r="BV178" i="1"/>
  <c r="BP207" i="1"/>
  <c r="AW197" i="1"/>
  <c r="AI182" i="1"/>
  <c r="BH207" i="1"/>
  <c r="AS178" i="1"/>
  <c r="AQ197" i="1"/>
  <c r="AU182" i="1"/>
  <c r="AV198" i="1"/>
  <c r="AQ181" i="1"/>
  <c r="BH201" i="1"/>
  <c r="AP171" i="1"/>
  <c r="BE177" i="1"/>
  <c r="AS201" i="1"/>
  <c r="AQ171" i="1"/>
  <c r="BK178" i="1"/>
  <c r="BW171" i="1"/>
  <c r="AZ165" i="1"/>
  <c r="BV207" i="1"/>
  <c r="BS198" i="1"/>
  <c r="AO201" i="1"/>
  <c r="BT182" i="1"/>
  <c r="BB208" i="1"/>
  <c r="BE170" i="1"/>
  <c r="BV177" i="1"/>
  <c r="AZ181" i="1"/>
  <c r="BN182" i="1"/>
  <c r="BP170" i="1"/>
  <c r="BB201" i="1"/>
  <c r="AW170" i="1"/>
  <c r="BQ201" i="1"/>
  <c r="AI170" i="1"/>
  <c r="AU179" i="1"/>
  <c r="AO177" i="1"/>
  <c r="BE179" i="1"/>
  <c r="BB179" i="1"/>
  <c r="AN171" i="1"/>
  <c r="BF169" i="1"/>
  <c r="BG198" i="1"/>
  <c r="BF182" i="1"/>
  <c r="BV180" i="1"/>
  <c r="BP177" i="1"/>
  <c r="BQ178" i="1"/>
  <c r="AV179" i="1"/>
  <c r="AR208" i="1"/>
  <c r="AS170" i="1"/>
  <c r="AX177" i="1"/>
  <c r="AO169" i="1"/>
  <c r="BO179" i="1"/>
  <c r="AP194" i="1"/>
  <c r="AP361" i="1" s="1"/>
  <c r="AN169" i="1"/>
  <c r="AW198" i="1"/>
  <c r="BM201" i="1"/>
  <c r="AW182" i="1"/>
  <c r="BV201" i="1"/>
  <c r="BM170" i="1"/>
  <c r="BV165" i="1"/>
  <c r="BK197" i="1"/>
  <c r="BF180" i="1"/>
  <c r="BS169" i="1"/>
  <c r="AX194" i="1"/>
  <c r="AX361" i="1" s="1"/>
  <c r="BM181" i="1"/>
  <c r="BW170" i="1"/>
  <c r="AU169" i="1"/>
  <c r="BN169" i="1"/>
  <c r="BU165" i="1"/>
  <c r="BT197" i="1"/>
  <c r="BP194" i="1"/>
  <c r="BP361" i="1" s="1"/>
  <c r="AO179" i="1"/>
  <c r="BO181" i="1"/>
  <c r="AZ164" i="1"/>
  <c r="AZ398" i="1" s="1"/>
  <c r="AX182" i="1"/>
  <c r="AW165" i="1"/>
  <c r="AT170" i="1"/>
  <c r="BG197" i="1"/>
  <c r="BG178" i="1"/>
  <c r="BW197" i="1"/>
  <c r="AN180" i="1"/>
  <c r="BS207" i="1"/>
  <c r="BF208" i="1"/>
  <c r="BH165" i="1"/>
  <c r="BF178" i="1"/>
  <c r="BS165" i="1"/>
  <c r="AV170" i="1"/>
  <c r="BA180" i="1"/>
  <c r="BH177" i="1"/>
  <c r="AR164" i="1"/>
  <c r="AR398" i="1" s="1"/>
  <c r="BF198" i="1"/>
  <c r="AW164" i="1"/>
  <c r="BI198" i="1"/>
  <c r="BQ170" i="1"/>
  <c r="BD197" i="1"/>
  <c r="BK194" i="1"/>
  <c r="BK361" i="1" s="1"/>
  <c r="AO198" i="1"/>
  <c r="BE182" i="1"/>
  <c r="AY198" i="1"/>
  <c r="AP164" i="1"/>
  <c r="AM207" i="1"/>
  <c r="AO164" i="1"/>
  <c r="AR165" i="1"/>
  <c r="AR166" i="1" s="1"/>
  <c r="BU177" i="1"/>
  <c r="AQ165" i="1"/>
  <c r="AI201" i="1"/>
  <c r="BW207" i="1"/>
  <c r="AI164" i="1"/>
  <c r="AI198" i="1"/>
  <c r="BE180" i="1"/>
  <c r="BD178" i="1"/>
  <c r="AV178" i="1"/>
  <c r="BW178" i="1"/>
  <c r="BQ181" i="1"/>
  <c r="BR182" i="1"/>
  <c r="BR164" i="1"/>
  <c r="BJ194" i="1"/>
  <c r="BQ194" i="1"/>
  <c r="BQ361" i="1" s="1"/>
  <c r="AR179" i="1"/>
  <c r="AZ194" i="1"/>
  <c r="AZ361" i="1" s="1"/>
  <c r="BE194" i="1"/>
  <c r="BF171" i="1"/>
  <c r="BV169" i="1"/>
  <c r="BO208" i="1"/>
  <c r="BC194" i="1"/>
  <c r="BC361" i="1" s="1"/>
  <c r="AS179" i="1"/>
  <c r="AP207" i="1"/>
  <c r="BF201" i="1"/>
  <c r="AT182" i="1"/>
  <c r="AQ207" i="1"/>
  <c r="BR169" i="1"/>
  <c r="AI178" i="1"/>
  <c r="BM180" i="1"/>
  <c r="BF197" i="1"/>
  <c r="AY165" i="1"/>
  <c r="AW208" i="1"/>
  <c r="BW165" i="1"/>
  <c r="BP197" i="1"/>
  <c r="BA171" i="1"/>
  <c r="AQ178" i="1"/>
  <c r="AR201" i="1"/>
  <c r="AP182" i="1"/>
  <c r="AZ208" i="1"/>
  <c r="AT165" i="1"/>
  <c r="BE181" i="1"/>
  <c r="AZ171" i="1"/>
  <c r="BU181" i="1"/>
  <c r="BD182" i="1"/>
  <c r="BS179" i="1"/>
  <c r="BE178" i="1"/>
  <c r="AR177" i="1"/>
  <c r="AV165" i="1"/>
  <c r="AT169" i="1"/>
  <c r="BM197" i="1"/>
  <c r="BO207" i="1"/>
  <c r="AY207" i="1"/>
  <c r="AX164" i="1"/>
  <c r="BJ198" i="1"/>
  <c r="BJ419" i="1" s="1"/>
  <c r="AR194" i="1"/>
  <c r="AR361" i="1" s="1"/>
  <c r="BF165" i="1"/>
  <c r="AW178" i="1"/>
  <c r="BU194" i="1"/>
  <c r="BU76" i="1" s="1"/>
  <c r="AP165" i="1"/>
  <c r="AP166" i="1" s="1"/>
  <c r="AY178" i="1"/>
  <c r="BH170" i="1"/>
  <c r="BI182" i="1"/>
  <c r="AQ164" i="1"/>
  <c r="AQ398" i="1" s="1"/>
  <c r="BN197" i="1"/>
  <c r="BG171" i="1"/>
  <c r="BU208" i="1"/>
  <c r="AI171" i="1"/>
  <c r="BB169" i="1"/>
  <c r="BW169" i="1"/>
  <c r="AT201" i="1"/>
  <c r="BT169" i="1"/>
  <c r="BG170" i="1"/>
  <c r="BB194" i="1"/>
  <c r="BB361" i="1" s="1"/>
  <c r="BB198" i="1"/>
  <c r="BU171" i="1"/>
  <c r="BM165" i="1"/>
  <c r="AO194" i="1"/>
  <c r="AO361" i="1" s="1"/>
  <c r="AS180" i="1"/>
  <c r="BK165" i="1"/>
  <c r="BW208" i="1"/>
  <c r="AO208" i="1"/>
  <c r="AN198" i="1"/>
  <c r="BG208" i="1"/>
  <c r="BA182" i="1"/>
  <c r="AO207" i="1"/>
  <c r="BA164" i="1"/>
  <c r="BA398" i="1" s="1"/>
  <c r="BW177" i="1"/>
  <c r="AV208" i="1"/>
  <c r="AS181" i="1"/>
  <c r="AS177" i="1"/>
  <c r="BA177" i="1"/>
  <c r="BO170" i="1"/>
  <c r="BS164" i="1"/>
  <c r="BU180" i="1"/>
  <c r="BB207" i="1"/>
  <c r="BE208" i="1"/>
  <c r="AS194" i="1"/>
  <c r="AS361" i="1" s="1"/>
  <c r="BO198" i="1"/>
  <c r="BR179" i="1"/>
  <c r="AY179" i="1"/>
  <c r="BO177" i="1"/>
  <c r="BI170" i="1"/>
  <c r="BJ201" i="1"/>
  <c r="BN207" i="1"/>
  <c r="BP165" i="1"/>
  <c r="AI194" i="1"/>
  <c r="AS165" i="1"/>
  <c r="BC197" i="1"/>
  <c r="BP201" i="1"/>
  <c r="BN181" i="1"/>
  <c r="AI165" i="1"/>
  <c r="AI166" i="1" s="1"/>
  <c r="AJ168" i="1" s="1"/>
  <c r="AT164" i="1"/>
  <c r="AT420" i="1" s="1"/>
  <c r="AS169" i="1"/>
  <c r="BE164" i="1"/>
  <c r="BE398" i="1" s="1"/>
  <c r="AR169" i="1"/>
  <c r="BE197" i="1"/>
  <c r="BM198" i="1"/>
  <c r="BJ165" i="1"/>
  <c r="BJ166" i="1" s="1"/>
  <c r="BJ172" i="1" s="1"/>
  <c r="BR181" i="1"/>
  <c r="AT177" i="1"/>
  <c r="AQ182" i="1"/>
  <c r="BA165" i="1"/>
  <c r="BA166" i="1" s="1"/>
  <c r="AX180" i="1"/>
  <c r="AY182" i="1"/>
  <c r="BJ207" i="1"/>
  <c r="AR181" i="1"/>
  <c r="BB171" i="1"/>
  <c r="AS207" i="1"/>
  <c r="AY194" i="1"/>
  <c r="AX165" i="1"/>
  <c r="BM194" i="1"/>
  <c r="BA198" i="1"/>
  <c r="AS197" i="1"/>
  <c r="BT208" i="1"/>
  <c r="AV201" i="1"/>
  <c r="AO165" i="1"/>
  <c r="AO166" i="1" s="1"/>
  <c r="AV169" i="1"/>
  <c r="BT177" i="1"/>
  <c r="BV164" i="1"/>
  <c r="BV166" i="1" s="1"/>
  <c r="AV194" i="1"/>
  <c r="AN182" i="1"/>
  <c r="AT178" i="1"/>
  <c r="AT179" i="1"/>
  <c r="BO178" i="1"/>
  <c r="AQ180" i="1"/>
  <c r="BO171" i="1"/>
  <c r="BG165" i="1"/>
  <c r="BO165" i="1"/>
  <c r="BS208" i="1"/>
  <c r="BR171" i="1"/>
  <c r="AN208" i="1"/>
  <c r="AI169" i="1"/>
  <c r="BP164" i="1"/>
  <c r="BO164" i="1"/>
  <c r="BO46" i="1" s="1"/>
  <c r="BE165" i="1"/>
  <c r="BO182" i="1"/>
  <c r="AV177" i="1"/>
  <c r="BN165" i="1"/>
  <c r="AI207" i="1"/>
  <c r="BQ182" i="1"/>
  <c r="AX170" i="1"/>
  <c r="BP178" i="1"/>
  <c r="AQ169" i="1"/>
  <c r="BG164" i="1"/>
  <c r="BJ260" i="1" s="1"/>
  <c r="BJ261" i="1" s="1"/>
  <c r="BJ264" i="1" s="1"/>
  <c r="AU177" i="1"/>
  <c r="AR170" i="1"/>
  <c r="BW179" i="1"/>
  <c r="AN179" i="1"/>
  <c r="AU165" i="1"/>
  <c r="BR197" i="1"/>
  <c r="BA207" i="1"/>
  <c r="AV164" i="1"/>
  <c r="AX207" i="1"/>
  <c r="BW181" i="1"/>
  <c r="BU197" i="1"/>
  <c r="BH198" i="1"/>
  <c r="BH419" i="1" s="1"/>
  <c r="BD198" i="1"/>
  <c r="BN178" i="1"/>
  <c r="BC207" i="1"/>
  <c r="BR165" i="1"/>
  <c r="BI165" i="1"/>
  <c r="BI166" i="1" s="1"/>
  <c r="BP181" i="1"/>
  <c r="AZ207" i="1"/>
  <c r="AS164" i="1"/>
  <c r="AS398" i="1" s="1"/>
  <c r="AX178" i="1"/>
  <c r="AY170" i="1"/>
  <c r="BK181" i="1"/>
  <c r="AQ198" i="1"/>
  <c r="AN165" i="1"/>
  <c r="AQ170" i="1"/>
  <c r="BO201" i="1"/>
  <c r="BN171" i="1"/>
  <c r="BS180" i="1"/>
  <c r="BS181" i="1"/>
  <c r="BF194" i="1"/>
  <c r="BF361" i="1" s="1"/>
  <c r="AI179" i="1"/>
  <c r="BM207" i="1"/>
  <c r="BB165" i="1"/>
  <c r="AY181" i="1"/>
  <c r="AX169" i="1"/>
  <c r="AN194" i="1"/>
  <c r="AN195" i="1" s="1"/>
  <c r="BW198" i="1"/>
  <c r="BC171" i="1"/>
  <c r="BT194" i="1"/>
  <c r="BQ171" i="1"/>
  <c r="BT207" i="1"/>
  <c r="AT181" i="1"/>
  <c r="BV194" i="1"/>
  <c r="AQ194" i="1"/>
  <c r="AR198" i="1"/>
  <c r="AR419" i="1" s="1"/>
  <c r="BC182" i="1"/>
  <c r="BG182" i="1"/>
  <c r="AI208" i="1"/>
  <c r="AV171" i="1"/>
  <c r="BT164" i="1"/>
  <c r="BD164" i="1"/>
  <c r="BD170" i="1"/>
  <c r="AY171" i="1"/>
  <c r="BJ197" i="1"/>
  <c r="AX181" i="1"/>
  <c r="BD165" i="1"/>
  <c r="BW164" i="1"/>
  <c r="AS198" i="1"/>
  <c r="BD171" i="1"/>
  <c r="BC178" i="1"/>
  <c r="BV182" i="1"/>
  <c r="AM208" i="1"/>
  <c r="BF181" i="1"/>
  <c r="BC177" i="1"/>
  <c r="BK198" i="1"/>
  <c r="BK164" i="1"/>
  <c r="BQ177" i="1"/>
  <c r="BQ197" i="1"/>
  <c r="AT171" i="1"/>
  <c r="AP201" i="1"/>
  <c r="V301" i="1"/>
  <c r="BV313" i="1"/>
  <c r="BW313" i="1" s="1"/>
  <c r="BV307" i="1"/>
  <c r="BW307" i="1" s="1"/>
  <c r="BX369" i="1" s="1"/>
  <c r="AM209" i="1"/>
  <c r="BK213" i="1"/>
  <c r="AS209" i="1"/>
  <c r="BH294" i="1"/>
  <c r="BV300" i="1"/>
  <c r="BV330" i="1"/>
  <c r="BW330" i="1" s="1"/>
  <c r="BE213" i="1"/>
  <c r="BH286" i="1"/>
  <c r="AT209" i="1"/>
  <c r="AO213" i="1"/>
  <c r="AM213" i="1"/>
  <c r="BG213" i="1"/>
  <c r="AP209" i="1"/>
  <c r="BV318" i="1"/>
  <c r="BW318" i="1" s="1"/>
  <c r="AK235" i="1"/>
  <c r="BH312" i="1"/>
  <c r="BH347" i="1" s="1"/>
  <c r="BI347" i="1" s="1"/>
  <c r="AU213" i="1"/>
  <c r="AN213" i="1"/>
  <c r="BH317" i="1"/>
  <c r="BI317" i="1" s="1"/>
  <c r="AY209" i="1"/>
  <c r="BV321" i="1"/>
  <c r="BW321" i="1" s="1"/>
  <c r="BP213" i="1"/>
  <c r="BV235" i="1"/>
  <c r="BH319" i="1"/>
  <c r="BI319" i="1" s="1"/>
  <c r="BH330" i="1"/>
  <c r="BI330" i="1" s="1"/>
  <c r="BB209" i="1"/>
  <c r="BJ213" i="1"/>
  <c r="BT213" i="1"/>
  <c r="BV331" i="1"/>
  <c r="BW331" i="1" s="1"/>
  <c r="BA209" i="1"/>
  <c r="BM209" i="1"/>
  <c r="BV291" i="1"/>
  <c r="BW291" i="1" s="1"/>
  <c r="BA213" i="1"/>
  <c r="AI209" i="1"/>
  <c r="AI213" i="1"/>
  <c r="BH316" i="1"/>
  <c r="BI316" i="1" s="1"/>
  <c r="BH284" i="1"/>
  <c r="BI284" i="1" s="1"/>
  <c r="BV298" i="1"/>
  <c r="BH304" i="1"/>
  <c r="BI304" i="1" s="1"/>
  <c r="BH298" i="1"/>
  <c r="BV309" i="1"/>
  <c r="BW309" i="1" s="1"/>
  <c r="BV236" i="1"/>
  <c r="BV319" i="1"/>
  <c r="BW319" i="1" s="1"/>
  <c r="AP213" i="1"/>
  <c r="AW209" i="1"/>
  <c r="BH302" i="1"/>
  <c r="BI302" i="1" s="1"/>
  <c r="AY213" i="1"/>
  <c r="AU209" i="1"/>
  <c r="BV293" i="1"/>
  <c r="BW293" i="1" s="1"/>
  <c r="AZ209" i="1"/>
  <c r="BM213" i="1"/>
  <c r="BV304" i="1"/>
  <c r="BW304" i="1" s="1"/>
  <c r="BV209" i="1"/>
  <c r="BH291" i="1"/>
  <c r="BI291" i="1" s="1"/>
  <c r="BH293" i="1"/>
  <c r="BI293" i="1" s="1"/>
  <c r="BH311" i="1"/>
  <c r="BH346" i="1" s="1"/>
  <c r="BI346" i="1" s="1"/>
  <c r="BJ235" i="1"/>
  <c r="BH322" i="1"/>
  <c r="BI322" i="1" s="1"/>
  <c r="BV294" i="1"/>
  <c r="BW294" i="1" s="1"/>
  <c r="BV311" i="1"/>
  <c r="BV289" i="1"/>
  <c r="BW289" i="1" s="1"/>
  <c r="BH326" i="1"/>
  <c r="AQ213" i="1"/>
  <c r="AW213" i="1"/>
  <c r="BV285" i="1"/>
  <c r="BW285" i="1" s="1"/>
  <c r="AI235" i="1"/>
  <c r="BE209" i="1"/>
  <c r="BV312" i="1"/>
  <c r="BV347" i="1" s="1"/>
  <c r="BW347" i="1" s="1"/>
  <c r="BN213" i="1"/>
  <c r="BJ236" i="1"/>
  <c r="BH331" i="1"/>
  <c r="BI331" i="1" s="1"/>
  <c r="BV316" i="1"/>
  <c r="BW316" i="1" s="1"/>
  <c r="BV284" i="1"/>
  <c r="BW284" i="1" s="1"/>
  <c r="BU209" i="1"/>
  <c r="BR209" i="1"/>
  <c r="AV213" i="1"/>
  <c r="AQ209" i="1"/>
  <c r="AO209" i="1"/>
  <c r="AM235" i="1"/>
  <c r="BH320" i="1"/>
  <c r="BH350" i="1" s="1"/>
  <c r="BI350" i="1" s="1"/>
  <c r="BF209" i="1"/>
  <c r="BH289" i="1"/>
  <c r="BI289" i="1" s="1"/>
  <c r="BT209" i="1"/>
  <c r="BH309" i="1"/>
  <c r="BI309" i="1" s="1"/>
  <c r="BC209" i="1"/>
  <c r="BF213" i="1"/>
  <c r="BV302" i="1"/>
  <c r="BW302" i="1" s="1"/>
  <c r="BQ213" i="1"/>
  <c r="BJ209" i="1"/>
  <c r="BH209" i="1"/>
  <c r="BH307" i="1"/>
  <c r="BI307" i="1" s="1"/>
  <c r="BJ369" i="1" s="1"/>
  <c r="BV314" i="1"/>
  <c r="BW314" i="1" s="1"/>
  <c r="AV209" i="1"/>
  <c r="AN209" i="1"/>
  <c r="BV317" i="1"/>
  <c r="BW317" i="1" s="1"/>
  <c r="BH314" i="1"/>
  <c r="BI314" i="1" s="1"/>
  <c r="BH292" i="1"/>
  <c r="BI292" i="1" s="1"/>
  <c r="BH310" i="1"/>
  <c r="BI310" i="1" s="1"/>
  <c r="AX209" i="1"/>
  <c r="BO213" i="1"/>
  <c r="BN209" i="1"/>
  <c r="BV320" i="1"/>
  <c r="BV326" i="1"/>
  <c r="BB213" i="1"/>
  <c r="BH300" i="1"/>
  <c r="AJ236" i="1"/>
  <c r="BS213" i="1"/>
  <c r="BG209" i="1"/>
  <c r="BH321" i="1"/>
  <c r="BI321" i="1" s="1"/>
  <c r="AM236" i="1"/>
  <c r="BW213" i="1"/>
  <c r="BI213" i="1"/>
  <c r="BI209" i="1"/>
  <c r="BH235" i="1"/>
  <c r="AR209" i="1"/>
  <c r="BV286" i="1"/>
  <c r="BR213" i="1"/>
  <c r="AX213" i="1"/>
  <c r="BV327" i="1"/>
  <c r="BQ209" i="1"/>
  <c r="BV299" i="1"/>
  <c r="BD209" i="1"/>
  <c r="BC213" i="1"/>
  <c r="BP209" i="1"/>
  <c r="BU213" i="1"/>
  <c r="BH318" i="1"/>
  <c r="BH299" i="1"/>
  <c r="BH213" i="1"/>
  <c r="BV310" i="1"/>
  <c r="BW310" i="1" s="1"/>
  <c r="AK236" i="1"/>
  <c r="AS213" i="1"/>
  <c r="BV322" i="1"/>
  <c r="BW322" i="1" s="1"/>
  <c r="AJ235" i="1"/>
  <c r="AT213" i="1"/>
  <c r="AZ213" i="1"/>
  <c r="BD213" i="1"/>
  <c r="BW209" i="1"/>
  <c r="AR213" i="1"/>
  <c r="BK209" i="1"/>
  <c r="BV213" i="1"/>
  <c r="BV292" i="1"/>
  <c r="BW292" i="1" s="1"/>
  <c r="BH313" i="1"/>
  <c r="BI313" i="1" s="1"/>
  <c r="BH285" i="1"/>
  <c r="BI285" i="1" s="1"/>
  <c r="BO209" i="1"/>
  <c r="BS209" i="1"/>
  <c r="BH236" i="1"/>
  <c r="BH327" i="1"/>
  <c r="W301" i="1"/>
  <c r="W305" i="1" s="1"/>
  <c r="K266" i="1"/>
  <c r="H287" i="1"/>
  <c r="H254" i="1" s="1"/>
  <c r="H257" i="1" s="1"/>
  <c r="I248" i="1"/>
  <c r="H369" i="1"/>
  <c r="H247" i="1"/>
  <c r="H323" i="1"/>
  <c r="H352" i="1" s="1"/>
  <c r="H351" i="1" s="1"/>
  <c r="J295" i="1"/>
  <c r="J335" i="1" s="1"/>
  <c r="J276" i="1" s="1"/>
  <c r="D340" i="1"/>
  <c r="G274" i="1"/>
  <c r="S247" i="1"/>
  <c r="I265" i="1"/>
  <c r="G251" i="1"/>
  <c r="J287" i="1"/>
  <c r="J254" i="1" s="1"/>
  <c r="G248" i="1"/>
  <c r="J265" i="1"/>
  <c r="I251" i="1"/>
  <c r="J264" i="1"/>
  <c r="Q301" i="1"/>
  <c r="Q305" i="1" s="1"/>
  <c r="T295" i="1"/>
  <c r="P323" i="1"/>
  <c r="P352" i="1" s="1"/>
  <c r="P351" i="1" s="1"/>
  <c r="C301" i="1"/>
  <c r="C305" i="1" s="1"/>
  <c r="U287" i="1"/>
  <c r="U254" i="1" s="1"/>
  <c r="W295" i="1"/>
  <c r="X416" i="1" s="1"/>
  <c r="X418" i="1" s="1"/>
  <c r="Q315" i="1"/>
  <c r="Q324" i="1" s="1"/>
  <c r="R323" i="1"/>
  <c r="R352" i="1" s="1"/>
  <c r="Q328" i="1"/>
  <c r="S340" i="1"/>
  <c r="N369" i="1"/>
  <c r="L328" i="1"/>
  <c r="L335" i="1" s="1"/>
  <c r="L276" i="1" s="1"/>
  <c r="B340" i="1"/>
  <c r="B323" i="1"/>
  <c r="B352" i="1" s="1"/>
  <c r="B351" i="1" s="1"/>
  <c r="I323" i="1"/>
  <c r="I352" i="1" s="1"/>
  <c r="S266" i="1"/>
  <c r="F266" i="1"/>
  <c r="F251" i="1"/>
  <c r="F323" i="1"/>
  <c r="F352" i="1" s="1"/>
  <c r="F351" i="1" s="1"/>
  <c r="L323" i="1"/>
  <c r="L324" i="1" s="1"/>
  <c r="G369" i="1"/>
  <c r="O315" i="1"/>
  <c r="C340" i="1"/>
  <c r="F315" i="1"/>
  <c r="F349" i="1" s="1"/>
  <c r="S249" i="1"/>
  <c r="F274" i="1"/>
  <c r="W265" i="1"/>
  <c r="O323" i="1"/>
  <c r="O352" i="1" s="1"/>
  <c r="B274" i="1"/>
  <c r="G287" i="1"/>
  <c r="M340" i="1"/>
  <c r="K301" i="1"/>
  <c r="K305" i="1" s="1"/>
  <c r="I295" i="1"/>
  <c r="I335" i="1" s="1"/>
  <c r="I276" i="1" s="1"/>
  <c r="I278" i="1" s="1"/>
  <c r="I281" i="1" s="1"/>
  <c r="L369" i="1"/>
  <c r="R295" i="1"/>
  <c r="R199" i="1" s="1"/>
  <c r="T340" i="1"/>
  <c r="M328" i="1"/>
  <c r="N376" i="1" s="1"/>
  <c r="W369" i="1"/>
  <c r="J249" i="1"/>
  <c r="J251" i="1"/>
  <c r="J248" i="1"/>
  <c r="J275" i="1"/>
  <c r="T264" i="1"/>
  <c r="N264" i="1"/>
  <c r="L305" i="1"/>
  <c r="K323" i="1"/>
  <c r="V340" i="1"/>
  <c r="T328" i="1"/>
  <c r="U376" i="1" s="1"/>
  <c r="H301" i="1"/>
  <c r="H305" i="1" s="1"/>
  <c r="J315" i="1"/>
  <c r="O301" i="1"/>
  <c r="O305" i="1" s="1"/>
  <c r="U340" i="1"/>
  <c r="Q295" i="1"/>
  <c r="Q335" i="1" s="1"/>
  <c r="Q276" i="1" s="1"/>
  <c r="B315" i="1"/>
  <c r="N340" i="1"/>
  <c r="F295" i="1"/>
  <c r="F199" i="1" s="1"/>
  <c r="Q340" i="1"/>
  <c r="V287" i="1"/>
  <c r="V342" i="1" s="1"/>
  <c r="S295" i="1"/>
  <c r="O340" i="1"/>
  <c r="K340" i="1"/>
  <c r="S287" i="1"/>
  <c r="S374" i="1" s="1"/>
  <c r="G315" i="1"/>
  <c r="G349" i="1" s="1"/>
  <c r="G348" i="1" s="1"/>
  <c r="V323" i="1"/>
  <c r="V352" i="1" s="1"/>
  <c r="B287" i="1"/>
  <c r="B342" i="1" s="1"/>
  <c r="Q287" i="1"/>
  <c r="Q254" i="1" s="1"/>
  <c r="K315" i="1"/>
  <c r="L363" i="1" s="1"/>
  <c r="C328" i="1"/>
  <c r="E301" i="1"/>
  <c r="E305" i="1" s="1"/>
  <c r="R216" i="1"/>
  <c r="R254" i="1"/>
  <c r="R257" i="1" s="1"/>
  <c r="B295" i="1"/>
  <c r="B335" i="1" s="1"/>
  <c r="B276" i="1" s="1"/>
  <c r="F340" i="1"/>
  <c r="R275" i="1"/>
  <c r="E315" i="1"/>
  <c r="E349" i="1" s="1"/>
  <c r="E348" i="1" s="1"/>
  <c r="V295" i="1"/>
  <c r="V199" i="1" s="1"/>
  <c r="P301" i="1"/>
  <c r="P305" i="1" s="1"/>
  <c r="D369" i="1"/>
  <c r="S328" i="1"/>
  <c r="T376" i="1" s="1"/>
  <c r="R249" i="1"/>
  <c r="F369" i="1"/>
  <c r="O275" i="1"/>
  <c r="P265" i="1"/>
  <c r="C295" i="1"/>
  <c r="C296" i="1" s="1"/>
  <c r="C217" i="1" s="1"/>
  <c r="U323" i="1"/>
  <c r="V364" i="1" s="1"/>
  <c r="O295" i="1"/>
  <c r="F301" i="1"/>
  <c r="F195" i="1" s="1"/>
  <c r="N323" i="1"/>
  <c r="N352" i="1" s="1"/>
  <c r="N351" i="1" s="1"/>
  <c r="H340" i="1"/>
  <c r="D287" i="1"/>
  <c r="D374" i="1" s="1"/>
  <c r="I315" i="1"/>
  <c r="I349" i="1" s="1"/>
  <c r="I348" i="1" s="1"/>
  <c r="P251" i="1"/>
  <c r="P248" i="1"/>
  <c r="U295" i="1"/>
  <c r="AO398" i="1"/>
  <c r="U301" i="1"/>
  <c r="U305" i="1" s="1"/>
  <c r="H315" i="1"/>
  <c r="H349" i="1" s="1"/>
  <c r="I287" i="1"/>
  <c r="I342" i="1" s="1"/>
  <c r="G323" i="1"/>
  <c r="D295" i="1"/>
  <c r="D199" i="1" s="1"/>
  <c r="P287" i="1"/>
  <c r="P254" i="1" s="1"/>
  <c r="V247" i="1"/>
  <c r="P340" i="1"/>
  <c r="U315" i="1"/>
  <c r="U349" i="1" s="1"/>
  <c r="U348" i="1" s="1"/>
  <c r="BN420" i="1"/>
  <c r="S315" i="1"/>
  <c r="S349" i="1" s="1"/>
  <c r="M295" i="1"/>
  <c r="M416" i="1" s="1"/>
  <c r="M418" i="1" s="1"/>
  <c r="V264" i="1"/>
  <c r="N295" i="1"/>
  <c r="N199" i="1" s="1"/>
  <c r="AW398" i="1"/>
  <c r="E247" i="1"/>
  <c r="T287" i="1"/>
  <c r="T342" i="1" s="1"/>
  <c r="H295" i="1"/>
  <c r="V369" i="1"/>
  <c r="BJ173" i="1"/>
  <c r="E295" i="1"/>
  <c r="E296" i="1" s="1"/>
  <c r="E217" i="1" s="1"/>
  <c r="E323" i="1"/>
  <c r="H342" i="1"/>
  <c r="H216" i="1"/>
  <c r="W140" i="1"/>
  <c r="CX140" i="1"/>
  <c r="CX153" i="1" s="1"/>
  <c r="CY138" i="1"/>
  <c r="CY139" i="1"/>
  <c r="CY137" i="1"/>
  <c r="E342" i="1"/>
  <c r="E216" i="1"/>
  <c r="I374" i="1"/>
  <c r="H415" i="1"/>
  <c r="N305" i="1"/>
  <c r="C342" i="1"/>
  <c r="T305" i="1"/>
  <c r="N415" i="1"/>
  <c r="M415" i="1"/>
  <c r="M216" i="1"/>
  <c r="L195" i="1"/>
  <c r="R342" i="1"/>
  <c r="M254" i="1"/>
  <c r="M256" i="1" s="1"/>
  <c r="B228" i="1"/>
  <c r="B230" i="1" s="1"/>
  <c r="B275" i="1"/>
  <c r="I415" i="1"/>
  <c r="B195" i="1"/>
  <c r="B305" i="1"/>
  <c r="C228" i="1"/>
  <c r="C275" i="1"/>
  <c r="C274" i="1"/>
  <c r="E376" i="1"/>
  <c r="G376" i="1"/>
  <c r="F415" i="1"/>
  <c r="K376" i="1"/>
  <c r="U216" i="1"/>
  <c r="H373" i="1"/>
  <c r="H195" i="1"/>
  <c r="G305" i="1"/>
  <c r="G195" i="1"/>
  <c r="L376" i="1"/>
  <c r="K415" i="1"/>
  <c r="K296" i="1"/>
  <c r="K217" i="1" s="1"/>
  <c r="K199" i="1"/>
  <c r="K335" i="1"/>
  <c r="K276" i="1" s="1"/>
  <c r="K216" i="1"/>
  <c r="K342" i="1"/>
  <c r="K254" i="1"/>
  <c r="U342" i="1"/>
  <c r="D228" i="1"/>
  <c r="D275" i="1"/>
  <c r="D349" i="1"/>
  <c r="D348" i="1" s="1"/>
  <c r="K195" i="1"/>
  <c r="S376" i="1"/>
  <c r="R415" i="1"/>
  <c r="L349" i="1"/>
  <c r="C352" i="1"/>
  <c r="G199" i="1"/>
  <c r="G335" i="1"/>
  <c r="G276" i="1" s="1"/>
  <c r="Q352" i="1"/>
  <c r="H376" i="1"/>
  <c r="L199" i="1"/>
  <c r="L416" i="1"/>
  <c r="L418" i="1" s="1"/>
  <c r="L373" i="1"/>
  <c r="E352" i="1"/>
  <c r="G352" i="1"/>
  <c r="V305" i="1"/>
  <c r="V195" i="1"/>
  <c r="AP167" i="1"/>
  <c r="BJ266" i="1"/>
  <c r="E256" i="1"/>
  <c r="E257" i="1"/>
  <c r="E258" i="1"/>
  <c r="AL411" i="1"/>
  <c r="P232" i="1"/>
  <c r="N251" i="1"/>
  <c r="O248" i="1"/>
  <c r="O249" i="1"/>
  <c r="O232" i="1"/>
  <c r="O247" i="1"/>
  <c r="CQ305" i="1"/>
  <c r="CR194" i="1"/>
  <c r="AE239" i="1"/>
  <c r="AB292" i="1"/>
  <c r="AB295" i="1" s="1"/>
  <c r="AB416" i="1" s="1"/>
  <c r="AD309" i="1"/>
  <c r="CZ227" i="1"/>
  <c r="DA225" i="1"/>
  <c r="AK86" i="3"/>
  <c r="J64" i="3"/>
  <c r="N58" i="3"/>
  <c r="AA59" i="3"/>
  <c r="AM94" i="3"/>
  <c r="K87" i="3"/>
  <c r="T85" i="3"/>
  <c r="AH75" i="3"/>
  <c r="Z66" i="3"/>
  <c r="V84" i="3"/>
  <c r="AC54" i="3"/>
  <c r="R62" i="3"/>
  <c r="AM54" i="3"/>
  <c r="AQ50" i="3"/>
  <c r="AE59" i="3"/>
  <c r="J58" i="3"/>
  <c r="R88" i="3"/>
  <c r="AK56" i="3"/>
  <c r="X47" i="3"/>
  <c r="I65" i="3"/>
  <c r="AJ73" i="3"/>
  <c r="O47" i="3"/>
  <c r="AK88" i="3"/>
  <c r="AH81" i="3"/>
  <c r="AH73" i="3"/>
  <c r="I78" i="3"/>
  <c r="L83" i="3"/>
  <c r="AO92" i="3"/>
  <c r="AA78" i="3"/>
  <c r="I85" i="3"/>
  <c r="AI95" i="3"/>
  <c r="S81" i="3"/>
  <c r="T77" i="3"/>
  <c r="Z67" i="3"/>
  <c r="AE78" i="3"/>
  <c r="AO90" i="3"/>
  <c r="M66" i="3"/>
  <c r="W58" i="3"/>
  <c r="AQ85" i="3"/>
  <c r="R68" i="3"/>
  <c r="M97" i="3"/>
  <c r="R67" i="3"/>
  <c r="AE63" i="3"/>
  <c r="AA64" i="3"/>
  <c r="AH55" i="3"/>
  <c r="AJ76" i="3"/>
  <c r="AI82" i="3"/>
  <c r="S50" i="3"/>
  <c r="AE70" i="3"/>
  <c r="AI86" i="3"/>
  <c r="AE73" i="3"/>
  <c r="Z83" i="3"/>
  <c r="AL96" i="3"/>
  <c r="AL76" i="3"/>
  <c r="X50" i="3"/>
  <c r="AE76" i="3"/>
  <c r="AO49" i="3"/>
  <c r="K79" i="3"/>
  <c r="Y48" i="3"/>
  <c r="AO76" i="3"/>
  <c r="S69" i="3"/>
  <c r="R92" i="3"/>
  <c r="AJ75" i="3"/>
  <c r="Z88" i="3"/>
  <c r="Z79" i="3"/>
  <c r="AQ58" i="3"/>
  <c r="I47" i="3"/>
  <c r="S65" i="3"/>
  <c r="P67" i="3"/>
  <c r="P93" i="3"/>
  <c r="M63" i="3"/>
  <c r="I84" i="3"/>
  <c r="I61" i="3"/>
  <c r="AC67" i="3"/>
  <c r="AN80" i="3"/>
  <c r="J60" i="3"/>
  <c r="L89" i="3"/>
  <c r="N54" i="3"/>
  <c r="AO56" i="3"/>
  <c r="Q57" i="3"/>
  <c r="M64" i="3"/>
  <c r="K73" i="3"/>
  <c r="M55" i="3"/>
  <c r="N91" i="3"/>
  <c r="AA56" i="3"/>
  <c r="M47" i="3"/>
  <c r="S84" i="3"/>
  <c r="N86" i="3"/>
  <c r="Z56" i="3"/>
  <c r="AA71" i="3"/>
  <c r="AC96" i="3"/>
  <c r="V97" i="3"/>
  <c r="AM57" i="3"/>
  <c r="T61" i="3"/>
  <c r="T79" i="3"/>
  <c r="I92" i="3"/>
  <c r="L74" i="3"/>
  <c r="O55" i="3"/>
  <c r="X89" i="3"/>
  <c r="O57" i="3"/>
  <c r="S97" i="3"/>
  <c r="W86" i="3"/>
  <c r="Y64" i="3"/>
  <c r="L76" i="3"/>
  <c r="S86" i="3"/>
  <c r="R72" i="3"/>
  <c r="L47" i="3"/>
  <c r="L56" i="3"/>
  <c r="N76" i="3"/>
  <c r="AC48" i="3"/>
  <c r="O83" i="3"/>
  <c r="AH90" i="3"/>
  <c r="O65" i="3"/>
  <c r="Z57" i="3"/>
  <c r="AO82" i="3"/>
  <c r="Y54" i="3"/>
  <c r="AK54" i="3"/>
  <c r="H61" i="3"/>
  <c r="I94" i="3"/>
  <c r="J90" i="3"/>
  <c r="AC88" i="3"/>
  <c r="X56" i="3"/>
  <c r="AK90" i="3"/>
  <c r="AQ61" i="3"/>
  <c r="AI62" i="3"/>
  <c r="AE79" i="3"/>
  <c r="AA67" i="3"/>
  <c r="O54" i="3"/>
  <c r="M84" i="3"/>
  <c r="AJ50" i="3"/>
  <c r="W47" i="3"/>
  <c r="H93" i="3"/>
  <c r="Q91" i="3"/>
  <c r="AH57" i="3"/>
  <c r="P59" i="3"/>
  <c r="AO55" i="3"/>
  <c r="AO95" i="3"/>
  <c r="AE90" i="3"/>
  <c r="AN77" i="3"/>
  <c r="AE92" i="3"/>
  <c r="AE72" i="3"/>
  <c r="M58" i="3"/>
  <c r="M59" i="3"/>
  <c r="T55" i="3"/>
  <c r="P49" i="3"/>
  <c r="AA83" i="3"/>
  <c r="AJ54" i="3"/>
  <c r="X90" i="3"/>
  <c r="Z48" i="3"/>
  <c r="U83" i="3"/>
  <c r="AQ89" i="3"/>
  <c r="R97" i="3"/>
  <c r="T81" i="3"/>
  <c r="Z72" i="3"/>
  <c r="AI87" i="3"/>
  <c r="AI93" i="3"/>
  <c r="AN88" i="3"/>
  <c r="R87" i="3"/>
  <c r="O48" i="3"/>
  <c r="AI68" i="3"/>
  <c r="AK87" i="3"/>
  <c r="P80" i="3"/>
  <c r="U90" i="3"/>
  <c r="AJ77" i="3"/>
  <c r="S85" i="3"/>
  <c r="AM74" i="3"/>
  <c r="T62" i="3"/>
  <c r="R56" i="3"/>
  <c r="AO75" i="3"/>
  <c r="AE48" i="3"/>
  <c r="H94" i="3"/>
  <c r="J83" i="3"/>
  <c r="AJ88" i="3"/>
  <c r="AI50" i="3"/>
  <c r="N73" i="3"/>
  <c r="R91" i="3"/>
  <c r="W80" i="3"/>
  <c r="H95" i="3"/>
  <c r="AI66" i="3"/>
  <c r="Y66" i="3"/>
  <c r="I63" i="3"/>
  <c r="AC87" i="3"/>
  <c r="O94" i="3"/>
  <c r="J88" i="3"/>
  <c r="N68" i="3"/>
  <c r="AH54" i="3"/>
  <c r="U72" i="3"/>
  <c r="J74" i="3"/>
  <c r="M85" i="3"/>
  <c r="O60" i="3"/>
  <c r="AA49" i="3"/>
  <c r="AN58" i="3"/>
  <c r="T76" i="3"/>
  <c r="R64" i="3"/>
  <c r="AC74" i="3"/>
  <c r="V58" i="3"/>
  <c r="AH67" i="3"/>
  <c r="AC65" i="3"/>
  <c r="AK65" i="3"/>
  <c r="Z61" i="3"/>
  <c r="AQ75" i="3"/>
  <c r="U71" i="3"/>
  <c r="AH86" i="3"/>
  <c r="R47" i="3"/>
  <c r="AL70" i="3"/>
  <c r="R76" i="3"/>
  <c r="Y58" i="3"/>
  <c r="AO69" i="3"/>
  <c r="V87" i="3"/>
  <c r="Q95" i="3"/>
  <c r="AE77" i="3"/>
  <c r="Z82" i="3"/>
  <c r="S73" i="3"/>
  <c r="AM93" i="3"/>
  <c r="Q68" i="3"/>
  <c r="Z92" i="3"/>
  <c r="O67" i="3"/>
  <c r="AL89" i="3"/>
  <c r="I50" i="3"/>
  <c r="P84" i="3"/>
  <c r="AA57" i="3"/>
  <c r="K59" i="3"/>
  <c r="V78" i="3"/>
  <c r="W63" i="3"/>
  <c r="AA77" i="3"/>
  <c r="AL69" i="3"/>
  <c r="AG54" i="3"/>
  <c r="K54" i="3"/>
  <c r="W92" i="3"/>
  <c r="S93" i="3"/>
  <c r="X61" i="3"/>
  <c r="AA50" i="3"/>
  <c r="AA81" i="3"/>
  <c r="O77" i="3"/>
  <c r="I60" i="3"/>
  <c r="S58" i="3"/>
  <c r="K66" i="3"/>
  <c r="AL95" i="3"/>
  <c r="Q93" i="3"/>
  <c r="K88" i="3"/>
  <c r="AM85" i="3"/>
  <c r="V96" i="3"/>
  <c r="Z77" i="3"/>
  <c r="K80" i="3"/>
  <c r="AA88" i="3"/>
  <c r="P87" i="3"/>
  <c r="AO83" i="3"/>
  <c r="Z74" i="3"/>
  <c r="AH91" i="3"/>
  <c r="Z69" i="3"/>
  <c r="L68" i="3"/>
  <c r="Y94" i="3"/>
  <c r="Q85" i="3"/>
  <c r="AE58" i="3"/>
  <c r="AC75" i="3"/>
  <c r="Q55" i="3"/>
  <c r="Y87" i="3"/>
  <c r="M76" i="3"/>
  <c r="Y84" i="3"/>
  <c r="AK48" i="3"/>
  <c r="V55" i="3"/>
  <c r="AL65" i="3"/>
  <c r="R57" i="3"/>
  <c r="P90" i="3"/>
  <c r="K94" i="3"/>
  <c r="U74" i="3"/>
  <c r="O59" i="3"/>
  <c r="N80" i="3"/>
  <c r="H60" i="3"/>
  <c r="AG66" i="3"/>
  <c r="S96" i="3"/>
  <c r="AC60" i="3"/>
  <c r="K76" i="3"/>
  <c r="N70" i="3"/>
  <c r="AH74" i="3"/>
  <c r="H79" i="3"/>
  <c r="O88" i="3"/>
  <c r="I80" i="3"/>
  <c r="AN79" i="3"/>
  <c r="N56" i="3"/>
  <c r="AN70" i="3"/>
  <c r="AA90" i="3"/>
  <c r="Z47" i="3"/>
  <c r="AH58" i="3"/>
  <c r="AK49" i="3"/>
  <c r="O96" i="3"/>
  <c r="S47" i="3"/>
  <c r="K82" i="3"/>
  <c r="W59" i="3"/>
  <c r="AH93" i="3"/>
  <c r="AM71" i="3"/>
  <c r="J69" i="3"/>
  <c r="P96" i="3"/>
  <c r="AC70" i="3"/>
  <c r="AI85" i="3"/>
  <c r="AH65" i="3"/>
  <c r="AA85" i="3"/>
  <c r="V60" i="3"/>
  <c r="M80" i="3"/>
  <c r="Y74" i="3"/>
  <c r="AO70" i="3"/>
  <c r="Y89" i="3"/>
  <c r="AL79" i="3"/>
  <c r="AK93" i="3"/>
  <c r="AI55" i="3"/>
  <c r="AL47" i="3"/>
  <c r="AL63" i="3"/>
  <c r="N77" i="3"/>
  <c r="V67" i="3"/>
  <c r="R86" i="3"/>
  <c r="P57" i="3"/>
  <c r="N66" i="3"/>
  <c r="S76" i="3"/>
  <c r="Y79" i="3"/>
  <c r="AN56" i="3"/>
  <c r="AK82" i="3"/>
  <c r="U60" i="3"/>
  <c r="AA89" i="3"/>
  <c r="AG94" i="3"/>
  <c r="AL77" i="3"/>
  <c r="X82" i="3"/>
  <c r="AL55" i="3"/>
  <c r="K92" i="3"/>
  <c r="AL59" i="3"/>
  <c r="H63" i="3"/>
  <c r="O80" i="3"/>
  <c r="Z73" i="3"/>
  <c r="I72" i="3"/>
  <c r="V49" i="3"/>
  <c r="Q61" i="3"/>
  <c r="I56" i="3"/>
  <c r="AI97" i="3"/>
  <c r="AM59" i="3"/>
  <c r="AC57" i="3"/>
  <c r="U61" i="3"/>
  <c r="R75" i="3"/>
  <c r="AO63" i="3"/>
  <c r="U85" i="3"/>
  <c r="AG84" i="3"/>
  <c r="AG76" i="3"/>
  <c r="Y47" i="3"/>
  <c r="O79" i="3"/>
  <c r="I48" i="3"/>
  <c r="AG87" i="3"/>
  <c r="V85" i="3"/>
  <c r="AH62" i="3"/>
  <c r="AN91" i="3"/>
  <c r="O56" i="3"/>
  <c r="AM92" i="3"/>
  <c r="AA63" i="3"/>
  <c r="AH69" i="3"/>
  <c r="N72" i="3"/>
  <c r="H49" i="3"/>
  <c r="O92" i="3"/>
  <c r="I58" i="3"/>
  <c r="O68" i="3"/>
  <c r="AG92" i="3"/>
  <c r="Z58" i="3"/>
  <c r="N78" i="3"/>
  <c r="L49" i="3"/>
  <c r="AK50" i="3"/>
  <c r="I95" i="3"/>
  <c r="U93" i="3"/>
  <c r="AE74" i="3"/>
  <c r="AI60" i="3"/>
  <c r="AI59" i="3"/>
  <c r="W54" i="3"/>
  <c r="W79" i="3"/>
  <c r="T74" i="3"/>
  <c r="AE62" i="3"/>
  <c r="V76" i="3"/>
  <c r="T59" i="3"/>
  <c r="H77" i="3"/>
  <c r="Z85" i="3"/>
  <c r="R65" i="3"/>
  <c r="O91" i="3"/>
  <c r="AQ80" i="3"/>
  <c r="AK83" i="3"/>
  <c r="AN62" i="3"/>
  <c r="P85" i="3"/>
  <c r="AI73" i="3"/>
  <c r="AH80" i="3"/>
  <c r="X75" i="3"/>
  <c r="Q65" i="3"/>
  <c r="AG90" i="3"/>
  <c r="H58" i="3"/>
  <c r="AJ90" i="3"/>
  <c r="M92" i="3"/>
  <c r="AA69" i="3"/>
  <c r="J82" i="3"/>
  <c r="H92" i="3"/>
  <c r="V75" i="3"/>
  <c r="Q74" i="3"/>
  <c r="I79" i="3"/>
  <c r="U65" i="3"/>
  <c r="AL71" i="3"/>
  <c r="M50" i="3"/>
  <c r="R69" i="3"/>
  <c r="AL97" i="3"/>
  <c r="AG60" i="3"/>
  <c r="AL61" i="3"/>
  <c r="H64" i="3"/>
  <c r="AI88" i="3"/>
  <c r="T95" i="3"/>
  <c r="AO87" i="3"/>
  <c r="AI96" i="3"/>
  <c r="AQ62" i="3"/>
  <c r="AN75" i="3"/>
  <c r="H47" i="3"/>
  <c r="H62" i="3"/>
  <c r="AQ60" i="3"/>
  <c r="AN67" i="3"/>
  <c r="AH96" i="3"/>
  <c r="R55" i="3"/>
  <c r="AH47" i="3"/>
  <c r="AC93" i="3"/>
  <c r="K67" i="3"/>
  <c r="AM73" i="3"/>
  <c r="S66" i="3"/>
  <c r="L82" i="3"/>
  <c r="K65" i="3"/>
  <c r="Q59" i="3"/>
  <c r="AJ91" i="3"/>
  <c r="AA74" i="3"/>
  <c r="AI75" i="3"/>
  <c r="O74" i="3"/>
  <c r="AJ81" i="3"/>
  <c r="J92" i="3"/>
  <c r="AM61" i="3"/>
  <c r="AI54" i="3"/>
  <c r="I64" i="3"/>
  <c r="P60" i="3"/>
  <c r="AI64" i="3"/>
  <c r="AJ69" i="3"/>
  <c r="AE64" i="3"/>
  <c r="I91" i="3"/>
  <c r="AC85" i="3"/>
  <c r="L54" i="3"/>
  <c r="AJ47" i="3"/>
  <c r="S75" i="3"/>
  <c r="AE60" i="3"/>
  <c r="Q84" i="3"/>
  <c r="AQ71" i="3"/>
  <c r="H84" i="3"/>
  <c r="AM87" i="3"/>
  <c r="P55" i="3"/>
  <c r="S74" i="3"/>
  <c r="X81" i="3"/>
  <c r="AC78" i="3"/>
  <c r="AO58" i="3"/>
  <c r="Y75" i="3"/>
  <c r="AE80" i="3"/>
  <c r="K81" i="3"/>
  <c r="Y63" i="3"/>
  <c r="J55" i="3"/>
  <c r="K56" i="3"/>
  <c r="AJ48" i="3"/>
  <c r="AC83" i="3"/>
  <c r="X88" i="3"/>
  <c r="AL68" i="3"/>
  <c r="AI94" i="3"/>
  <c r="L86" i="3"/>
  <c r="V72" i="3"/>
  <c r="AG97" i="3"/>
  <c r="AN87" i="3"/>
  <c r="AI49" i="3"/>
  <c r="AA97" i="3"/>
  <c r="Z62" i="3"/>
  <c r="AK69" i="3"/>
  <c r="M95" i="3"/>
  <c r="AG91" i="3"/>
  <c r="R74" i="3"/>
  <c r="N94" i="3"/>
  <c r="S88" i="3"/>
  <c r="S67" i="3"/>
  <c r="J75" i="3"/>
  <c r="AE65" i="3"/>
  <c r="AO65" i="3"/>
  <c r="Z70" i="3"/>
  <c r="Z60" i="3"/>
  <c r="P64" i="3"/>
  <c r="N63" i="3"/>
  <c r="AK60" i="3"/>
  <c r="X76" i="3"/>
  <c r="P76" i="3"/>
  <c r="U77" i="3"/>
  <c r="V90" i="3"/>
  <c r="P88" i="3"/>
  <c r="AQ94" i="3"/>
  <c r="H66" i="3"/>
  <c r="AA68" i="3"/>
  <c r="X86" i="3"/>
  <c r="Y73" i="3"/>
  <c r="AJ94" i="3"/>
  <c r="AN93" i="3"/>
  <c r="Y96" i="3"/>
  <c r="AI47" i="3"/>
  <c r="AL75" i="3"/>
  <c r="Q96" i="3"/>
  <c r="AG83" i="3"/>
  <c r="AN61" i="3"/>
  <c r="AA55" i="3"/>
  <c r="H56" i="3"/>
  <c r="Z75" i="3"/>
  <c r="AO71" i="3"/>
  <c r="V54" i="3"/>
  <c r="AK47" i="3"/>
  <c r="Y78" i="3"/>
  <c r="L81" i="3"/>
  <c r="AH49" i="3"/>
  <c r="AE56" i="3"/>
  <c r="J94" i="3"/>
  <c r="AE55" i="3"/>
  <c r="P92" i="3"/>
  <c r="X64" i="3"/>
  <c r="V63" i="3"/>
  <c r="AM86" i="3"/>
  <c r="T91" i="3"/>
  <c r="Q69" i="3"/>
  <c r="AH48" i="3"/>
  <c r="T96" i="3"/>
  <c r="N59" i="3"/>
  <c r="H90" i="3"/>
  <c r="J89" i="3"/>
  <c r="I71" i="3"/>
  <c r="L78" i="3"/>
  <c r="AJ93" i="3"/>
  <c r="AG82" i="3"/>
  <c r="R96" i="3"/>
  <c r="V59" i="3"/>
  <c r="W97" i="3"/>
  <c r="U54" i="3"/>
  <c r="I75" i="3"/>
  <c r="Y81" i="3"/>
  <c r="AC95" i="3"/>
  <c r="AM75" i="3"/>
  <c r="U57" i="3"/>
  <c r="AN69" i="3"/>
  <c r="AJ89" i="3"/>
  <c r="L90" i="3"/>
  <c r="J54" i="3"/>
  <c r="N65" i="3"/>
  <c r="K74" i="3"/>
  <c r="AO48" i="3"/>
  <c r="H88" i="3"/>
  <c r="I73" i="3"/>
  <c r="AE81" i="3"/>
  <c r="K60" i="3"/>
  <c r="R54" i="3"/>
  <c r="P94" i="3"/>
  <c r="T50" i="3"/>
  <c r="AO88" i="3"/>
  <c r="X55" i="3"/>
  <c r="V47" i="3"/>
  <c r="AM47" i="3"/>
  <c r="M48" i="3"/>
  <c r="W96" i="3"/>
  <c r="L57" i="3"/>
  <c r="L50" i="3"/>
  <c r="AJ86" i="3"/>
  <c r="X57" i="3"/>
  <c r="H69" i="3"/>
  <c r="Q48" i="3"/>
  <c r="I69" i="3"/>
  <c r="O70" i="3"/>
  <c r="I62" i="3"/>
  <c r="X93" i="3"/>
  <c r="V80" i="3"/>
  <c r="AQ67" i="3"/>
  <c r="T64" i="3"/>
  <c r="Y86" i="3"/>
  <c r="X59" i="3"/>
  <c r="AC47" i="3"/>
  <c r="AG57" i="3"/>
  <c r="AC63" i="3"/>
  <c r="AE88" i="3"/>
  <c r="AE97" i="3"/>
  <c r="Q79" i="3"/>
  <c r="O73" i="3"/>
  <c r="Y83" i="3"/>
  <c r="U87" i="3"/>
  <c r="L88" i="3"/>
  <c r="Y57" i="3"/>
  <c r="T71" i="3"/>
  <c r="K47" i="3"/>
  <c r="AQ54" i="3"/>
  <c r="N61" i="3"/>
  <c r="L55" i="3"/>
  <c r="Q56" i="3"/>
  <c r="L69" i="3"/>
  <c r="M72" i="3"/>
  <c r="X78" i="3"/>
  <c r="AC81" i="3"/>
  <c r="X77" i="3"/>
  <c r="AA96" i="3"/>
  <c r="O90" i="3"/>
  <c r="S87" i="3"/>
  <c r="N79" i="3"/>
  <c r="AG49" i="3"/>
  <c r="Z49" i="3"/>
  <c r="AL78" i="3"/>
  <c r="AN81" i="3"/>
  <c r="AI80" i="3"/>
  <c r="N92" i="3"/>
  <c r="L75" i="3"/>
  <c r="K93" i="3"/>
  <c r="AQ65" i="3"/>
  <c r="AN55" i="3"/>
  <c r="K61" i="3"/>
  <c r="I96" i="3"/>
  <c r="I57" i="3"/>
  <c r="V50" i="3"/>
  <c r="K68" i="3"/>
  <c r="AH92" i="3"/>
  <c r="AN54" i="3"/>
  <c r="AG85" i="3"/>
  <c r="AJ87" i="3"/>
  <c r="AK79" i="3"/>
  <c r="X67" i="3"/>
  <c r="R85" i="3"/>
  <c r="V91" i="3"/>
  <c r="AK67" i="3"/>
  <c r="AN65" i="3"/>
  <c r="AM77" i="3"/>
  <c r="AG74" i="3"/>
  <c r="AG89" i="3"/>
  <c r="Z54" i="3"/>
  <c r="AH64" i="3"/>
  <c r="V57" i="3"/>
  <c r="U69" i="3"/>
  <c r="H65" i="3"/>
  <c r="W57" i="3"/>
  <c r="Z63" i="3"/>
  <c r="AO84" i="3"/>
  <c r="AQ86" i="3"/>
  <c r="O76" i="3"/>
  <c r="AG64" i="3"/>
  <c r="AG72" i="3"/>
  <c r="AH70" i="3"/>
  <c r="T68" i="3"/>
  <c r="AH94" i="3"/>
  <c r="H54" i="3"/>
  <c r="P97" i="3"/>
  <c r="H57" i="3"/>
  <c r="W75" i="3"/>
  <c r="H80" i="3"/>
  <c r="R48" i="3"/>
  <c r="AN63" i="3"/>
  <c r="AJ79" i="3"/>
  <c r="AQ73" i="3"/>
  <c r="AL84" i="3"/>
  <c r="AN57" i="3"/>
  <c r="AI76" i="3"/>
  <c r="T72" i="3"/>
  <c r="T48" i="3"/>
  <c r="J48" i="3"/>
  <c r="N93" i="3"/>
  <c r="AI78" i="3"/>
  <c r="AL86" i="3"/>
  <c r="R61" i="3"/>
  <c r="W60" i="3"/>
  <c r="N48" i="3"/>
  <c r="N87" i="3"/>
  <c r="AJ58" i="3"/>
  <c r="S56" i="3"/>
  <c r="I82" i="3"/>
  <c r="T69" i="3"/>
  <c r="AC77" i="3"/>
  <c r="M78" i="3"/>
  <c r="M62" i="3"/>
  <c r="AC68" i="3"/>
  <c r="S83" i="3"/>
  <c r="AJ59" i="3"/>
  <c r="S55" i="3"/>
  <c r="V86" i="3"/>
  <c r="U64" i="3"/>
  <c r="AC55" i="3"/>
  <c r="U66" i="3"/>
  <c r="T86" i="3"/>
  <c r="T97" i="3"/>
  <c r="AO77" i="3"/>
  <c r="AQ63" i="3"/>
  <c r="H86" i="3"/>
  <c r="AO97" i="3"/>
  <c r="M75" i="3"/>
  <c r="AG86" i="3"/>
  <c r="T63" i="3"/>
  <c r="L62" i="3"/>
  <c r="L73" i="3"/>
  <c r="Y55" i="3"/>
  <c r="Q90" i="3"/>
  <c r="AE87" i="3"/>
  <c r="AO89" i="3"/>
  <c r="R82" i="3"/>
  <c r="O75" i="3"/>
  <c r="AK74" i="3"/>
  <c r="AI70" i="3"/>
  <c r="K86" i="3"/>
  <c r="AM60" i="3"/>
  <c r="J86" i="3"/>
  <c r="AI72" i="3"/>
  <c r="AK61" i="3"/>
  <c r="AQ88" i="3"/>
  <c r="K49" i="3"/>
  <c r="Z94" i="3"/>
  <c r="P91" i="3"/>
  <c r="AH77" i="3"/>
  <c r="AM95" i="3"/>
  <c r="V89" i="3"/>
  <c r="J85" i="3"/>
  <c r="AH87" i="3"/>
  <c r="AE61" i="3"/>
  <c r="R66" i="3"/>
  <c r="W83" i="3"/>
  <c r="AK96" i="3"/>
  <c r="W95" i="3"/>
  <c r="AK57" i="3"/>
  <c r="L80" i="3"/>
  <c r="AO94" i="3"/>
  <c r="U88" i="3"/>
  <c r="J66" i="3"/>
  <c r="X70" i="3"/>
  <c r="AE89" i="3"/>
  <c r="Y50" i="3"/>
  <c r="Z76" i="3"/>
  <c r="L67" i="3"/>
  <c r="AQ90" i="3"/>
  <c r="O62" i="3"/>
  <c r="AE91" i="3"/>
  <c r="O72" i="3"/>
  <c r="S57" i="3"/>
  <c r="AN97" i="3"/>
  <c r="AQ69" i="3"/>
  <c r="W81" i="3"/>
  <c r="V73" i="3"/>
  <c r="AN47" i="3"/>
  <c r="X65" i="3"/>
  <c r="L72" i="3"/>
  <c r="O93" i="3"/>
  <c r="K63" i="3"/>
  <c r="T89" i="3"/>
  <c r="J76" i="3"/>
  <c r="X66" i="3"/>
  <c r="T80" i="3"/>
  <c r="R77" i="3"/>
  <c r="Y59" i="3"/>
  <c r="I89" i="3"/>
  <c r="AM89" i="3"/>
  <c r="Y69" i="3"/>
  <c r="H76" i="3"/>
  <c r="AO57" i="3"/>
  <c r="Z81" i="3"/>
  <c r="Z84" i="3"/>
  <c r="K58" i="3"/>
  <c r="V83" i="3"/>
  <c r="T75" i="3"/>
  <c r="AI48" i="3"/>
  <c r="AL74" i="3"/>
  <c r="J65" i="3"/>
  <c r="AK75" i="3"/>
  <c r="H91" i="3"/>
  <c r="S64" i="3"/>
  <c r="K71" i="3"/>
  <c r="AL93" i="3"/>
  <c r="AQ97" i="3"/>
  <c r="N62" i="3"/>
  <c r="R89" i="3"/>
  <c r="U50" i="3"/>
  <c r="AA87" i="3"/>
  <c r="Y77" i="3"/>
  <c r="L92" i="3"/>
  <c r="AN86" i="3"/>
  <c r="AI58" i="3"/>
  <c r="AC91" i="3"/>
  <c r="M65" i="3"/>
  <c r="L65" i="3"/>
  <c r="J80" i="3"/>
  <c r="AH97" i="3"/>
  <c r="S71" i="3"/>
  <c r="AG81" i="3"/>
  <c r="AJ78" i="3"/>
  <c r="AH50" i="3"/>
  <c r="AC82" i="3"/>
  <c r="AC92" i="3"/>
  <c r="AJ67" i="3"/>
  <c r="AC64" i="3"/>
  <c r="X87" i="3"/>
  <c r="AQ92" i="3"/>
  <c r="V79" i="3"/>
  <c r="U56" i="3"/>
  <c r="P70" i="3"/>
  <c r="S94" i="3"/>
  <c r="AM48" i="3"/>
  <c r="U49" i="3"/>
  <c r="O61" i="3"/>
  <c r="AI63" i="3"/>
  <c r="AA84" i="3"/>
  <c r="Z87" i="3"/>
  <c r="W48" i="3"/>
  <c r="X68" i="3"/>
  <c r="AN74" i="3"/>
  <c r="AM70" i="3"/>
  <c r="AJ82" i="3"/>
  <c r="AH56" i="3"/>
  <c r="AI65" i="3"/>
  <c r="AJ61" i="3"/>
  <c r="P58" i="3"/>
  <c r="P79" i="3"/>
  <c r="W73" i="3"/>
  <c r="H75" i="3"/>
  <c r="V94" i="3"/>
  <c r="Y82" i="3"/>
  <c r="AI83" i="3"/>
  <c r="AO80" i="3"/>
  <c r="AM81" i="3"/>
  <c r="P72" i="3"/>
  <c r="W76" i="3"/>
  <c r="M60" i="3"/>
  <c r="T65" i="3"/>
  <c r="AM56" i="3"/>
  <c r="Q81" i="3"/>
  <c r="W50" i="3"/>
  <c r="AN82" i="3"/>
  <c r="AQ77" i="3"/>
  <c r="X69" i="3"/>
  <c r="N95" i="3"/>
  <c r="W49" i="3"/>
  <c r="N83" i="3"/>
  <c r="AO91" i="3"/>
  <c r="Y56" i="3"/>
  <c r="N67" i="3"/>
  <c r="AA72" i="3"/>
  <c r="W55" i="3"/>
  <c r="AL62" i="3"/>
  <c r="AM88" i="3"/>
  <c r="AG93" i="3"/>
  <c r="Q88" i="3"/>
  <c r="AJ63" i="3"/>
  <c r="P83" i="3"/>
  <c r="H72" i="3"/>
  <c r="AA65" i="3"/>
  <c r="X60" i="3"/>
  <c r="AM68" i="3"/>
  <c r="K64" i="3"/>
  <c r="AO61" i="3"/>
  <c r="AE68" i="3"/>
  <c r="L70" i="3"/>
  <c r="J79" i="3"/>
  <c r="AE75" i="3"/>
  <c r="AM84" i="3"/>
  <c r="M73" i="3"/>
  <c r="V81" i="3"/>
  <c r="R81" i="3"/>
  <c r="I55" i="3"/>
  <c r="AQ83" i="3"/>
  <c r="AM76" i="3"/>
  <c r="AA92" i="3"/>
  <c r="AL90" i="3"/>
  <c r="AK91" i="3"/>
  <c r="AG63" i="3"/>
  <c r="X94" i="3"/>
  <c r="AA80" i="3"/>
  <c r="M71" i="3"/>
  <c r="T93" i="3"/>
  <c r="S91" i="3"/>
  <c r="T84" i="3"/>
  <c r="W67" i="3"/>
  <c r="AM78" i="3"/>
  <c r="AM79" i="3"/>
  <c r="Z71" i="3"/>
  <c r="AI67" i="3"/>
  <c r="AI89" i="3"/>
  <c r="AJ70" i="3"/>
  <c r="W61" i="3"/>
  <c r="AA62" i="3"/>
  <c r="J68" i="3"/>
  <c r="AH89" i="3"/>
  <c r="Q49" i="3"/>
  <c r="AQ74" i="3"/>
  <c r="W89" i="3"/>
  <c r="K55" i="3"/>
  <c r="AA91" i="3"/>
  <c r="Q80" i="3"/>
  <c r="AI71" i="3"/>
  <c r="S90" i="3"/>
  <c r="N96" i="3"/>
  <c r="S78" i="3"/>
  <c r="W82" i="3"/>
  <c r="W85" i="3"/>
  <c r="R78" i="3"/>
  <c r="Z91" i="3"/>
  <c r="AE84" i="3"/>
  <c r="Y80" i="3"/>
  <c r="AN89" i="3"/>
  <c r="AC66" i="3"/>
  <c r="AK55" i="3"/>
  <c r="Y71" i="3"/>
  <c r="AI74" i="3"/>
  <c r="P63" i="3"/>
  <c r="R90" i="3"/>
  <c r="O82" i="3"/>
  <c r="M77" i="3"/>
  <c r="AG59" i="3"/>
  <c r="I87" i="3"/>
  <c r="AK97" i="3"/>
  <c r="J84" i="3"/>
  <c r="J91" i="3"/>
  <c r="AJ65" i="3"/>
  <c r="W70" i="3"/>
  <c r="AO72" i="3"/>
  <c r="O84" i="3"/>
  <c r="AO60" i="3"/>
  <c r="AN85" i="3"/>
  <c r="J70" i="3"/>
  <c r="H96" i="3"/>
  <c r="Q94" i="3"/>
  <c r="AI69" i="3"/>
  <c r="Y92" i="3"/>
  <c r="AC61" i="3"/>
  <c r="AA95" i="3"/>
  <c r="AN95" i="3"/>
  <c r="AH71" i="3"/>
  <c r="S72" i="3"/>
  <c r="Z97" i="3"/>
  <c r="AO67" i="3"/>
  <c r="AQ87" i="3"/>
  <c r="N90" i="3"/>
  <c r="AJ49" i="3"/>
  <c r="L95" i="3"/>
  <c r="J49" i="3"/>
  <c r="V88" i="3"/>
  <c r="X72" i="3"/>
  <c r="T54" i="3"/>
  <c r="M93" i="3"/>
  <c r="U68" i="3"/>
  <c r="AG48" i="3"/>
  <c r="H87" i="3"/>
  <c r="R80" i="3"/>
  <c r="AK80" i="3"/>
  <c r="AM83" i="3"/>
  <c r="N64" i="3"/>
  <c r="S60" i="3"/>
  <c r="U92" i="3"/>
  <c r="H83" i="3"/>
  <c r="M96" i="3"/>
  <c r="AN71" i="3"/>
  <c r="V82" i="3"/>
  <c r="AG62" i="3"/>
  <c r="AH85" i="3"/>
  <c r="Q71" i="3"/>
  <c r="U94" i="3"/>
  <c r="T83" i="3"/>
  <c r="L93" i="3"/>
  <c r="AM65" i="3"/>
  <c r="P61" i="3"/>
  <c r="AH66" i="3"/>
  <c r="AL48" i="3"/>
  <c r="P95" i="3"/>
  <c r="AM82" i="3"/>
  <c r="AC97" i="3"/>
  <c r="Q66" i="3"/>
  <c r="N71" i="3"/>
  <c r="AA75" i="3"/>
  <c r="T47" i="3"/>
  <c r="AG77" i="3"/>
  <c r="S49" i="3"/>
  <c r="S63" i="3"/>
  <c r="L58" i="3"/>
  <c r="AK85" i="3"/>
  <c r="AG73" i="3"/>
  <c r="Q62" i="3"/>
  <c r="L63" i="3"/>
  <c r="AC69" i="3"/>
  <c r="AK68" i="3"/>
  <c r="V68" i="3"/>
  <c r="AC90" i="3"/>
  <c r="AK66" i="3"/>
  <c r="AJ56" i="3"/>
  <c r="J77" i="3"/>
  <c r="Y49" i="3"/>
  <c r="I67" i="3"/>
  <c r="AL80" i="3"/>
  <c r="I74" i="3"/>
  <c r="AE57" i="3"/>
  <c r="AQ70" i="3"/>
  <c r="AL87" i="3"/>
  <c r="AG50" i="3"/>
  <c r="U47" i="3"/>
  <c r="M56" i="3"/>
  <c r="H89" i="3"/>
  <c r="J56" i="3"/>
  <c r="H50" i="3"/>
  <c r="M87" i="3"/>
  <c r="W68" i="3"/>
  <c r="AE94" i="3"/>
  <c r="J93" i="3"/>
  <c r="K62" i="3"/>
  <c r="N69" i="3"/>
  <c r="V48" i="3"/>
  <c r="Y61" i="3"/>
  <c r="AG80" i="3"/>
  <c r="AL64" i="3"/>
  <c r="AK63" i="3"/>
  <c r="Y70" i="3"/>
  <c r="Q87" i="3"/>
  <c r="R94" i="3"/>
  <c r="T49" i="3"/>
  <c r="AN64" i="3"/>
  <c r="AL56" i="3"/>
  <c r="I49" i="3"/>
  <c r="AG70" i="3"/>
  <c r="S95" i="3"/>
  <c r="AH84" i="3"/>
  <c r="I54" i="3"/>
  <c r="V62" i="3"/>
  <c r="AI56" i="3"/>
  <c r="I83" i="3"/>
  <c r="AN72" i="3"/>
  <c r="Q70" i="3"/>
  <c r="AN90" i="3"/>
  <c r="AI61" i="3"/>
  <c r="AQ79" i="3"/>
  <c r="AA86" i="3"/>
  <c r="T87" i="3"/>
  <c r="AI91" i="3"/>
  <c r="X95" i="3"/>
  <c r="U67" i="3"/>
  <c r="AL49" i="3"/>
  <c r="I93" i="3"/>
  <c r="V93" i="3"/>
  <c r="L87" i="3"/>
  <c r="AK81" i="3"/>
  <c r="V95" i="3"/>
  <c r="I70" i="3"/>
  <c r="T94" i="3"/>
  <c r="X79" i="3"/>
  <c r="AG75" i="3"/>
  <c r="AA61" i="3"/>
  <c r="AH59" i="3"/>
  <c r="T56" i="3"/>
  <c r="AK94" i="3"/>
  <c r="J63" i="3"/>
  <c r="N88" i="3"/>
  <c r="AN94" i="3"/>
  <c r="K78" i="3"/>
  <c r="W66" i="3"/>
  <c r="X80" i="3"/>
  <c r="L94" i="3"/>
  <c r="AH82" i="3"/>
  <c r="T58" i="3"/>
  <c r="AL57" i="3"/>
  <c r="U91" i="3"/>
  <c r="H81" i="3"/>
  <c r="AM63" i="3"/>
  <c r="AM80" i="3"/>
  <c r="S82" i="3"/>
  <c r="AJ64" i="3"/>
  <c r="AH95" i="3"/>
  <c r="AC62" i="3"/>
  <c r="U55" i="3"/>
  <c r="AA60" i="3"/>
  <c r="AJ60" i="3"/>
  <c r="AC50" i="3"/>
  <c r="R49" i="3"/>
  <c r="AQ91" i="3"/>
  <c r="L84" i="3"/>
  <c r="K48" i="3"/>
  <c r="Q72" i="3"/>
  <c r="AE71" i="3"/>
  <c r="AK58" i="3"/>
  <c r="AC59" i="3"/>
  <c r="AH61" i="3"/>
  <c r="P47" i="3"/>
  <c r="AI84" i="3"/>
  <c r="AK62" i="3"/>
  <c r="J50" i="3"/>
  <c r="AI57" i="3"/>
  <c r="P73" i="3"/>
  <c r="AM49" i="3"/>
  <c r="W65" i="3"/>
  <c r="V70" i="3"/>
  <c r="AC80" i="3"/>
  <c r="AH76" i="3"/>
  <c r="Q47" i="3"/>
  <c r="I76" i="3"/>
  <c r="W78" i="3"/>
  <c r="AJ92" i="3"/>
  <c r="O69" i="3"/>
  <c r="X91" i="3"/>
  <c r="AK89" i="3"/>
  <c r="AO93" i="3"/>
  <c r="J78" i="3"/>
  <c r="AI92" i="3"/>
  <c r="O71" i="3"/>
  <c r="K84" i="3"/>
  <c r="N84" i="3"/>
  <c r="Q63" i="3"/>
  <c r="Z64" i="3"/>
  <c r="AC72" i="3"/>
  <c r="AG61" i="3"/>
  <c r="N57" i="3"/>
  <c r="AC86" i="3"/>
  <c r="Q76" i="3"/>
  <c r="T92" i="3"/>
  <c r="AN50" i="3"/>
  <c r="O97" i="3"/>
  <c r="U80" i="3"/>
  <c r="J67" i="3"/>
  <c r="R60" i="3"/>
  <c r="W74" i="3"/>
  <c r="S59" i="3"/>
  <c r="P74" i="3"/>
  <c r="P54" i="3"/>
  <c r="AJ62" i="3"/>
  <c r="AC58" i="3"/>
  <c r="N55" i="3"/>
  <c r="V69" i="3"/>
  <c r="J62" i="3"/>
  <c r="Y93" i="3"/>
  <c r="U82" i="3"/>
  <c r="Z90" i="3"/>
  <c r="AN78" i="3"/>
  <c r="O85" i="3"/>
  <c r="U95" i="3"/>
  <c r="AG56" i="3"/>
  <c r="X84" i="3"/>
  <c r="J61" i="3"/>
  <c r="AM96" i="3"/>
  <c r="AN68" i="3"/>
  <c r="AH78" i="3"/>
  <c r="U84" i="3"/>
  <c r="P65" i="3"/>
  <c r="N85" i="3"/>
  <c r="P82" i="3"/>
  <c r="AJ72" i="3"/>
  <c r="H71" i="3"/>
  <c r="AG55" i="3"/>
  <c r="P81" i="3"/>
  <c r="AO85" i="3"/>
  <c r="Y85" i="3"/>
  <c r="AC76" i="3"/>
  <c r="K85" i="3"/>
  <c r="Y90" i="3"/>
  <c r="AJ57" i="3"/>
  <c r="K69" i="3"/>
  <c r="Q54" i="3"/>
  <c r="AA54" i="3"/>
  <c r="AA94" i="3"/>
  <c r="AM62" i="3"/>
  <c r="I90" i="3"/>
  <c r="I66" i="3"/>
  <c r="Q67" i="3"/>
  <c r="Z93" i="3"/>
  <c r="O78" i="3"/>
  <c r="AH83" i="3"/>
  <c r="AK73" i="3"/>
  <c r="X83" i="3"/>
  <c r="M49" i="3"/>
  <c r="O81" i="3"/>
  <c r="AL50" i="3"/>
  <c r="W94" i="3"/>
  <c r="AH60" i="3"/>
  <c r="AN84" i="3"/>
  <c r="AL67" i="3"/>
  <c r="Y95" i="3"/>
  <c r="M69" i="3"/>
  <c r="AL58" i="3"/>
  <c r="H97" i="3"/>
  <c r="V71" i="3"/>
  <c r="O89" i="3"/>
  <c r="W84" i="3"/>
  <c r="J73" i="3"/>
  <c r="R73" i="3"/>
  <c r="K57" i="3"/>
  <c r="AL66" i="3"/>
  <c r="AJ96" i="3"/>
  <c r="L60" i="3"/>
  <c r="I68" i="3"/>
  <c r="X71" i="3"/>
  <c r="M83" i="3"/>
  <c r="AL85" i="3"/>
  <c r="Q75" i="3"/>
  <c r="AK78" i="3"/>
  <c r="L66" i="3"/>
  <c r="AI79" i="3"/>
  <c r="AQ47" i="3"/>
  <c r="V66" i="3"/>
  <c r="K77" i="3"/>
  <c r="P56" i="3"/>
  <c r="M89" i="3"/>
  <c r="Z96" i="3"/>
  <c r="AL60" i="3"/>
  <c r="AE85" i="3"/>
  <c r="X97" i="3"/>
  <c r="AE67" i="3"/>
  <c r="AQ96" i="3"/>
  <c r="AQ66" i="3"/>
  <c r="Q73" i="3"/>
  <c r="K83" i="3"/>
  <c r="H59" i="3"/>
  <c r="AK95" i="3"/>
  <c r="AQ78" i="3"/>
  <c r="AO74" i="3"/>
  <c r="H67" i="3"/>
  <c r="M57" i="3"/>
  <c r="P78" i="3"/>
  <c r="AG88" i="3"/>
  <c r="AJ66" i="3"/>
  <c r="W91" i="3"/>
  <c r="K75" i="3"/>
  <c r="P69" i="3"/>
  <c r="H82" i="3"/>
  <c r="O95" i="3"/>
  <c r="AE83" i="3"/>
  <c r="AC79" i="3"/>
  <c r="AM67" i="3"/>
  <c r="AK71" i="3"/>
  <c r="AE95" i="3"/>
  <c r="Z50" i="3"/>
  <c r="AN92" i="3"/>
  <c r="O66" i="3"/>
  <c r="AO50" i="3"/>
  <c r="N81" i="3"/>
  <c r="X48" i="3"/>
  <c r="AK77" i="3"/>
  <c r="R71" i="3"/>
  <c r="K95" i="3"/>
  <c r="AM50" i="3"/>
  <c r="W69" i="3"/>
  <c r="R83" i="3"/>
  <c r="AN49" i="3"/>
  <c r="AG95" i="3"/>
  <c r="L61" i="3"/>
  <c r="J71" i="3"/>
  <c r="AO64" i="3"/>
  <c r="AN59" i="3"/>
  <c r="AE47" i="3"/>
  <c r="I81" i="3"/>
  <c r="Y67" i="3"/>
  <c r="AN60" i="3"/>
  <c r="AG78" i="3"/>
  <c r="Q78" i="3"/>
  <c r="P86" i="3"/>
  <c r="W77" i="3"/>
  <c r="H55" i="3"/>
  <c r="I59" i="3"/>
  <c r="AM91" i="3"/>
  <c r="AE50" i="3"/>
  <c r="AI77" i="3"/>
  <c r="AA47" i="3"/>
  <c r="U86" i="3"/>
  <c r="AE82" i="3"/>
  <c r="AJ97" i="3"/>
  <c r="R58" i="3"/>
  <c r="AM90" i="3"/>
  <c r="H70" i="3"/>
  <c r="U97" i="3"/>
  <c r="AH72" i="3"/>
  <c r="K89" i="3"/>
  <c r="Y62" i="3"/>
  <c r="Z59" i="3"/>
  <c r="N97" i="3"/>
  <c r="AL92" i="3"/>
  <c r="AL82" i="3"/>
  <c r="AA93" i="3"/>
  <c r="Y88" i="3"/>
  <c r="P68" i="3"/>
  <c r="R79" i="3"/>
  <c r="I77" i="3"/>
  <c r="AO54" i="3"/>
  <c r="V92" i="3"/>
  <c r="AK64" i="3"/>
  <c r="Y72" i="3"/>
  <c r="P66" i="3"/>
  <c r="S61" i="3"/>
  <c r="L71" i="3"/>
  <c r="R95" i="3"/>
  <c r="U70" i="3"/>
  <c r="W87" i="3"/>
  <c r="AG96" i="3"/>
  <c r="M67" i="3"/>
  <c r="L64" i="3"/>
  <c r="P75" i="3"/>
  <c r="AQ68" i="3"/>
  <c r="T67" i="3"/>
  <c r="AC49" i="3"/>
  <c r="O58" i="3"/>
  <c r="N60" i="3"/>
  <c r="X73" i="3"/>
  <c r="U96" i="3"/>
  <c r="AE54" i="3"/>
  <c r="AC71" i="3"/>
  <c r="T82" i="3"/>
  <c r="R63" i="3"/>
  <c r="U73" i="3"/>
  <c r="M90" i="3"/>
  <c r="AO66" i="3"/>
  <c r="Q97" i="3"/>
  <c r="Q50" i="3"/>
  <c r="X62" i="3"/>
  <c r="AK92" i="3"/>
  <c r="M68" i="3"/>
  <c r="R84" i="3"/>
  <c r="O86" i="3"/>
  <c r="K50" i="3"/>
  <c r="AK72" i="3"/>
  <c r="J47" i="3"/>
  <c r="I88" i="3"/>
  <c r="O63" i="3"/>
  <c r="AE96" i="3"/>
  <c r="H78" i="3"/>
  <c r="W72" i="3"/>
  <c r="Z68" i="3"/>
  <c r="AO78" i="3"/>
  <c r="AQ57" i="3"/>
  <c r="AO47" i="3"/>
  <c r="S79" i="3"/>
  <c r="N49" i="3"/>
  <c r="I86" i="3"/>
  <c r="X49" i="3"/>
  <c r="AO81" i="3"/>
  <c r="Q60" i="3"/>
  <c r="L48" i="3"/>
  <c r="J72" i="3"/>
  <c r="AM58" i="3"/>
  <c r="J57" i="3"/>
  <c r="AL83" i="3"/>
  <c r="R59" i="3"/>
  <c r="AO73" i="3"/>
  <c r="AA82" i="3"/>
  <c r="Q58" i="3"/>
  <c r="M74" i="3"/>
  <c r="AE49" i="3"/>
  <c r="N75" i="3"/>
  <c r="M86" i="3"/>
  <c r="AL88" i="3"/>
  <c r="P89" i="3"/>
  <c r="M81" i="3"/>
  <c r="T90" i="3"/>
  <c r="J96" i="3"/>
  <c r="U89" i="3"/>
  <c r="Y65" i="3"/>
  <c r="T57" i="3"/>
  <c r="Y60" i="3"/>
  <c r="X74" i="3"/>
  <c r="L59" i="3"/>
  <c r="O50" i="3"/>
  <c r="AA48" i="3"/>
  <c r="H48" i="3"/>
  <c r="L96" i="3"/>
  <c r="S62" i="3"/>
  <c r="AM64" i="3"/>
  <c r="T70" i="3"/>
  <c r="U79" i="3"/>
  <c r="U48" i="3"/>
  <c r="N89" i="3"/>
  <c r="AQ84" i="3"/>
  <c r="J97" i="3"/>
  <c r="U62" i="3"/>
  <c r="AN73" i="3"/>
  <c r="AQ82" i="3"/>
  <c r="U81" i="3"/>
  <c r="AG69" i="3"/>
  <c r="AE66" i="3"/>
  <c r="P62" i="3"/>
  <c r="AL72" i="3"/>
  <c r="X96" i="3"/>
  <c r="AL73" i="3"/>
  <c r="K97" i="3"/>
  <c r="AA73" i="3"/>
  <c r="H74" i="3"/>
  <c r="O87" i="3"/>
  <c r="AG71" i="3"/>
  <c r="W64" i="3"/>
  <c r="Q83" i="3"/>
  <c r="AK84" i="3"/>
  <c r="M94" i="3"/>
  <c r="N82" i="3"/>
  <c r="AQ55" i="3"/>
  <c r="AM72" i="3"/>
  <c r="T66" i="3"/>
  <c r="AH68" i="3"/>
  <c r="AQ56" i="3"/>
  <c r="X58" i="3"/>
  <c r="U78" i="3"/>
  <c r="Q86" i="3"/>
  <c r="V77" i="3"/>
  <c r="S92" i="3"/>
  <c r="Q82" i="3"/>
  <c r="J81" i="3"/>
  <c r="K90" i="3"/>
  <c r="P48" i="3"/>
  <c r="Z55" i="3"/>
  <c r="AE86" i="3"/>
  <c r="AA70" i="3"/>
  <c r="AJ80" i="3"/>
  <c r="AC56" i="3"/>
  <c r="Q64" i="3"/>
  <c r="AG67" i="3"/>
  <c r="AM97" i="3"/>
  <c r="AA76" i="3"/>
  <c r="L91" i="3"/>
  <c r="AA79" i="3"/>
  <c r="O49" i="3"/>
  <c r="Q89" i="3"/>
  <c r="K70" i="3"/>
  <c r="AI81" i="3"/>
  <c r="AC84" i="3"/>
  <c r="R70" i="3"/>
  <c r="M79" i="3"/>
  <c r="AH63" i="3"/>
  <c r="M61" i="3"/>
  <c r="AO96" i="3"/>
  <c r="V65" i="3"/>
  <c r="AL94" i="3"/>
  <c r="AL91" i="3"/>
  <c r="AN96" i="3"/>
  <c r="AK59" i="3"/>
  <c r="S54" i="3"/>
  <c r="N50" i="3"/>
  <c r="M82" i="3"/>
  <c r="AQ48" i="3"/>
  <c r="M70" i="3"/>
  <c r="J59" i="3"/>
  <c r="S70" i="3"/>
  <c r="AQ59" i="3"/>
  <c r="V61" i="3"/>
  <c r="W62" i="3"/>
  <c r="AJ85" i="3"/>
  <c r="N74" i="3"/>
  <c r="AE69" i="3"/>
  <c r="P77" i="3"/>
  <c r="AA66" i="3"/>
  <c r="AG65" i="3"/>
  <c r="V56" i="3"/>
  <c r="Y76" i="3"/>
  <c r="P50" i="3"/>
  <c r="T78" i="3"/>
  <c r="Z80" i="3"/>
  <c r="I97" i="3"/>
  <c r="AK70" i="3"/>
  <c r="Y68" i="3"/>
  <c r="T73" i="3"/>
  <c r="H73" i="3"/>
  <c r="Z78" i="3"/>
  <c r="X85" i="3"/>
  <c r="W88" i="3"/>
  <c r="AO79" i="3"/>
  <c r="J95" i="3"/>
  <c r="AM69" i="3"/>
  <c r="AQ64" i="3"/>
  <c r="AQ95" i="3"/>
  <c r="R50" i="3"/>
  <c r="T88" i="3"/>
  <c r="AA58" i="3"/>
  <c r="AH88" i="3"/>
  <c r="U63" i="3"/>
  <c r="AN76" i="3"/>
  <c r="U75" i="3"/>
  <c r="AO86" i="3"/>
  <c r="Y97" i="3"/>
  <c r="AJ84" i="3"/>
  <c r="AN83" i="3"/>
  <c r="J87" i="3"/>
  <c r="W93" i="3"/>
  <c r="AQ76" i="3"/>
  <c r="Z65" i="3"/>
  <c r="H68" i="3"/>
  <c r="W90" i="3"/>
  <c r="Y91" i="3"/>
  <c r="AQ81" i="3"/>
  <c r="AI90" i="3"/>
  <c r="AC94" i="3"/>
  <c r="Z95" i="3"/>
  <c r="AN48" i="3"/>
  <c r="AL54" i="3"/>
  <c r="AK76" i="3"/>
  <c r="V74" i="3"/>
  <c r="AJ74" i="3"/>
  <c r="X54" i="3"/>
  <c r="AO62" i="3"/>
  <c r="AG79" i="3"/>
  <c r="Z86" i="3"/>
  <c r="W71" i="3"/>
  <c r="O64" i="3"/>
  <c r="AM55" i="3"/>
  <c r="AG47" i="3"/>
  <c r="S77" i="3"/>
  <c r="X63" i="3"/>
  <c r="K96" i="3"/>
  <c r="Q77" i="3"/>
  <c r="L97" i="3"/>
  <c r="R93" i="3"/>
  <c r="U76" i="3"/>
  <c r="M88" i="3"/>
  <c r="AO59" i="3"/>
  <c r="M91" i="3"/>
  <c r="L79" i="3"/>
  <c r="AC73" i="3"/>
  <c r="S80" i="3"/>
  <c r="U59" i="3"/>
  <c r="AQ93" i="3"/>
  <c r="AJ83" i="3"/>
  <c r="X92" i="3"/>
  <c r="AQ72" i="3"/>
  <c r="K72" i="3"/>
  <c r="H85" i="3"/>
  <c r="S48" i="3"/>
  <c r="AJ71" i="3"/>
  <c r="AJ95" i="3"/>
  <c r="L77" i="3"/>
  <c r="AG68" i="3"/>
  <c r="AJ55" i="3"/>
  <c r="AG58" i="3"/>
  <c r="M54" i="3"/>
  <c r="W56" i="3"/>
  <c r="K91" i="3"/>
  <c r="S68" i="3"/>
  <c r="AL81" i="3"/>
  <c r="L85" i="3"/>
  <c r="V64" i="3"/>
  <c r="Q92" i="3"/>
  <c r="S89" i="3"/>
  <c r="AH79" i="3"/>
  <c r="P71" i="3"/>
  <c r="N47" i="3"/>
  <c r="AM66" i="3"/>
  <c r="AN66" i="3"/>
  <c r="AQ49" i="3"/>
  <c r="AO68" i="3"/>
  <c r="AJ68" i="3"/>
  <c r="AC89" i="3"/>
  <c r="AE93" i="3"/>
  <c r="Z89" i="3"/>
  <c r="U58" i="3"/>
  <c r="T60" i="3"/>
  <c r="AP172" i="1" l="1"/>
  <c r="L256" i="1"/>
  <c r="BJ190" i="1"/>
  <c r="AI188" i="1"/>
  <c r="D273" i="1"/>
  <c r="D274" i="1"/>
  <c r="AR188" i="1"/>
  <c r="AP188" i="1"/>
  <c r="BC419" i="1"/>
  <c r="BV419" i="1"/>
  <c r="BN188" i="1"/>
  <c r="AW419" i="1"/>
  <c r="BH188" i="1"/>
  <c r="BI419" i="1"/>
  <c r="AQ166" i="1"/>
  <c r="AQ355" i="1" s="1"/>
  <c r="AI199" i="1"/>
  <c r="AT188" i="1"/>
  <c r="AY166" i="1"/>
  <c r="AN419" i="1"/>
  <c r="BM420" i="1"/>
  <c r="BV301" i="1"/>
  <c r="BH328" i="1"/>
  <c r="BI376" i="1" s="1"/>
  <c r="BH260" i="1"/>
  <c r="BH261" i="1" s="1"/>
  <c r="BH265" i="1" s="1"/>
  <c r="BA420" i="1"/>
  <c r="BG398" i="1"/>
  <c r="BN361" i="1"/>
  <c r="BM398" i="1"/>
  <c r="BH166" i="1"/>
  <c r="BL167" i="1" s="1"/>
  <c r="BR166" i="1"/>
  <c r="AN361" i="1"/>
  <c r="BA419" i="1"/>
  <c r="BG260" i="1"/>
  <c r="BG261" i="1" s="1"/>
  <c r="BG264" i="1" s="1"/>
  <c r="AN166" i="1"/>
  <c r="AN167" i="1" s="1"/>
  <c r="BV350" i="1"/>
  <c r="BW350" i="1" s="1"/>
  <c r="BN166" i="1"/>
  <c r="BN167" i="1" s="1"/>
  <c r="BV188" i="1"/>
  <c r="BM166" i="1"/>
  <c r="AW188" i="1"/>
  <c r="CZ121" i="1"/>
  <c r="CZ273" i="1"/>
  <c r="AE145" i="1"/>
  <c r="BZ167" i="1"/>
  <c r="BV172" i="1"/>
  <c r="BV173" i="1" s="1"/>
  <c r="BD188" i="1"/>
  <c r="N296" i="1"/>
  <c r="N217" i="1" s="1"/>
  <c r="F254" i="1"/>
  <c r="N342" i="1"/>
  <c r="BI420" i="1"/>
  <c r="BP188" i="1"/>
  <c r="BT188" i="1"/>
  <c r="BO419" i="1"/>
  <c r="BQ188" i="1"/>
  <c r="BG419" i="1"/>
  <c r="BF166" i="1"/>
  <c r="BJ167" i="1" s="1"/>
  <c r="AO188" i="1"/>
  <c r="AO189" i="1" s="1"/>
  <c r="BK188" i="1"/>
  <c r="BR419" i="1"/>
  <c r="R335" i="1"/>
  <c r="R276" i="1" s="1"/>
  <c r="L296" i="1"/>
  <c r="L217" i="1" s="1"/>
  <c r="F374" i="1"/>
  <c r="L258" i="1"/>
  <c r="S373" i="1"/>
  <c r="BV167" i="1"/>
  <c r="M374" i="1"/>
  <c r="L216" i="1"/>
  <c r="BU188" i="1"/>
  <c r="B199" i="1"/>
  <c r="BT166" i="1"/>
  <c r="BX167" i="1" s="1"/>
  <c r="AI172" i="1"/>
  <c r="AL392" i="1"/>
  <c r="Q195" i="1"/>
  <c r="I199" i="1"/>
  <c r="L374" i="1"/>
  <c r="L372" i="1" s="1"/>
  <c r="D305" i="1"/>
  <c r="F216" i="1"/>
  <c r="BV189" i="1"/>
  <c r="G374" i="1"/>
  <c r="W199" i="1"/>
  <c r="BW188" i="1"/>
  <c r="AM167" i="1"/>
  <c r="I296" i="1"/>
  <c r="I217" i="1" s="1"/>
  <c r="O374" i="1"/>
  <c r="AW260" i="1"/>
  <c r="AW261" i="1" s="1"/>
  <c r="AW266" i="1" s="1"/>
  <c r="AZ420" i="1"/>
  <c r="BT189" i="1"/>
  <c r="AS188" i="1"/>
  <c r="R363" i="1"/>
  <c r="BE188" i="1"/>
  <c r="Q199" i="1"/>
  <c r="H256" i="1"/>
  <c r="O195" i="1"/>
  <c r="S305" i="1"/>
  <c r="BK195" i="1"/>
  <c r="BK370" i="1"/>
  <c r="BK368" i="1" s="1"/>
  <c r="O363" i="1"/>
  <c r="AZ166" i="1"/>
  <c r="T416" i="1"/>
  <c r="T418" i="1" s="1"/>
  <c r="BF398" i="1"/>
  <c r="AX188" i="1"/>
  <c r="AT419" i="1"/>
  <c r="AY172" i="1"/>
  <c r="H258" i="1"/>
  <c r="R416" i="1"/>
  <c r="R418" i="1" s="1"/>
  <c r="V415" i="1"/>
  <c r="I305" i="1"/>
  <c r="J370" i="1" s="1"/>
  <c r="H374" i="1"/>
  <c r="H372" i="1" s="1"/>
  <c r="AR260" i="1"/>
  <c r="AR261" i="1" s="1"/>
  <c r="AR266" i="1" s="1"/>
  <c r="BM199" i="1"/>
  <c r="BW195" i="1"/>
  <c r="BB188" i="1"/>
  <c r="BW301" i="1"/>
  <c r="BH301" i="1"/>
  <c r="BH305" i="1" s="1"/>
  <c r="S296" i="1"/>
  <c r="S217" i="1" s="1"/>
  <c r="N413" i="1"/>
  <c r="O342" i="1"/>
  <c r="O296" i="1"/>
  <c r="O217" i="1" s="1"/>
  <c r="BE419" i="1"/>
  <c r="BF419" i="1"/>
  <c r="BO398" i="1"/>
  <c r="AQ419" i="1"/>
  <c r="BO166" i="1"/>
  <c r="BO172" i="1" s="1"/>
  <c r="BO173" i="1" s="1"/>
  <c r="AP419" i="1"/>
  <c r="AW166" i="1"/>
  <c r="AW172" i="1" s="1"/>
  <c r="AW173" i="1" s="1"/>
  <c r="BA188" i="1"/>
  <c r="BA189" i="1" s="1"/>
  <c r="AQ188" i="1"/>
  <c r="AZ188" i="1"/>
  <c r="O254" i="1"/>
  <c r="O258" i="1" s="1"/>
  <c r="BF420" i="1"/>
  <c r="BW295" i="1"/>
  <c r="BX373" i="1" s="1"/>
  <c r="AI189" i="1"/>
  <c r="U352" i="1"/>
  <c r="S364" i="1"/>
  <c r="N374" i="1"/>
  <c r="J195" i="1"/>
  <c r="N254" i="1"/>
  <c r="N257" i="1" s="1"/>
  <c r="H296" i="1"/>
  <c r="H217" i="1" s="1"/>
  <c r="AR420" i="1"/>
  <c r="BU361" i="1"/>
  <c r="BE166" i="1"/>
  <c r="BE172" i="1" s="1"/>
  <c r="AY419" i="1"/>
  <c r="BF188" i="1"/>
  <c r="BT172" i="1"/>
  <c r="BJ265" i="1"/>
  <c r="AS260" i="1"/>
  <c r="AS261" i="1" s="1"/>
  <c r="AS266" i="1" s="1"/>
  <c r="AP260" i="1"/>
  <c r="AP261" i="1" s="1"/>
  <c r="AP266" i="1" s="1"/>
  <c r="BW369" i="1"/>
  <c r="BI260" i="1"/>
  <c r="BI261" i="1" s="1"/>
  <c r="BI265" i="1" s="1"/>
  <c r="BG166" i="1"/>
  <c r="BH168" i="1" s="1"/>
  <c r="BG420" i="1"/>
  <c r="BB260" i="1"/>
  <c r="BB261" i="1" s="1"/>
  <c r="BB264" i="1" s="1"/>
  <c r="AN260" i="1"/>
  <c r="AN261" i="1" s="1"/>
  <c r="AN264" i="1" s="1"/>
  <c r="BB166" i="1"/>
  <c r="BB172" i="1" s="1"/>
  <c r="BB173" i="1" s="1"/>
  <c r="BB419" i="1"/>
  <c r="BI188" i="1"/>
  <c r="AO260" i="1"/>
  <c r="AO261" i="1" s="1"/>
  <c r="AZ419" i="1"/>
  <c r="AU361" i="1"/>
  <c r="AU420" i="1"/>
  <c r="BN46" i="1"/>
  <c r="BN398" i="1"/>
  <c r="BW76" i="1"/>
  <c r="BW361" i="1"/>
  <c r="AW264" i="1"/>
  <c r="AQ260" i="1"/>
  <c r="AQ261" i="1" s="1"/>
  <c r="AQ266" i="1" s="1"/>
  <c r="AP189" i="1"/>
  <c r="BO260" i="1"/>
  <c r="BO261" i="1" s="1"/>
  <c r="BD260" i="1"/>
  <c r="BD261" i="1" s="1"/>
  <c r="BD265" i="1" s="1"/>
  <c r="AT260" i="1"/>
  <c r="AT261" i="1" s="1"/>
  <c r="AT265" i="1" s="1"/>
  <c r="AZ172" i="1"/>
  <c r="AZ173" i="1" s="1"/>
  <c r="BE260" i="1"/>
  <c r="BE261" i="1" s="1"/>
  <c r="BE266" i="1" s="1"/>
  <c r="BC188" i="1"/>
  <c r="BD166" i="1"/>
  <c r="BD172" i="1" s="1"/>
  <c r="AQ420" i="1"/>
  <c r="AN420" i="1"/>
  <c r="BI167" i="1"/>
  <c r="BD419" i="1"/>
  <c r="AU166" i="1"/>
  <c r="AU172" i="1" s="1"/>
  <c r="AU188" i="1"/>
  <c r="BP260" i="1"/>
  <c r="BP261" i="1" s="1"/>
  <c r="BP265" i="1" s="1"/>
  <c r="AQ189" i="1"/>
  <c r="BO188" i="1"/>
  <c r="AX419" i="1"/>
  <c r="BS188" i="1"/>
  <c r="BM188" i="1"/>
  <c r="BM189" i="1" s="1"/>
  <c r="BJ196" i="1"/>
  <c r="BJ200" i="1" s="1"/>
  <c r="BJ203" i="1" s="1"/>
  <c r="AO419" i="1"/>
  <c r="BU166" i="1"/>
  <c r="BY355" i="1" s="1"/>
  <c r="BS361" i="1"/>
  <c r="BS76" i="1"/>
  <c r="BH287" i="1"/>
  <c r="BH254" i="1" s="1"/>
  <c r="BH258" i="1" s="1"/>
  <c r="AU419" i="1"/>
  <c r="AU398" i="1"/>
  <c r="BU398" i="1"/>
  <c r="BU46" i="1"/>
  <c r="BU189" i="1"/>
  <c r="BP266" i="1"/>
  <c r="AN188" i="1"/>
  <c r="BV305" i="1"/>
  <c r="AN392" i="1"/>
  <c r="AQ167" i="1"/>
  <c r="BI172" i="1"/>
  <c r="BM168" i="1"/>
  <c r="AQ168" i="1"/>
  <c r="W195" i="1"/>
  <c r="BP420" i="1"/>
  <c r="BP166" i="1"/>
  <c r="AZ260" i="1"/>
  <c r="AZ261" i="1" s="1"/>
  <c r="AZ264" i="1" s="1"/>
  <c r="BM419" i="1"/>
  <c r="BV328" i="1"/>
  <c r="BW376" i="1" s="1"/>
  <c r="BD398" i="1"/>
  <c r="BD420" i="1"/>
  <c r="BT76" i="1"/>
  <c r="BT361" i="1"/>
  <c r="AV398" i="1"/>
  <c r="AV419" i="1"/>
  <c r="AV166" i="1"/>
  <c r="AZ355" i="1" s="1"/>
  <c r="AV361" i="1"/>
  <c r="AV420" i="1"/>
  <c r="AT398" i="1"/>
  <c r="AT166" i="1"/>
  <c r="AT189" i="1" s="1"/>
  <c r="BR46" i="1"/>
  <c r="BR398" i="1"/>
  <c r="BU260" i="1"/>
  <c r="BU261" i="1" s="1"/>
  <c r="BR420" i="1"/>
  <c r="AV188" i="1"/>
  <c r="AI350" i="1"/>
  <c r="AI352" i="1"/>
  <c r="AL260" i="1"/>
  <c r="AL261" i="1" s="1"/>
  <c r="AI347" i="1"/>
  <c r="AI398" i="1"/>
  <c r="AP398" i="1"/>
  <c r="AP420" i="1"/>
  <c r="BJ168" i="1"/>
  <c r="BB420" i="1"/>
  <c r="AQ361" i="1"/>
  <c r="BQ260" i="1"/>
  <c r="BQ261" i="1" s="1"/>
  <c r="BQ266" i="1" s="1"/>
  <c r="BT46" i="1"/>
  <c r="BT419" i="1"/>
  <c r="BT398" i="1"/>
  <c r="BW260" i="1"/>
  <c r="BW261" i="1" s="1"/>
  <c r="BV398" i="1"/>
  <c r="BV46" i="1"/>
  <c r="BY260" i="1"/>
  <c r="BY261" i="1" s="1"/>
  <c r="BX260" i="1"/>
  <c r="BX261" i="1" s="1"/>
  <c r="BM370" i="1"/>
  <c r="BM368" i="1" s="1"/>
  <c r="BM195" i="1"/>
  <c r="BM361" i="1"/>
  <c r="BP46" i="1"/>
  <c r="BP419" i="1"/>
  <c r="BP398" i="1"/>
  <c r="BS46" i="1"/>
  <c r="BS398" i="1"/>
  <c r="BS420" i="1"/>
  <c r="BV260" i="1"/>
  <c r="BV261" i="1" s="1"/>
  <c r="BS166" i="1"/>
  <c r="BS168" i="1" s="1"/>
  <c r="AX398" i="1"/>
  <c r="AX166" i="1"/>
  <c r="BE361" i="1"/>
  <c r="BE420" i="1"/>
  <c r="AY260" i="1"/>
  <c r="AY261" i="1" s="1"/>
  <c r="AY264" i="1" s="1"/>
  <c r="AS420" i="1"/>
  <c r="BA260" i="1"/>
  <c r="BA261" i="1" s="1"/>
  <c r="BA265" i="1" s="1"/>
  <c r="AM210" i="1"/>
  <c r="AM360" i="1" s="1"/>
  <c r="AM362" i="1" s="1"/>
  <c r="BS419" i="1"/>
  <c r="BW46" i="1"/>
  <c r="BW420" i="1"/>
  <c r="BW166" i="1"/>
  <c r="BW398" i="1"/>
  <c r="BZ260" i="1"/>
  <c r="BZ261" i="1" s="1"/>
  <c r="BW419" i="1"/>
  <c r="AI361" i="1"/>
  <c r="AI370" i="1"/>
  <c r="AI368" i="1" s="1"/>
  <c r="AI195" i="1"/>
  <c r="BV315" i="1"/>
  <c r="BV349" i="1" s="1"/>
  <c r="BI369" i="1"/>
  <c r="BV323" i="1"/>
  <c r="BV352" i="1" s="1"/>
  <c r="BV351" i="1" s="1"/>
  <c r="BH266" i="1"/>
  <c r="BG265" i="1"/>
  <c r="BM172" i="1"/>
  <c r="BM167" i="1"/>
  <c r="R373" i="1"/>
  <c r="E199" i="1"/>
  <c r="J342" i="1"/>
  <c r="I254" i="1"/>
  <c r="K324" i="1"/>
  <c r="BN172" i="1"/>
  <c r="BN174" i="1" s="1"/>
  <c r="BN355" i="1"/>
  <c r="BZ174" i="1"/>
  <c r="BG266" i="1"/>
  <c r="J413" i="1"/>
  <c r="N335" i="1"/>
  <c r="N276" i="1" s="1"/>
  <c r="E335" i="1"/>
  <c r="E276" i="1" s="1"/>
  <c r="E277" i="1" s="1"/>
  <c r="E280" i="1" s="1"/>
  <c r="K349" i="1"/>
  <c r="K348" i="1" s="1"/>
  <c r="F363" i="1"/>
  <c r="I216" i="1"/>
  <c r="E363" i="1"/>
  <c r="BH172" i="1"/>
  <c r="BH189" i="1"/>
  <c r="I324" i="1"/>
  <c r="BN189" i="1"/>
  <c r="Q415" i="1"/>
  <c r="Q374" i="1"/>
  <c r="O199" i="1"/>
  <c r="R376" i="1"/>
  <c r="J416" i="1"/>
  <c r="J418" i="1" s="1"/>
  <c r="C195" i="1"/>
  <c r="U373" i="1"/>
  <c r="J373" i="1"/>
  <c r="P415" i="1"/>
  <c r="K416" i="1"/>
  <c r="K418" i="1" s="1"/>
  <c r="L352" i="1"/>
  <c r="L351" i="1" s="1"/>
  <c r="E195" i="1"/>
  <c r="J199" i="1"/>
  <c r="C199" i="1"/>
  <c r="K363" i="1"/>
  <c r="T335" i="1"/>
  <c r="T276" i="1" s="1"/>
  <c r="T277" i="1" s="1"/>
  <c r="T280" i="1" s="1"/>
  <c r="BH264" i="1"/>
  <c r="Q349" i="1"/>
  <c r="Q348" i="1" s="1"/>
  <c r="T199" i="1"/>
  <c r="C416" i="1"/>
  <c r="C418" i="1" s="1"/>
  <c r="AP392" i="1"/>
  <c r="AN168" i="1"/>
  <c r="R256" i="1"/>
  <c r="J374" i="1"/>
  <c r="J372" i="1" s="1"/>
  <c r="F335" i="1"/>
  <c r="F276" i="1" s="1"/>
  <c r="F277" i="1" s="1"/>
  <c r="F280" i="1" s="1"/>
  <c r="D216" i="1"/>
  <c r="AN355" i="1"/>
  <c r="AR167" i="1"/>
  <c r="BM355" i="1"/>
  <c r="BF172" i="1"/>
  <c r="AM286" i="1"/>
  <c r="AM287" i="1" s="1"/>
  <c r="AM296" i="1" s="1"/>
  <c r="AM217" i="1" s="1"/>
  <c r="C373" i="1"/>
  <c r="J216" i="1"/>
  <c r="J296" i="1"/>
  <c r="J217" i="1" s="1"/>
  <c r="F296" i="1"/>
  <c r="F217" i="1" s="1"/>
  <c r="E374" i="1"/>
  <c r="U195" i="1"/>
  <c r="C335" i="1"/>
  <c r="C276" i="1" s="1"/>
  <c r="C277" i="1" s="1"/>
  <c r="C280" i="1" s="1"/>
  <c r="B324" i="1"/>
  <c r="B332" i="1" s="1"/>
  <c r="M199" i="1"/>
  <c r="Q342" i="1"/>
  <c r="K374" i="1"/>
  <c r="D342" i="1"/>
  <c r="BI168" i="1"/>
  <c r="AN172" i="1"/>
  <c r="AN175" i="1" s="1"/>
  <c r="Q296" i="1"/>
  <c r="Q217" i="1" s="1"/>
  <c r="N373" i="1"/>
  <c r="U296" i="1"/>
  <c r="U217" i="1" s="1"/>
  <c r="Q216" i="1"/>
  <c r="G416" i="1"/>
  <c r="G418" i="1" s="1"/>
  <c r="J415" i="1"/>
  <c r="R374" i="1"/>
  <c r="R372" i="1" s="1"/>
  <c r="AO168" i="1"/>
  <c r="AX168" i="1"/>
  <c r="K352" i="1"/>
  <c r="V216" i="1"/>
  <c r="F373" i="1"/>
  <c r="F372" i="1" s="1"/>
  <c r="C364" i="1"/>
  <c r="K373" i="1"/>
  <c r="K372" i="1" s="1"/>
  <c r="B415" i="1"/>
  <c r="G373" i="1"/>
  <c r="G372" i="1" s="1"/>
  <c r="F416" i="1"/>
  <c r="F418" i="1" s="1"/>
  <c r="O373" i="1"/>
  <c r="AR355" i="1"/>
  <c r="BR167" i="1"/>
  <c r="R324" i="1"/>
  <c r="O364" i="1"/>
  <c r="N324" i="1"/>
  <c r="V254" i="1"/>
  <c r="V257" i="1" s="1"/>
  <c r="B349" i="1"/>
  <c r="R364" i="1"/>
  <c r="R365" i="1" s="1"/>
  <c r="R366" i="1" s="1"/>
  <c r="S342" i="1"/>
  <c r="V374" i="1"/>
  <c r="S254" i="1"/>
  <c r="C415" i="1"/>
  <c r="B296" i="1"/>
  <c r="B217" i="1" s="1"/>
  <c r="B216" i="1"/>
  <c r="J349" i="1"/>
  <c r="J348" i="1" s="1"/>
  <c r="G216" i="1"/>
  <c r="C374" i="1"/>
  <c r="P364" i="1"/>
  <c r="BR172" i="1"/>
  <c r="BV174" i="1" s="1"/>
  <c r="L413" i="1"/>
  <c r="L415" i="1"/>
  <c r="Q364" i="1"/>
  <c r="I364" i="1"/>
  <c r="S415" i="1"/>
  <c r="G296" i="1"/>
  <c r="G217" i="1" s="1"/>
  <c r="O324" i="1"/>
  <c r="S363" i="1"/>
  <c r="S216" i="1"/>
  <c r="X373" i="1"/>
  <c r="D376" i="1"/>
  <c r="D370" i="1"/>
  <c r="D368" i="1" s="1"/>
  <c r="J363" i="1"/>
  <c r="G254" i="1"/>
  <c r="G258" i="1" s="1"/>
  <c r="G342" i="1"/>
  <c r="J411" i="1"/>
  <c r="L411" i="1"/>
  <c r="M376" i="1"/>
  <c r="G415" i="1"/>
  <c r="O349" i="1"/>
  <c r="O348" i="1" s="1"/>
  <c r="S335" i="1"/>
  <c r="S276" i="1" s="1"/>
  <c r="S278" i="1" s="1"/>
  <c r="S281" i="1" s="1"/>
  <c r="C370" i="1"/>
  <c r="C368" i="1" s="1"/>
  <c r="S324" i="1"/>
  <c r="S332" i="1" s="1"/>
  <c r="E324" i="1"/>
  <c r="H364" i="1"/>
  <c r="BJ392" i="1"/>
  <c r="AR189" i="1"/>
  <c r="L332" i="1"/>
  <c r="L333" i="1" s="1"/>
  <c r="AR264" i="1"/>
  <c r="BG168" i="1"/>
  <c r="BA167" i="1"/>
  <c r="AM214" i="1"/>
  <c r="F364" i="1"/>
  <c r="L364" i="1"/>
  <c r="L365" i="1" s="1"/>
  <c r="L366" i="1" s="1"/>
  <c r="P216" i="1"/>
  <c r="U199" i="1"/>
  <c r="W373" i="1"/>
  <c r="H335" i="1"/>
  <c r="H276" i="1" s="1"/>
  <c r="H277" i="1" s="1"/>
  <c r="H280" i="1" s="1"/>
  <c r="S199" i="1"/>
  <c r="V416" i="1"/>
  <c r="V418" i="1" s="1"/>
  <c r="V335" i="1"/>
  <c r="V276" i="1" s="1"/>
  <c r="V277" i="1" s="1"/>
  <c r="V280" i="1" s="1"/>
  <c r="BI392" i="1"/>
  <c r="AW190" i="1"/>
  <c r="AW399" i="1" s="1"/>
  <c r="AW400" i="1" s="1"/>
  <c r="AM228" i="1"/>
  <c r="AM231" i="1" s="1"/>
  <c r="AM249" i="1" s="1"/>
  <c r="G364" i="1"/>
  <c r="P374" i="1"/>
  <c r="P342" i="1"/>
  <c r="I363" i="1"/>
  <c r="W416" i="1"/>
  <c r="W418" i="1" s="1"/>
  <c r="H199" i="1"/>
  <c r="F324" i="1"/>
  <c r="S416" i="1"/>
  <c r="S418" i="1" s="1"/>
  <c r="T373" i="1"/>
  <c r="BV190" i="1"/>
  <c r="BV60" i="1" s="1"/>
  <c r="BO266" i="1"/>
  <c r="G324" i="1"/>
  <c r="G332" i="1" s="1"/>
  <c r="V296" i="1"/>
  <c r="V217" i="1" s="1"/>
  <c r="H363" i="1"/>
  <c r="V373" i="1"/>
  <c r="I416" i="1"/>
  <c r="I418" i="1" s="1"/>
  <c r="I373" i="1"/>
  <c r="H416" i="1"/>
  <c r="H418" i="1" s="1"/>
  <c r="G363" i="1"/>
  <c r="R296" i="1"/>
  <c r="R217" i="1" s="1"/>
  <c r="D416" i="1"/>
  <c r="D418" i="1" s="1"/>
  <c r="R258" i="1"/>
  <c r="T374" i="1"/>
  <c r="AO172" i="1"/>
  <c r="U324" i="1"/>
  <c r="N416" i="1"/>
  <c r="N418" i="1" s="1"/>
  <c r="T296" i="1"/>
  <c r="T217" i="1" s="1"/>
  <c r="D373" i="1"/>
  <c r="D372" i="1" s="1"/>
  <c r="AO167" i="1"/>
  <c r="M335" i="1"/>
  <c r="M276" i="1" s="1"/>
  <c r="M278" i="1" s="1"/>
  <c r="M281" i="1" s="1"/>
  <c r="O416" i="1"/>
  <c r="O418" i="1" s="1"/>
  <c r="M373" i="1"/>
  <c r="T216" i="1"/>
  <c r="AR392" i="1"/>
  <c r="M296" i="1"/>
  <c r="M217" i="1" s="1"/>
  <c r="H324" i="1"/>
  <c r="H332" i="1" s="1"/>
  <c r="T415" i="1"/>
  <c r="F305" i="1"/>
  <c r="F413" i="1" s="1"/>
  <c r="AP355" i="1"/>
  <c r="T254" i="1"/>
  <c r="T256" i="1" s="1"/>
  <c r="AR172" i="1"/>
  <c r="AR190" i="1" s="1"/>
  <c r="AR191" i="1" s="1"/>
  <c r="P195" i="1"/>
  <c r="E373" i="1"/>
  <c r="AP168" i="1"/>
  <c r="U374" i="1"/>
  <c r="D335" i="1"/>
  <c r="D276" i="1" s="1"/>
  <c r="D277" i="1" s="1"/>
  <c r="D280" i="1" s="1"/>
  <c r="D296" i="1"/>
  <c r="D217" i="1" s="1"/>
  <c r="AR289" i="1"/>
  <c r="AS289" i="1" s="1"/>
  <c r="AT314" i="1"/>
  <c r="AU314" i="1" s="1"/>
  <c r="BW235" i="1"/>
  <c r="AX326" i="1"/>
  <c r="BP327" i="1"/>
  <c r="BF236" i="1"/>
  <c r="BP330" i="1"/>
  <c r="BQ330" i="1" s="1"/>
  <c r="AV317" i="1"/>
  <c r="AW317" i="1" s="1"/>
  <c r="BB300" i="1"/>
  <c r="AT313" i="1"/>
  <c r="AU313" i="1" s="1"/>
  <c r="AN319" i="1"/>
  <c r="AO319" i="1" s="1"/>
  <c r="AZ327" i="1"/>
  <c r="BB322" i="1"/>
  <c r="BC322" i="1" s="1"/>
  <c r="BF330" i="1"/>
  <c r="BG330" i="1" s="1"/>
  <c r="BR318" i="1"/>
  <c r="BS318" i="1" s="1"/>
  <c r="BT318" i="1"/>
  <c r="BU318" i="1" s="1"/>
  <c r="BM236" i="1"/>
  <c r="BI235" i="1"/>
  <c r="BN309" i="1"/>
  <c r="BO309" i="1" s="1"/>
  <c r="BS235" i="1"/>
  <c r="BR319" i="1"/>
  <c r="BS319" i="1" s="1"/>
  <c r="AZ289" i="1"/>
  <c r="BA289" i="1" s="1"/>
  <c r="BN294" i="1"/>
  <c r="BO294" i="1" s="1"/>
  <c r="BP318" i="1"/>
  <c r="BQ318" i="1" s="1"/>
  <c r="BD235" i="1"/>
  <c r="BT298" i="1"/>
  <c r="AU235" i="1"/>
  <c r="AU236" i="1"/>
  <c r="AX310" i="1"/>
  <c r="AY310" i="1" s="1"/>
  <c r="AV284" i="1"/>
  <c r="AW284" i="1" s="1"/>
  <c r="BT293" i="1"/>
  <c r="BU293" i="1" s="1"/>
  <c r="BR235" i="1"/>
  <c r="AR310" i="1"/>
  <c r="AS310" i="1" s="1"/>
  <c r="AZ294" i="1"/>
  <c r="BA294" i="1" s="1"/>
  <c r="AT235" i="1"/>
  <c r="AV298" i="1"/>
  <c r="AP236" i="1"/>
  <c r="AT236" i="1"/>
  <c r="BD302" i="1"/>
  <c r="BE302" i="1" s="1"/>
  <c r="AX236" i="1"/>
  <c r="AR321" i="1"/>
  <c r="AS321" i="1" s="1"/>
  <c r="AV309" i="1"/>
  <c r="AW309" i="1" s="1"/>
  <c r="BD313" i="1"/>
  <c r="BE313" i="1" s="1"/>
  <c r="BT302" i="1"/>
  <c r="BU302" i="1" s="1"/>
  <c r="BR326" i="1"/>
  <c r="BB294" i="1"/>
  <c r="BC294" i="1" s="1"/>
  <c r="BN314" i="1"/>
  <c r="BO314" i="1" s="1"/>
  <c r="AP235" i="1"/>
  <c r="BR312" i="1"/>
  <c r="BR347" i="1" s="1"/>
  <c r="BS347" i="1" s="1"/>
  <c r="BB318" i="1"/>
  <c r="BC318" i="1" s="1"/>
  <c r="BE235" i="1"/>
  <c r="AR331" i="1"/>
  <c r="AS331" i="1" s="1"/>
  <c r="AP309" i="1"/>
  <c r="AQ309" i="1" s="1"/>
  <c r="BD304" i="1"/>
  <c r="BE304" i="1" s="1"/>
  <c r="BR322" i="1"/>
  <c r="BS322" i="1" s="1"/>
  <c r="BR286" i="1"/>
  <c r="AP307" i="1"/>
  <c r="AQ307" i="1" s="1"/>
  <c r="BP235" i="1"/>
  <c r="AP331" i="1"/>
  <c r="AQ331" i="1" s="1"/>
  <c r="BF298" i="1"/>
  <c r="AR316" i="1"/>
  <c r="AS316" i="1" s="1"/>
  <c r="BT309" i="1"/>
  <c r="BU309" i="1" s="1"/>
  <c r="BB291" i="1"/>
  <c r="BC291" i="1" s="1"/>
  <c r="BP284" i="1"/>
  <c r="BQ284" i="1" s="1"/>
  <c r="AT293" i="1"/>
  <c r="AU293" i="1" s="1"/>
  <c r="BF320" i="1"/>
  <c r="BF350" i="1" s="1"/>
  <c r="BG350" i="1" s="1"/>
  <c r="BB312" i="1"/>
  <c r="BB347" i="1" s="1"/>
  <c r="BC347" i="1" s="1"/>
  <c r="BF293" i="1"/>
  <c r="BG293" i="1" s="1"/>
  <c r="BT330" i="1"/>
  <c r="BU330" i="1" s="1"/>
  <c r="BP326" i="1"/>
  <c r="AZ300" i="1"/>
  <c r="AN309" i="1"/>
  <c r="AO309" i="1" s="1"/>
  <c r="BD314" i="1"/>
  <c r="BE314" i="1" s="1"/>
  <c r="BD331" i="1"/>
  <c r="BE331" i="1" s="1"/>
  <c r="BT313" i="1"/>
  <c r="BU313" i="1" s="1"/>
  <c r="AR307" i="1"/>
  <c r="BN310" i="1"/>
  <c r="BO310" i="1" s="1"/>
  <c r="BB298" i="1"/>
  <c r="BR321" i="1"/>
  <c r="BS321" i="1" s="1"/>
  <c r="BD292" i="1"/>
  <c r="BE292" i="1" s="1"/>
  <c r="BF309" i="1"/>
  <c r="BG309" i="1" s="1"/>
  <c r="AZ285" i="1"/>
  <c r="BA285" i="1" s="1"/>
  <c r="BN302" i="1"/>
  <c r="BO302" i="1" s="1"/>
  <c r="BN289" i="1"/>
  <c r="BO289" i="1" s="1"/>
  <c r="AP291" i="1"/>
  <c r="AQ291" i="1" s="1"/>
  <c r="AR318" i="1"/>
  <c r="AS318" i="1" s="1"/>
  <c r="BN313" i="1"/>
  <c r="BO313" i="1" s="1"/>
  <c r="BD321" i="1"/>
  <c r="BE321" i="1" s="1"/>
  <c r="BB299" i="1"/>
  <c r="AR313" i="1"/>
  <c r="AS313" i="1" s="1"/>
  <c r="BP331" i="1"/>
  <c r="BQ331" i="1" s="1"/>
  <c r="BF317" i="1"/>
  <c r="BG317" i="1" s="1"/>
  <c r="AN300" i="1"/>
  <c r="BR236" i="1"/>
  <c r="AR292" i="1"/>
  <c r="AS292" i="1" s="1"/>
  <c r="BT331" i="1"/>
  <c r="BU331" i="1" s="1"/>
  <c r="AX235" i="1"/>
  <c r="AN327" i="1"/>
  <c r="BB317" i="1"/>
  <c r="BC317" i="1" s="1"/>
  <c r="AP311" i="1"/>
  <c r="AP346" i="1" s="1"/>
  <c r="AQ346" i="1" s="1"/>
  <c r="AP330" i="1"/>
  <c r="AQ330" i="1" s="1"/>
  <c r="AQ236" i="1"/>
  <c r="AX286" i="1"/>
  <c r="AS235" i="1"/>
  <c r="BP291" i="1"/>
  <c r="BQ291" i="1" s="1"/>
  <c r="BI236" i="1"/>
  <c r="AO235" i="1"/>
  <c r="BP322" i="1"/>
  <c r="BQ322" i="1" s="1"/>
  <c r="BD327" i="1"/>
  <c r="BP289" i="1"/>
  <c r="BQ289" i="1" s="1"/>
  <c r="BF326" i="1"/>
  <c r="AZ293" i="1"/>
  <c r="BA293" i="1" s="1"/>
  <c r="AX313" i="1"/>
  <c r="AY313" i="1" s="1"/>
  <c r="AV304" i="1"/>
  <c r="AW304" i="1" s="1"/>
  <c r="AN312" i="1"/>
  <c r="AN347" i="1" s="1"/>
  <c r="AO347" i="1" s="1"/>
  <c r="BR284" i="1"/>
  <c r="BS284" i="1" s="1"/>
  <c r="AR286" i="1"/>
  <c r="AZ309" i="1"/>
  <c r="BA309" i="1" s="1"/>
  <c r="BB307" i="1"/>
  <c r="BC307" i="1" s="1"/>
  <c r="BN327" i="1"/>
  <c r="BB316" i="1"/>
  <c r="BC316" i="1" s="1"/>
  <c r="AV236" i="1"/>
  <c r="BR289" i="1"/>
  <c r="BS289" i="1" s="1"/>
  <c r="AR314" i="1"/>
  <c r="AS314" i="1" s="1"/>
  <c r="AY235" i="1"/>
  <c r="AN330" i="1"/>
  <c r="AO330" i="1" s="1"/>
  <c r="AX331" i="1"/>
  <c r="AY331" i="1" s="1"/>
  <c r="AV311" i="1"/>
  <c r="AV346" i="1" s="1"/>
  <c r="AW346" i="1" s="1"/>
  <c r="BD291" i="1"/>
  <c r="BE291" i="1" s="1"/>
  <c r="BR314" i="1"/>
  <c r="BS314" i="1" s="1"/>
  <c r="AX289" i="1"/>
  <c r="AY289" i="1" s="1"/>
  <c r="BN331" i="1"/>
  <c r="BO331" i="1" s="1"/>
  <c r="BT316" i="1"/>
  <c r="BU316" i="1" s="1"/>
  <c r="AP300" i="1"/>
  <c r="BP304" i="1"/>
  <c r="BQ304" i="1" s="1"/>
  <c r="BB284" i="1"/>
  <c r="BC284" i="1" s="1"/>
  <c r="BD286" i="1"/>
  <c r="BP298" i="1"/>
  <c r="AV320" i="1"/>
  <c r="AV350" i="1" s="1"/>
  <c r="AW350" i="1" s="1"/>
  <c r="AW236" i="1"/>
  <c r="BK236" i="1"/>
  <c r="AP319" i="1"/>
  <c r="AQ319" i="1" s="1"/>
  <c r="BP316" i="1"/>
  <c r="BQ316" i="1" s="1"/>
  <c r="AN314" i="1"/>
  <c r="AO314" i="1" s="1"/>
  <c r="BR311" i="1"/>
  <c r="BR346" i="1" s="1"/>
  <c r="BS346" i="1" s="1"/>
  <c r="BT314" i="1"/>
  <c r="BU314" i="1" s="1"/>
  <c r="BB304" i="1"/>
  <c r="BC304" i="1" s="1"/>
  <c r="AV299" i="1"/>
  <c r="AZ235" i="1"/>
  <c r="BN298" i="1"/>
  <c r="BT327" i="1"/>
  <c r="AV307" i="1"/>
  <c r="AW307" i="1" s="1"/>
  <c r="BR294" i="1"/>
  <c r="BS294" i="1" s="1"/>
  <c r="AZ319" i="1"/>
  <c r="BA319" i="1" s="1"/>
  <c r="BT236" i="1"/>
  <c r="AZ318" i="1"/>
  <c r="BA318" i="1" s="1"/>
  <c r="BR327" i="1"/>
  <c r="AT316" i="1"/>
  <c r="AU316" i="1" s="1"/>
  <c r="BN292" i="1"/>
  <c r="BO292" i="1" s="1"/>
  <c r="AZ322" i="1"/>
  <c r="BA322" i="1" s="1"/>
  <c r="BF331" i="1"/>
  <c r="BG331" i="1" s="1"/>
  <c r="AT304" i="1"/>
  <c r="AU304" i="1" s="1"/>
  <c r="AX292" i="1"/>
  <c r="AY292" i="1" s="1"/>
  <c r="AN236" i="1"/>
  <c r="AN311" i="1"/>
  <c r="AN346" i="1" s="1"/>
  <c r="AO346" i="1" s="1"/>
  <c r="BP313" i="1"/>
  <c r="BQ313" i="1" s="1"/>
  <c r="BP314" i="1"/>
  <c r="BQ314" i="1" s="1"/>
  <c r="AZ312" i="1"/>
  <c r="AZ347" i="1" s="1"/>
  <c r="BA347" i="1" s="1"/>
  <c r="AP285" i="1"/>
  <c r="AQ285" i="1" s="1"/>
  <c r="BR316" i="1"/>
  <c r="BS316" i="1" s="1"/>
  <c r="AV331" i="1"/>
  <c r="AW331" i="1" s="1"/>
  <c r="BP317" i="1"/>
  <c r="BQ317" i="1" s="1"/>
  <c r="BP302" i="1"/>
  <c r="BQ302" i="1" s="1"/>
  <c r="AT285" i="1"/>
  <c r="AU285" i="1" s="1"/>
  <c r="AT312" i="1"/>
  <c r="AT347" i="1" s="1"/>
  <c r="AU347" i="1" s="1"/>
  <c r="BB285" i="1"/>
  <c r="BC285" i="1" s="1"/>
  <c r="AR330" i="1"/>
  <c r="AS330" i="1" s="1"/>
  <c r="BP294" i="1"/>
  <c r="BQ294" i="1" s="1"/>
  <c r="AN313" i="1"/>
  <c r="AO313" i="1" s="1"/>
  <c r="BD326" i="1"/>
  <c r="BN316" i="1"/>
  <c r="BO316" i="1" s="1"/>
  <c r="AP284" i="1"/>
  <c r="AQ284" i="1" s="1"/>
  <c r="BK235" i="1"/>
  <c r="AV314" i="1"/>
  <c r="AW314" i="1" s="1"/>
  <c r="BR285" i="1"/>
  <c r="BS285" i="1" s="1"/>
  <c r="AP327" i="1"/>
  <c r="BP285" i="1"/>
  <c r="BQ285" i="1" s="1"/>
  <c r="AZ317" i="1"/>
  <c r="BA317" i="1" s="1"/>
  <c r="AP321" i="1"/>
  <c r="AQ321" i="1" s="1"/>
  <c r="AV318" i="1"/>
  <c r="AW318" i="1" s="1"/>
  <c r="BT291" i="1"/>
  <c r="BU291" i="1" s="1"/>
  <c r="BN318" i="1"/>
  <c r="BO318" i="1" s="1"/>
  <c r="AZ286" i="1"/>
  <c r="AP313" i="1"/>
  <c r="AQ313" i="1" s="1"/>
  <c r="AV312" i="1"/>
  <c r="AV347" i="1" s="1"/>
  <c r="AW347" i="1" s="1"/>
  <c r="AV302" i="1"/>
  <c r="AW302" i="1" s="1"/>
  <c r="BD311" i="1"/>
  <c r="BD346" i="1" s="1"/>
  <c r="BE346" i="1" s="1"/>
  <c r="AX284" i="1"/>
  <c r="AY284" i="1" s="1"/>
  <c r="AN320" i="1"/>
  <c r="AN350" i="1" s="1"/>
  <c r="AO350" i="1" s="1"/>
  <c r="BF316" i="1"/>
  <c r="BG316" i="1" s="1"/>
  <c r="BT289" i="1"/>
  <c r="BU289" i="1" s="1"/>
  <c r="AN304" i="1"/>
  <c r="AO304" i="1" s="1"/>
  <c r="BT317" i="1"/>
  <c r="BU317" i="1" s="1"/>
  <c r="BD322" i="1"/>
  <c r="BE322" i="1" s="1"/>
  <c r="AT299" i="1"/>
  <c r="AW235" i="1"/>
  <c r="AX317" i="1"/>
  <c r="AY317" i="1" s="1"/>
  <c r="BN312" i="1"/>
  <c r="BN347" i="1" s="1"/>
  <c r="BO347" i="1" s="1"/>
  <c r="AZ291" i="1"/>
  <c r="BA291" i="1" s="1"/>
  <c r="AN298" i="1"/>
  <c r="AX300" i="1"/>
  <c r="BN320" i="1"/>
  <c r="BN350" i="1" s="1"/>
  <c r="BO350" i="1" s="1"/>
  <c r="BF314" i="1"/>
  <c r="BG314" i="1" s="1"/>
  <c r="AT289" i="1"/>
  <c r="AU289" i="1" s="1"/>
  <c r="AX293" i="1"/>
  <c r="AY293" i="1" s="1"/>
  <c r="AV293" i="1"/>
  <c r="AW293" i="1" s="1"/>
  <c r="BB321" i="1"/>
  <c r="BC321" i="1" s="1"/>
  <c r="AP298" i="1"/>
  <c r="AN307" i="1"/>
  <c r="AP302" i="1"/>
  <c r="AQ302" i="1" s="1"/>
  <c r="AX285" i="1"/>
  <c r="AY285" i="1" s="1"/>
  <c r="BD236" i="1"/>
  <c r="AT294" i="1"/>
  <c r="AU294" i="1" s="1"/>
  <c r="AX314" i="1"/>
  <c r="AY314" i="1" s="1"/>
  <c r="BN235" i="1"/>
  <c r="AV292" i="1"/>
  <c r="AW292" i="1" s="1"/>
  <c r="BP307" i="1"/>
  <c r="BQ307" i="1" s="1"/>
  <c r="BR317" i="1"/>
  <c r="BS317" i="1" s="1"/>
  <c r="AR311" i="1"/>
  <c r="AR346" i="1" s="1"/>
  <c r="AS346" i="1" s="1"/>
  <c r="BP299" i="1"/>
  <c r="BR330" i="1"/>
  <c r="BS330" i="1" s="1"/>
  <c r="AP292" i="1"/>
  <c r="AQ292" i="1" s="1"/>
  <c r="BP300" i="1"/>
  <c r="AV326" i="1"/>
  <c r="AR284" i="1"/>
  <c r="AS284" i="1" s="1"/>
  <c r="BB327" i="1"/>
  <c r="BF327" i="1"/>
  <c r="BP319" i="1"/>
  <c r="BQ319" i="1" s="1"/>
  <c r="AZ304" i="1"/>
  <c r="BA304" i="1" s="1"/>
  <c r="BT284" i="1"/>
  <c r="BU284" i="1" s="1"/>
  <c r="AV289" i="1"/>
  <c r="AW289" i="1" s="1"/>
  <c r="AV310" i="1"/>
  <c r="AW310" i="1" s="1"/>
  <c r="AN299" i="1"/>
  <c r="AX302" i="1"/>
  <c r="AY302" i="1" s="1"/>
  <c r="AV286" i="1"/>
  <c r="BF313" i="1"/>
  <c r="BG313" i="1" s="1"/>
  <c r="BD330" i="1"/>
  <c r="BE330" i="1" s="1"/>
  <c r="BD285" i="1"/>
  <c r="BE285" i="1" s="1"/>
  <c r="BT235" i="1"/>
  <c r="BF311" i="1"/>
  <c r="BF346" i="1" s="1"/>
  <c r="BG346" i="1" s="1"/>
  <c r="AZ284" i="1"/>
  <c r="BA284" i="1" s="1"/>
  <c r="BN322" i="1"/>
  <c r="BO322" i="1" s="1"/>
  <c r="AT318" i="1"/>
  <c r="AU318" i="1" s="1"/>
  <c r="AX319" i="1"/>
  <c r="AY319" i="1" s="1"/>
  <c r="AY236" i="1"/>
  <c r="BR302" i="1"/>
  <c r="BS302" i="1" s="1"/>
  <c r="AR236" i="1"/>
  <c r="AV285" i="1"/>
  <c r="AW285" i="1" s="1"/>
  <c r="AN284" i="1"/>
  <c r="AO284" i="1" s="1"/>
  <c r="AX327" i="1"/>
  <c r="AX328" i="1" s="1"/>
  <c r="AY376" i="1" s="1"/>
  <c r="BT294" i="1"/>
  <c r="BU294" i="1" s="1"/>
  <c r="AP322" i="1"/>
  <c r="AQ322" i="1" s="1"/>
  <c r="BN284" i="1"/>
  <c r="BO284" i="1" s="1"/>
  <c r="BB236" i="1"/>
  <c r="AR285" i="1"/>
  <c r="AS285" i="1" s="1"/>
  <c r="AX312" i="1"/>
  <c r="AX347" i="1" s="1"/>
  <c r="AY347" i="1" s="1"/>
  <c r="BP311" i="1"/>
  <c r="BP346" i="1" s="1"/>
  <c r="BQ346" i="1" s="1"/>
  <c r="BP312" i="1"/>
  <c r="BP347" i="1" s="1"/>
  <c r="BQ347" i="1" s="1"/>
  <c r="AV291" i="1"/>
  <c r="AW291" i="1" s="1"/>
  <c r="AZ313" i="1"/>
  <c r="BA313" i="1" s="1"/>
  <c r="AT307" i="1"/>
  <c r="AU307" i="1" s="1"/>
  <c r="BT320" i="1"/>
  <c r="BT350" i="1" s="1"/>
  <c r="BU350" i="1" s="1"/>
  <c r="BF302" i="1"/>
  <c r="BG302" i="1" s="1"/>
  <c r="BT304" i="1"/>
  <c r="BU304" i="1" s="1"/>
  <c r="BQ236" i="1"/>
  <c r="BR292" i="1"/>
  <c r="BS292" i="1" s="1"/>
  <c r="BS236" i="1"/>
  <c r="AZ311" i="1"/>
  <c r="AZ346" i="1" s="1"/>
  <c r="BA346" i="1" s="1"/>
  <c r="BD320" i="1"/>
  <c r="BD350" i="1" s="1"/>
  <c r="BE350" i="1" s="1"/>
  <c r="AR298" i="1"/>
  <c r="BD298" i="1"/>
  <c r="AR235" i="1"/>
  <c r="BF299" i="1"/>
  <c r="BP321" i="1"/>
  <c r="BQ321" i="1" s="1"/>
  <c r="AX307" i="1"/>
  <c r="AY307" i="1" s="1"/>
  <c r="AT309" i="1"/>
  <c r="AU309" i="1" s="1"/>
  <c r="AR304" i="1"/>
  <c r="AS304" i="1" s="1"/>
  <c r="BN321" i="1"/>
  <c r="BO321" i="1" s="1"/>
  <c r="BF319" i="1"/>
  <c r="BG319" i="1" s="1"/>
  <c r="AZ326" i="1"/>
  <c r="BD310" i="1"/>
  <c r="BE310" i="1" s="1"/>
  <c r="AR291" i="1"/>
  <c r="AS291" i="1" s="1"/>
  <c r="BF286" i="1"/>
  <c r="BF304" i="1"/>
  <c r="BG304" i="1" s="1"/>
  <c r="BD318" i="1"/>
  <c r="BE318" i="1" s="1"/>
  <c r="AX298" i="1"/>
  <c r="AZ236" i="1"/>
  <c r="AZ292" i="1"/>
  <c r="BA292" i="1" s="1"/>
  <c r="BR310" i="1"/>
  <c r="BS310" i="1" s="1"/>
  <c r="AZ310" i="1"/>
  <c r="BA310" i="1" s="1"/>
  <c r="AR312" i="1"/>
  <c r="AR347" i="1" s="1"/>
  <c r="AS347" i="1" s="1"/>
  <c r="AT322" i="1"/>
  <c r="AU322" i="1" s="1"/>
  <c r="BF321" i="1"/>
  <c r="BG321" i="1" s="1"/>
  <c r="BD293" i="1"/>
  <c r="BE293" i="1" s="1"/>
  <c r="AV319" i="1"/>
  <c r="AW319" i="1" s="1"/>
  <c r="AZ320" i="1"/>
  <c r="AZ350" i="1" s="1"/>
  <c r="BA350" i="1" s="1"/>
  <c r="BR293" i="1"/>
  <c r="BS293" i="1" s="1"/>
  <c r="BA235" i="1"/>
  <c r="BT311" i="1"/>
  <c r="BT346" i="1" s="1"/>
  <c r="BU346" i="1" s="1"/>
  <c r="AX309" i="1"/>
  <c r="AY309" i="1" s="1"/>
  <c r="BR309" i="1"/>
  <c r="BS309" i="1" s="1"/>
  <c r="AN235" i="1"/>
  <c r="AV235" i="1"/>
  <c r="BF307" i="1"/>
  <c r="BG307" i="1" s="1"/>
  <c r="BH369" i="1" s="1"/>
  <c r="AR302" i="1"/>
  <c r="AS302" i="1" s="1"/>
  <c r="BF235" i="1"/>
  <c r="AT302" i="1"/>
  <c r="AU302" i="1" s="1"/>
  <c r="BB289" i="1"/>
  <c r="BC289" i="1" s="1"/>
  <c r="AN318" i="1"/>
  <c r="AO318" i="1" s="1"/>
  <c r="BB331" i="1"/>
  <c r="BC331" i="1" s="1"/>
  <c r="BB330" i="1"/>
  <c r="BC330" i="1" s="1"/>
  <c r="AV300" i="1"/>
  <c r="BD317" i="1"/>
  <c r="BE317" i="1" s="1"/>
  <c r="BM235" i="1"/>
  <c r="AN294" i="1"/>
  <c r="AO294" i="1" s="1"/>
  <c r="BN299" i="1"/>
  <c r="BF284" i="1"/>
  <c r="BG284" i="1" s="1"/>
  <c r="AZ307" i="1"/>
  <c r="AT310" i="1"/>
  <c r="AU310" i="1" s="1"/>
  <c r="AX311" i="1"/>
  <c r="AX346" i="1" s="1"/>
  <c r="AY346" i="1" s="1"/>
  <c r="BN317" i="1"/>
  <c r="BO317" i="1" s="1"/>
  <c r="AV294" i="1"/>
  <c r="AW294" i="1" s="1"/>
  <c r="BN330" i="1"/>
  <c r="BO330" i="1" s="1"/>
  <c r="BB310" i="1"/>
  <c r="BC310" i="1" s="1"/>
  <c r="BR300" i="1"/>
  <c r="BB311" i="1"/>
  <c r="BB346" i="1" s="1"/>
  <c r="BC346" i="1" s="1"/>
  <c r="BB293" i="1"/>
  <c r="BC293" i="1" s="1"/>
  <c r="AT311" i="1"/>
  <c r="AT346" i="1" s="1"/>
  <c r="AU346" i="1" s="1"/>
  <c r="AT317" i="1"/>
  <c r="AU317" i="1" s="1"/>
  <c r="BR331" i="1"/>
  <c r="BS331" i="1" s="1"/>
  <c r="BD319" i="1"/>
  <c r="BE319" i="1" s="1"/>
  <c r="BT321" i="1"/>
  <c r="BU321" i="1" s="1"/>
  <c r="AV330" i="1"/>
  <c r="AW330" i="1" s="1"/>
  <c r="BT307" i="1"/>
  <c r="BU307" i="1" s="1"/>
  <c r="BV369" i="1" s="1"/>
  <c r="AN291" i="1"/>
  <c r="AO291" i="1" s="1"/>
  <c r="BD307" i="1"/>
  <c r="AR293" i="1"/>
  <c r="AS293" i="1" s="1"/>
  <c r="BN291" i="1"/>
  <c r="BO291" i="1" s="1"/>
  <c r="AP299" i="1"/>
  <c r="AT321" i="1"/>
  <c r="AU321" i="1" s="1"/>
  <c r="BP320" i="1"/>
  <c r="BP350" i="1" s="1"/>
  <c r="BQ350" i="1" s="1"/>
  <c r="AP310" i="1"/>
  <c r="AQ310" i="1" s="1"/>
  <c r="BB314" i="1"/>
  <c r="BC314" i="1" s="1"/>
  <c r="BU236" i="1"/>
  <c r="AR327" i="1"/>
  <c r="BD309" i="1"/>
  <c r="BE309" i="1" s="1"/>
  <c r="BT299" i="1"/>
  <c r="AR300" i="1"/>
  <c r="AT292" i="1"/>
  <c r="AU292" i="1" s="1"/>
  <c r="AR319" i="1"/>
  <c r="AS319" i="1" s="1"/>
  <c r="AV316" i="1"/>
  <c r="AW316" i="1" s="1"/>
  <c r="BN236" i="1"/>
  <c r="AR299" i="1"/>
  <c r="BF289" i="1"/>
  <c r="BG289" i="1" s="1"/>
  <c r="BN285" i="1"/>
  <c r="BO285" i="1" s="1"/>
  <c r="BG236" i="1"/>
  <c r="BP309" i="1"/>
  <c r="BQ309" i="1" s="1"/>
  <c r="BN311" i="1"/>
  <c r="BN346" i="1" s="1"/>
  <c r="BO346" i="1" s="1"/>
  <c r="BF300" i="1"/>
  <c r="AZ331" i="1"/>
  <c r="BA331" i="1" s="1"/>
  <c r="BB286" i="1"/>
  <c r="BD289" i="1"/>
  <c r="BE289" i="1" s="1"/>
  <c r="BQ235" i="1"/>
  <c r="AT330" i="1"/>
  <c r="AU330" i="1" s="1"/>
  <c r="AR320" i="1"/>
  <c r="AR350" i="1" s="1"/>
  <c r="AS350" i="1" s="1"/>
  <c r="AN316" i="1"/>
  <c r="AO316" i="1" s="1"/>
  <c r="BE236" i="1"/>
  <c r="AX316" i="1"/>
  <c r="AY316" i="1" s="1"/>
  <c r="BN286" i="1"/>
  <c r="AT320" i="1"/>
  <c r="AT350" i="1" s="1"/>
  <c r="AU350" i="1" s="1"/>
  <c r="BP236" i="1"/>
  <c r="AP289" i="1"/>
  <c r="AQ289" i="1" s="1"/>
  <c r="AP326" i="1"/>
  <c r="AZ299" i="1"/>
  <c r="AN302" i="1"/>
  <c r="AO302" i="1" s="1"/>
  <c r="BT322" i="1"/>
  <c r="BU322" i="1" s="1"/>
  <c r="BT326" i="1"/>
  <c r="AR317" i="1"/>
  <c r="AS317" i="1" s="1"/>
  <c r="BD300" i="1"/>
  <c r="BT286" i="1"/>
  <c r="AV327" i="1"/>
  <c r="BR299" i="1"/>
  <c r="AP318" i="1"/>
  <c r="AQ318" i="1" s="1"/>
  <c r="BG235" i="1"/>
  <c r="AX330" i="1"/>
  <c r="AY330" i="1" s="1"/>
  <c r="BP292" i="1"/>
  <c r="BQ292" i="1" s="1"/>
  <c r="BT300" i="1"/>
  <c r="AN326" i="1"/>
  <c r="AX299" i="1"/>
  <c r="AX294" i="1"/>
  <c r="AY294" i="1" s="1"/>
  <c r="AR294" i="1"/>
  <c r="AS294" i="1" s="1"/>
  <c r="BP286" i="1"/>
  <c r="AT284" i="1"/>
  <c r="AU284" i="1" s="1"/>
  <c r="AX304" i="1"/>
  <c r="AY304" i="1" s="1"/>
  <c r="AS236" i="1"/>
  <c r="AP286" i="1"/>
  <c r="AT319" i="1"/>
  <c r="AU319" i="1" s="1"/>
  <c r="BT310" i="1"/>
  <c r="BU310" i="1" s="1"/>
  <c r="AN285" i="1"/>
  <c r="AO285" i="1" s="1"/>
  <c r="BB309" i="1"/>
  <c r="BC309" i="1" s="1"/>
  <c r="AR326" i="1"/>
  <c r="AP304" i="1"/>
  <c r="AQ304" i="1" s="1"/>
  <c r="AR309" i="1"/>
  <c r="AS309" i="1" s="1"/>
  <c r="AR322" i="1"/>
  <c r="AS322" i="1" s="1"/>
  <c r="BW236" i="1"/>
  <c r="BR291" i="1"/>
  <c r="BS291" i="1" s="1"/>
  <c r="AP320" i="1"/>
  <c r="AP350" i="1" s="1"/>
  <c r="AQ350" i="1" s="1"/>
  <c r="AN310" i="1"/>
  <c r="AO310" i="1" s="1"/>
  <c r="BF291" i="1"/>
  <c r="BG291" i="1" s="1"/>
  <c r="BD284" i="1"/>
  <c r="BE284" i="1" s="1"/>
  <c r="AV313" i="1"/>
  <c r="AW313" i="1" s="1"/>
  <c r="AX291" i="1"/>
  <c r="AT298" i="1"/>
  <c r="AN293" i="1"/>
  <c r="AO293" i="1" s="1"/>
  <c r="BB235" i="1"/>
  <c r="BN304" i="1"/>
  <c r="BO304" i="1" s="1"/>
  <c r="AZ298" i="1"/>
  <c r="AO236" i="1"/>
  <c r="BA236" i="1"/>
  <c r="AP294" i="1"/>
  <c r="AQ294" i="1" s="1"/>
  <c r="AT300" i="1"/>
  <c r="BO235" i="1"/>
  <c r="BN300" i="1"/>
  <c r="AP293" i="1"/>
  <c r="AQ293" i="1" s="1"/>
  <c r="BR320" i="1"/>
  <c r="BR350" i="1" s="1"/>
  <c r="BS350" i="1" s="1"/>
  <c r="AN322" i="1"/>
  <c r="AO322" i="1" s="1"/>
  <c r="AX320" i="1"/>
  <c r="AX350" i="1" s="1"/>
  <c r="AY350" i="1" s="1"/>
  <c r="AX318" i="1"/>
  <c r="AY318" i="1" s="1"/>
  <c r="BB313" i="1"/>
  <c r="BC313" i="1" s="1"/>
  <c r="AZ330" i="1"/>
  <c r="BA330" i="1" s="1"/>
  <c r="BT319" i="1"/>
  <c r="BU319" i="1" s="1"/>
  <c r="BF310" i="1"/>
  <c r="BG310" i="1" s="1"/>
  <c r="AP312" i="1"/>
  <c r="AP347" i="1" s="1"/>
  <c r="AQ347" i="1" s="1"/>
  <c r="AT291" i="1"/>
  <c r="AU291" i="1" s="1"/>
  <c r="BF318" i="1"/>
  <c r="BG318" i="1" s="1"/>
  <c r="BF294" i="1"/>
  <c r="BG294" i="1" s="1"/>
  <c r="BF322" i="1"/>
  <c r="BG322" i="1" s="1"/>
  <c r="BN319" i="1"/>
  <c r="BO319" i="1" s="1"/>
  <c r="AT327" i="1"/>
  <c r="AN292" i="1"/>
  <c r="AO292" i="1" s="1"/>
  <c r="BB302" i="1"/>
  <c r="BC302" i="1" s="1"/>
  <c r="AP314" i="1"/>
  <c r="AQ314" i="1" s="1"/>
  <c r="AZ314" i="1"/>
  <c r="BA314" i="1" s="1"/>
  <c r="AZ321" i="1"/>
  <c r="BA321" i="1" s="1"/>
  <c r="AZ302" i="1"/>
  <c r="BA302" i="1" s="1"/>
  <c r="BC235" i="1"/>
  <c r="AX322" i="1"/>
  <c r="AY322" i="1" s="1"/>
  <c r="BP293" i="1"/>
  <c r="BQ293" i="1" s="1"/>
  <c r="BB320" i="1"/>
  <c r="BB350" i="1" s="1"/>
  <c r="BC350" i="1" s="1"/>
  <c r="AT331" i="1"/>
  <c r="AU331" i="1" s="1"/>
  <c r="AN289" i="1"/>
  <c r="AO289" i="1" s="1"/>
  <c r="AN286" i="1"/>
  <c r="AN331" i="1"/>
  <c r="AO331" i="1" s="1"/>
  <c r="AZ316" i="1"/>
  <c r="BA316" i="1" s="1"/>
  <c r="BB292" i="1"/>
  <c r="BC292" i="1" s="1"/>
  <c r="BT285" i="1"/>
  <c r="BU285" i="1" s="1"/>
  <c r="BD299" i="1"/>
  <c r="AT326" i="1"/>
  <c r="BR298" i="1"/>
  <c r="BF292" i="1"/>
  <c r="BG292" i="1" s="1"/>
  <c r="BF285" i="1"/>
  <c r="BG285" i="1" s="1"/>
  <c r="BF312" i="1"/>
  <c r="BF347" i="1" s="1"/>
  <c r="BG347" i="1" s="1"/>
  <c r="AN321" i="1"/>
  <c r="AO321" i="1" s="1"/>
  <c r="BN307" i="1"/>
  <c r="BD316" i="1"/>
  <c r="BE316" i="1" s="1"/>
  <c r="BR313" i="1"/>
  <c r="BS313" i="1" s="1"/>
  <c r="BD312" i="1"/>
  <c r="BD347" i="1" s="1"/>
  <c r="BE347" i="1" s="1"/>
  <c r="BD294" i="1"/>
  <c r="BE294" i="1" s="1"/>
  <c r="AV321" i="1"/>
  <c r="AW321" i="1" s="1"/>
  <c r="AT286" i="1"/>
  <c r="AX321" i="1"/>
  <c r="AY321" i="1" s="1"/>
  <c r="BB326" i="1"/>
  <c r="AV322" i="1"/>
  <c r="AW322" i="1" s="1"/>
  <c r="BT312" i="1"/>
  <c r="BT347" i="1" s="1"/>
  <c r="BU347" i="1" s="1"/>
  <c r="BR307" i="1"/>
  <c r="BS307" i="1" s="1"/>
  <c r="AN317" i="1"/>
  <c r="AO317" i="1" s="1"/>
  <c r="BN293" i="1"/>
  <c r="BO293" i="1" s="1"/>
  <c r="AP317" i="1"/>
  <c r="AQ317" i="1" s="1"/>
  <c r="AP316" i="1"/>
  <c r="AQ316" i="1" s="1"/>
  <c r="BP310" i="1"/>
  <c r="BQ310" i="1" s="1"/>
  <c r="BC236" i="1"/>
  <c r="BU235" i="1"/>
  <c r="BB319" i="1"/>
  <c r="BC319" i="1" s="1"/>
  <c r="BN326" i="1"/>
  <c r="BR304" i="1"/>
  <c r="BS304" i="1" s="1"/>
  <c r="AQ235" i="1"/>
  <c r="BO236" i="1"/>
  <c r="BT292" i="1"/>
  <c r="BU292" i="1" s="1"/>
  <c r="BV420" i="1"/>
  <c r="BV361" i="1"/>
  <c r="BV76" i="1"/>
  <c r="AY361" i="1"/>
  <c r="AY420" i="1"/>
  <c r="BK46" i="1"/>
  <c r="BN260" i="1"/>
  <c r="BN261" i="1" s="1"/>
  <c r="BK260" i="1"/>
  <c r="BK261" i="1" s="1"/>
  <c r="BK420" i="1"/>
  <c r="BL260" i="1"/>
  <c r="BL261" i="1" s="1"/>
  <c r="BK166" i="1"/>
  <c r="BK398" i="1"/>
  <c r="BM260" i="1"/>
  <c r="BM261" i="1" s="1"/>
  <c r="BJ420" i="1"/>
  <c r="BJ361" i="1"/>
  <c r="BK419" i="1"/>
  <c r="BK199" i="1"/>
  <c r="V347" i="1"/>
  <c r="V315" i="1"/>
  <c r="V413" i="1" s="1"/>
  <c r="S369" i="1"/>
  <c r="T369" i="1"/>
  <c r="D350" i="1"/>
  <c r="D323" i="1"/>
  <c r="J369" i="1"/>
  <c r="I369" i="1"/>
  <c r="H275" i="1"/>
  <c r="H266" i="1"/>
  <c r="H249" i="1"/>
  <c r="L340" i="1"/>
  <c r="L342" i="1"/>
  <c r="BI318" i="1"/>
  <c r="BH323" i="1"/>
  <c r="BH352" i="1" s="1"/>
  <c r="BH351" i="1" s="1"/>
  <c r="P315" i="1"/>
  <c r="BH361" i="1"/>
  <c r="BH420" i="1"/>
  <c r="C346" i="1"/>
  <c r="C315" i="1"/>
  <c r="BI294" i="1"/>
  <c r="BI295" i="1" s="1"/>
  <c r="BH295" i="1"/>
  <c r="BO361" i="1"/>
  <c r="BO420" i="1"/>
  <c r="K264" i="1"/>
  <c r="K247" i="1"/>
  <c r="BQ46" i="1"/>
  <c r="BT260" i="1"/>
  <c r="BT261" i="1" s="1"/>
  <c r="BR260" i="1"/>
  <c r="BR261" i="1" s="1"/>
  <c r="BQ166" i="1"/>
  <c r="BQ398" i="1"/>
  <c r="BS260" i="1"/>
  <c r="BS261" i="1" s="1"/>
  <c r="U416" i="1"/>
  <c r="U418" i="1" s="1"/>
  <c r="T323" i="1"/>
  <c r="O328" i="1"/>
  <c r="BG188" i="1"/>
  <c r="BR188" i="1"/>
  <c r="M301" i="1"/>
  <c r="T315" i="1"/>
  <c r="T413" i="1" s="1"/>
  <c r="J323" i="1"/>
  <c r="AY188" i="1"/>
  <c r="AY189" i="1" s="1"/>
  <c r="S251" i="1"/>
  <c r="V249" i="1"/>
  <c r="BV295" i="1"/>
  <c r="AS166" i="1"/>
  <c r="AS419" i="1"/>
  <c r="BC260" i="1"/>
  <c r="BC261" i="1" s="1"/>
  <c r="S274" i="1"/>
  <c r="G249" i="1"/>
  <c r="S248" i="1"/>
  <c r="BF260" i="1"/>
  <c r="BF261" i="1" s="1"/>
  <c r="BV346" i="1"/>
  <c r="BJ189" i="1"/>
  <c r="AI349" i="1"/>
  <c r="E369" i="1"/>
  <c r="R251" i="1"/>
  <c r="AI346" i="1"/>
  <c r="AX420" i="1"/>
  <c r="BC166" i="1"/>
  <c r="BA172" i="1"/>
  <c r="F249" i="1"/>
  <c r="V275" i="1"/>
  <c r="V271" i="1" s="1"/>
  <c r="R265" i="1"/>
  <c r="W145" i="1"/>
  <c r="W153" i="1" s="1"/>
  <c r="W158" i="1" s="1"/>
  <c r="R301" i="1"/>
  <c r="BV287" i="1"/>
  <c r="AO420" i="1"/>
  <c r="AU260" i="1"/>
  <c r="AU261" i="1" s="1"/>
  <c r="BH315" i="1"/>
  <c r="V266" i="1"/>
  <c r="D415" i="1"/>
  <c r="N266" i="1"/>
  <c r="N275" i="1"/>
  <c r="U328" i="1"/>
  <c r="BQ420" i="1"/>
  <c r="AW420" i="1"/>
  <c r="BT420" i="1"/>
  <c r="F248" i="1"/>
  <c r="I266" i="1"/>
  <c r="P295" i="1"/>
  <c r="M315" i="1"/>
  <c r="I247" i="1"/>
  <c r="BC420" i="1"/>
  <c r="AV260" i="1"/>
  <c r="AV261" i="1" s="1"/>
  <c r="BU420" i="1"/>
  <c r="AX260" i="1"/>
  <c r="AX261" i="1" s="1"/>
  <c r="M323" i="1"/>
  <c r="W274" i="1"/>
  <c r="W270" i="1" s="1"/>
  <c r="G264" i="1"/>
  <c r="N411" i="1"/>
  <c r="W155" i="1"/>
  <c r="W160" i="1" s="1"/>
  <c r="W154" i="1"/>
  <c r="W159" i="1" s="1"/>
  <c r="CY140" i="1"/>
  <c r="CY153" i="1" s="1"/>
  <c r="I277" i="1"/>
  <c r="I280" i="1" s="1"/>
  <c r="CR75" i="1"/>
  <c r="U370" i="1"/>
  <c r="U368" i="1" s="1"/>
  <c r="B231" i="1"/>
  <c r="B249" i="1" s="1"/>
  <c r="M258" i="1"/>
  <c r="M257" i="1"/>
  <c r="F348" i="1"/>
  <c r="F353" i="1"/>
  <c r="H413" i="1"/>
  <c r="H411" i="1"/>
  <c r="L370" i="1"/>
  <c r="L368" i="1" s="1"/>
  <c r="K370" i="1"/>
  <c r="K368" i="1" s="1"/>
  <c r="S353" i="1"/>
  <c r="S348" i="1"/>
  <c r="S372" i="1"/>
  <c r="R277" i="1"/>
  <c r="R280" i="1" s="1"/>
  <c r="R278" i="1"/>
  <c r="R281" i="1" s="1"/>
  <c r="C230" i="1"/>
  <c r="C231" i="1"/>
  <c r="J278" i="1"/>
  <c r="J281" i="1" s="1"/>
  <c r="J277" i="1"/>
  <c r="J280" i="1" s="1"/>
  <c r="U256" i="1"/>
  <c r="U258" i="1"/>
  <c r="U257" i="1"/>
  <c r="X370" i="1"/>
  <c r="X368" i="1" s="1"/>
  <c r="W370" i="1"/>
  <c r="W368" i="1" s="1"/>
  <c r="G277" i="1"/>
  <c r="G280" i="1" s="1"/>
  <c r="G278" i="1"/>
  <c r="G281" i="1" s="1"/>
  <c r="Q278" i="1"/>
  <c r="Q281" i="1" s="1"/>
  <c r="Q277" i="1"/>
  <c r="Q280" i="1" s="1"/>
  <c r="G411" i="1"/>
  <c r="G413" i="1"/>
  <c r="H370" i="1"/>
  <c r="H368" i="1" s="1"/>
  <c r="E411" i="1"/>
  <c r="E413" i="1"/>
  <c r="B277" i="1"/>
  <c r="B280" i="1" s="1"/>
  <c r="B278" i="1"/>
  <c r="B281" i="1" s="1"/>
  <c r="E370" i="1"/>
  <c r="J256" i="1"/>
  <c r="J257" i="1"/>
  <c r="J258" i="1"/>
  <c r="L348" i="1"/>
  <c r="K277" i="1"/>
  <c r="K280" i="1" s="1"/>
  <c r="K278" i="1"/>
  <c r="K281" i="1" s="1"/>
  <c r="K257" i="1"/>
  <c r="K258" i="1"/>
  <c r="K256" i="1"/>
  <c r="H348" i="1"/>
  <c r="H353" i="1"/>
  <c r="Q332" i="1"/>
  <c r="D231" i="1"/>
  <c r="D230" i="1"/>
  <c r="Q257" i="1"/>
  <c r="Q258" i="1"/>
  <c r="Q256" i="1"/>
  <c r="K411" i="1"/>
  <c r="K413" i="1"/>
  <c r="C351" i="1"/>
  <c r="P256" i="1"/>
  <c r="P257" i="1"/>
  <c r="P258" i="1"/>
  <c r="L278" i="1"/>
  <c r="L281" i="1" s="1"/>
  <c r="L277" i="1"/>
  <c r="L280" i="1" s="1"/>
  <c r="V370" i="1"/>
  <c r="V368" i="1" s="1"/>
  <c r="Q413" i="1"/>
  <c r="Q411" i="1"/>
  <c r="Q370" i="1"/>
  <c r="Q368" i="1" s="1"/>
  <c r="P370" i="1"/>
  <c r="P368" i="1" s="1"/>
  <c r="Q351" i="1"/>
  <c r="I351" i="1"/>
  <c r="I353" i="1"/>
  <c r="E351" i="1"/>
  <c r="E353" i="1"/>
  <c r="V351" i="1"/>
  <c r="O370" i="1"/>
  <c r="O368" i="1" s="1"/>
  <c r="N353" i="1"/>
  <c r="N348" i="1"/>
  <c r="G353" i="1"/>
  <c r="G351" i="1"/>
  <c r="O351" i="1"/>
  <c r="R353" i="1"/>
  <c r="R351" i="1"/>
  <c r="AY173" i="1"/>
  <c r="AP190" i="1"/>
  <c r="AP174" i="1"/>
  <c r="AP173" i="1"/>
  <c r="BE173" i="1"/>
  <c r="AJ175" i="1"/>
  <c r="AI173" i="1"/>
  <c r="AM174" i="1"/>
  <c r="AI190" i="1"/>
  <c r="BT190" i="1"/>
  <c r="BT60" i="1" s="1"/>
  <c r="BX174" i="1"/>
  <c r="BT173" i="1"/>
  <c r="CR361" i="1"/>
  <c r="CR299" i="1"/>
  <c r="CQ370" i="1"/>
  <c r="CQ368" i="1" s="1"/>
  <c r="AB373" i="1"/>
  <c r="DB225" i="1"/>
  <c r="DA227" i="1"/>
  <c r="BR189" i="1" l="1"/>
  <c r="I372" i="1"/>
  <c r="K332" i="1"/>
  <c r="K333" i="1" s="1"/>
  <c r="N277" i="1"/>
  <c r="N280" i="1" s="1"/>
  <c r="AQ172" i="1"/>
  <c r="BN168" i="1"/>
  <c r="BF189" i="1"/>
  <c r="BF168" i="1"/>
  <c r="BI266" i="1"/>
  <c r="AW189" i="1"/>
  <c r="AR168" i="1"/>
  <c r="AO355" i="1"/>
  <c r="AO392" i="1"/>
  <c r="AQ392" i="1"/>
  <c r="AN174" i="1"/>
  <c r="AW265" i="1"/>
  <c r="CZ138" i="1"/>
  <c r="CZ137" i="1"/>
  <c r="CZ139" i="1"/>
  <c r="S411" i="1"/>
  <c r="T370" i="1"/>
  <c r="L353" i="1"/>
  <c r="U351" i="1"/>
  <c r="U353" i="1"/>
  <c r="BW305" i="1"/>
  <c r="BX195" i="1"/>
  <c r="BJ399" i="1"/>
  <c r="BJ400" i="1" s="1"/>
  <c r="BJ191" i="1"/>
  <c r="BE264" i="1"/>
  <c r="BJ355" i="1"/>
  <c r="BF190" i="1"/>
  <c r="BJ192" i="1" s="1"/>
  <c r="BU392" i="1"/>
  <c r="Q333" i="1"/>
  <c r="BI174" i="1"/>
  <c r="BI173" i="1"/>
  <c r="BJ175" i="1"/>
  <c r="F411" i="1"/>
  <c r="I257" i="1"/>
  <c r="I256" i="1"/>
  <c r="I258" i="1"/>
  <c r="K351" i="1"/>
  <c r="AM374" i="1"/>
  <c r="AM372" i="1" s="1"/>
  <c r="BE189" i="1"/>
  <c r="AZ392" i="1"/>
  <c r="AU174" i="1"/>
  <c r="BV168" i="1"/>
  <c r="BP264" i="1"/>
  <c r="BB265" i="1"/>
  <c r="BM174" i="1"/>
  <c r="BI175" i="1"/>
  <c r="BE265" i="1"/>
  <c r="BB266" i="1"/>
  <c r="BI264" i="1"/>
  <c r="AN189" i="1"/>
  <c r="BI355" i="1"/>
  <c r="AR265" i="1"/>
  <c r="S413" i="1"/>
  <c r="BH257" i="1"/>
  <c r="BH256" i="1"/>
  <c r="AQ173" i="1"/>
  <c r="BV196" i="1"/>
  <c r="BV200" i="1" s="1"/>
  <c r="AQ174" i="1"/>
  <c r="BG189" i="1"/>
  <c r="AT172" i="1"/>
  <c r="AT174" i="1" s="1"/>
  <c r="BH411" i="1"/>
  <c r="O372" i="1"/>
  <c r="T278" i="1"/>
  <c r="T281" i="1" s="1"/>
  <c r="N332" i="1"/>
  <c r="N333" i="1" s="1"/>
  <c r="N372" i="1"/>
  <c r="S365" i="1"/>
  <c r="S366" i="1" s="1"/>
  <c r="F365" i="1"/>
  <c r="F366" i="1" s="1"/>
  <c r="E332" i="1"/>
  <c r="E333" i="1" s="1"/>
  <c r="I365" i="1"/>
  <c r="I366" i="1" s="1"/>
  <c r="S257" i="1"/>
  <c r="S256" i="1"/>
  <c r="S258" i="1"/>
  <c r="B353" i="1"/>
  <c r="B348" i="1"/>
  <c r="AQ175" i="1"/>
  <c r="AQ190" i="1"/>
  <c r="DA121" i="1"/>
  <c r="DA273" i="1"/>
  <c r="F257" i="1"/>
  <c r="F256" i="1"/>
  <c r="O256" i="1"/>
  <c r="F258" i="1"/>
  <c r="BJ202" i="1"/>
  <c r="BP189" i="1"/>
  <c r="BH173" i="1"/>
  <c r="N256" i="1"/>
  <c r="BP167" i="1"/>
  <c r="AZ168" i="1"/>
  <c r="BA264" i="1"/>
  <c r="BB190" i="1"/>
  <c r="BB399" i="1" s="1"/>
  <c r="BB400" i="1" s="1"/>
  <c r="BH190" i="1"/>
  <c r="AM247" i="1"/>
  <c r="I411" i="1"/>
  <c r="I370" i="1"/>
  <c r="BT355" i="1"/>
  <c r="BT167" i="1"/>
  <c r="BP172" i="1"/>
  <c r="BP173" i="1" s="1"/>
  <c r="O365" i="1"/>
  <c r="O366" i="1" s="1"/>
  <c r="O380" i="1" s="1"/>
  <c r="U372" i="1"/>
  <c r="I332" i="1"/>
  <c r="I333" i="1" s="1"/>
  <c r="AN190" i="1"/>
  <c r="AZ190" i="1"/>
  <c r="AZ191" i="1" s="1"/>
  <c r="BL174" i="1"/>
  <c r="BV411" i="1"/>
  <c r="AN173" i="1"/>
  <c r="O257" i="1"/>
  <c r="AZ175" i="1"/>
  <c r="N258" i="1"/>
  <c r="M372" i="1"/>
  <c r="AZ189" i="1"/>
  <c r="BA168" i="1"/>
  <c r="BI190" i="1"/>
  <c r="BI196" i="1" s="1"/>
  <c r="BE190" i="1"/>
  <c r="BI192" i="1" s="1"/>
  <c r="O353" i="1"/>
  <c r="O356" i="1" s="1"/>
  <c r="O357" i="1" s="1"/>
  <c r="Q353" i="1"/>
  <c r="I413" i="1"/>
  <c r="AZ167" i="1"/>
  <c r="S333" i="1"/>
  <c r="AY265" i="1"/>
  <c r="BX416" i="1"/>
  <c r="BI195" i="1"/>
  <c r="BO392" i="1"/>
  <c r="AU173" i="1"/>
  <c r="F370" i="1"/>
  <c r="F368" i="1" s="1"/>
  <c r="BB175" i="1"/>
  <c r="BD167" i="1"/>
  <c r="AU167" i="1"/>
  <c r="AY355" i="1"/>
  <c r="BI301" i="1"/>
  <c r="BO168" i="1"/>
  <c r="AZ265" i="1"/>
  <c r="BI189" i="1"/>
  <c r="BS355" i="1"/>
  <c r="BP168" i="1"/>
  <c r="AY174" i="1"/>
  <c r="BO190" i="1"/>
  <c r="BO60" i="1" s="1"/>
  <c r="H333" i="1"/>
  <c r="AW392" i="1"/>
  <c r="AX392" i="1"/>
  <c r="AY266" i="1"/>
  <c r="BO189" i="1"/>
  <c r="E372" i="1"/>
  <c r="BN175" i="1"/>
  <c r="AU190" i="1"/>
  <c r="AU399" i="1" s="1"/>
  <c r="AU400" i="1" s="1"/>
  <c r="G370" i="1"/>
  <c r="G368" i="1" s="1"/>
  <c r="BV413" i="1"/>
  <c r="AN328" i="1"/>
  <c r="AO376" i="1" s="1"/>
  <c r="BP392" i="1"/>
  <c r="AZ266" i="1"/>
  <c r="BA392" i="1"/>
  <c r="BE167" i="1"/>
  <c r="K353" i="1"/>
  <c r="L356" i="1" s="1"/>
  <c r="L357" i="1" s="1"/>
  <c r="AY167" i="1"/>
  <c r="N278" i="1"/>
  <c r="N281" i="1" s="1"/>
  <c r="AP265" i="1"/>
  <c r="AW168" i="1"/>
  <c r="BB355" i="1"/>
  <c r="BF167" i="1"/>
  <c r="AU189" i="1"/>
  <c r="BD190" i="1"/>
  <c r="BD174" i="1"/>
  <c r="BH174" i="1"/>
  <c r="BE175" i="1"/>
  <c r="BD173" i="1"/>
  <c r="BH415" i="1"/>
  <c r="BV353" i="1"/>
  <c r="BZ356" i="1" s="1"/>
  <c r="BE355" i="1"/>
  <c r="BH392" i="1"/>
  <c r="BA355" i="1"/>
  <c r="AQ265" i="1"/>
  <c r="BB392" i="1"/>
  <c r="BF355" i="1"/>
  <c r="AV168" i="1"/>
  <c r="BH167" i="1"/>
  <c r="BA266" i="1"/>
  <c r="BE168" i="1"/>
  <c r="BG172" i="1"/>
  <c r="BO264" i="1"/>
  <c r="BO265" i="1"/>
  <c r="AO264" i="1"/>
  <c r="AO266" i="1"/>
  <c r="AO265" i="1"/>
  <c r="AN266" i="1"/>
  <c r="AN265" i="1"/>
  <c r="BV324" i="1"/>
  <c r="BV332" i="1" s="1"/>
  <c r="AV167" i="1"/>
  <c r="AV355" i="1"/>
  <c r="AP264" i="1"/>
  <c r="AQ264" i="1"/>
  <c r="BD266" i="1"/>
  <c r="BJ411" i="1"/>
  <c r="BG392" i="1"/>
  <c r="BB168" i="1"/>
  <c r="BD264" i="1"/>
  <c r="AU168" i="1"/>
  <c r="AU355" i="1"/>
  <c r="BX411" i="1"/>
  <c r="BD189" i="1"/>
  <c r="BU172" i="1"/>
  <c r="BZ355" i="1"/>
  <c r="BY167" i="1"/>
  <c r="AT264" i="1"/>
  <c r="AT266" i="1"/>
  <c r="BU168" i="1"/>
  <c r="AS264" i="1"/>
  <c r="AS265" i="1"/>
  <c r="BB189" i="1"/>
  <c r="BV266" i="1"/>
  <c r="BV264" i="1"/>
  <c r="BV265" i="1"/>
  <c r="BY265" i="1"/>
  <c r="BY266" i="1"/>
  <c r="BY264" i="1"/>
  <c r="AI351" i="1"/>
  <c r="BU266" i="1"/>
  <c r="BU265" i="1"/>
  <c r="BU264" i="1"/>
  <c r="BW172" i="1"/>
  <c r="BY392" i="1"/>
  <c r="BX392" i="1"/>
  <c r="CA355" i="1"/>
  <c r="BZ411" i="1"/>
  <c r="BZ392" i="1"/>
  <c r="BW355" i="1"/>
  <c r="BW168" i="1"/>
  <c r="BX355" i="1"/>
  <c r="CB355" i="1"/>
  <c r="CA167" i="1"/>
  <c r="BX168" i="1"/>
  <c r="X220" i="1"/>
  <c r="AY168" i="1"/>
  <c r="BB167" i="1"/>
  <c r="AX172" i="1"/>
  <c r="AV189" i="1"/>
  <c r="BZ266" i="1"/>
  <c r="BZ265" i="1"/>
  <c r="BZ264" i="1"/>
  <c r="BS172" i="1"/>
  <c r="BS175" i="1" s="1"/>
  <c r="BS167" i="1"/>
  <c r="BV392" i="1"/>
  <c r="BT168" i="1"/>
  <c r="W220" i="1"/>
  <c r="BW167" i="1"/>
  <c r="BW189" i="1"/>
  <c r="BX265" i="1"/>
  <c r="BX266" i="1"/>
  <c r="BX264" i="1"/>
  <c r="BW264" i="1"/>
  <c r="BW266" i="1"/>
  <c r="BW265" i="1"/>
  <c r="BQ264" i="1"/>
  <c r="BQ265" i="1"/>
  <c r="AL266" i="1"/>
  <c r="AL264" i="1"/>
  <c r="AL265" i="1"/>
  <c r="AX167" i="1"/>
  <c r="AT167" i="1"/>
  <c r="AY392" i="1"/>
  <c r="AV172" i="1"/>
  <c r="BW392" i="1"/>
  <c r="AX189" i="1"/>
  <c r="BS189" i="1"/>
  <c r="AO175" i="1"/>
  <c r="BM175" i="1"/>
  <c r="C372" i="1"/>
  <c r="M277" i="1"/>
  <c r="M280" i="1" s="1"/>
  <c r="BN190" i="1"/>
  <c r="BN60" i="1" s="1"/>
  <c r="BM190" i="1"/>
  <c r="BM60" i="1" s="1"/>
  <c r="V256" i="1"/>
  <c r="E278" i="1"/>
  <c r="E281" i="1" s="1"/>
  <c r="F278" i="1"/>
  <c r="F281" i="1" s="1"/>
  <c r="H278" i="1"/>
  <c r="H281" i="1" s="1"/>
  <c r="V372" i="1"/>
  <c r="BN173" i="1"/>
  <c r="V258" i="1"/>
  <c r="BO175" i="1"/>
  <c r="BM173" i="1"/>
  <c r="V411" i="1"/>
  <c r="BJ174" i="1"/>
  <c r="BF174" i="1"/>
  <c r="AO173" i="1"/>
  <c r="BF175" i="1"/>
  <c r="BF173" i="1"/>
  <c r="AP175" i="1"/>
  <c r="F332" i="1"/>
  <c r="F333" i="1" s="1"/>
  <c r="BR174" i="1"/>
  <c r="AM248" i="1"/>
  <c r="AM216" i="1"/>
  <c r="V278" i="1"/>
  <c r="V281" i="1" s="1"/>
  <c r="O332" i="1"/>
  <c r="O333" i="1" s="1"/>
  <c r="AM254" i="1"/>
  <c r="AM258" i="1" s="1"/>
  <c r="C278" i="1"/>
  <c r="C281" i="1" s="1"/>
  <c r="BR173" i="1"/>
  <c r="T258" i="1"/>
  <c r="AO190" i="1"/>
  <c r="BV399" i="1"/>
  <c r="BV400" i="1" s="1"/>
  <c r="AW196" i="1"/>
  <c r="AW200" i="1" s="1"/>
  <c r="AW202" i="1" s="1"/>
  <c r="G257" i="1"/>
  <c r="H365" i="1"/>
  <c r="H366" i="1" s="1"/>
  <c r="H377" i="1" s="1"/>
  <c r="H378" i="1" s="1"/>
  <c r="AO174" i="1"/>
  <c r="BV191" i="1"/>
  <c r="AW191" i="1"/>
  <c r="G333" i="1"/>
  <c r="G256" i="1"/>
  <c r="T411" i="1"/>
  <c r="BZ192" i="1"/>
  <c r="S277" i="1"/>
  <c r="S280" i="1" s="1"/>
  <c r="G365" i="1"/>
  <c r="G366" i="1" s="1"/>
  <c r="BR190" i="1"/>
  <c r="BR60" i="1" s="1"/>
  <c r="T372" i="1"/>
  <c r="AZ369" i="1"/>
  <c r="AV287" i="1"/>
  <c r="AV254" i="1" s="1"/>
  <c r="AV258" i="1" s="1"/>
  <c r="D278" i="1"/>
  <c r="D281" i="1" s="1"/>
  <c r="AQ369" i="1"/>
  <c r="BT369" i="1"/>
  <c r="BT301" i="1"/>
  <c r="BU195" i="1" s="1"/>
  <c r="BF287" i="1"/>
  <c r="BF254" i="1" s="1"/>
  <c r="BF258" i="1" s="1"/>
  <c r="BQ295" i="1"/>
  <c r="AX287" i="1"/>
  <c r="AX254" i="1" s="1"/>
  <c r="AX258" i="1" s="1"/>
  <c r="AV369" i="1"/>
  <c r="BR369" i="1"/>
  <c r="DB227" i="1"/>
  <c r="AE225" i="1"/>
  <c r="AE227" i="1" s="1"/>
  <c r="AV328" i="1"/>
  <c r="AW376" i="1" s="1"/>
  <c r="AR369" i="1"/>
  <c r="T257" i="1"/>
  <c r="AO295" i="1"/>
  <c r="AY369" i="1"/>
  <c r="AR328" i="1"/>
  <c r="AS376" i="1" s="1"/>
  <c r="BF399" i="1"/>
  <c r="BF400" i="1" s="1"/>
  <c r="AR196" i="1"/>
  <c r="AR200" i="1" s="1"/>
  <c r="AR203" i="1" s="1"/>
  <c r="AR174" i="1"/>
  <c r="BF191" i="1"/>
  <c r="E368" i="1"/>
  <c r="AX301" i="1"/>
  <c r="AY301" i="1" s="1"/>
  <c r="AY305" i="1" s="1"/>
  <c r="AX369" i="1"/>
  <c r="AR175" i="1"/>
  <c r="AR173" i="1"/>
  <c r="BT328" i="1"/>
  <c r="BU376" i="1" s="1"/>
  <c r="BU295" i="1"/>
  <c r="BV373" i="1" s="1"/>
  <c r="AN301" i="1"/>
  <c r="AO195" i="1" s="1"/>
  <c r="BB301" i="1"/>
  <c r="BC195" i="1" s="1"/>
  <c r="BH413" i="1"/>
  <c r="U332" i="1"/>
  <c r="U333" i="1" s="1"/>
  <c r="BA295" i="1"/>
  <c r="BP328" i="1"/>
  <c r="BQ376" i="1" s="1"/>
  <c r="O413" i="1"/>
  <c r="O411" i="1"/>
  <c r="BB315" i="1"/>
  <c r="BB349" i="1" s="1"/>
  <c r="BB348" i="1" s="1"/>
  <c r="BF328" i="1"/>
  <c r="BG376" i="1" s="1"/>
  <c r="AR399" i="1"/>
  <c r="AR400" i="1" s="1"/>
  <c r="BF196" i="1"/>
  <c r="BF200" i="1" s="1"/>
  <c r="BF203" i="1" s="1"/>
  <c r="AU369" i="1"/>
  <c r="BU369" i="1"/>
  <c r="BB323" i="1"/>
  <c r="BB352" i="1" s="1"/>
  <c r="BB351" i="1" s="1"/>
  <c r="BF323" i="1"/>
  <c r="BF352" i="1" s="1"/>
  <c r="BF351" i="1" s="1"/>
  <c r="BR287" i="1"/>
  <c r="BR254" i="1" s="1"/>
  <c r="BR258" i="1" s="1"/>
  <c r="BB328" i="1"/>
  <c r="BC376" i="1" s="1"/>
  <c r="AQ295" i="1"/>
  <c r="AX295" i="1"/>
  <c r="AX335" i="1" s="1"/>
  <c r="AY199" i="1" s="1"/>
  <c r="BN301" i="1"/>
  <c r="BO195" i="1" s="1"/>
  <c r="BP301" i="1"/>
  <c r="BQ301" i="1" s="1"/>
  <c r="BR195" i="1" s="1"/>
  <c r="AP301" i="1"/>
  <c r="AP305" i="1" s="1"/>
  <c r="BR295" i="1"/>
  <c r="AT287" i="1"/>
  <c r="AT254" i="1" s="1"/>
  <c r="AT257" i="1" s="1"/>
  <c r="AT328" i="1"/>
  <c r="AU376" i="1" s="1"/>
  <c r="AU295" i="1"/>
  <c r="AZ301" i="1"/>
  <c r="AZ305" i="1" s="1"/>
  <c r="BO295" i="1"/>
  <c r="BS295" i="1"/>
  <c r="BD328" i="1"/>
  <c r="BE376" i="1" s="1"/>
  <c r="BF301" i="1"/>
  <c r="BG301" i="1" s="1"/>
  <c r="BH195" i="1" s="1"/>
  <c r="AV301" i="1"/>
  <c r="AW301" i="1" s="1"/>
  <c r="AW305" i="1" s="1"/>
  <c r="AR315" i="1"/>
  <c r="AR349" i="1" s="1"/>
  <c r="AR348" i="1" s="1"/>
  <c r="BS369" i="1"/>
  <c r="BD301" i="1"/>
  <c r="BE195" i="1" s="1"/>
  <c r="AT301" i="1"/>
  <c r="AT305" i="1" s="1"/>
  <c r="BG295" i="1"/>
  <c r="BH373" i="1" s="1"/>
  <c r="BB287" i="1"/>
  <c r="BB254" i="1" s="1"/>
  <c r="BB258" i="1" s="1"/>
  <c r="BR301" i="1"/>
  <c r="BR305" i="1" s="1"/>
  <c r="BD369" i="1"/>
  <c r="AS295" i="1"/>
  <c r="AR287" i="1"/>
  <c r="AN295" i="1"/>
  <c r="AN373" i="1" s="1"/>
  <c r="BD315" i="1"/>
  <c r="BD349" i="1" s="1"/>
  <c r="BD348" i="1" s="1"/>
  <c r="AW369" i="1"/>
  <c r="AV295" i="1"/>
  <c r="BP287" i="1"/>
  <c r="BP254" i="1" s="1"/>
  <c r="BP256" i="1" s="1"/>
  <c r="AN287" i="1"/>
  <c r="AN254" i="1" s="1"/>
  <c r="AN257" i="1" s="1"/>
  <c r="BE295" i="1"/>
  <c r="AR301" i="1"/>
  <c r="AS195" i="1" s="1"/>
  <c r="AW295" i="1"/>
  <c r="BC295" i="1"/>
  <c r="BT323" i="1"/>
  <c r="BT352" i="1" s="1"/>
  <c r="BT351" i="1" s="1"/>
  <c r="BR328" i="1"/>
  <c r="BS376" i="1" s="1"/>
  <c r="BE307" i="1"/>
  <c r="BF369" i="1" s="1"/>
  <c r="AX264" i="1"/>
  <c r="AX266" i="1"/>
  <c r="AX265" i="1"/>
  <c r="P349" i="1"/>
  <c r="P324" i="1"/>
  <c r="P332" i="1" s="1"/>
  <c r="Q363" i="1"/>
  <c r="Q365" i="1" s="1"/>
  <c r="Q366" i="1" s="1"/>
  <c r="Q380" i="1" s="1"/>
  <c r="P363" i="1"/>
  <c r="P365" i="1" s="1"/>
  <c r="P366" i="1" s="1"/>
  <c r="P380" i="1" s="1"/>
  <c r="BF266" i="1"/>
  <c r="BF264" i="1"/>
  <c r="BF265" i="1"/>
  <c r="T324" i="1"/>
  <c r="T332" i="1" s="1"/>
  <c r="T333" i="1" s="1"/>
  <c r="U363" i="1"/>
  <c r="T363" i="1"/>
  <c r="T349" i="1"/>
  <c r="BK266" i="1"/>
  <c r="BK265" i="1"/>
  <c r="BK264" i="1"/>
  <c r="AY190" i="1"/>
  <c r="AY196" i="1" s="1"/>
  <c r="AY200" i="1" s="1"/>
  <c r="T368" i="1"/>
  <c r="AZ295" i="1"/>
  <c r="BP315" i="1"/>
  <c r="BP349" i="1" s="1"/>
  <c r="BP348" i="1" s="1"/>
  <c r="AT315" i="1"/>
  <c r="BQ369" i="1"/>
  <c r="AY291" i="1"/>
  <c r="AY295" i="1" s="1"/>
  <c r="BT315" i="1"/>
  <c r="BT349" i="1" s="1"/>
  <c r="AV265" i="1"/>
  <c r="AV264" i="1"/>
  <c r="AV266" i="1"/>
  <c r="BA174" i="1"/>
  <c r="BA190" i="1"/>
  <c r="BA173" i="1"/>
  <c r="BA175" i="1"/>
  <c r="M195" i="1"/>
  <c r="M305" i="1"/>
  <c r="V363" i="1"/>
  <c r="V365" i="1" s="1"/>
  <c r="V366" i="1" s="1"/>
  <c r="V380" i="1" s="1"/>
  <c r="V324" i="1"/>
  <c r="V332" i="1" s="1"/>
  <c r="V333" i="1" s="1"/>
  <c r="V349" i="1"/>
  <c r="BN265" i="1"/>
  <c r="BN264" i="1"/>
  <c r="BN266" i="1"/>
  <c r="BE174" i="1"/>
  <c r="AN323" i="1"/>
  <c r="AN352" i="1" s="1"/>
  <c r="AN351" i="1" s="1"/>
  <c r="AP295" i="1"/>
  <c r="AT323" i="1"/>
  <c r="AT352" i="1" s="1"/>
  <c r="AT351" i="1" s="1"/>
  <c r="BT295" i="1"/>
  <c r="BD355" i="1"/>
  <c r="BG355" i="1"/>
  <c r="BE392" i="1"/>
  <c r="BC168" i="1"/>
  <c r="BF392" i="1"/>
  <c r="BC355" i="1"/>
  <c r="BC167" i="1"/>
  <c r="BH355" i="1"/>
  <c r="BD392" i="1"/>
  <c r="BD168" i="1"/>
  <c r="BG167" i="1"/>
  <c r="BC189" i="1"/>
  <c r="BC172" i="1"/>
  <c r="BC392" i="1"/>
  <c r="BW346" i="1"/>
  <c r="BV348" i="1"/>
  <c r="BR315" i="1"/>
  <c r="BR349" i="1" s="1"/>
  <c r="BR348" i="1" s="1"/>
  <c r="AT295" i="1"/>
  <c r="BN323" i="1"/>
  <c r="BN352" i="1" s="1"/>
  <c r="BN351" i="1" s="1"/>
  <c r="BP295" i="1"/>
  <c r="AP287" i="1"/>
  <c r="AP254" i="1" s="1"/>
  <c r="AP258" i="1" s="1"/>
  <c r="BF295" i="1"/>
  <c r="AZ323" i="1"/>
  <c r="AZ352" i="1" s="1"/>
  <c r="AZ351" i="1" s="1"/>
  <c r="AV323" i="1"/>
  <c r="AV352" i="1" s="1"/>
  <c r="AV351" i="1" s="1"/>
  <c r="BN295" i="1"/>
  <c r="BC369" i="1"/>
  <c r="AZ287" i="1"/>
  <c r="M349" i="1"/>
  <c r="M363" i="1"/>
  <c r="M324" i="1"/>
  <c r="N363" i="1"/>
  <c r="BH349" i="1"/>
  <c r="BH324" i="1"/>
  <c r="BH332" i="1" s="1"/>
  <c r="BC266" i="1"/>
  <c r="BC265" i="1"/>
  <c r="BC264" i="1"/>
  <c r="O415" i="1"/>
  <c r="P376" i="1"/>
  <c r="O335" i="1"/>
  <c r="O276" i="1" s="1"/>
  <c r="BO307" i="1"/>
  <c r="BN369" i="1"/>
  <c r="AP328" i="1"/>
  <c r="AQ376" i="1" s="1"/>
  <c r="BR264" i="1"/>
  <c r="BR266" i="1"/>
  <c r="BR265" i="1"/>
  <c r="V376" i="1"/>
  <c r="U411" i="1"/>
  <c r="U415" i="1"/>
  <c r="U335" i="1"/>
  <c r="U276" i="1" s="1"/>
  <c r="U413" i="1"/>
  <c r="AP315" i="1"/>
  <c r="AP349" i="1" s="1"/>
  <c r="AP348" i="1" s="1"/>
  <c r="BD295" i="1"/>
  <c r="BG369" i="1"/>
  <c r="Q416" i="1"/>
  <c r="Q418" i="1" s="1"/>
  <c r="P296" i="1"/>
  <c r="P217" i="1" s="1"/>
  <c r="Q373" i="1"/>
  <c r="Q372" i="1" s="1"/>
  <c r="P373" i="1"/>
  <c r="P372" i="1" s="1"/>
  <c r="P335" i="1"/>
  <c r="P276" i="1" s="1"/>
  <c r="P416" i="1"/>
  <c r="P418" i="1" s="1"/>
  <c r="P199" i="1"/>
  <c r="AU264" i="1"/>
  <c r="AU266" i="1"/>
  <c r="AU265" i="1"/>
  <c r="T352" i="1"/>
  <c r="T351" i="1" s="1"/>
  <c r="U364" i="1"/>
  <c r="T364" i="1"/>
  <c r="BH296" i="1"/>
  <c r="BH335" i="1"/>
  <c r="M364" i="1"/>
  <c r="N364" i="1"/>
  <c r="M352" i="1"/>
  <c r="M351" i="1" s="1"/>
  <c r="BT287" i="1"/>
  <c r="P413" i="1"/>
  <c r="BP323" i="1"/>
  <c r="BP352" i="1" s="1"/>
  <c r="BP351" i="1" s="1"/>
  <c r="BF315" i="1"/>
  <c r="BF349" i="1" s="1"/>
  <c r="BF348" i="1" s="1"/>
  <c r="AZ315" i="1"/>
  <c r="AZ349" i="1" s="1"/>
  <c r="AX355" i="1"/>
  <c r="AT392" i="1"/>
  <c r="AW355" i="1"/>
  <c r="AS172" i="1"/>
  <c r="AW167" i="1"/>
  <c r="AU392" i="1"/>
  <c r="AS392" i="1"/>
  <c r="AV392" i="1"/>
  <c r="AS167" i="1"/>
  <c r="AS168" i="1"/>
  <c r="AS189" i="1"/>
  <c r="AT168" i="1"/>
  <c r="AT355" i="1"/>
  <c r="AS355" i="1"/>
  <c r="BA307" i="1"/>
  <c r="BB369" i="1" s="1"/>
  <c r="AS307" i="1"/>
  <c r="AT369" i="1" s="1"/>
  <c r="BL266" i="1"/>
  <c r="BL265" i="1"/>
  <c r="BL264" i="1"/>
  <c r="J368" i="1"/>
  <c r="BR323" i="1"/>
  <c r="BR352" i="1" s="1"/>
  <c r="BR351" i="1" s="1"/>
  <c r="BN315" i="1"/>
  <c r="BN349" i="1" s="1"/>
  <c r="BN348" i="1" s="1"/>
  <c r="AR295" i="1"/>
  <c r="BN287" i="1"/>
  <c r="BN254" i="1" s="1"/>
  <c r="BN256" i="1" s="1"/>
  <c r="BV254" i="1"/>
  <c r="BV415" i="1"/>
  <c r="BJ416" i="1"/>
  <c r="BJ373" i="1"/>
  <c r="BI416" i="1"/>
  <c r="BI373" i="1"/>
  <c r="BW416" i="1"/>
  <c r="BW373" i="1"/>
  <c r="BV335" i="1"/>
  <c r="BV296" i="1"/>
  <c r="BS264" i="1"/>
  <c r="BS266" i="1"/>
  <c r="BS265" i="1"/>
  <c r="C324" i="1"/>
  <c r="C332" i="1" s="1"/>
  <c r="D363" i="1"/>
  <c r="C349" i="1"/>
  <c r="C363" i="1"/>
  <c r="C365" i="1" s="1"/>
  <c r="C366" i="1" s="1"/>
  <c r="C380" i="1" s="1"/>
  <c r="BM265" i="1"/>
  <c r="BM264" i="1"/>
  <c r="BM266" i="1"/>
  <c r="AO307" i="1"/>
  <c r="AN369" i="1"/>
  <c r="K364" i="1"/>
  <c r="K365" i="1" s="1"/>
  <c r="K366" i="1" s="1"/>
  <c r="K377" i="1" s="1"/>
  <c r="K378" i="1" s="1"/>
  <c r="J352" i="1"/>
  <c r="J324" i="1"/>
  <c r="J332" i="1" s="1"/>
  <c r="J333" i="1" s="1"/>
  <c r="J364" i="1"/>
  <c r="J365" i="1" s="1"/>
  <c r="J366" i="1" s="1"/>
  <c r="BD287" i="1"/>
  <c r="AX315" i="1"/>
  <c r="AX349" i="1" s="1"/>
  <c r="AX348" i="1" s="1"/>
  <c r="AN315" i="1"/>
  <c r="AN349" i="1" s="1"/>
  <c r="AN348" i="1" s="1"/>
  <c r="BD323" i="1"/>
  <c r="BD352" i="1" s="1"/>
  <c r="BD351" i="1" s="1"/>
  <c r="R305" i="1"/>
  <c r="R195" i="1"/>
  <c r="AI348" i="1"/>
  <c r="AI353" i="1"/>
  <c r="BN328" i="1"/>
  <c r="AZ328" i="1"/>
  <c r="BA376" i="1" s="1"/>
  <c r="AR323" i="1"/>
  <c r="AR352" i="1" s="1"/>
  <c r="AR351" i="1" s="1"/>
  <c r="BT266" i="1"/>
  <c r="BT264" i="1"/>
  <c r="BT265" i="1"/>
  <c r="AX323" i="1"/>
  <c r="AX352" i="1" s="1"/>
  <c r="AX351" i="1" s="1"/>
  <c r="BB295" i="1"/>
  <c r="AP323" i="1"/>
  <c r="AP352" i="1" s="1"/>
  <c r="AP351" i="1" s="1"/>
  <c r="AV315" i="1"/>
  <c r="AV349" i="1" s="1"/>
  <c r="BR355" i="1"/>
  <c r="BU167" i="1"/>
  <c r="BR392" i="1"/>
  <c r="V220" i="1"/>
  <c r="BQ392" i="1"/>
  <c r="BT392" i="1"/>
  <c r="BS392" i="1"/>
  <c r="BV355" i="1"/>
  <c r="BQ355" i="1"/>
  <c r="BR168" i="1"/>
  <c r="BQ172" i="1"/>
  <c r="BQ189" i="1"/>
  <c r="BU355" i="1"/>
  <c r="BQ168" i="1"/>
  <c r="BQ167" i="1"/>
  <c r="D324" i="1"/>
  <c r="D332" i="1" s="1"/>
  <c r="D333" i="1" s="1"/>
  <c r="E364" i="1"/>
  <c r="E365" i="1" s="1"/>
  <c r="E366" i="1" s="1"/>
  <c r="D364" i="1"/>
  <c r="D352" i="1"/>
  <c r="BK168" i="1"/>
  <c r="BK355" i="1"/>
  <c r="BL355" i="1"/>
  <c r="BL168" i="1"/>
  <c r="U220" i="1"/>
  <c r="BL392" i="1"/>
  <c r="BK172" i="1"/>
  <c r="BP355" i="1"/>
  <c r="BK167" i="1"/>
  <c r="BM392" i="1"/>
  <c r="BK189" i="1"/>
  <c r="BO355" i="1"/>
  <c r="BN392" i="1"/>
  <c r="BL411" i="1"/>
  <c r="BK392" i="1"/>
  <c r="BO167" i="1"/>
  <c r="P411" i="1"/>
  <c r="B247" i="1"/>
  <c r="CR71" i="1"/>
  <c r="CR76" i="1"/>
  <c r="B248" i="1"/>
  <c r="B411" i="1"/>
  <c r="B333" i="1"/>
  <c r="C249" i="1"/>
  <c r="C247" i="1"/>
  <c r="C232" i="1"/>
  <c r="C248" i="1"/>
  <c r="B251" i="1"/>
  <c r="D232" i="1"/>
  <c r="I356" i="1"/>
  <c r="I357" i="1" s="1"/>
  <c r="L380" i="1"/>
  <c r="L377" i="1"/>
  <c r="L378" i="1" s="1"/>
  <c r="D247" i="1"/>
  <c r="D248" i="1"/>
  <c r="D249" i="1"/>
  <c r="C251" i="1"/>
  <c r="E232" i="1"/>
  <c r="F356" i="1"/>
  <c r="F357" i="1" s="1"/>
  <c r="H356" i="1"/>
  <c r="H357" i="1" s="1"/>
  <c r="G356" i="1"/>
  <c r="G357" i="1" s="1"/>
  <c r="S356" i="1"/>
  <c r="S357" i="1" s="1"/>
  <c r="AP191" i="1"/>
  <c r="AP192" i="1"/>
  <c r="AP399" i="1"/>
  <c r="AP400" i="1" s="1"/>
  <c r="AP196" i="1"/>
  <c r="AP200" i="1" s="1"/>
  <c r="AJ193" i="1"/>
  <c r="AL279" i="1"/>
  <c r="AI191" i="1"/>
  <c r="AM192" i="1"/>
  <c r="AI196" i="1"/>
  <c r="AL393" i="1"/>
  <c r="AI399" i="1"/>
  <c r="AI400" i="1" s="1"/>
  <c r="AO192" i="1"/>
  <c r="BT196" i="1"/>
  <c r="BT191" i="1"/>
  <c r="BX192" i="1"/>
  <c r="BT399" i="1"/>
  <c r="BT400" i="1" s="1"/>
  <c r="BJ401" i="1"/>
  <c r="BJ204" i="1"/>
  <c r="BJ412" i="1" s="1"/>
  <c r="BJ210" i="1"/>
  <c r="CR301" i="1"/>
  <c r="AE309" i="1"/>
  <c r="AC291" i="1"/>
  <c r="BG190" i="1" l="1"/>
  <c r="BG191" i="1" s="1"/>
  <c r="AV174" i="1"/>
  <c r="AU175" i="1"/>
  <c r="CZ140" i="1"/>
  <c r="CZ153" i="1" s="1"/>
  <c r="DA138" i="1"/>
  <c r="DA139" i="1"/>
  <c r="DA137" i="1"/>
  <c r="BX370" i="1"/>
  <c r="BX368" i="1" s="1"/>
  <c r="BW370" i="1"/>
  <c r="BW368" i="1" s="1"/>
  <c r="AZ196" i="1"/>
  <c r="AZ200" i="1" s="1"/>
  <c r="AZ203" i="1" s="1"/>
  <c r="BG175" i="1"/>
  <c r="BD192" i="1"/>
  <c r="AT173" i="1"/>
  <c r="AT190" i="1"/>
  <c r="AT192" i="1" s="1"/>
  <c r="AX174" i="1"/>
  <c r="BV333" i="1"/>
  <c r="R356" i="1"/>
  <c r="R357" i="1" s="1"/>
  <c r="AQ417" i="1"/>
  <c r="AQ193" i="1"/>
  <c r="AY399" i="1"/>
  <c r="AY400" i="1" s="1"/>
  <c r="BF417" i="1"/>
  <c r="BI399" i="1"/>
  <c r="BI400" i="1" s="1"/>
  <c r="BM193" i="1"/>
  <c r="BO196" i="1"/>
  <c r="BO200" i="1" s="1"/>
  <c r="BO399" i="1"/>
  <c r="BO400" i="1" s="1"/>
  <c r="BV202" i="1"/>
  <c r="BH193" i="1"/>
  <c r="BH191" i="1"/>
  <c r="BH399" i="1"/>
  <c r="BH400" i="1" s="1"/>
  <c r="AN196" i="1"/>
  <c r="AN191" i="1"/>
  <c r="AN399" i="1"/>
  <c r="AN400" i="1" s="1"/>
  <c r="AN393" i="1"/>
  <c r="AN192" i="1"/>
  <c r="BR192" i="1"/>
  <c r="BN399" i="1"/>
  <c r="BN400" i="1" s="1"/>
  <c r="BF192" i="1"/>
  <c r="AQ191" i="1"/>
  <c r="AQ399" i="1"/>
  <c r="AQ400" i="1" s="1"/>
  <c r="AQ196" i="1"/>
  <c r="AQ192" i="1"/>
  <c r="AR193" i="1"/>
  <c r="AO417" i="1"/>
  <c r="BM191" i="1"/>
  <c r="BV203" i="1"/>
  <c r="BL192" i="1"/>
  <c r="BH196" i="1"/>
  <c r="BH200" i="1" s="1"/>
  <c r="AN417" i="1"/>
  <c r="AN193" i="1"/>
  <c r="AR192" i="1"/>
  <c r="AN279" i="1"/>
  <c r="AR417" i="1"/>
  <c r="AZ399" i="1"/>
  <c r="AZ400" i="1" s="1"/>
  <c r="AQ279" i="1"/>
  <c r="I368" i="1"/>
  <c r="I380" i="1" s="1"/>
  <c r="AX416" i="1"/>
  <c r="V377" i="1"/>
  <c r="V378" i="1" s="1"/>
  <c r="Q377" i="1"/>
  <c r="Q378" i="1" s="1"/>
  <c r="BT296" i="1"/>
  <c r="BE417" i="1"/>
  <c r="F380" i="1"/>
  <c r="F377" i="1"/>
  <c r="F378" i="1" s="1"/>
  <c r="AZ202" i="1"/>
  <c r="DB121" i="1"/>
  <c r="DB137" i="1" s="1"/>
  <c r="DB273" i="1"/>
  <c r="AE121" i="1"/>
  <c r="AE273" i="1"/>
  <c r="O377" i="1"/>
  <c r="O378" i="1" s="1"/>
  <c r="BD191" i="1"/>
  <c r="AU192" i="1"/>
  <c r="BF193" i="1"/>
  <c r="BD196" i="1"/>
  <c r="BD200" i="1" s="1"/>
  <c r="BB193" i="1"/>
  <c r="BD399" i="1"/>
  <c r="BD400" i="1" s="1"/>
  <c r="AW203" i="1"/>
  <c r="AW204" i="1" s="1"/>
  <c r="AW412" i="1" s="1"/>
  <c r="AU196" i="1"/>
  <c r="AU200" i="1" s="1"/>
  <c r="BE196" i="1"/>
  <c r="BE200" i="1" s="1"/>
  <c r="BE193" i="1"/>
  <c r="BJ417" i="1"/>
  <c r="BP174" i="1"/>
  <c r="BP190" i="1"/>
  <c r="BP279" i="1" s="1"/>
  <c r="AR202" i="1"/>
  <c r="BI193" i="1"/>
  <c r="AU191" i="1"/>
  <c r="BE191" i="1"/>
  <c r="BM192" i="1"/>
  <c r="BJ193" i="1"/>
  <c r="BO191" i="1"/>
  <c r="BB191" i="1"/>
  <c r="BI417" i="1"/>
  <c r="BI418" i="1" s="1"/>
  <c r="BE399" i="1"/>
  <c r="BE400" i="1" s="1"/>
  <c r="BI191" i="1"/>
  <c r="H380" i="1"/>
  <c r="BP175" i="1"/>
  <c r="BB196" i="1"/>
  <c r="BH192" i="1"/>
  <c r="G377" i="1"/>
  <c r="G378" i="1" s="1"/>
  <c r="BT174" i="1"/>
  <c r="AR279" i="1"/>
  <c r="AO196" i="1"/>
  <c r="AO200" i="1" s="1"/>
  <c r="AO202" i="1" s="1"/>
  <c r="AO193" i="1"/>
  <c r="AO393" i="1"/>
  <c r="AP279" i="1"/>
  <c r="BM196" i="1"/>
  <c r="BM200" i="1" s="1"/>
  <c r="BM202" i="1" s="1"/>
  <c r="AO399" i="1"/>
  <c r="AO400" i="1" s="1"/>
  <c r="AP417" i="1"/>
  <c r="AQ393" i="1"/>
  <c r="D411" i="1"/>
  <c r="AO279" i="1"/>
  <c r="AP393" i="1"/>
  <c r="AP193" i="1"/>
  <c r="AR393" i="1"/>
  <c r="BM417" i="1"/>
  <c r="BM418" i="1" s="1"/>
  <c r="BJ195" i="1"/>
  <c r="BI305" i="1"/>
  <c r="AO191" i="1"/>
  <c r="BM399" i="1"/>
  <c r="BM400" i="1" s="1"/>
  <c r="BU173" i="1"/>
  <c r="BU190" i="1"/>
  <c r="BY174" i="1"/>
  <c r="BV175" i="1"/>
  <c r="BU175" i="1"/>
  <c r="BH175" i="1"/>
  <c r="BG173" i="1"/>
  <c r="AV175" i="1"/>
  <c r="AV173" i="1"/>
  <c r="AW175" i="1"/>
  <c r="AZ174" i="1"/>
  <c r="AV190" i="1"/>
  <c r="BS190" i="1"/>
  <c r="BT175" i="1"/>
  <c r="BS173" i="1"/>
  <c r="BS174" i="1"/>
  <c r="BW174" i="1"/>
  <c r="BW173" i="1"/>
  <c r="BW190" i="1"/>
  <c r="X221" i="1"/>
  <c r="CA174" i="1"/>
  <c r="BW175" i="1"/>
  <c r="BX175" i="1"/>
  <c r="BB174" i="1"/>
  <c r="AY175" i="1"/>
  <c r="AX175" i="1"/>
  <c r="AX173" i="1"/>
  <c r="AX190" i="1"/>
  <c r="AY193" i="1" s="1"/>
  <c r="AM257" i="1"/>
  <c r="BN192" i="1"/>
  <c r="BN193" i="1"/>
  <c r="BO393" i="1"/>
  <c r="BJ393" i="1"/>
  <c r="BG196" i="1"/>
  <c r="BG279" i="1"/>
  <c r="BR191" i="1"/>
  <c r="AM256" i="1"/>
  <c r="BN417" i="1"/>
  <c r="BO193" i="1"/>
  <c r="BG193" i="1"/>
  <c r="BH279" i="1"/>
  <c r="BI393" i="1"/>
  <c r="BH393" i="1"/>
  <c r="BR196" i="1"/>
  <c r="BV192" i="1"/>
  <c r="BO279" i="1"/>
  <c r="BO417" i="1"/>
  <c r="BN191" i="1"/>
  <c r="BN196" i="1"/>
  <c r="BN200" i="1" s="1"/>
  <c r="BR399" i="1"/>
  <c r="BR400" i="1" s="1"/>
  <c r="G380" i="1"/>
  <c r="BB417" i="1"/>
  <c r="AN256" i="1"/>
  <c r="BR256" i="1"/>
  <c r="BB393" i="1"/>
  <c r="AY192" i="1"/>
  <c r="BE192" i="1"/>
  <c r="AZ193" i="1"/>
  <c r="AY191" i="1"/>
  <c r="AV257" i="1"/>
  <c r="AP256" i="1"/>
  <c r="BB279" i="1"/>
  <c r="AZ417" i="1"/>
  <c r="AV256" i="1"/>
  <c r="AZ195" i="1"/>
  <c r="AT256" i="1"/>
  <c r="J380" i="1"/>
  <c r="AV296" i="1"/>
  <c r="AV415" i="1"/>
  <c r="AN415" i="1"/>
  <c r="AS301" i="1"/>
  <c r="AS305" i="1" s="1"/>
  <c r="AT370" i="1" s="1"/>
  <c r="AT368" i="1" s="1"/>
  <c r="P377" i="1"/>
  <c r="P378" i="1" s="1"/>
  <c r="E377" i="1"/>
  <c r="E378" i="1" s="1"/>
  <c r="AO301" i="1"/>
  <c r="AP195" i="1" s="1"/>
  <c r="E380" i="1"/>
  <c r="BF202" i="1"/>
  <c r="BB257" i="1"/>
  <c r="AN305" i="1"/>
  <c r="AN370" i="1" s="1"/>
  <c r="AN368" i="1" s="1"/>
  <c r="BR416" i="1"/>
  <c r="AT415" i="1"/>
  <c r="AR335" i="1"/>
  <c r="AS199" i="1" s="1"/>
  <c r="AU301" i="1"/>
  <c r="AU305" i="1" s="1"/>
  <c r="BH416" i="1"/>
  <c r="BV416" i="1"/>
  <c r="AU195" i="1"/>
  <c r="BF296" i="1"/>
  <c r="AR415" i="1"/>
  <c r="AX256" i="1"/>
  <c r="BU301" i="1"/>
  <c r="BU305" i="1" s="1"/>
  <c r="BF305" i="1"/>
  <c r="BF413" i="1" s="1"/>
  <c r="BC301" i="1"/>
  <c r="BD195" i="1" s="1"/>
  <c r="AT258" i="1"/>
  <c r="AN258" i="1"/>
  <c r="BP324" i="1"/>
  <c r="AR296" i="1"/>
  <c r="BF415" i="1"/>
  <c r="BT305" i="1"/>
  <c r="AX257" i="1"/>
  <c r="BS195" i="1"/>
  <c r="BG195" i="1"/>
  <c r="BB305" i="1"/>
  <c r="BB411" i="1" s="1"/>
  <c r="AP373" i="1"/>
  <c r="AX415" i="1"/>
  <c r="BT254" i="1"/>
  <c r="BT257" i="1" s="1"/>
  <c r="AT373" i="1"/>
  <c r="BH333" i="1"/>
  <c r="AS373" i="1"/>
  <c r="BT373" i="1"/>
  <c r="BC373" i="1"/>
  <c r="AU416" i="1"/>
  <c r="AR416" i="1"/>
  <c r="AY195" i="1"/>
  <c r="BT353" i="1"/>
  <c r="BX356" i="1" s="1"/>
  <c r="AU373" i="1"/>
  <c r="BB415" i="1"/>
  <c r="BF353" i="1"/>
  <c r="BJ356" i="1" s="1"/>
  <c r="BN257" i="1"/>
  <c r="BA195" i="1"/>
  <c r="BE369" i="1"/>
  <c r="AT416" i="1"/>
  <c r="BN258" i="1"/>
  <c r="AX305" i="1"/>
  <c r="AX413" i="1" s="1"/>
  <c r="BB335" i="1"/>
  <c r="BB276" i="1" s="1"/>
  <c r="BB278" i="1" s="1"/>
  <c r="BC416" i="1"/>
  <c r="BR257" i="1"/>
  <c r="BS301" i="1"/>
  <c r="BT195" i="1" s="1"/>
  <c r="BA301" i="1"/>
  <c r="BB195" i="1" s="1"/>
  <c r="AN296" i="1"/>
  <c r="AX373" i="1"/>
  <c r="AP296" i="1"/>
  <c r="AW195" i="1"/>
  <c r="AR353" i="1"/>
  <c r="AR254" i="1"/>
  <c r="AR256" i="1" s="1"/>
  <c r="BD415" i="1"/>
  <c r="AP257" i="1"/>
  <c r="AR373" i="1"/>
  <c r="AO373" i="1"/>
  <c r="T365" i="1"/>
  <c r="T366" i="1" s="1"/>
  <c r="T380" i="1" s="1"/>
  <c r="BR411" i="1"/>
  <c r="K380" i="1"/>
  <c r="AS416" i="1"/>
  <c r="AO416" i="1"/>
  <c r="U365" i="1"/>
  <c r="U366" i="1" s="1"/>
  <c r="BR413" i="1"/>
  <c r="AN416" i="1"/>
  <c r="BN335" i="1"/>
  <c r="BO199" i="1" s="1"/>
  <c r="AT413" i="1"/>
  <c r="AQ373" i="1"/>
  <c r="BD353" i="1"/>
  <c r="BN305" i="1"/>
  <c r="BN370" i="1" s="1"/>
  <c r="BN368" i="1" s="1"/>
  <c r="BT415" i="1"/>
  <c r="BT335" i="1"/>
  <c r="BP296" i="1"/>
  <c r="AR324" i="1"/>
  <c r="AV305" i="1"/>
  <c r="BB353" i="1"/>
  <c r="BG305" i="1"/>
  <c r="BH370" i="1" s="1"/>
  <c r="BH368" i="1" s="1"/>
  <c r="BB416" i="1"/>
  <c r="BB296" i="1"/>
  <c r="BR373" i="1"/>
  <c r="BG416" i="1"/>
  <c r="BR415" i="1"/>
  <c r="BQ373" i="1"/>
  <c r="AN335" i="1"/>
  <c r="AO199" i="1" s="1"/>
  <c r="AZ353" i="1"/>
  <c r="BD296" i="1"/>
  <c r="AQ195" i="1"/>
  <c r="BP305" i="1"/>
  <c r="AV373" i="1"/>
  <c r="AW416" i="1"/>
  <c r="BQ416" i="1"/>
  <c r="BP335" i="1"/>
  <c r="BP276" i="1" s="1"/>
  <c r="BP278" i="1" s="1"/>
  <c r="BP257" i="1"/>
  <c r="BQ305" i="1"/>
  <c r="BR370" i="1" s="1"/>
  <c r="BR368" i="1" s="1"/>
  <c r="BS373" i="1"/>
  <c r="AP335" i="1"/>
  <c r="AP276" i="1" s="1"/>
  <c r="AP277" i="1" s="1"/>
  <c r="BP415" i="1"/>
  <c r="BN324" i="1"/>
  <c r="BQ195" i="1"/>
  <c r="AT335" i="1"/>
  <c r="AZ415" i="1"/>
  <c r="AY416" i="1"/>
  <c r="BR296" i="1"/>
  <c r="AQ301" i="1"/>
  <c r="AV416" i="1"/>
  <c r="AW373" i="1"/>
  <c r="AT296" i="1"/>
  <c r="BG373" i="1"/>
  <c r="BB256" i="1"/>
  <c r="BB324" i="1"/>
  <c r="BD324" i="1"/>
  <c r="BN296" i="1"/>
  <c r="BP416" i="1"/>
  <c r="AX296" i="1"/>
  <c r="AV353" i="1"/>
  <c r="AV335" i="1"/>
  <c r="AV276" i="1" s="1"/>
  <c r="AV277" i="1" s="1"/>
  <c r="BP258" i="1"/>
  <c r="BD254" i="1"/>
  <c r="BD257" i="1" s="1"/>
  <c r="BO301" i="1"/>
  <c r="BP195" i="1" s="1"/>
  <c r="BE301" i="1"/>
  <c r="BE305" i="1" s="1"/>
  <c r="AX195" i="1"/>
  <c r="BP373" i="1"/>
  <c r="AQ416" i="1"/>
  <c r="AP416" i="1"/>
  <c r="BD305" i="1"/>
  <c r="BD411" i="1" s="1"/>
  <c r="J377" i="1"/>
  <c r="J378" i="1" s="1"/>
  <c r="AT411" i="1"/>
  <c r="BR335" i="1"/>
  <c r="BS199" i="1" s="1"/>
  <c r="C377" i="1"/>
  <c r="C378" i="1" s="1"/>
  <c r="BS416" i="1"/>
  <c r="AP415" i="1"/>
  <c r="AR305" i="1"/>
  <c r="AR411" i="1" s="1"/>
  <c r="AZ335" i="1"/>
  <c r="AV348" i="1"/>
  <c r="AX324" i="1"/>
  <c r="BQ190" i="1"/>
  <c r="V221" i="1"/>
  <c r="BR175" i="1"/>
  <c r="BQ175" i="1"/>
  <c r="BQ173" i="1"/>
  <c r="BU174" i="1"/>
  <c r="BQ174" i="1"/>
  <c r="R411" i="1"/>
  <c r="R413" i="1"/>
  <c r="R370" i="1"/>
  <c r="R368" i="1" s="1"/>
  <c r="S370" i="1"/>
  <c r="S368" i="1" s="1"/>
  <c r="R332" i="1"/>
  <c r="R333" i="1" s="1"/>
  <c r="O278" i="1"/>
  <c r="O281" i="1" s="1"/>
  <c r="O277" i="1"/>
  <c r="O280" i="1" s="1"/>
  <c r="AZ348" i="1"/>
  <c r="AZ373" i="1"/>
  <c r="AN324" i="1"/>
  <c r="BU416" i="1"/>
  <c r="BV276" i="1"/>
  <c r="BW199" i="1"/>
  <c r="T353" i="1"/>
  <c r="T348" i="1"/>
  <c r="BN373" i="1"/>
  <c r="D351" i="1"/>
  <c r="D353" i="1"/>
  <c r="C348" i="1"/>
  <c r="C353" i="1"/>
  <c r="C356" i="1" s="1"/>
  <c r="C357" i="1" s="1"/>
  <c r="AP369" i="1"/>
  <c r="AO369" i="1"/>
  <c r="V348" i="1"/>
  <c r="V353" i="1"/>
  <c r="V356" i="1" s="1"/>
  <c r="V357" i="1" s="1"/>
  <c r="AX353" i="1"/>
  <c r="BT348" i="1"/>
  <c r="AN353" i="1"/>
  <c r="AZ416" i="1"/>
  <c r="BE416" i="1"/>
  <c r="BT416" i="1"/>
  <c r="BB373" i="1"/>
  <c r="BR324" i="1"/>
  <c r="BR332" i="1" s="1"/>
  <c r="D365" i="1"/>
  <c r="D366" i="1" s="1"/>
  <c r="AS369" i="1"/>
  <c r="P277" i="1"/>
  <c r="P280" i="1" s="1"/>
  <c r="P278" i="1"/>
  <c r="P281" i="1" s="1"/>
  <c r="BF335" i="1"/>
  <c r="BF416" i="1"/>
  <c r="AP353" i="1"/>
  <c r="AP356" i="1" s="1"/>
  <c r="BO416" i="1"/>
  <c r="BD373" i="1"/>
  <c r="BF324" i="1"/>
  <c r="AZ296" i="1"/>
  <c r="BN416" i="1"/>
  <c r="C411" i="1"/>
  <c r="C333" i="1"/>
  <c r="BA191" i="1"/>
  <c r="BA399" i="1"/>
  <c r="BA400" i="1" s="1"/>
  <c r="BA196" i="1"/>
  <c r="BA200" i="1" s="1"/>
  <c r="BA192" i="1"/>
  <c r="BA417" i="1"/>
  <c r="BA193" i="1"/>
  <c r="BO369" i="1"/>
  <c r="BP369" i="1"/>
  <c r="BD335" i="1"/>
  <c r="BE199" i="1" s="1"/>
  <c r="AY373" i="1"/>
  <c r="AT324" i="1"/>
  <c r="AT332" i="1" s="1"/>
  <c r="BV257" i="1"/>
  <c r="BV258" i="1"/>
  <c r="BV256" i="1"/>
  <c r="BA369" i="1"/>
  <c r="AS173" i="1"/>
  <c r="AS190" i="1"/>
  <c r="AT175" i="1"/>
  <c r="AW174" i="1"/>
  <c r="AS175" i="1"/>
  <c r="AS174" i="1"/>
  <c r="BI199" i="1"/>
  <c r="BH276" i="1"/>
  <c r="BH348" i="1"/>
  <c r="BH353" i="1"/>
  <c r="BL356" i="1" s="1"/>
  <c r="M348" i="1"/>
  <c r="M353" i="1"/>
  <c r="U277" i="1"/>
  <c r="U280" i="1" s="1"/>
  <c r="U278" i="1"/>
  <c r="U281" i="1" s="1"/>
  <c r="BT324" i="1"/>
  <c r="BA373" i="1"/>
  <c r="BO373" i="1"/>
  <c r="BO376" i="1"/>
  <c r="BN415" i="1"/>
  <c r="J351" i="1"/>
  <c r="J353" i="1"/>
  <c r="N365" i="1"/>
  <c r="N366" i="1" s="1"/>
  <c r="P333" i="1"/>
  <c r="BF373" i="1"/>
  <c r="AZ324" i="1"/>
  <c r="AZ332" i="1" s="1"/>
  <c r="BG174" i="1"/>
  <c r="BC175" i="1"/>
  <c r="BD175" i="1"/>
  <c r="BC190" i="1"/>
  <c r="BC173" i="1"/>
  <c r="BC174" i="1"/>
  <c r="AT349" i="1"/>
  <c r="AT348" i="1" s="1"/>
  <c r="AZ413" i="1"/>
  <c r="BP353" i="1"/>
  <c r="BP356" i="1" s="1"/>
  <c r="AV324" i="1"/>
  <c r="BU373" i="1"/>
  <c r="BR353" i="1"/>
  <c r="BV356" i="1" s="1"/>
  <c r="BE373" i="1"/>
  <c r="BK175" i="1"/>
  <c r="BK190" i="1"/>
  <c r="BO174" i="1"/>
  <c r="BK174" i="1"/>
  <c r="BL175" i="1"/>
  <c r="BK173" i="1"/>
  <c r="U221" i="1"/>
  <c r="M332" i="1"/>
  <c r="M333" i="1" s="1"/>
  <c r="P353" i="1"/>
  <c r="P348" i="1"/>
  <c r="N370" i="1"/>
  <c r="N368" i="1" s="1"/>
  <c r="M370" i="1"/>
  <c r="M368" i="1" s="1"/>
  <c r="M411" i="1"/>
  <c r="M413" i="1"/>
  <c r="BD416" i="1"/>
  <c r="AZ411" i="1"/>
  <c r="AP324" i="1"/>
  <c r="AP332" i="1" s="1"/>
  <c r="BA416" i="1"/>
  <c r="AP413" i="1"/>
  <c r="AZ254" i="1"/>
  <c r="M365" i="1"/>
  <c r="M366" i="1" s="1"/>
  <c r="AP411" i="1"/>
  <c r="BN353" i="1"/>
  <c r="AX276" i="1"/>
  <c r="AX277" i="1" s="1"/>
  <c r="BF257" i="1"/>
  <c r="BF256" i="1"/>
  <c r="DA140" i="1"/>
  <c r="DA153" i="1" s="1"/>
  <c r="AZ370" i="1"/>
  <c r="AZ368" i="1" s="1"/>
  <c r="AY202" i="1"/>
  <c r="AY203" i="1"/>
  <c r="AP202" i="1"/>
  <c r="AP203" i="1"/>
  <c r="AP205" i="1" s="1"/>
  <c r="BI200" i="1"/>
  <c r="BF401" i="1"/>
  <c r="BF204" i="1"/>
  <c r="BF412" i="1" s="1"/>
  <c r="BF210" i="1"/>
  <c r="BJ205" i="1"/>
  <c r="AL281" i="1"/>
  <c r="AL280" i="1"/>
  <c r="AI200" i="1"/>
  <c r="AL217" i="1"/>
  <c r="AZ401" i="1"/>
  <c r="AZ210" i="1"/>
  <c r="AZ204" i="1"/>
  <c r="AZ412" i="1" s="1"/>
  <c r="AR204" i="1"/>
  <c r="AR412" i="1" s="1"/>
  <c r="AR210" i="1"/>
  <c r="AR401" i="1"/>
  <c r="BB200" i="1"/>
  <c r="AN200" i="1"/>
  <c r="BT200" i="1"/>
  <c r="BJ214" i="1"/>
  <c r="BJ360" i="1"/>
  <c r="BJ362" i="1" s="1"/>
  <c r="BJ228" i="1"/>
  <c r="CR305" i="1"/>
  <c r="CS194" i="1"/>
  <c r="BI279" i="1" l="1"/>
  <c r="BJ279" i="1"/>
  <c r="BH417" i="1"/>
  <c r="BG393" i="1"/>
  <c r="BG399" i="1"/>
  <c r="BG400" i="1" s="1"/>
  <c r="BG417" i="1"/>
  <c r="BS417" i="1"/>
  <c r="AU417" i="1"/>
  <c r="AR418" i="1"/>
  <c r="AN217" i="1"/>
  <c r="AE137" i="1"/>
  <c r="AE138" i="1"/>
  <c r="AE139" i="1"/>
  <c r="AY393" i="1"/>
  <c r="AZ393" i="1"/>
  <c r="AZ279" i="1"/>
  <c r="AY279" i="1"/>
  <c r="AY417" i="1"/>
  <c r="DB138" i="1"/>
  <c r="AP217" i="1"/>
  <c r="BO203" i="1"/>
  <c r="BO202" i="1"/>
  <c r="BR200" i="1"/>
  <c r="AO203" i="1"/>
  <c r="BP193" i="1"/>
  <c r="BJ217" i="1"/>
  <c r="BP393" i="1"/>
  <c r="AR217" i="1"/>
  <c r="AU193" i="1"/>
  <c r="AX192" i="1"/>
  <c r="AW279" i="1"/>
  <c r="AO418" i="1"/>
  <c r="AN418" i="1"/>
  <c r="BJ418" i="1"/>
  <c r="AQ418" i="1"/>
  <c r="AP418" i="1"/>
  <c r="AT196" i="1"/>
  <c r="AT200" i="1" s="1"/>
  <c r="AT191" i="1"/>
  <c r="AT399" i="1"/>
  <c r="AT400" i="1" s="1"/>
  <c r="BE418" i="1"/>
  <c r="BF418" i="1"/>
  <c r="BN418" i="1"/>
  <c r="BE203" i="1"/>
  <c r="BD203" i="1"/>
  <c r="BV204" i="1"/>
  <c r="BV412" i="1" s="1"/>
  <c r="BV401" i="1"/>
  <c r="BH202" i="1"/>
  <c r="BJ280" i="1"/>
  <c r="BE202" i="1"/>
  <c r="AU203" i="1"/>
  <c r="BZ205" i="1"/>
  <c r="BJ281" i="1"/>
  <c r="BD202" i="1"/>
  <c r="AU202" i="1"/>
  <c r="BV210" i="1"/>
  <c r="BV119" i="1" s="1"/>
  <c r="BH203" i="1"/>
  <c r="AQ200" i="1"/>
  <c r="AW401" i="1"/>
  <c r="I377" i="1"/>
  <c r="I378" i="1" s="1"/>
  <c r="DB139" i="1"/>
  <c r="BG418" i="1"/>
  <c r="BT413" i="1"/>
  <c r="BV370" i="1"/>
  <c r="BV368" i="1" s="1"/>
  <c r="AU370" i="1"/>
  <c r="AU368" i="1" s="1"/>
  <c r="AW210" i="1"/>
  <c r="BP281" i="1"/>
  <c r="BP60" i="1"/>
  <c r="BP196" i="1"/>
  <c r="BP200" i="1" s="1"/>
  <c r="BT192" i="1"/>
  <c r="BP417" i="1"/>
  <c r="BP418" i="1" s="1"/>
  <c r="BP399" i="1"/>
  <c r="BP400" i="1" s="1"/>
  <c r="BP192" i="1"/>
  <c r="BP191" i="1"/>
  <c r="AP280" i="1"/>
  <c r="BO418" i="1"/>
  <c r="BB281" i="1"/>
  <c r="BH217" i="1"/>
  <c r="BM203" i="1"/>
  <c r="BH418" i="1"/>
  <c r="BA393" i="1"/>
  <c r="BG200" i="1"/>
  <c r="BG202" i="1" s="1"/>
  <c r="BB418" i="1"/>
  <c r="BA279" i="1"/>
  <c r="AT195" i="1"/>
  <c r="BU279" i="1"/>
  <c r="BJ370" i="1"/>
  <c r="BJ368" i="1" s="1"/>
  <c r="BI370" i="1"/>
  <c r="BI368" i="1" s="1"/>
  <c r="BU60" i="1"/>
  <c r="BU399" i="1"/>
  <c r="BU400" i="1" s="1"/>
  <c r="BU417" i="1"/>
  <c r="BU418" i="1" s="1"/>
  <c r="BV417" i="1"/>
  <c r="BV418" i="1" s="1"/>
  <c r="BY192" i="1"/>
  <c r="BV193" i="1"/>
  <c r="BU196" i="1"/>
  <c r="BU200" i="1" s="1"/>
  <c r="BU191" i="1"/>
  <c r="BU193" i="1"/>
  <c r="BW60" i="1"/>
  <c r="BX393" i="1"/>
  <c r="BW393" i="1"/>
  <c r="BW191" i="1"/>
  <c r="BW196" i="1"/>
  <c r="BY393" i="1"/>
  <c r="BX279" i="1"/>
  <c r="BW399" i="1"/>
  <c r="BW400" i="1" s="1"/>
  <c r="BZ279" i="1"/>
  <c r="BY279" i="1"/>
  <c r="BW279" i="1"/>
  <c r="BW193" i="1"/>
  <c r="BX193" i="1"/>
  <c r="BZ393" i="1"/>
  <c r="CA192" i="1"/>
  <c r="X222" i="1"/>
  <c r="BW417" i="1"/>
  <c r="BW418" i="1" s="1"/>
  <c r="BX417" i="1"/>
  <c r="BX418" i="1" s="1"/>
  <c r="BS60" i="1"/>
  <c r="BS192" i="1"/>
  <c r="BS193" i="1"/>
  <c r="BT193" i="1"/>
  <c r="BT417" i="1"/>
  <c r="BT418" i="1" s="1"/>
  <c r="BS196" i="1"/>
  <c r="BW192" i="1"/>
  <c r="BS191" i="1"/>
  <c r="BV279" i="1"/>
  <c r="BS399" i="1"/>
  <c r="BS400" i="1" s="1"/>
  <c r="BV393" i="1"/>
  <c r="BB192" i="1"/>
  <c r="AX196" i="1"/>
  <c r="AX200" i="1" s="1"/>
  <c r="AX203" i="1" s="1"/>
  <c r="AX417" i="1"/>
  <c r="AX418" i="1" s="1"/>
  <c r="AX193" i="1"/>
  <c r="AX399" i="1"/>
  <c r="AX400" i="1" s="1"/>
  <c r="AX191" i="1"/>
  <c r="AX393" i="1"/>
  <c r="AV399" i="1"/>
  <c r="AV400" i="1" s="1"/>
  <c r="AW393" i="1"/>
  <c r="AV193" i="1"/>
  <c r="AX279" i="1"/>
  <c r="AX280" i="1" s="1"/>
  <c r="AV196" i="1"/>
  <c r="AV200" i="1" s="1"/>
  <c r="AW417" i="1"/>
  <c r="AW418" i="1" s="1"/>
  <c r="AV417" i="1"/>
  <c r="AV418" i="1" s="1"/>
  <c r="AZ192" i="1"/>
  <c r="AW193" i="1"/>
  <c r="AV192" i="1"/>
  <c r="AV191" i="1"/>
  <c r="BO305" i="1"/>
  <c r="BP370" i="1" s="1"/>
  <c r="BP368" i="1" s="1"/>
  <c r="BB356" i="1"/>
  <c r="BS418" i="1"/>
  <c r="AU418" i="1"/>
  <c r="AZ418" i="1"/>
  <c r="BT256" i="1"/>
  <c r="BV195" i="1"/>
  <c r="BB277" i="1"/>
  <c r="BB280" i="1" s="1"/>
  <c r="BT258" i="1"/>
  <c r="BC199" i="1"/>
  <c r="AX411" i="1"/>
  <c r="BT332" i="1"/>
  <c r="BT333" i="1" s="1"/>
  <c r="BU370" i="1"/>
  <c r="BU368" i="1" s="1"/>
  <c r="AQ199" i="1"/>
  <c r="BN411" i="1"/>
  <c r="BF411" i="1"/>
  <c r="AO305" i="1"/>
  <c r="AP370" i="1" s="1"/>
  <c r="AP368" i="1" s="1"/>
  <c r="BB413" i="1"/>
  <c r="BF356" i="1"/>
  <c r="AP278" i="1"/>
  <c r="AP281" i="1" s="1"/>
  <c r="BN413" i="1"/>
  <c r="AN413" i="1"/>
  <c r="BT411" i="1"/>
  <c r="AV370" i="1"/>
  <c r="AV368" i="1" s="1"/>
  <c r="T377" i="1"/>
  <c r="T378" i="1" s="1"/>
  <c r="AN411" i="1"/>
  <c r="BF332" i="1"/>
  <c r="BF333" i="1" s="1"/>
  <c r="AN332" i="1"/>
  <c r="AN333" i="1" s="1"/>
  <c r="BF370" i="1"/>
  <c r="BF368" i="1" s="1"/>
  <c r="AV195" i="1"/>
  <c r="AX370" i="1"/>
  <c r="AX368" i="1" s="1"/>
  <c r="AV413" i="1"/>
  <c r="AR258" i="1"/>
  <c r="AR257" i="1"/>
  <c r="BS305" i="1"/>
  <c r="BT370" i="1" s="1"/>
  <c r="BT368" i="1" s="1"/>
  <c r="AX332" i="1"/>
  <c r="AX333" i="1" s="1"/>
  <c r="AY370" i="1"/>
  <c r="AY368" i="1" s="1"/>
  <c r="BC305" i="1"/>
  <c r="BC370" i="1" s="1"/>
  <c r="BC368" i="1" s="1"/>
  <c r="BF195" i="1"/>
  <c r="AR332" i="1"/>
  <c r="AR333" i="1" s="1"/>
  <c r="BD332" i="1"/>
  <c r="BD333" i="1" s="1"/>
  <c r="BP332" i="1"/>
  <c r="BP333" i="1" s="1"/>
  <c r="BN276" i="1"/>
  <c r="BN278" i="1" s="1"/>
  <c r="AT333" i="1"/>
  <c r="BB332" i="1"/>
  <c r="BB333" i="1" s="1"/>
  <c r="BP277" i="1"/>
  <c r="BP280" i="1" s="1"/>
  <c r="BA305" i="1"/>
  <c r="BB370" i="1" s="1"/>
  <c r="BB368" i="1" s="1"/>
  <c r="AZ333" i="1"/>
  <c r="BP411" i="1"/>
  <c r="BP413" i="1"/>
  <c r="AN276" i="1"/>
  <c r="BD256" i="1"/>
  <c r="AV332" i="1"/>
  <c r="AV333" i="1" s="1"/>
  <c r="BR333" i="1"/>
  <c r="BD356" i="1"/>
  <c r="BQ370" i="1"/>
  <c r="BQ368" i="1" s="1"/>
  <c r="BD258" i="1"/>
  <c r="AR356" i="1"/>
  <c r="AW370" i="1"/>
  <c r="AW368" i="1" s="1"/>
  <c r="AP333" i="1"/>
  <c r="BB217" i="1"/>
  <c r="BN332" i="1"/>
  <c r="BN333" i="1" s="1"/>
  <c r="U380" i="1"/>
  <c r="U377" i="1"/>
  <c r="U378" i="1" s="1"/>
  <c r="BU199" i="1"/>
  <c r="BT276" i="1"/>
  <c r="BH356" i="1"/>
  <c r="AZ356" i="1"/>
  <c r="AW199" i="1"/>
  <c r="BE370" i="1"/>
  <c r="BE368" i="1" s="1"/>
  <c r="BD413" i="1"/>
  <c r="AV411" i="1"/>
  <c r="AT276" i="1"/>
  <c r="AU199" i="1"/>
  <c r="AV356" i="1"/>
  <c r="AR413" i="1"/>
  <c r="AZ276" i="1"/>
  <c r="BA199" i="1"/>
  <c r="AQ305" i="1"/>
  <c r="AR195" i="1"/>
  <c r="AT353" i="1"/>
  <c r="AX356" i="1" s="1"/>
  <c r="BR276" i="1"/>
  <c r="BR277" i="1" s="1"/>
  <c r="BG370" i="1"/>
  <c r="BG368" i="1" s="1"/>
  <c r="AV278" i="1"/>
  <c r="BQ199" i="1"/>
  <c r="AS370" i="1"/>
  <c r="AS368" i="1" s="1"/>
  <c r="M380" i="1"/>
  <c r="N377" i="1"/>
  <c r="N378" i="1" s="1"/>
  <c r="M377" i="1"/>
  <c r="M378" i="1" s="1"/>
  <c r="BV277" i="1"/>
  <c r="BV278" i="1"/>
  <c r="N380" i="1"/>
  <c r="N356" i="1"/>
  <c r="N357" i="1" s="1"/>
  <c r="M356" i="1"/>
  <c r="M357" i="1" s="1"/>
  <c r="BA418" i="1"/>
  <c r="J356" i="1"/>
  <c r="J357" i="1" s="1"/>
  <c r="K356" i="1"/>
  <c r="K357" i="1" s="1"/>
  <c r="BA202" i="1"/>
  <c r="BA203" i="1"/>
  <c r="BE205" i="1" s="1"/>
  <c r="BK60" i="1"/>
  <c r="BK417" i="1"/>
  <c r="BK418" i="1" s="1"/>
  <c r="U222" i="1"/>
  <c r="BN393" i="1"/>
  <c r="BL279" i="1"/>
  <c r="BL417" i="1"/>
  <c r="BL418" i="1" s="1"/>
  <c r="BK191" i="1"/>
  <c r="BL393" i="1"/>
  <c r="BO192" i="1"/>
  <c r="BM279" i="1"/>
  <c r="BK393" i="1"/>
  <c r="BK193" i="1"/>
  <c r="BK196" i="1"/>
  <c r="BN279" i="1"/>
  <c r="BK192" i="1"/>
  <c r="BM393" i="1"/>
  <c r="BL193" i="1"/>
  <c r="BK399" i="1"/>
  <c r="BK400" i="1" s="1"/>
  <c r="BK279" i="1"/>
  <c r="AS193" i="1"/>
  <c r="AS399" i="1"/>
  <c r="AS400" i="1" s="1"/>
  <c r="AS196" i="1"/>
  <c r="AT279" i="1"/>
  <c r="AW192" i="1"/>
  <c r="AU393" i="1"/>
  <c r="AT417" i="1"/>
  <c r="AT418" i="1" s="1"/>
  <c r="AT193" i="1"/>
  <c r="AU279" i="1"/>
  <c r="AT393" i="1"/>
  <c r="AS417" i="1"/>
  <c r="AS418" i="1" s="1"/>
  <c r="AS393" i="1"/>
  <c r="AS192" i="1"/>
  <c r="AS191" i="1"/>
  <c r="AV279" i="1"/>
  <c r="AV280" i="1" s="1"/>
  <c r="AV393" i="1"/>
  <c r="AS279" i="1"/>
  <c r="BR356" i="1"/>
  <c r="BG199" i="1"/>
  <c r="BF276" i="1"/>
  <c r="D356" i="1"/>
  <c r="D357" i="1" s="1"/>
  <c r="E356" i="1"/>
  <c r="E357" i="1" s="1"/>
  <c r="BQ60" i="1"/>
  <c r="BQ399" i="1"/>
  <c r="BQ400" i="1" s="1"/>
  <c r="BQ196" i="1"/>
  <c r="BQ191" i="1"/>
  <c r="BQ279" i="1"/>
  <c r="BS279" i="1"/>
  <c r="BQ192" i="1"/>
  <c r="BR417" i="1"/>
  <c r="BR418" i="1" s="1"/>
  <c r="BR393" i="1"/>
  <c r="BQ417" i="1"/>
  <c r="BQ418" i="1" s="1"/>
  <c r="BS393" i="1"/>
  <c r="BR193" i="1"/>
  <c r="BU192" i="1"/>
  <c r="BQ193" i="1"/>
  <c r="V222" i="1"/>
  <c r="BT393" i="1"/>
  <c r="BR279" i="1"/>
  <c r="BQ393" i="1"/>
  <c r="BT279" i="1"/>
  <c r="T356" i="1"/>
  <c r="T357" i="1" s="1"/>
  <c r="U356" i="1"/>
  <c r="U357" i="1" s="1"/>
  <c r="BT356" i="1"/>
  <c r="BH277" i="1"/>
  <c r="BH280" i="1" s="1"/>
  <c r="BH278" i="1"/>
  <c r="BH281" i="1" s="1"/>
  <c r="D377" i="1"/>
  <c r="D378" i="1" s="1"/>
  <c r="D380" i="1"/>
  <c r="BD276" i="1"/>
  <c r="BD277" i="1" s="1"/>
  <c r="S380" i="1"/>
  <c r="S377" i="1"/>
  <c r="S378" i="1" s="1"/>
  <c r="AZ257" i="1"/>
  <c r="AZ258" i="1"/>
  <c r="AZ256" i="1"/>
  <c r="Q356" i="1"/>
  <c r="Q357" i="1" s="1"/>
  <c r="P356" i="1"/>
  <c r="P357" i="1" s="1"/>
  <c r="BG192" i="1"/>
  <c r="BC393" i="1"/>
  <c r="BC192" i="1"/>
  <c r="BE279" i="1"/>
  <c r="BF279" i="1"/>
  <c r="BC196" i="1"/>
  <c r="BD193" i="1"/>
  <c r="BD279" i="1"/>
  <c r="BC191" i="1"/>
  <c r="BC417" i="1"/>
  <c r="BC418" i="1" s="1"/>
  <c r="BC399" i="1"/>
  <c r="BC400" i="1" s="1"/>
  <c r="BF393" i="1"/>
  <c r="BE393" i="1"/>
  <c r="BD417" i="1"/>
  <c r="BD418" i="1" s="1"/>
  <c r="BC279" i="1"/>
  <c r="BC193" i="1"/>
  <c r="BD393" i="1"/>
  <c r="R377" i="1"/>
  <c r="R378" i="1" s="1"/>
  <c r="R380" i="1"/>
  <c r="BN356" i="1"/>
  <c r="AX278" i="1"/>
  <c r="CS75" i="1"/>
  <c r="AY401" i="1"/>
  <c r="AY204" i="1"/>
  <c r="AY412" i="1" s="1"/>
  <c r="AP401" i="1"/>
  <c r="AP210" i="1"/>
  <c r="AP204" i="1"/>
  <c r="AP412" i="1" s="1"/>
  <c r="AZ206" i="1"/>
  <c r="AY210" i="1"/>
  <c r="BI203" i="1"/>
  <c r="BI202" i="1"/>
  <c r="BF214" i="1"/>
  <c r="BF360" i="1"/>
  <c r="BF362" i="1" s="1"/>
  <c r="BF228" i="1"/>
  <c r="AI203" i="1"/>
  <c r="AI202" i="1"/>
  <c r="AZ228" i="1"/>
  <c r="AZ214" i="1"/>
  <c r="AZ360" i="1"/>
  <c r="AZ362" i="1" s="1"/>
  <c r="BN203" i="1"/>
  <c r="BN202" i="1"/>
  <c r="AR214" i="1"/>
  <c r="AR360" i="1"/>
  <c r="AR362" i="1" s="1"/>
  <c r="AR228" i="1"/>
  <c r="BT203" i="1"/>
  <c r="BT202" i="1"/>
  <c r="AN203" i="1"/>
  <c r="AN202" i="1"/>
  <c r="BB203" i="1"/>
  <c r="BB202" i="1"/>
  <c r="CS361" i="1"/>
  <c r="CS299" i="1"/>
  <c r="CR370" i="1"/>
  <c r="CR368" i="1" s="1"/>
  <c r="AC292" i="1"/>
  <c r="AC295" i="1" s="1"/>
  <c r="AC416" i="1" s="1"/>
  <c r="BV280" i="1" l="1"/>
  <c r="BV281" i="1"/>
  <c r="DB140" i="1"/>
  <c r="DB153" i="1" s="1"/>
  <c r="AE140" i="1"/>
  <c r="AE153" i="1" s="1"/>
  <c r="AY418" i="1"/>
  <c r="AT202" i="1"/>
  <c r="AT203" i="1"/>
  <c r="AT205" i="1" s="1"/>
  <c r="AX281" i="1"/>
  <c r="BO401" i="1"/>
  <c r="BO204" i="1"/>
  <c r="BO412" i="1" s="1"/>
  <c r="BO210" i="1"/>
  <c r="AP206" i="1"/>
  <c r="AO210" i="1"/>
  <c r="BR203" i="1"/>
  <c r="BR202" i="1"/>
  <c r="AO205" i="1"/>
  <c r="AO401" i="1"/>
  <c r="AO204" i="1"/>
  <c r="AO412" i="1" s="1"/>
  <c r="AQ203" i="1"/>
  <c r="AQ202" i="1"/>
  <c r="AV202" i="1"/>
  <c r="AV203" i="1"/>
  <c r="BH210" i="1"/>
  <c r="BL205" i="1"/>
  <c r="BH401" i="1"/>
  <c r="BH204" i="1"/>
  <c r="BH412" i="1" s="1"/>
  <c r="BV228" i="1"/>
  <c r="BV214" i="1"/>
  <c r="AW360" i="1"/>
  <c r="AW362" i="1" s="1"/>
  <c r="AW228" i="1"/>
  <c r="AW286" i="1"/>
  <c r="AW287" i="1" s="1"/>
  <c r="AW214" i="1"/>
  <c r="BV360" i="1"/>
  <c r="BV362" i="1" s="1"/>
  <c r="BI206" i="1"/>
  <c r="BM210" i="1"/>
  <c r="BM206" i="1"/>
  <c r="BM401" i="1"/>
  <c r="BM204" i="1"/>
  <c r="BM412" i="1" s="1"/>
  <c r="BE204" i="1"/>
  <c r="BE412" i="1" s="1"/>
  <c r="BE210" i="1"/>
  <c r="BE401" i="1"/>
  <c r="BF206" i="1"/>
  <c r="BD210" i="1"/>
  <c r="BD401" i="1"/>
  <c r="BD204" i="1"/>
  <c r="BD412" i="1" s="1"/>
  <c r="BD205" i="1"/>
  <c r="BE206" i="1"/>
  <c r="AU204" i="1"/>
  <c r="AU412" i="1" s="1"/>
  <c r="AU401" i="1"/>
  <c r="AY205" i="1"/>
  <c r="AU210" i="1"/>
  <c r="BH205" i="1"/>
  <c r="BP203" i="1"/>
  <c r="BP202" i="1"/>
  <c r="BP217" i="1"/>
  <c r="BO370" i="1"/>
  <c r="BO368" i="1" s="1"/>
  <c r="AX202" i="1"/>
  <c r="BG203" i="1"/>
  <c r="BU203" i="1"/>
  <c r="BU202" i="1"/>
  <c r="BZ280" i="1"/>
  <c r="BZ281" i="1"/>
  <c r="BZ217" i="1"/>
  <c r="BY217" i="1"/>
  <c r="BW200" i="1"/>
  <c r="BX217" i="1"/>
  <c r="BS200" i="1"/>
  <c r="BV217" i="1"/>
  <c r="AZ217" i="1"/>
  <c r="AX217" i="1"/>
  <c r="BX280" i="1"/>
  <c r="BX281" i="1"/>
  <c r="BD278" i="1"/>
  <c r="BD281" i="1" s="1"/>
  <c r="AO370" i="1"/>
  <c r="AO368" i="1" s="1"/>
  <c r="BD370" i="1"/>
  <c r="BD368" i="1" s="1"/>
  <c r="BN277" i="1"/>
  <c r="BN280" i="1" s="1"/>
  <c r="BN281" i="1"/>
  <c r="BS370" i="1"/>
  <c r="BS368" i="1" s="1"/>
  <c r="BA370" i="1"/>
  <c r="BA368" i="1" s="1"/>
  <c r="BR280" i="1"/>
  <c r="AV281" i="1"/>
  <c r="AN278" i="1"/>
  <c r="AN281" i="1" s="1"/>
  <c r="AN277" i="1"/>
  <c r="AN280" i="1" s="1"/>
  <c r="BT277" i="1"/>
  <c r="BT280" i="1" s="1"/>
  <c r="BT278" i="1"/>
  <c r="BT281" i="1" s="1"/>
  <c r="AT356" i="1"/>
  <c r="BR278" i="1"/>
  <c r="BR281" i="1" s="1"/>
  <c r="AR370" i="1"/>
  <c r="AR368" i="1" s="1"/>
  <c r="AQ370" i="1"/>
  <c r="AQ368" i="1" s="1"/>
  <c r="AZ278" i="1"/>
  <c r="AZ281" i="1" s="1"/>
  <c r="AZ277" i="1"/>
  <c r="AZ280" i="1" s="1"/>
  <c r="AT278" i="1"/>
  <c r="AT281" i="1" s="1"/>
  <c r="AT277" i="1"/>
  <c r="AT280" i="1" s="1"/>
  <c r="BQ200" i="1"/>
  <c r="BR217" i="1"/>
  <c r="BT217" i="1"/>
  <c r="BC200" i="1"/>
  <c r="BF217" i="1"/>
  <c r="BD217" i="1"/>
  <c r="BF278" i="1"/>
  <c r="BF281" i="1" s="1"/>
  <c r="BF277" i="1"/>
  <c r="BF280" i="1" s="1"/>
  <c r="BL281" i="1"/>
  <c r="BL280" i="1"/>
  <c r="BD280" i="1"/>
  <c r="BK200" i="1"/>
  <c r="BN217" i="1"/>
  <c r="BL217" i="1"/>
  <c r="BA204" i="1"/>
  <c r="BA412" i="1" s="1"/>
  <c r="BA205" i="1"/>
  <c r="BA401" i="1"/>
  <c r="BA210" i="1"/>
  <c r="BA206" i="1"/>
  <c r="AS200" i="1"/>
  <c r="AT217" i="1"/>
  <c r="AV217" i="1"/>
  <c r="CS71" i="1"/>
  <c r="CS76" i="1"/>
  <c r="AP360" i="1"/>
  <c r="AP362" i="1" s="1"/>
  <c r="AP228" i="1"/>
  <c r="AP214" i="1"/>
  <c r="AY360" i="1"/>
  <c r="AY362" i="1" s="1"/>
  <c r="AY228" i="1"/>
  <c r="AY286" i="1"/>
  <c r="AY287" i="1" s="1"/>
  <c r="AY214" i="1"/>
  <c r="BI205" i="1"/>
  <c r="BM205" i="1"/>
  <c r="BI210" i="1"/>
  <c r="BI401" i="1"/>
  <c r="BJ206" i="1"/>
  <c r="BI204" i="1"/>
  <c r="BI412" i="1" s="1"/>
  <c r="AI204" i="1"/>
  <c r="AI401" i="1"/>
  <c r="AJ206" i="1"/>
  <c r="AM205" i="1"/>
  <c r="AI210" i="1"/>
  <c r="AL394" i="1"/>
  <c r="AN204" i="1"/>
  <c r="AN412" i="1" s="1"/>
  <c r="AO206" i="1"/>
  <c r="AN394" i="1"/>
  <c r="AN205" i="1"/>
  <c r="AP394" i="1"/>
  <c r="AR205" i="1"/>
  <c r="AO394" i="1"/>
  <c r="AN210" i="1"/>
  <c r="AN206" i="1"/>
  <c r="AN401" i="1"/>
  <c r="BX205" i="1"/>
  <c r="BT204" i="1"/>
  <c r="BT412" i="1" s="1"/>
  <c r="BT401" i="1"/>
  <c r="BT210" i="1"/>
  <c r="BT119" i="1" s="1"/>
  <c r="BN401" i="1"/>
  <c r="BN210" i="1"/>
  <c r="BN205" i="1"/>
  <c r="BN204" i="1"/>
  <c r="BN412" i="1" s="1"/>
  <c r="BO206" i="1"/>
  <c r="BN206" i="1"/>
  <c r="BO394" i="1"/>
  <c r="BB204" i="1"/>
  <c r="BB412" i="1" s="1"/>
  <c r="BF205" i="1"/>
  <c r="BB401" i="1"/>
  <c r="BB210" i="1"/>
  <c r="BB394" i="1"/>
  <c r="BB206" i="1"/>
  <c r="BB205" i="1"/>
  <c r="AX210" i="1"/>
  <c r="AX401" i="1"/>
  <c r="AX204" i="1"/>
  <c r="AX412" i="1" s="1"/>
  <c r="AZ394" i="1"/>
  <c r="AX206" i="1"/>
  <c r="AY206" i="1"/>
  <c r="BA394" i="1"/>
  <c r="CS301" i="1"/>
  <c r="AC373" i="1"/>
  <c r="CA393" i="1"/>
  <c r="CB393" i="1"/>
  <c r="BU393" i="1"/>
  <c r="AU360" i="1" l="1"/>
  <c r="AU362" i="1" s="1"/>
  <c r="AU286" i="1"/>
  <c r="AU287" i="1" s="1"/>
  <c r="BD214" i="1"/>
  <c r="BD360" i="1"/>
  <c r="BD362" i="1" s="1"/>
  <c r="BD228" i="1"/>
  <c r="AU214" i="1"/>
  <c r="AU228" i="1"/>
  <c r="AU206" i="1"/>
  <c r="BH214" i="1"/>
  <c r="AW374" i="1"/>
  <c r="AW372" i="1" s="1"/>
  <c r="AT210" i="1"/>
  <c r="AW254" i="1"/>
  <c r="AT401" i="1"/>
  <c r="AT204" i="1"/>
  <c r="AT412" i="1" s="1"/>
  <c r="BM228" i="1"/>
  <c r="BM214" i="1"/>
  <c r="BM360" i="1"/>
  <c r="BM362" i="1" s="1"/>
  <c r="BE214" i="1"/>
  <c r="BE286" i="1"/>
  <c r="BE287" i="1" s="1"/>
  <c r="BO214" i="1"/>
  <c r="BO228" i="1"/>
  <c r="BO360" i="1"/>
  <c r="BO362" i="1" s="1"/>
  <c r="BO286" i="1"/>
  <c r="BO287" i="1" s="1"/>
  <c r="AO360" i="1"/>
  <c r="AO362" i="1" s="1"/>
  <c r="AO228" i="1"/>
  <c r="AO286" i="1"/>
  <c r="AO287" i="1" s="1"/>
  <c r="AO214" i="1"/>
  <c r="BR204" i="1"/>
  <c r="BR412" i="1" s="1"/>
  <c r="BR401" i="1"/>
  <c r="BR210" i="1"/>
  <c r="BV205" i="1"/>
  <c r="AQ394" i="1"/>
  <c r="AZ205" i="1"/>
  <c r="AV204" i="1"/>
  <c r="AV412" i="1" s="1"/>
  <c r="AV401" i="1"/>
  <c r="AV210" i="1"/>
  <c r="AY394" i="1"/>
  <c r="AW394" i="1"/>
  <c r="AW206" i="1"/>
  <c r="AV205" i="1"/>
  <c r="AV206" i="1"/>
  <c r="AX394" i="1"/>
  <c r="AR206" i="1"/>
  <c r="AQ205" i="1"/>
  <c r="AQ401" i="1"/>
  <c r="AQ210" i="1"/>
  <c r="AQ204" i="1"/>
  <c r="AQ412" i="1" s="1"/>
  <c r="AQ206" i="1"/>
  <c r="AU205" i="1"/>
  <c r="AR394" i="1"/>
  <c r="BR205" i="1"/>
  <c r="AX205" i="1"/>
  <c r="BH228" i="1"/>
  <c r="BH360" i="1"/>
  <c r="BH362" i="1" s="1"/>
  <c r="AW296" i="1"/>
  <c r="AW217" i="1" s="1"/>
  <c r="BM286" i="1"/>
  <c r="BM287" i="1" s="1"/>
  <c r="BE228" i="1"/>
  <c r="BE360" i="1"/>
  <c r="BE362" i="1" s="1"/>
  <c r="BU206" i="1"/>
  <c r="BT205" i="1"/>
  <c r="BP394" i="1"/>
  <c r="BG210" i="1"/>
  <c r="BH394" i="1"/>
  <c r="BG204" i="1"/>
  <c r="BG412" i="1" s="1"/>
  <c r="BH206" i="1"/>
  <c r="BG394" i="1"/>
  <c r="BG401" i="1"/>
  <c r="BJ394" i="1"/>
  <c r="BG206" i="1"/>
  <c r="BI394" i="1"/>
  <c r="BP210" i="1"/>
  <c r="BP204" i="1"/>
  <c r="BP412" i="1" s="1"/>
  <c r="BP205" i="1"/>
  <c r="BP206" i="1"/>
  <c r="BP401" i="1"/>
  <c r="BY205" i="1"/>
  <c r="BU204" i="1"/>
  <c r="BU412" i="1" s="1"/>
  <c r="BU401" i="1"/>
  <c r="BU210" i="1"/>
  <c r="BV206" i="1"/>
  <c r="BS202" i="1"/>
  <c r="BS203" i="1"/>
  <c r="BW203" i="1"/>
  <c r="BW202" i="1"/>
  <c r="BC203" i="1"/>
  <c r="BC202" i="1"/>
  <c r="BK202" i="1"/>
  <c r="BK203" i="1"/>
  <c r="BA214" i="1"/>
  <c r="BA360" i="1"/>
  <c r="BA362" i="1" s="1"/>
  <c r="BA228" i="1"/>
  <c r="BA286" i="1"/>
  <c r="BA287" i="1" s="1"/>
  <c r="AS202" i="1"/>
  <c r="AS203" i="1"/>
  <c r="BQ202" i="1"/>
  <c r="BQ203" i="1"/>
  <c r="AY254" i="1"/>
  <c r="AY374" i="1"/>
  <c r="AY372" i="1" s="1"/>
  <c r="AY296" i="1"/>
  <c r="AY217" i="1" s="1"/>
  <c r="AZ374" i="1"/>
  <c r="AZ372" i="1" s="1"/>
  <c r="BI214" i="1"/>
  <c r="BI360" i="1"/>
  <c r="BI362" i="1" s="1"/>
  <c r="BI228" i="1"/>
  <c r="BI286" i="1"/>
  <c r="BI287" i="1" s="1"/>
  <c r="AX374" i="1"/>
  <c r="AX372" i="1" s="1"/>
  <c r="AI228" i="1"/>
  <c r="AL231" i="1" s="1"/>
  <c r="AI214" i="1"/>
  <c r="AL216" i="1"/>
  <c r="AI374" i="1"/>
  <c r="AI372" i="1" s="1"/>
  <c r="AI360" i="1"/>
  <c r="AI362" i="1" s="1"/>
  <c r="AI366" i="1" s="1"/>
  <c r="AI380" i="1" s="1"/>
  <c r="BN214" i="1"/>
  <c r="BN228" i="1"/>
  <c r="BN360" i="1"/>
  <c r="BN362" i="1" s="1"/>
  <c r="BT360" i="1"/>
  <c r="BT362" i="1" s="1"/>
  <c r="BT214" i="1"/>
  <c r="BT228" i="1"/>
  <c r="AX214" i="1"/>
  <c r="AX228" i="1"/>
  <c r="AX360" i="1"/>
  <c r="AX362" i="1" s="1"/>
  <c r="AZ216" i="1"/>
  <c r="BB228" i="1"/>
  <c r="BB214" i="1"/>
  <c r="BB360" i="1"/>
  <c r="BB362" i="1" s="1"/>
  <c r="BB216" i="1"/>
  <c r="AN214" i="1"/>
  <c r="AP216" i="1"/>
  <c r="AN228" i="1"/>
  <c r="AN360" i="1"/>
  <c r="AN362" i="1" s="1"/>
  <c r="AN216" i="1"/>
  <c r="AN374" i="1"/>
  <c r="AN372" i="1" s="1"/>
  <c r="CS305" i="1"/>
  <c r="CT194" i="1"/>
  <c r="AD291" i="1"/>
  <c r="W221" i="1"/>
  <c r="BM374" i="1" l="1"/>
  <c r="BM372" i="1" s="1"/>
  <c r="BM296" i="1"/>
  <c r="BM217" i="1" s="1"/>
  <c r="BM254" i="1"/>
  <c r="BF374" i="1"/>
  <c r="BF372" i="1" s="1"/>
  <c r="BE254" i="1"/>
  <c r="BE296" i="1"/>
  <c r="BE217" i="1" s="1"/>
  <c r="AU254" i="1"/>
  <c r="AU374" i="1"/>
  <c r="AU372" i="1" s="1"/>
  <c r="AU296" i="1"/>
  <c r="AU217" i="1" s="1"/>
  <c r="AQ286" i="1"/>
  <c r="AQ287" i="1" s="1"/>
  <c r="AQ360" i="1"/>
  <c r="AQ362" i="1" s="1"/>
  <c r="AQ214" i="1"/>
  <c r="AQ228" i="1"/>
  <c r="AR216" i="1"/>
  <c r="BE374" i="1"/>
  <c r="BE372" i="1" s="1"/>
  <c r="BO374" i="1"/>
  <c r="BO372" i="1" s="1"/>
  <c r="BO296" i="1"/>
  <c r="BO217" i="1" s="1"/>
  <c r="BO254" i="1"/>
  <c r="AV374" i="1"/>
  <c r="AV372" i="1" s="1"/>
  <c r="AY216" i="1"/>
  <c r="BN374" i="1"/>
  <c r="BN372" i="1" s="1"/>
  <c r="AV360" i="1"/>
  <c r="AV362" i="1" s="1"/>
  <c r="AV214" i="1"/>
  <c r="AV228" i="1"/>
  <c r="AX216" i="1"/>
  <c r="BH216" i="1"/>
  <c r="AT360" i="1"/>
  <c r="AT362" i="1" s="1"/>
  <c r="AT214" i="1"/>
  <c r="AT228" i="1"/>
  <c r="AO216" i="1"/>
  <c r="AP374" i="1"/>
  <c r="AP372" i="1" s="1"/>
  <c r="AO254" i="1"/>
  <c r="AO296" i="1"/>
  <c r="AO217" i="1" s="1"/>
  <c r="AO374" i="1"/>
  <c r="AO372" i="1" s="1"/>
  <c r="BR214" i="1"/>
  <c r="BR360" i="1"/>
  <c r="BR362" i="1" s="1"/>
  <c r="BR228" i="1"/>
  <c r="AW216" i="1"/>
  <c r="BO216" i="1"/>
  <c r="AW257" i="1"/>
  <c r="AW256" i="1"/>
  <c r="AW258" i="1"/>
  <c r="BG214" i="1"/>
  <c r="BG286" i="1"/>
  <c r="BG287" i="1" s="1"/>
  <c r="BG360" i="1"/>
  <c r="BG362" i="1" s="1"/>
  <c r="BJ216" i="1"/>
  <c r="BG228" i="1"/>
  <c r="BP374" i="1"/>
  <c r="BP372" i="1" s="1"/>
  <c r="BP216" i="1"/>
  <c r="BP214" i="1"/>
  <c r="BP360" i="1"/>
  <c r="BP362" i="1" s="1"/>
  <c r="BP228" i="1"/>
  <c r="BU119" i="1"/>
  <c r="BU214" i="1"/>
  <c r="BU360" i="1"/>
  <c r="BU362" i="1" s="1"/>
  <c r="BU228" i="1"/>
  <c r="BU286" i="1"/>
  <c r="BU287" i="1" s="1"/>
  <c r="BW205" i="1"/>
  <c r="BW206" i="1"/>
  <c r="BW394" i="1"/>
  <c r="BX206" i="1"/>
  <c r="CA205" i="1"/>
  <c r="BW210" i="1"/>
  <c r="BX394" i="1"/>
  <c r="BW204" i="1"/>
  <c r="BW412" i="1" s="1"/>
  <c r="BW401" i="1"/>
  <c r="X223" i="1"/>
  <c r="BZ394" i="1"/>
  <c r="BY394" i="1"/>
  <c r="BS210" i="1"/>
  <c r="BS401" i="1"/>
  <c r="BS205" i="1"/>
  <c r="BS204" i="1"/>
  <c r="BS412" i="1" s="1"/>
  <c r="BT206" i="1"/>
  <c r="BS206" i="1"/>
  <c r="BV394" i="1"/>
  <c r="BO205" i="1"/>
  <c r="BK206" i="1"/>
  <c r="BM394" i="1"/>
  <c r="BK401" i="1"/>
  <c r="BL206" i="1"/>
  <c r="BK210" i="1"/>
  <c r="BK204" i="1"/>
  <c r="BK412" i="1" s="1"/>
  <c r="BN394" i="1"/>
  <c r="BK394" i="1"/>
  <c r="BK205" i="1"/>
  <c r="BL394" i="1"/>
  <c r="BQ204" i="1"/>
  <c r="BQ412" i="1" s="1"/>
  <c r="BQ210" i="1"/>
  <c r="BQ401" i="1"/>
  <c r="BQ206" i="1"/>
  <c r="BU205" i="1"/>
  <c r="BQ205" i="1"/>
  <c r="BR394" i="1"/>
  <c r="BQ394" i="1"/>
  <c r="BT394" i="1"/>
  <c r="BR206" i="1"/>
  <c r="BS394" i="1"/>
  <c r="AS206" i="1"/>
  <c r="AS210" i="1"/>
  <c r="AS204" i="1"/>
  <c r="AS412" i="1" s="1"/>
  <c r="AS205" i="1"/>
  <c r="AS401" i="1"/>
  <c r="AT206" i="1"/>
  <c r="AW205" i="1"/>
  <c r="AU394" i="1"/>
  <c r="AV394" i="1"/>
  <c r="AT394" i="1"/>
  <c r="AS394" i="1"/>
  <c r="BA374" i="1"/>
  <c r="BA372" i="1" s="1"/>
  <c r="BA296" i="1"/>
  <c r="BA217" i="1" s="1"/>
  <c r="BA254" i="1"/>
  <c r="BC205" i="1"/>
  <c r="BC210" i="1"/>
  <c r="BG205" i="1"/>
  <c r="BE394" i="1"/>
  <c r="BC401" i="1"/>
  <c r="BC206" i="1"/>
  <c r="BD206" i="1"/>
  <c r="BC204" i="1"/>
  <c r="BC412" i="1" s="1"/>
  <c r="BD394" i="1"/>
  <c r="BC394" i="1"/>
  <c r="BF394" i="1"/>
  <c r="BA216" i="1"/>
  <c r="BB374" i="1"/>
  <c r="BB372" i="1" s="1"/>
  <c r="CT75" i="1"/>
  <c r="AY256" i="1"/>
  <c r="AY257" i="1"/>
  <c r="AY258" i="1"/>
  <c r="BI254" i="1"/>
  <c r="BI296" i="1"/>
  <c r="BI217" i="1" s="1"/>
  <c r="BI374" i="1"/>
  <c r="BI372" i="1" s="1"/>
  <c r="BI216" i="1"/>
  <c r="BJ374" i="1"/>
  <c r="BJ372" i="1" s="1"/>
  <c r="AI377" i="1"/>
  <c r="AI378" i="1" s="1"/>
  <c r="BM257" i="1"/>
  <c r="BM258" i="1"/>
  <c r="BM256" i="1"/>
  <c r="BE256" i="1"/>
  <c r="BE258" i="1"/>
  <c r="BE257" i="1"/>
  <c r="AL247" i="1"/>
  <c r="AL248" i="1"/>
  <c r="AL249" i="1"/>
  <c r="AU257" i="1"/>
  <c r="AU258" i="1"/>
  <c r="AU256" i="1"/>
  <c r="BA231" i="1"/>
  <c r="AZ231" i="1"/>
  <c r="BO231" i="1"/>
  <c r="AN231" i="1"/>
  <c r="AP231" i="1"/>
  <c r="AO231" i="1"/>
  <c r="BB231" i="1"/>
  <c r="AC194" i="1"/>
  <c r="CT361" i="1"/>
  <c r="CT299" i="1"/>
  <c r="CS370" i="1"/>
  <c r="CS368" i="1" s="1"/>
  <c r="W222" i="1"/>
  <c r="BO257" i="1" l="1"/>
  <c r="BO258" i="1"/>
  <c r="AY231" i="1"/>
  <c r="AY248" i="1" s="1"/>
  <c r="AR231" i="1"/>
  <c r="AQ296" i="1"/>
  <c r="AQ217" i="1" s="1"/>
  <c r="AQ374" i="1"/>
  <c r="AQ372" i="1" s="1"/>
  <c r="AR374" i="1"/>
  <c r="AR372" i="1" s="1"/>
  <c r="BO256" i="1"/>
  <c r="AX231" i="1"/>
  <c r="AQ231" i="1"/>
  <c r="AQ254" i="1"/>
  <c r="AQ216" i="1"/>
  <c r="AO256" i="1"/>
  <c r="AW231" i="1"/>
  <c r="AO258" i="1"/>
  <c r="AO257" i="1"/>
  <c r="BG231" i="1"/>
  <c r="BI231" i="1"/>
  <c r="BH231" i="1"/>
  <c r="BJ231" i="1"/>
  <c r="BF251" i="1" s="1"/>
  <c r="BG374" i="1"/>
  <c r="BG372" i="1" s="1"/>
  <c r="BG296" i="1"/>
  <c r="BG217" i="1" s="1"/>
  <c r="BG254" i="1"/>
  <c r="BG216" i="1"/>
  <c r="BH374" i="1"/>
  <c r="BH372" i="1" s="1"/>
  <c r="BP231" i="1"/>
  <c r="BV374" i="1"/>
  <c r="BV372" i="1" s="1"/>
  <c r="BU374" i="1"/>
  <c r="BU372" i="1" s="1"/>
  <c r="BU254" i="1"/>
  <c r="BU296" i="1"/>
  <c r="BU217" i="1" s="1"/>
  <c r="BW119" i="1"/>
  <c r="BY216" i="1"/>
  <c r="BW228" i="1"/>
  <c r="BW360" i="1"/>
  <c r="BW362" i="1" s="1"/>
  <c r="BX216" i="1"/>
  <c r="BW214" i="1"/>
  <c r="BW286" i="1"/>
  <c r="BW287" i="1" s="1"/>
  <c r="BZ216" i="1"/>
  <c r="BS119" i="1"/>
  <c r="BS360" i="1"/>
  <c r="BS362" i="1" s="1"/>
  <c r="BS214" i="1"/>
  <c r="BS286" i="1"/>
  <c r="BS287" i="1" s="1"/>
  <c r="BS216" i="1" s="1"/>
  <c r="BS228" i="1"/>
  <c r="BU216" i="1"/>
  <c r="BV216" i="1"/>
  <c r="AS286" i="1"/>
  <c r="AS287" i="1" s="1"/>
  <c r="AS360" i="1"/>
  <c r="AS362" i="1" s="1"/>
  <c r="AS214" i="1"/>
  <c r="AS228" i="1"/>
  <c r="AU216" i="1"/>
  <c r="AV216" i="1"/>
  <c r="AT216" i="1"/>
  <c r="BK360" i="1"/>
  <c r="BK362" i="1" s="1"/>
  <c r="BK286" i="1"/>
  <c r="BK287" i="1" s="1"/>
  <c r="BK214" i="1"/>
  <c r="BK228" i="1"/>
  <c r="U223" i="1"/>
  <c r="BL216" i="1"/>
  <c r="BN216" i="1"/>
  <c r="BM216" i="1"/>
  <c r="BC214" i="1"/>
  <c r="BC360" i="1"/>
  <c r="BC362" i="1" s="1"/>
  <c r="BE216" i="1"/>
  <c r="BF216" i="1"/>
  <c r="BC228" i="1"/>
  <c r="BC286" i="1"/>
  <c r="BC287" i="1" s="1"/>
  <c r="BD216" i="1"/>
  <c r="BA257" i="1"/>
  <c r="BA256" i="1"/>
  <c r="BA258" i="1"/>
  <c r="BQ286" i="1"/>
  <c r="BQ287" i="1" s="1"/>
  <c r="BQ360" i="1"/>
  <c r="BQ362" i="1" s="1"/>
  <c r="BQ228" i="1"/>
  <c r="BQ214" i="1"/>
  <c r="BR216" i="1"/>
  <c r="BT216" i="1"/>
  <c r="V223" i="1"/>
  <c r="CT71" i="1"/>
  <c r="AC75" i="1"/>
  <c r="AC76" i="1" s="1"/>
  <c r="CT76" i="1"/>
  <c r="BI257" i="1"/>
  <c r="BI258" i="1"/>
  <c r="BI256" i="1"/>
  <c r="AW251" i="1"/>
  <c r="BA249" i="1"/>
  <c r="AN249" i="1"/>
  <c r="AR232" i="1"/>
  <c r="AN248" i="1"/>
  <c r="AN247" i="1"/>
  <c r="BO247" i="1"/>
  <c r="BK251" i="1"/>
  <c r="BO248" i="1"/>
  <c r="BO249" i="1"/>
  <c r="AQ232" i="1"/>
  <c r="AQ249" i="1"/>
  <c r="AW247" i="1"/>
  <c r="AW248" i="1"/>
  <c r="AS251" i="1"/>
  <c r="BA232" i="1"/>
  <c r="AV251" i="1"/>
  <c r="AZ249" i="1"/>
  <c r="AZ248" i="1"/>
  <c r="AZ247" i="1"/>
  <c r="AY249" i="1"/>
  <c r="AU251" i="1"/>
  <c r="AM251" i="1"/>
  <c r="AO249" i="1"/>
  <c r="AO247" i="1"/>
  <c r="AO248" i="1"/>
  <c r="BA247" i="1"/>
  <c r="BA248" i="1"/>
  <c r="AY247" i="1"/>
  <c r="AX251" i="1"/>
  <c r="BB249" i="1"/>
  <c r="BB248" i="1"/>
  <c r="BB247" i="1"/>
  <c r="AP249" i="1"/>
  <c r="AP232" i="1"/>
  <c r="AL251" i="1"/>
  <c r="AP248" i="1"/>
  <c r="AP247" i="1"/>
  <c r="AC361" i="1"/>
  <c r="AC299" i="1"/>
  <c r="AC301" i="1" s="1"/>
  <c r="AC195" i="1" s="1"/>
  <c r="CT301" i="1"/>
  <c r="AD292" i="1"/>
  <c r="AD295" i="1" s="1"/>
  <c r="AD416" i="1" s="1"/>
  <c r="AR276" i="1"/>
  <c r="W223" i="1"/>
  <c r="AQ248" i="1" l="1"/>
  <c r="AQ247" i="1"/>
  <c r="BJ247" i="1"/>
  <c r="BJ248" i="1"/>
  <c r="AN251" i="1"/>
  <c r="AR249" i="1"/>
  <c r="AR248" i="1"/>
  <c r="AR247" i="1"/>
  <c r="AX248" i="1"/>
  <c r="BB232" i="1"/>
  <c r="AX247" i="1"/>
  <c r="AT251" i="1"/>
  <c r="AX249" i="1"/>
  <c r="AQ257" i="1"/>
  <c r="AQ258" i="1"/>
  <c r="AQ256" i="1"/>
  <c r="AW249" i="1"/>
  <c r="BI249" i="1"/>
  <c r="BI247" i="1"/>
  <c r="BI248" i="1"/>
  <c r="BE251" i="1"/>
  <c r="BC251" i="1"/>
  <c r="BG247" i="1"/>
  <c r="BG248" i="1"/>
  <c r="BG249" i="1"/>
  <c r="BH249" i="1"/>
  <c r="BH247" i="1"/>
  <c r="BD251" i="1"/>
  <c r="BH248" i="1"/>
  <c r="BG258" i="1"/>
  <c r="BG257" i="1"/>
  <c r="BJ249" i="1"/>
  <c r="BG256" i="1"/>
  <c r="BP248" i="1"/>
  <c r="BP249" i="1"/>
  <c r="BP247" i="1"/>
  <c r="BL251" i="1"/>
  <c r="BU257" i="1"/>
  <c r="BU256" i="1"/>
  <c r="BU258" i="1"/>
  <c r="BS374" i="1"/>
  <c r="BS372" i="1" s="1"/>
  <c r="BT374" i="1"/>
  <c r="BT372" i="1" s="1"/>
  <c r="BS254" i="1"/>
  <c r="BS296" i="1"/>
  <c r="BS217" i="1" s="1"/>
  <c r="BW374" i="1"/>
  <c r="BW372" i="1" s="1"/>
  <c r="BW254" i="1"/>
  <c r="BX374" i="1"/>
  <c r="BX372" i="1" s="1"/>
  <c r="BW296" i="1"/>
  <c r="BW217" i="1" s="1"/>
  <c r="BW216" i="1"/>
  <c r="BY231" i="1"/>
  <c r="BW231" i="1"/>
  <c r="BZ231" i="1"/>
  <c r="BX231" i="1"/>
  <c r="BV231" i="1"/>
  <c r="BU231" i="1"/>
  <c r="BF231" i="1"/>
  <c r="BF249" i="1" s="1"/>
  <c r="BD231" i="1"/>
  <c r="BC231" i="1"/>
  <c r="BE231" i="1"/>
  <c r="BN231" i="1"/>
  <c r="BM231" i="1"/>
  <c r="BK231" i="1"/>
  <c r="BL231" i="1"/>
  <c r="BT231" i="1"/>
  <c r="BQ231" i="1"/>
  <c r="BR231" i="1"/>
  <c r="BS231" i="1"/>
  <c r="AV231" i="1"/>
  <c r="AU231" i="1"/>
  <c r="AT231" i="1"/>
  <c r="AS231" i="1"/>
  <c r="BK216" i="1"/>
  <c r="BK374" i="1"/>
  <c r="BK372" i="1" s="1"/>
  <c r="BK296" i="1"/>
  <c r="BK217" i="1" s="1"/>
  <c r="BK254" i="1"/>
  <c r="BL374" i="1"/>
  <c r="BL372" i="1" s="1"/>
  <c r="BQ296" i="1"/>
  <c r="BQ217" i="1" s="1"/>
  <c r="BQ254" i="1"/>
  <c r="BQ374" i="1"/>
  <c r="BQ372" i="1" s="1"/>
  <c r="BR374" i="1"/>
  <c r="BR372" i="1" s="1"/>
  <c r="BQ216" i="1"/>
  <c r="BC216" i="1"/>
  <c r="BD374" i="1"/>
  <c r="BD372" i="1" s="1"/>
  <c r="BC374" i="1"/>
  <c r="BC372" i="1" s="1"/>
  <c r="BC296" i="1"/>
  <c r="BC217" i="1" s="1"/>
  <c r="BC254" i="1"/>
  <c r="AT374" i="1"/>
  <c r="AT372" i="1" s="1"/>
  <c r="AS216" i="1"/>
  <c r="AS254" i="1"/>
  <c r="AS374" i="1"/>
  <c r="AS372" i="1" s="1"/>
  <c r="AS296" i="1"/>
  <c r="AS217" i="1" s="1"/>
  <c r="AC71" i="1"/>
  <c r="BB252" i="1"/>
  <c r="AP252" i="1"/>
  <c r="AO252" i="1"/>
  <c r="CU194" i="1"/>
  <c r="CT305" i="1"/>
  <c r="AD373" i="1"/>
  <c r="AB305" i="1"/>
  <c r="AR277" i="1"/>
  <c r="AR280" i="1" s="1"/>
  <c r="AR278" i="1"/>
  <c r="AR281" i="1" s="1"/>
  <c r="CA394" i="1"/>
  <c r="CB394" i="1"/>
  <c r="W360" i="1"/>
  <c r="W362" i="1" s="1"/>
  <c r="BU394" i="1"/>
  <c r="AR252" i="1" l="1"/>
  <c r="AQ252" i="1"/>
  <c r="AZ252" i="1"/>
  <c r="BJ252" i="1"/>
  <c r="BA252" i="1"/>
  <c r="BB251" i="1"/>
  <c r="BF248" i="1"/>
  <c r="BI252" i="1" s="1"/>
  <c r="BZ247" i="1"/>
  <c r="CD232" i="1"/>
  <c r="BZ249" i="1"/>
  <c r="BV251" i="1"/>
  <c r="BZ248" i="1"/>
  <c r="CC252" i="1" s="1"/>
  <c r="BU247" i="1"/>
  <c r="BY232" i="1"/>
  <c r="BQ251" i="1"/>
  <c r="BU249" i="1"/>
  <c r="BU248" i="1"/>
  <c r="BW247" i="1"/>
  <c r="CA232" i="1"/>
  <c r="BS251" i="1"/>
  <c r="BW249" i="1"/>
  <c r="BW248" i="1"/>
  <c r="BS256" i="1"/>
  <c r="BS257" i="1"/>
  <c r="BS258" i="1"/>
  <c r="BR251" i="1"/>
  <c r="BV249" i="1"/>
  <c r="BV248" i="1"/>
  <c r="BV247" i="1"/>
  <c r="BZ232" i="1"/>
  <c r="BY248" i="1"/>
  <c r="CC232" i="1"/>
  <c r="BY247" i="1"/>
  <c r="BY249" i="1"/>
  <c r="BU251" i="1"/>
  <c r="BW256" i="1"/>
  <c r="BW258" i="1"/>
  <c r="BW257" i="1"/>
  <c r="BT251" i="1"/>
  <c r="BX249" i="1"/>
  <c r="CB232" i="1"/>
  <c r="BX248" i="1"/>
  <c r="BX247" i="1"/>
  <c r="BF247" i="1"/>
  <c r="BQ249" i="1"/>
  <c r="BU232" i="1"/>
  <c r="BQ248" i="1"/>
  <c r="BM251" i="1"/>
  <c r="BQ247" i="1"/>
  <c r="BS248" i="1"/>
  <c r="BS232" i="1"/>
  <c r="BS247" i="1"/>
  <c r="BO251" i="1"/>
  <c r="BW232" i="1"/>
  <c r="BS249" i="1"/>
  <c r="BP251" i="1"/>
  <c r="BT249" i="1"/>
  <c r="BX232" i="1"/>
  <c r="BT247" i="1"/>
  <c r="BT232" i="1"/>
  <c r="BT248" i="1"/>
  <c r="BL247" i="1"/>
  <c r="BL248" i="1"/>
  <c r="BL249" i="1"/>
  <c r="BP232" i="1"/>
  <c r="BH251" i="1"/>
  <c r="BL232" i="1"/>
  <c r="BN248" i="1"/>
  <c r="BJ251" i="1"/>
  <c r="BR232" i="1"/>
  <c r="BN232" i="1"/>
  <c r="BN249" i="1"/>
  <c r="BN247" i="1"/>
  <c r="BK232" i="1"/>
  <c r="BK247" i="1"/>
  <c r="BK248" i="1"/>
  <c r="BK252" i="1" s="1"/>
  <c r="BK249" i="1"/>
  <c r="BG251" i="1"/>
  <c r="BO232" i="1"/>
  <c r="AW232" i="1"/>
  <c r="AO251" i="1"/>
  <c r="AS249" i="1"/>
  <c r="AS232" i="1"/>
  <c r="AS247" i="1"/>
  <c r="AS248" i="1"/>
  <c r="AS252" i="1" s="1"/>
  <c r="BE248" i="1"/>
  <c r="BH252" i="1" s="1"/>
  <c r="BE249" i="1"/>
  <c r="BE247" i="1"/>
  <c r="BI232" i="1"/>
  <c r="BA251" i="1"/>
  <c r="BE232" i="1"/>
  <c r="BR248" i="1"/>
  <c r="BN251" i="1"/>
  <c r="BR247" i="1"/>
  <c r="BR249" i="1"/>
  <c r="BV232" i="1"/>
  <c r="AT232" i="1"/>
  <c r="AT249" i="1"/>
  <c r="AT247" i="1"/>
  <c r="AX232" i="1"/>
  <c r="AT248" i="1"/>
  <c r="AP251" i="1"/>
  <c r="BC248" i="1"/>
  <c r="BC249" i="1"/>
  <c r="AY251" i="1"/>
  <c r="BG232" i="1"/>
  <c r="BC247" i="1"/>
  <c r="BC232" i="1"/>
  <c r="BI251" i="1"/>
  <c r="BM247" i="1"/>
  <c r="BM249" i="1"/>
  <c r="BM248" i="1"/>
  <c r="BM232" i="1"/>
  <c r="BQ232" i="1"/>
  <c r="AU248" i="1"/>
  <c r="AU247" i="1"/>
  <c r="AU249" i="1"/>
  <c r="AQ251" i="1"/>
  <c r="AU232" i="1"/>
  <c r="AY232" i="1"/>
  <c r="BD247" i="1"/>
  <c r="BH232" i="1"/>
  <c r="BD248" i="1"/>
  <c r="BD249" i="1"/>
  <c r="AZ251" i="1"/>
  <c r="BD232" i="1"/>
  <c r="AV249" i="1"/>
  <c r="AV248" i="1"/>
  <c r="AY252" i="1" s="1"/>
  <c r="AV232" i="1"/>
  <c r="AV247" i="1"/>
  <c r="AZ232" i="1"/>
  <c r="AR251" i="1"/>
  <c r="BF232" i="1"/>
  <c r="BJ232" i="1"/>
  <c r="BQ257" i="1"/>
  <c r="BQ258" i="1"/>
  <c r="BQ256" i="1"/>
  <c r="AS258" i="1"/>
  <c r="AS256" i="1"/>
  <c r="AS257" i="1"/>
  <c r="BK256" i="1"/>
  <c r="BK258" i="1"/>
  <c r="BK257" i="1"/>
  <c r="BC257" i="1"/>
  <c r="BC256" i="1"/>
  <c r="BC258" i="1"/>
  <c r="CU75" i="1"/>
  <c r="CT370" i="1"/>
  <c r="CT368" i="1" s="1"/>
  <c r="CU361" i="1"/>
  <c r="CU299" i="1"/>
  <c r="AB370" i="1"/>
  <c r="AB368" i="1" s="1"/>
  <c r="AE291" i="1"/>
  <c r="CA251" i="1"/>
  <c r="BW252" i="1" l="1"/>
  <c r="CA252" i="1"/>
  <c r="BY252" i="1"/>
  <c r="CB252" i="1"/>
  <c r="BZ252" i="1"/>
  <c r="BX252" i="1"/>
  <c r="BU252" i="1"/>
  <c r="BV252" i="1"/>
  <c r="BG252" i="1"/>
  <c r="BT252" i="1"/>
  <c r="BR252" i="1"/>
  <c r="AU252" i="1"/>
  <c r="BQ252" i="1"/>
  <c r="AX252" i="1"/>
  <c r="AW252" i="1"/>
  <c r="AV252" i="1"/>
  <c r="AT252" i="1"/>
  <c r="BF252" i="1"/>
  <c r="BE252" i="1"/>
  <c r="BC252" i="1"/>
  <c r="BD252" i="1"/>
  <c r="BP252" i="1"/>
  <c r="BL252" i="1"/>
  <c r="BS252" i="1"/>
  <c r="BN252" i="1"/>
  <c r="BO252" i="1"/>
  <c r="BM252" i="1"/>
  <c r="CU71" i="1"/>
  <c r="CU76" i="1"/>
  <c r="CU301" i="1"/>
  <c r="CF251" i="1"/>
  <c r="W251" i="1"/>
  <c r="W231" i="1"/>
  <c r="W230" i="1"/>
  <c r="CU305" i="1" l="1"/>
  <c r="CV194" i="1"/>
  <c r="AE292" i="1"/>
  <c r="AE295" i="1" s="1"/>
  <c r="AE416" i="1" s="1"/>
  <c r="W232" i="1"/>
  <c r="X232" i="1"/>
  <c r="X251" i="1"/>
  <c r="W249" i="1"/>
  <c r="V251" i="1"/>
  <c r="W247" i="1"/>
  <c r="W248" i="1"/>
  <c r="CV75" i="1" l="1"/>
  <c r="CV361" i="1"/>
  <c r="CV299" i="1"/>
  <c r="CU370" i="1"/>
  <c r="CU368" i="1" s="1"/>
  <c r="AE373" i="1"/>
  <c r="AC305" i="1"/>
  <c r="W287" i="1"/>
  <c r="CV71" i="1" l="1"/>
  <c r="CV76" i="1"/>
  <c r="CV301" i="1"/>
  <c r="W216" i="1"/>
  <c r="W254" i="1"/>
  <c r="AC370" i="1"/>
  <c r="AC368" i="1" s="1"/>
  <c r="X374" i="1"/>
  <c r="X372" i="1" s="1"/>
  <c r="W374" i="1"/>
  <c r="W372" i="1" s="1"/>
  <c r="W296" i="1"/>
  <c r="W217" i="1" s="1"/>
  <c r="W342" i="1"/>
  <c r="CW194" i="1" l="1"/>
  <c r="CV305" i="1"/>
  <c r="W257" i="1"/>
  <c r="W256" i="1"/>
  <c r="W258" i="1"/>
  <c r="CW75" i="1" l="1"/>
  <c r="CV370" i="1"/>
  <c r="CV368" i="1" s="1"/>
  <c r="CW361" i="1"/>
  <c r="CW299" i="1"/>
  <c r="CW71" i="1" l="1"/>
  <c r="CW76" i="1"/>
  <c r="CW301" i="1"/>
  <c r="CW305" i="1" l="1"/>
  <c r="CX194" i="1"/>
  <c r="CX75" i="1" l="1"/>
  <c r="AD194" i="1"/>
  <c r="CX361" i="1"/>
  <c r="CX299" i="1"/>
  <c r="CW370" i="1"/>
  <c r="CW368" i="1" s="1"/>
  <c r="CX71" i="1" l="1"/>
  <c r="AD75" i="1"/>
  <c r="AD76" i="1" s="1"/>
  <c r="CX76" i="1"/>
  <c r="AD361" i="1"/>
  <c r="AD299" i="1"/>
  <c r="AD301" i="1" s="1"/>
  <c r="CX301" i="1"/>
  <c r="AD71" i="1" l="1"/>
  <c r="AD305" i="1"/>
  <c r="AD370" i="1" s="1"/>
  <c r="AD368" i="1" s="1"/>
  <c r="AD195" i="1"/>
  <c r="CX305" i="1"/>
  <c r="CY194" i="1"/>
  <c r="CY75" i="1" l="1"/>
  <c r="CY361" i="1"/>
  <c r="CY299" i="1"/>
  <c r="CX370" i="1"/>
  <c r="CX368" i="1" s="1"/>
  <c r="CY71" i="1" l="1"/>
  <c r="CY76" i="1"/>
  <c r="CY301" i="1"/>
  <c r="W347" i="1"/>
  <c r="CY305" i="1" l="1"/>
  <c r="CZ194" i="1"/>
  <c r="W350" i="1"/>
  <c r="W323" i="1"/>
  <c r="X364" i="1" s="1"/>
  <c r="CZ75" i="1" l="1"/>
  <c r="CZ361" i="1"/>
  <c r="CZ299" i="1"/>
  <c r="CY370" i="1"/>
  <c r="CY368" i="1" s="1"/>
  <c r="W352" i="1"/>
  <c r="W351" i="1" s="1"/>
  <c r="W364" i="1"/>
  <c r="W315" i="1"/>
  <c r="X363" i="1" s="1"/>
  <c r="X365" i="1" s="1"/>
  <c r="X366" i="1" s="1"/>
  <c r="X380" i="1" s="1"/>
  <c r="W346" i="1"/>
  <c r="CZ71" i="1" l="1"/>
  <c r="CZ76" i="1"/>
  <c r="CZ301" i="1"/>
  <c r="W349" i="1"/>
  <c r="W324" i="1"/>
  <c r="W363" i="1"/>
  <c r="W365" i="1" s="1"/>
  <c r="W366" i="1" s="1"/>
  <c r="CZ305" i="1" l="1"/>
  <c r="CZ370" i="1" s="1"/>
  <c r="CZ368" i="1" s="1"/>
  <c r="DA194" i="1"/>
  <c r="W348" i="1"/>
  <c r="W353" i="1"/>
  <c r="W377" i="1"/>
  <c r="W380" i="1"/>
  <c r="DA75" i="1" l="1"/>
  <c r="DA361" i="1"/>
  <c r="DA299" i="1"/>
  <c r="W356" i="1"/>
  <c r="W357" i="1" s="1"/>
  <c r="X356" i="1"/>
  <c r="X357" i="1" s="1"/>
  <c r="DA71" i="1" l="1"/>
  <c r="DA76" i="1"/>
  <c r="DA301" i="1"/>
  <c r="W328" i="1"/>
  <c r="X376" i="1" l="1"/>
  <c r="X377" i="1" s="1"/>
  <c r="X378" i="1" s="1"/>
  <c r="W413" i="1"/>
  <c r="W415" i="1"/>
  <c r="W411" i="1"/>
  <c r="DA305" i="1"/>
  <c r="DA370" i="1" s="1"/>
  <c r="DA368" i="1" s="1"/>
  <c r="DB194" i="1"/>
  <c r="W335" i="1"/>
  <c r="W276" i="1" s="1"/>
  <c r="W332" i="1"/>
  <c r="W378" i="1"/>
  <c r="DB75" i="1" l="1"/>
  <c r="AE194" i="1"/>
  <c r="AE361" i="1" s="1"/>
  <c r="DB361" i="1"/>
  <c r="DB299" i="1"/>
  <c r="W278" i="1"/>
  <c r="W281" i="1" s="1"/>
  <c r="W277" i="1"/>
  <c r="W280" i="1" s="1"/>
  <c r="W333" i="1"/>
  <c r="DB71" i="1" l="1"/>
  <c r="AE75" i="1"/>
  <c r="AE76" i="1" s="1"/>
  <c r="DB76" i="1"/>
  <c r="DB301" i="1"/>
  <c r="DB305" i="1" s="1"/>
  <c r="DB370" i="1" s="1"/>
  <c r="DB368" i="1" s="1"/>
  <c r="AE299" i="1"/>
  <c r="AE301" i="1" s="1"/>
  <c r="C113" i="2"/>
  <c r="C112" i="2"/>
  <c r="C111" i="2"/>
  <c r="AE71" i="1" l="1"/>
  <c r="AE305" i="1"/>
  <c r="AE370" i="1" s="1"/>
  <c r="AE368" i="1" s="1"/>
  <c r="AE195" i="1"/>
  <c r="B235" i="1"/>
  <c r="B236" i="1"/>
  <c r="AK346" i="1" l="1"/>
  <c r="AK311" i="1" s="1"/>
  <c r="AM311" i="1" l="1"/>
  <c r="AO311" i="1" l="1"/>
  <c r="AQ311" i="1" l="1"/>
  <c r="AS311" i="1" l="1"/>
  <c r="AU311" i="1" l="1"/>
  <c r="AW311" i="1" l="1"/>
  <c r="AY311" i="1" l="1"/>
  <c r="BA311" i="1" l="1"/>
  <c r="BC311" i="1" l="1"/>
  <c r="BE311" i="1" l="1"/>
  <c r="BG311" i="1" l="1"/>
  <c r="BI311" i="1" l="1"/>
  <c r="BK311" i="1" l="1"/>
  <c r="BM311" i="1" l="1"/>
  <c r="BO311" i="1" l="1"/>
  <c r="BQ311" i="1" l="1"/>
  <c r="BS311" i="1" l="1"/>
  <c r="BU311" i="1" l="1"/>
  <c r="BW311" i="1" l="1"/>
  <c r="BY311" i="1" l="1"/>
  <c r="AK312" i="1" l="1"/>
  <c r="AK315" i="1" s="1"/>
  <c r="AL363" i="1" l="1"/>
  <c r="AK363" i="1"/>
  <c r="AK349" i="1"/>
  <c r="AM312" i="1"/>
  <c r="AM315" i="1" s="1"/>
  <c r="AM349" i="1" l="1"/>
  <c r="AM348" i="1" s="1"/>
  <c r="AN363" i="1"/>
  <c r="AM363" i="1"/>
  <c r="AJ348" i="1"/>
  <c r="AK348" i="1"/>
  <c r="AO312" i="1" l="1"/>
  <c r="AO315" i="1" s="1"/>
  <c r="AP363" i="1" l="1"/>
  <c r="AO349" i="1"/>
  <c r="AO348" i="1" s="1"/>
  <c r="AO363" i="1"/>
  <c r="AQ312" i="1" l="1"/>
  <c r="AQ315" i="1" s="1"/>
  <c r="AQ349" i="1" l="1"/>
  <c r="AQ348" i="1" s="1"/>
  <c r="AR363" i="1"/>
  <c r="AQ363" i="1"/>
  <c r="AS312" i="1" l="1"/>
  <c r="AS315" i="1" s="1"/>
  <c r="AT363" i="1" l="1"/>
  <c r="AS349" i="1"/>
  <c r="AS348" i="1" s="1"/>
  <c r="AS363" i="1"/>
  <c r="AU312" i="1" l="1"/>
  <c r="AU315" i="1" s="1"/>
  <c r="AU349" i="1" l="1"/>
  <c r="AU348" i="1" s="1"/>
  <c r="AV363" i="1"/>
  <c r="AU363" i="1"/>
  <c r="AW312" i="1" l="1"/>
  <c r="AW315" i="1" s="1"/>
  <c r="AW349" i="1" l="1"/>
  <c r="AW348" i="1" s="1"/>
  <c r="AX363" i="1"/>
  <c r="AW363" i="1"/>
  <c r="AY312" i="1" l="1"/>
  <c r="AY315" i="1" s="1"/>
  <c r="AY349" i="1" l="1"/>
  <c r="AY348" i="1" s="1"/>
  <c r="AZ363" i="1"/>
  <c r="AY363" i="1"/>
  <c r="BA312" i="1" l="1"/>
  <c r="BA315" i="1" s="1"/>
  <c r="BB363" i="1" l="1"/>
  <c r="BA349" i="1"/>
  <c r="BA348" i="1" s="1"/>
  <c r="BA363" i="1"/>
  <c r="BC312" i="1" l="1"/>
  <c r="BC315" i="1" s="1"/>
  <c r="BD363" i="1" l="1"/>
  <c r="BC349" i="1"/>
  <c r="BC348" i="1" s="1"/>
  <c r="BC363" i="1"/>
  <c r="BE312" i="1" l="1"/>
  <c r="BE315" i="1" s="1"/>
  <c r="BF363" i="1" l="1"/>
  <c r="BE349" i="1"/>
  <c r="BE348" i="1" s="1"/>
  <c r="BE363" i="1"/>
  <c r="BG312" i="1" l="1"/>
  <c r="BG315" i="1" s="1"/>
  <c r="BG349" i="1" l="1"/>
  <c r="BG348" i="1" s="1"/>
  <c r="BH363" i="1"/>
  <c r="BG363" i="1"/>
  <c r="BI312" i="1" l="1"/>
  <c r="BI315" i="1" s="1"/>
  <c r="BJ363" i="1" l="1"/>
  <c r="BI349" i="1"/>
  <c r="BI348" i="1" s="1"/>
  <c r="BI363" i="1"/>
  <c r="BK312" i="1" l="1"/>
  <c r="BK315" i="1" s="1"/>
  <c r="BL363" i="1" l="1"/>
  <c r="BK349" i="1"/>
  <c r="BK348" i="1" s="1"/>
  <c r="BK363" i="1"/>
  <c r="BM312" i="1" l="1"/>
  <c r="BM315" i="1" s="1"/>
  <c r="BM349" i="1" l="1"/>
  <c r="BM348" i="1" s="1"/>
  <c r="BN363" i="1"/>
  <c r="BM363" i="1"/>
  <c r="BO312" i="1" l="1"/>
  <c r="BO315" i="1" s="1"/>
  <c r="BO349" i="1" l="1"/>
  <c r="BO348" i="1" s="1"/>
  <c r="BP363" i="1"/>
  <c r="BO363" i="1"/>
  <c r="BQ312" i="1" l="1"/>
  <c r="BQ315" i="1" s="1"/>
  <c r="BR363" i="1" l="1"/>
  <c r="BQ349" i="1"/>
  <c r="BQ348" i="1" s="1"/>
  <c r="BQ363" i="1"/>
  <c r="BS312" i="1" l="1"/>
  <c r="BS315" i="1" s="1"/>
  <c r="BT363" i="1" l="1"/>
  <c r="BS349" i="1"/>
  <c r="BS348" i="1" s="1"/>
  <c r="BS363" i="1"/>
  <c r="BU312" i="1" l="1"/>
  <c r="BU315" i="1" s="1"/>
  <c r="BU349" i="1" l="1"/>
  <c r="BU348" i="1" s="1"/>
  <c r="BV363" i="1"/>
  <c r="BU363" i="1"/>
  <c r="BW312" i="1" l="1"/>
  <c r="BW315" i="1" s="1"/>
  <c r="BW349" i="1" l="1"/>
  <c r="BW348" i="1" s="1"/>
  <c r="BX363" i="1"/>
  <c r="BW363" i="1"/>
  <c r="BY312" i="1" l="1"/>
  <c r="BY315" i="1" s="1"/>
  <c r="BZ363" i="1" l="1"/>
  <c r="BY349" i="1"/>
  <c r="BY348" i="1" s="1"/>
  <c r="BY363" i="1"/>
  <c r="AK350" i="1" l="1"/>
  <c r="AK320" i="1" s="1"/>
  <c r="AK323" i="1" s="1"/>
  <c r="AK324" i="1" l="1"/>
  <c r="AK352" i="1"/>
  <c r="AL364" i="1"/>
  <c r="AL365" i="1" s="1"/>
  <c r="AL366" i="1" s="1"/>
  <c r="AL380" i="1" s="1"/>
  <c r="AK364" i="1"/>
  <c r="AK365" i="1" s="1"/>
  <c r="AK366" i="1" s="1"/>
  <c r="AM320" i="1"/>
  <c r="AM323" i="1" s="1"/>
  <c r="AK380" i="1" l="1"/>
  <c r="AK377" i="1"/>
  <c r="AK327" i="1" s="1"/>
  <c r="AK328" i="1" s="1"/>
  <c r="AK332" i="1" s="1"/>
  <c r="AK333" i="1" s="1"/>
  <c r="AN364" i="1"/>
  <c r="AN365" i="1" s="1"/>
  <c r="AN366" i="1" s="1"/>
  <c r="AN380" i="1" s="1"/>
  <c r="AM352" i="1"/>
  <c r="AM351" i="1" s="1"/>
  <c r="AM364" i="1"/>
  <c r="AM365" i="1" s="1"/>
  <c r="AM366" i="1" s="1"/>
  <c r="AM324" i="1"/>
  <c r="AJ351" i="1"/>
  <c r="AJ353" i="1"/>
  <c r="AN356" i="1" s="1"/>
  <c r="AK351" i="1"/>
  <c r="AK353" i="1"/>
  <c r="AO320" i="1"/>
  <c r="AO323" i="1" s="1"/>
  <c r="AM353" i="1" l="1"/>
  <c r="AO352" i="1"/>
  <c r="AO351" i="1" s="1"/>
  <c r="AP364" i="1"/>
  <c r="AP365" i="1" s="1"/>
  <c r="AP366" i="1" s="1"/>
  <c r="AP380" i="1" s="1"/>
  <c r="AO364" i="1"/>
  <c r="AO365" i="1" s="1"/>
  <c r="AO366" i="1" s="1"/>
  <c r="AM380" i="1"/>
  <c r="AM377" i="1"/>
  <c r="AO324" i="1"/>
  <c r="AL376" i="1" l="1"/>
  <c r="AL377" i="1" s="1"/>
  <c r="AL378" i="1" s="1"/>
  <c r="AK378" i="1"/>
  <c r="AO353" i="1"/>
  <c r="AO356" i="1" s="1"/>
  <c r="AO380" i="1"/>
  <c r="AO377" i="1"/>
  <c r="AQ320" i="1"/>
  <c r="AQ323" i="1" s="1"/>
  <c r="AK335" i="1"/>
  <c r="AL199" i="1" s="1"/>
  <c r="AM327" i="1"/>
  <c r="AM328" i="1" s="1"/>
  <c r="AM332" i="1" s="1"/>
  <c r="AN376" i="1" l="1"/>
  <c r="AN377" i="1" s="1"/>
  <c r="AN378" i="1" s="1"/>
  <c r="AM415" i="1"/>
  <c r="AM413" i="1"/>
  <c r="AM411" i="1"/>
  <c r="AQ352" i="1"/>
  <c r="AQ351" i="1" s="1"/>
  <c r="AR364" i="1"/>
  <c r="AR365" i="1" s="1"/>
  <c r="AR366" i="1" s="1"/>
  <c r="AR380" i="1" s="1"/>
  <c r="AQ364" i="1"/>
  <c r="AQ365" i="1" s="1"/>
  <c r="AQ366" i="1" s="1"/>
  <c r="AM378" i="1"/>
  <c r="AQ324" i="1"/>
  <c r="AO327" i="1"/>
  <c r="AO328" i="1" s="1"/>
  <c r="AM335" i="1"/>
  <c r="AO413" i="1" l="1"/>
  <c r="AO415" i="1"/>
  <c r="AO411" i="1"/>
  <c r="AM276" i="1"/>
  <c r="AM277" i="1" s="1"/>
  <c r="AM280" i="1" s="1"/>
  <c r="AN199" i="1"/>
  <c r="AQ353" i="1"/>
  <c r="AQ356" i="1" s="1"/>
  <c r="AQ380" i="1"/>
  <c r="AQ377" i="1"/>
  <c r="AP376" i="1"/>
  <c r="AP377" i="1" s="1"/>
  <c r="AP378" i="1" s="1"/>
  <c r="AO378" i="1"/>
  <c r="AS320" i="1"/>
  <c r="AS323" i="1" s="1"/>
  <c r="AO335" i="1"/>
  <c r="AO332" i="1"/>
  <c r="AM333" i="1"/>
  <c r="AM278" i="1" l="1"/>
  <c r="AM281" i="1" s="1"/>
  <c r="AO276" i="1"/>
  <c r="AO278" i="1" s="1"/>
  <c r="AO281" i="1" s="1"/>
  <c r="AP199" i="1"/>
  <c r="AS352" i="1"/>
  <c r="AS351" i="1" s="1"/>
  <c r="AT364" i="1"/>
  <c r="AT365" i="1" s="1"/>
  <c r="AT366" i="1" s="1"/>
  <c r="AT380" i="1" s="1"/>
  <c r="AS364" i="1"/>
  <c r="AS365" i="1" s="1"/>
  <c r="AS366" i="1" s="1"/>
  <c r="AO333" i="1"/>
  <c r="AS324" i="1"/>
  <c r="AQ327" i="1"/>
  <c r="AQ328" i="1" s="1"/>
  <c r="AQ413" i="1" l="1"/>
  <c r="AQ415" i="1"/>
  <c r="AQ411" i="1"/>
  <c r="AO277" i="1"/>
  <c r="AO280" i="1" s="1"/>
  <c r="AS353" i="1"/>
  <c r="AS356" i="1" s="1"/>
  <c r="AS380" i="1"/>
  <c r="AS377" i="1"/>
  <c r="AR376" i="1"/>
  <c r="AR377" i="1" s="1"/>
  <c r="AR378" i="1" s="1"/>
  <c r="AQ378" i="1"/>
  <c r="AQ332" i="1"/>
  <c r="AQ335" i="1"/>
  <c r="AU320" i="1"/>
  <c r="AU323" i="1" s="1"/>
  <c r="AQ276" i="1" l="1"/>
  <c r="AQ277" i="1" s="1"/>
  <c r="AQ280" i="1" s="1"/>
  <c r="AR199" i="1"/>
  <c r="AU352" i="1"/>
  <c r="AU351" i="1" s="1"/>
  <c r="AV364" i="1"/>
  <c r="AV365" i="1" s="1"/>
  <c r="AV366" i="1" s="1"/>
  <c r="AV380" i="1" s="1"/>
  <c r="AU364" i="1"/>
  <c r="AU365" i="1" s="1"/>
  <c r="AU366" i="1" s="1"/>
  <c r="AU324" i="1"/>
  <c r="AS327" i="1"/>
  <c r="AS328" i="1" s="1"/>
  <c r="AQ333" i="1"/>
  <c r="AS415" i="1" l="1"/>
  <c r="AS413" i="1"/>
  <c r="AS411" i="1"/>
  <c r="AQ278" i="1"/>
  <c r="AQ281" i="1" s="1"/>
  <c r="AU353" i="1"/>
  <c r="AU356" i="1" s="1"/>
  <c r="AU380" i="1"/>
  <c r="AU377" i="1"/>
  <c r="AT376" i="1"/>
  <c r="AT377" i="1" s="1"/>
  <c r="AT378" i="1" s="1"/>
  <c r="AS378" i="1"/>
  <c r="AS335" i="1"/>
  <c r="AS332" i="1"/>
  <c r="AW320" i="1"/>
  <c r="AW323" i="1" s="1"/>
  <c r="AS276" i="1" l="1"/>
  <c r="AS277" i="1" s="1"/>
  <c r="AS280" i="1" s="1"/>
  <c r="AT199" i="1"/>
  <c r="AW352" i="1"/>
  <c r="AW353" i="1" s="1"/>
  <c r="AW356" i="1" s="1"/>
  <c r="AX364" i="1"/>
  <c r="AX365" i="1" s="1"/>
  <c r="AX366" i="1" s="1"/>
  <c r="AX380" i="1" s="1"/>
  <c r="AW364" i="1"/>
  <c r="AW365" i="1" s="1"/>
  <c r="AW366" i="1" s="1"/>
  <c r="AU327" i="1"/>
  <c r="AU328" i="1" s="1"/>
  <c r="AS333" i="1"/>
  <c r="AW324" i="1"/>
  <c r="AU415" i="1" l="1"/>
  <c r="AU413" i="1"/>
  <c r="AU411" i="1"/>
  <c r="AS278" i="1"/>
  <c r="AS281" i="1" s="1"/>
  <c r="AW351" i="1"/>
  <c r="AW380" i="1"/>
  <c r="AW377" i="1"/>
  <c r="AV376" i="1"/>
  <c r="AV377" i="1" s="1"/>
  <c r="AV378" i="1" s="1"/>
  <c r="AU378" i="1"/>
  <c r="AU335" i="1"/>
  <c r="AU332" i="1"/>
  <c r="AY320" i="1"/>
  <c r="AY323" i="1" s="1"/>
  <c r="AU276" i="1" l="1"/>
  <c r="AU278" i="1" s="1"/>
  <c r="AU281" i="1" s="1"/>
  <c r="AV199" i="1"/>
  <c r="AY352" i="1"/>
  <c r="AY351" i="1" s="1"/>
  <c r="AZ364" i="1"/>
  <c r="AZ365" i="1" s="1"/>
  <c r="AZ366" i="1" s="1"/>
  <c r="AZ380" i="1" s="1"/>
  <c r="AY364" i="1"/>
  <c r="AY365" i="1" s="1"/>
  <c r="AY366" i="1" s="1"/>
  <c r="AW327" i="1"/>
  <c r="AW328" i="1" s="1"/>
  <c r="AY324" i="1"/>
  <c r="AU333" i="1"/>
  <c r="AW413" i="1" l="1"/>
  <c r="AW415" i="1"/>
  <c r="AW411" i="1"/>
  <c r="AU277" i="1"/>
  <c r="AU280" i="1" s="1"/>
  <c r="AY353" i="1"/>
  <c r="AY356" i="1" s="1"/>
  <c r="AY380" i="1"/>
  <c r="AY377" i="1"/>
  <c r="AX376" i="1"/>
  <c r="AX377" i="1" s="1"/>
  <c r="AX378" i="1" s="1"/>
  <c r="AW378" i="1"/>
  <c r="BA320" i="1"/>
  <c r="BA323" i="1" s="1"/>
  <c r="AW332" i="1"/>
  <c r="AW335" i="1"/>
  <c r="AW276" i="1" l="1"/>
  <c r="AW278" i="1" s="1"/>
  <c r="AW281" i="1" s="1"/>
  <c r="AX199" i="1"/>
  <c r="BB364" i="1"/>
  <c r="BB365" i="1" s="1"/>
  <c r="BB366" i="1" s="1"/>
  <c r="BB380" i="1" s="1"/>
  <c r="BA352" i="1"/>
  <c r="BA351" i="1" s="1"/>
  <c r="BA364" i="1"/>
  <c r="BA365" i="1" s="1"/>
  <c r="BA366" i="1" s="1"/>
  <c r="AW333" i="1"/>
  <c r="BA324" i="1"/>
  <c r="AY327" i="1"/>
  <c r="AY328" i="1" s="1"/>
  <c r="AY413" i="1" l="1"/>
  <c r="AY415" i="1"/>
  <c r="AY411" i="1"/>
  <c r="AW277" i="1"/>
  <c r="AW280" i="1" s="1"/>
  <c r="BA353" i="1"/>
  <c r="BA356" i="1" s="1"/>
  <c r="BA380" i="1"/>
  <c r="BA377" i="1"/>
  <c r="AZ376" i="1"/>
  <c r="AZ377" i="1" s="1"/>
  <c r="AZ378" i="1" s="1"/>
  <c r="AY378" i="1"/>
  <c r="AY332" i="1"/>
  <c r="AY335" i="1"/>
  <c r="BC320" i="1"/>
  <c r="BC323" i="1" s="1"/>
  <c r="AY276" i="1" l="1"/>
  <c r="AY278" i="1" s="1"/>
  <c r="AY281" i="1" s="1"/>
  <c r="AZ199" i="1"/>
  <c r="BC352" i="1"/>
  <c r="BC351" i="1" s="1"/>
  <c r="BD364" i="1"/>
  <c r="BD365" i="1" s="1"/>
  <c r="BD366" i="1" s="1"/>
  <c r="BD380" i="1" s="1"/>
  <c r="BC364" i="1"/>
  <c r="BC365" i="1" s="1"/>
  <c r="BC366" i="1" s="1"/>
  <c r="AY333" i="1"/>
  <c r="BC324" i="1"/>
  <c r="BA327" i="1"/>
  <c r="BA328" i="1" s="1"/>
  <c r="BA415" i="1" l="1"/>
  <c r="BA413" i="1"/>
  <c r="BA411" i="1"/>
  <c r="AY277" i="1"/>
  <c r="AY280" i="1" s="1"/>
  <c r="BC353" i="1"/>
  <c r="BC356" i="1" s="1"/>
  <c r="BC380" i="1"/>
  <c r="BC377" i="1"/>
  <c r="BB376" i="1"/>
  <c r="BB377" i="1" s="1"/>
  <c r="BB378" i="1" s="1"/>
  <c r="BA378" i="1"/>
  <c r="BE320" i="1"/>
  <c r="BE323" i="1" s="1"/>
  <c r="BA335" i="1"/>
  <c r="BA332" i="1"/>
  <c r="BA276" i="1" l="1"/>
  <c r="BA277" i="1" s="1"/>
  <c r="BA280" i="1" s="1"/>
  <c r="BB199" i="1"/>
  <c r="BE352" i="1"/>
  <c r="BE351" i="1" s="1"/>
  <c r="BF364" i="1"/>
  <c r="BF365" i="1" s="1"/>
  <c r="BF366" i="1" s="1"/>
  <c r="BF380" i="1" s="1"/>
  <c r="BE364" i="1"/>
  <c r="BE365" i="1" s="1"/>
  <c r="BE366" i="1" s="1"/>
  <c r="BC327" i="1"/>
  <c r="BC328" i="1" s="1"/>
  <c r="BA333" i="1"/>
  <c r="BE324" i="1"/>
  <c r="BC415" i="1" l="1"/>
  <c r="BC413" i="1"/>
  <c r="BC411" i="1"/>
  <c r="BA278" i="1"/>
  <c r="BA281" i="1" s="1"/>
  <c r="BE353" i="1"/>
  <c r="BE356" i="1" s="1"/>
  <c r="BE380" i="1"/>
  <c r="BE377" i="1"/>
  <c r="BD376" i="1"/>
  <c r="BD377" i="1" s="1"/>
  <c r="BD378" i="1" s="1"/>
  <c r="BC378" i="1"/>
  <c r="BG320" i="1"/>
  <c r="BG323" i="1" s="1"/>
  <c r="BC332" i="1"/>
  <c r="BC335" i="1"/>
  <c r="BC276" i="1" l="1"/>
  <c r="BC277" i="1" s="1"/>
  <c r="BC280" i="1" s="1"/>
  <c r="BD199" i="1"/>
  <c r="BG352" i="1"/>
  <c r="BG353" i="1" s="1"/>
  <c r="BG356" i="1" s="1"/>
  <c r="BH364" i="1"/>
  <c r="BH365" i="1" s="1"/>
  <c r="BH366" i="1" s="1"/>
  <c r="BH380" i="1" s="1"/>
  <c r="BG364" i="1"/>
  <c r="BG365" i="1" s="1"/>
  <c r="BG366" i="1" s="1"/>
  <c r="BC333" i="1"/>
  <c r="BE327" i="1"/>
  <c r="BE328" i="1" s="1"/>
  <c r="BG324" i="1"/>
  <c r="BE413" i="1" l="1"/>
  <c r="BE415" i="1"/>
  <c r="BE411" i="1"/>
  <c r="BC278" i="1"/>
  <c r="BC281" i="1" s="1"/>
  <c r="BG351" i="1"/>
  <c r="BG380" i="1"/>
  <c r="BG377" i="1"/>
  <c r="BF376" i="1"/>
  <c r="BF377" i="1" s="1"/>
  <c r="BF378" i="1" s="1"/>
  <c r="BE378" i="1"/>
  <c r="BE335" i="1"/>
  <c r="BE332" i="1"/>
  <c r="BI320" i="1"/>
  <c r="BI323" i="1" s="1"/>
  <c r="BE276" i="1" l="1"/>
  <c r="BE277" i="1" s="1"/>
  <c r="BE280" i="1" s="1"/>
  <c r="BF199" i="1"/>
  <c r="BI352" i="1"/>
  <c r="BI351" i="1" s="1"/>
  <c r="BJ364" i="1"/>
  <c r="BJ365" i="1" s="1"/>
  <c r="BJ366" i="1" s="1"/>
  <c r="BJ380" i="1" s="1"/>
  <c r="BI364" i="1"/>
  <c r="BI365" i="1" s="1"/>
  <c r="BI366" i="1" s="1"/>
  <c r="BE333" i="1"/>
  <c r="BG327" i="1"/>
  <c r="BG328" i="1" s="1"/>
  <c r="BI324" i="1"/>
  <c r="BG413" i="1" l="1"/>
  <c r="BG415" i="1"/>
  <c r="BG411" i="1"/>
  <c r="BE278" i="1"/>
  <c r="BE281" i="1" s="1"/>
  <c r="BI353" i="1"/>
  <c r="BI356" i="1" s="1"/>
  <c r="BI380" i="1"/>
  <c r="BI377" i="1"/>
  <c r="BH376" i="1"/>
  <c r="BH377" i="1" s="1"/>
  <c r="BH378" i="1" s="1"/>
  <c r="BG378" i="1"/>
  <c r="BG332" i="1"/>
  <c r="BG335" i="1"/>
  <c r="BK320" i="1"/>
  <c r="BK323" i="1" s="1"/>
  <c r="BG276" i="1" l="1"/>
  <c r="BG277" i="1" s="1"/>
  <c r="BG280" i="1" s="1"/>
  <c r="BH199" i="1"/>
  <c r="BL364" i="1"/>
  <c r="BL365" i="1" s="1"/>
  <c r="BL366" i="1" s="1"/>
  <c r="BL380" i="1" s="1"/>
  <c r="BK352" i="1"/>
  <c r="BK351" i="1" s="1"/>
  <c r="BK364" i="1"/>
  <c r="BK365" i="1" s="1"/>
  <c r="BK366" i="1" s="1"/>
  <c r="BK324" i="1"/>
  <c r="BG333" i="1"/>
  <c r="BI327" i="1"/>
  <c r="BI328" i="1" s="1"/>
  <c r="BI415" i="1" l="1"/>
  <c r="BI413" i="1"/>
  <c r="BI411" i="1"/>
  <c r="BG278" i="1"/>
  <c r="BG281" i="1" s="1"/>
  <c r="BK353" i="1"/>
  <c r="BK356" i="1" s="1"/>
  <c r="BK380" i="1"/>
  <c r="BK377" i="1"/>
  <c r="BJ376" i="1"/>
  <c r="BJ377" i="1" s="1"/>
  <c r="BJ378" i="1" s="1"/>
  <c r="BI378" i="1"/>
  <c r="BI335" i="1"/>
  <c r="BI332" i="1"/>
  <c r="BM320" i="1"/>
  <c r="BM323" i="1" s="1"/>
  <c r="BI276" i="1" l="1"/>
  <c r="BI278" i="1" s="1"/>
  <c r="BI281" i="1" s="1"/>
  <c r="BJ199" i="1"/>
  <c r="BM352" i="1"/>
  <c r="BM351" i="1" s="1"/>
  <c r="BN364" i="1"/>
  <c r="BN365" i="1" s="1"/>
  <c r="BN366" i="1" s="1"/>
  <c r="BN380" i="1" s="1"/>
  <c r="BM364" i="1"/>
  <c r="BM365" i="1" s="1"/>
  <c r="BM366" i="1" s="1"/>
  <c r="BM324" i="1"/>
  <c r="BI333" i="1"/>
  <c r="BK327" i="1"/>
  <c r="BK328" i="1" s="1"/>
  <c r="BK415" i="1" l="1"/>
  <c r="BK413" i="1"/>
  <c r="BK411" i="1"/>
  <c r="BI277" i="1"/>
  <c r="BI280" i="1" s="1"/>
  <c r="BM353" i="1"/>
  <c r="BM356" i="1" s="1"/>
  <c r="BM380" i="1"/>
  <c r="BM377" i="1"/>
  <c r="BL376" i="1"/>
  <c r="BL377" i="1" s="1"/>
  <c r="BL378" i="1" s="1"/>
  <c r="BK378" i="1"/>
  <c r="BK335" i="1"/>
  <c r="BK332" i="1"/>
  <c r="BO320" i="1"/>
  <c r="BO323" i="1" s="1"/>
  <c r="BK276" i="1" l="1"/>
  <c r="BK278" i="1" s="1"/>
  <c r="BK281" i="1" s="1"/>
  <c r="BL199" i="1"/>
  <c r="BO352" i="1"/>
  <c r="BO351" i="1" s="1"/>
  <c r="BP364" i="1"/>
  <c r="BP365" i="1" s="1"/>
  <c r="BP366" i="1" s="1"/>
  <c r="BP380" i="1" s="1"/>
  <c r="BO364" i="1"/>
  <c r="BO365" i="1" s="1"/>
  <c r="BO366" i="1" s="1"/>
  <c r="BM327" i="1"/>
  <c r="BM328" i="1" s="1"/>
  <c r="BK333" i="1"/>
  <c r="BO324" i="1"/>
  <c r="BM413" i="1" l="1"/>
  <c r="BM415" i="1"/>
  <c r="BM411" i="1"/>
  <c r="BK277" i="1"/>
  <c r="BK280" i="1" s="1"/>
  <c r="BO353" i="1"/>
  <c r="BO356" i="1" s="1"/>
  <c r="BO380" i="1"/>
  <c r="BO377" i="1"/>
  <c r="BN376" i="1"/>
  <c r="BN377" i="1" s="1"/>
  <c r="BN378" i="1" s="1"/>
  <c r="BM378" i="1"/>
  <c r="BM332" i="1"/>
  <c r="BM335" i="1"/>
  <c r="BQ320" i="1"/>
  <c r="BQ323" i="1" s="1"/>
  <c r="BM276" i="1" l="1"/>
  <c r="BM277" i="1" s="1"/>
  <c r="BM280" i="1" s="1"/>
  <c r="BN199" i="1"/>
  <c r="BQ352" i="1"/>
  <c r="BQ351" i="1" s="1"/>
  <c r="BR364" i="1"/>
  <c r="BR365" i="1" s="1"/>
  <c r="BR366" i="1" s="1"/>
  <c r="BR380" i="1" s="1"/>
  <c r="BQ364" i="1"/>
  <c r="BQ365" i="1" s="1"/>
  <c r="BQ366" i="1" s="1"/>
  <c r="BO327" i="1"/>
  <c r="BO328" i="1" s="1"/>
  <c r="BQ324" i="1"/>
  <c r="BM333" i="1"/>
  <c r="BO413" i="1" l="1"/>
  <c r="BO415" i="1"/>
  <c r="BO411" i="1"/>
  <c r="BM278" i="1"/>
  <c r="BM281" i="1" s="1"/>
  <c r="BQ353" i="1"/>
  <c r="BQ356" i="1" s="1"/>
  <c r="BQ380" i="1"/>
  <c r="BQ377" i="1"/>
  <c r="BP376" i="1"/>
  <c r="BP377" i="1" s="1"/>
  <c r="BP378" i="1" s="1"/>
  <c r="BO378" i="1"/>
  <c r="BS320" i="1"/>
  <c r="BS323" i="1" s="1"/>
  <c r="BO332" i="1"/>
  <c r="BO335" i="1"/>
  <c r="BO276" i="1" l="1"/>
  <c r="BO277" i="1" s="1"/>
  <c r="BO280" i="1" s="1"/>
  <c r="BP199" i="1"/>
  <c r="BS352" i="1"/>
  <c r="BS351" i="1" s="1"/>
  <c r="BT364" i="1"/>
  <c r="BT365" i="1" s="1"/>
  <c r="BT366" i="1" s="1"/>
  <c r="BT380" i="1" s="1"/>
  <c r="BS364" i="1"/>
  <c r="BS365" i="1" s="1"/>
  <c r="BS366" i="1" s="1"/>
  <c r="BO333" i="1"/>
  <c r="BS324" i="1"/>
  <c r="BQ327" i="1"/>
  <c r="BQ328" i="1" s="1"/>
  <c r="BQ415" i="1" l="1"/>
  <c r="BQ413" i="1"/>
  <c r="BQ411" i="1"/>
  <c r="BO278" i="1"/>
  <c r="BO281" i="1" s="1"/>
  <c r="BS353" i="1"/>
  <c r="BS356" i="1" s="1"/>
  <c r="BS380" i="1"/>
  <c r="BS377" i="1"/>
  <c r="BR376" i="1"/>
  <c r="BR377" i="1" s="1"/>
  <c r="BR378" i="1" s="1"/>
  <c r="BQ378" i="1"/>
  <c r="BQ332" i="1"/>
  <c r="BQ335" i="1"/>
  <c r="BU320" i="1"/>
  <c r="BU323" i="1" s="1"/>
  <c r="BQ276" i="1" l="1"/>
  <c r="BQ277" i="1" s="1"/>
  <c r="BQ280" i="1" s="1"/>
  <c r="BR199" i="1"/>
  <c r="BU352" i="1"/>
  <c r="BU351" i="1" s="1"/>
  <c r="BV364" i="1"/>
  <c r="BV365" i="1" s="1"/>
  <c r="BV366" i="1" s="1"/>
  <c r="BV380" i="1" s="1"/>
  <c r="BU364" i="1"/>
  <c r="BU365" i="1" s="1"/>
  <c r="BU366" i="1" s="1"/>
  <c r="BS327" i="1"/>
  <c r="BS328" i="1" s="1"/>
  <c r="BQ333" i="1"/>
  <c r="BU324" i="1"/>
  <c r="BS415" i="1" l="1"/>
  <c r="BS413" i="1"/>
  <c r="BS411" i="1"/>
  <c r="BQ278" i="1"/>
  <c r="BQ281" i="1" s="1"/>
  <c r="BU353" i="1"/>
  <c r="BU356" i="1" s="1"/>
  <c r="BU380" i="1"/>
  <c r="BU377" i="1"/>
  <c r="BT376" i="1"/>
  <c r="BT377" i="1" s="1"/>
  <c r="BT378" i="1" s="1"/>
  <c r="BS378" i="1"/>
  <c r="BS332" i="1"/>
  <c r="BS335" i="1"/>
  <c r="BW320" i="1"/>
  <c r="BW323" i="1" s="1"/>
  <c r="BS276" i="1" l="1"/>
  <c r="BS278" i="1" s="1"/>
  <c r="BS281" i="1" s="1"/>
  <c r="BT199" i="1"/>
  <c r="BW352" i="1"/>
  <c r="BW351" i="1" s="1"/>
  <c r="BX364" i="1"/>
  <c r="BX365" i="1" s="1"/>
  <c r="BX366" i="1" s="1"/>
  <c r="BX380" i="1" s="1"/>
  <c r="BW364" i="1"/>
  <c r="BW365" i="1" s="1"/>
  <c r="BW366" i="1" s="1"/>
  <c r="BW324" i="1"/>
  <c r="BS333" i="1"/>
  <c r="BU327" i="1"/>
  <c r="BU328" i="1" s="1"/>
  <c r="BU413" i="1" l="1"/>
  <c r="BU415" i="1"/>
  <c r="BU411" i="1"/>
  <c r="BS277" i="1"/>
  <c r="BS280" i="1" s="1"/>
  <c r="BW353" i="1"/>
  <c r="BW356" i="1" s="1"/>
  <c r="BW380" i="1"/>
  <c r="BW377" i="1"/>
  <c r="BV376" i="1"/>
  <c r="BV377" i="1" s="1"/>
  <c r="BV378" i="1" s="1"/>
  <c r="BU378" i="1"/>
  <c r="BU332" i="1"/>
  <c r="BU335" i="1"/>
  <c r="BY320" i="1"/>
  <c r="BY323" i="1" s="1"/>
  <c r="BU276" i="1" l="1"/>
  <c r="BU278" i="1" s="1"/>
  <c r="BU281" i="1" s="1"/>
  <c r="BV199" i="1"/>
  <c r="BZ364" i="1"/>
  <c r="BZ365" i="1" s="1"/>
  <c r="BZ366" i="1" s="1"/>
  <c r="BZ380" i="1" s="1"/>
  <c r="BY352" i="1"/>
  <c r="BY351" i="1" s="1"/>
  <c r="BY364" i="1"/>
  <c r="BY365" i="1" s="1"/>
  <c r="BY366" i="1" s="1"/>
  <c r="BW327" i="1"/>
  <c r="BW328" i="1" s="1"/>
  <c r="BY324" i="1"/>
  <c r="BU333" i="1"/>
  <c r="BW413" i="1" l="1"/>
  <c r="BW415" i="1"/>
  <c r="BW411" i="1"/>
  <c r="BU277" i="1"/>
  <c r="BU280" i="1" s="1"/>
  <c r="BY353" i="1"/>
  <c r="BY356" i="1" s="1"/>
  <c r="BY380" i="1"/>
  <c r="BY377" i="1"/>
  <c r="BX376" i="1"/>
  <c r="BX377" i="1" s="1"/>
  <c r="BX378" i="1" s="1"/>
  <c r="BW378" i="1"/>
  <c r="BW332" i="1"/>
  <c r="BW335" i="1"/>
  <c r="BW276" i="1" l="1"/>
  <c r="BW278" i="1" s="1"/>
  <c r="BW281" i="1" s="1"/>
  <c r="BX199" i="1"/>
  <c r="BW333" i="1"/>
  <c r="BY327" i="1"/>
  <c r="BY328" i="1" s="1"/>
  <c r="BY415" i="1" l="1"/>
  <c r="BY413" i="1"/>
  <c r="BY411" i="1"/>
  <c r="BW277" i="1"/>
  <c r="BW280" i="1" s="1"/>
  <c r="BZ376" i="1"/>
  <c r="BZ377" i="1" s="1"/>
  <c r="BZ378" i="1" s="1"/>
  <c r="BY378" i="1"/>
  <c r="BY335" i="1"/>
  <c r="BY332" i="1"/>
  <c r="BY276" i="1" l="1"/>
  <c r="BY277" i="1" s="1"/>
  <c r="BY280" i="1" s="1"/>
  <c r="BZ199" i="1"/>
  <c r="BY333" i="1"/>
  <c r="CC312" i="1"/>
  <c r="CC311" i="1"/>
  <c r="CA311" i="1"/>
  <c r="CA320" i="1"/>
  <c r="CA323" i="1" s="1"/>
  <c r="CA312" i="1"/>
  <c r="BY278" i="1" l="1"/>
  <c r="BY281" i="1" s="1"/>
  <c r="CA315" i="1"/>
  <c r="CA349" i="1" s="1"/>
  <c r="CA348" i="1" s="1"/>
  <c r="CB364" i="1"/>
  <c r="CA352" i="1"/>
  <c r="CA351" i="1" s="1"/>
  <c r="CA364" i="1"/>
  <c r="CC320" i="1"/>
  <c r="CC323" i="1" s="1"/>
  <c r="CC315" i="1"/>
  <c r="CA324" i="1" l="1"/>
  <c r="CA363" i="1"/>
  <c r="CA365" i="1" s="1"/>
  <c r="CA366" i="1" s="1"/>
  <c r="CA380" i="1" s="1"/>
  <c r="CB363" i="1"/>
  <c r="CB365" i="1" s="1"/>
  <c r="CB366" i="1" s="1"/>
  <c r="CB380" i="1" s="1"/>
  <c r="CA353" i="1"/>
  <c r="CD363" i="1"/>
  <c r="CC349" i="1"/>
  <c r="CC348" i="1" s="1"/>
  <c r="CC363" i="1"/>
  <c r="CC352" i="1"/>
  <c r="CC351" i="1" s="1"/>
  <c r="CD364" i="1"/>
  <c r="CC364" i="1"/>
  <c r="CC324" i="1"/>
  <c r="CA356" i="1" l="1"/>
  <c r="CE356" i="1"/>
  <c r="CC365" i="1"/>
  <c r="CC366" i="1" s="1"/>
  <c r="CC380" i="1" s="1"/>
  <c r="CD365" i="1"/>
  <c r="CD366" i="1" s="1"/>
  <c r="CD380" i="1" s="1"/>
  <c r="CA377" i="1"/>
  <c r="CA327" i="1" s="1"/>
  <c r="CA328" i="1" s="1"/>
  <c r="CC353" i="1"/>
  <c r="CA415" i="1" l="1"/>
  <c r="CA413" i="1"/>
  <c r="CA411" i="1"/>
  <c r="CC356" i="1"/>
  <c r="CG356" i="1"/>
  <c r="CC377" i="1"/>
  <c r="CC327" i="1" s="1"/>
  <c r="CC328" i="1" s="1"/>
  <c r="CB376" i="1"/>
  <c r="CB377" i="1" s="1"/>
  <c r="CB378" i="1" s="1"/>
  <c r="CA378" i="1"/>
  <c r="CA335" i="1"/>
  <c r="CA332" i="1"/>
  <c r="CC413" i="1" l="1"/>
  <c r="CC415" i="1"/>
  <c r="CC411" i="1"/>
  <c r="CA276" i="1"/>
  <c r="CA277" i="1" s="1"/>
  <c r="CA280" i="1" s="1"/>
  <c r="CB199" i="1"/>
  <c r="CD376" i="1"/>
  <c r="CD377" i="1" s="1"/>
  <c r="CD378" i="1" s="1"/>
  <c r="CC378" i="1"/>
  <c r="CC332" i="1"/>
  <c r="CC335" i="1"/>
  <c r="CA333" i="1"/>
  <c r="CA278" i="1" l="1"/>
  <c r="CA281" i="1" s="1"/>
  <c r="CC276" i="1"/>
  <c r="CC277" i="1" s="1"/>
  <c r="CC280" i="1" s="1"/>
  <c r="CD199" i="1"/>
  <c r="CC333" i="1"/>
  <c r="CC278" i="1" l="1"/>
  <c r="CC281" i="1" s="1"/>
  <c r="CE251" i="1"/>
  <c r="CD251" i="1"/>
  <c r="CC251" i="1"/>
  <c r="CB251" i="1"/>
  <c r="Y251" i="1"/>
  <c r="CI312" i="1" l="1"/>
  <c r="CI320" i="1"/>
  <c r="CI323" i="1" s="1"/>
  <c r="CI311" i="1"/>
  <c r="CJ364" i="1" l="1"/>
  <c r="CI315" i="1"/>
  <c r="CI364" i="1"/>
  <c r="CJ363" i="1" l="1"/>
  <c r="CJ365" i="1" s="1"/>
  <c r="CJ366" i="1" s="1"/>
  <c r="CJ380" i="1" s="1"/>
  <c r="CI324" i="1"/>
  <c r="CI363" i="1"/>
  <c r="CI365" i="1" s="1"/>
  <c r="CI366" i="1" s="1"/>
  <c r="CI380" i="1" s="1"/>
  <c r="CI353" i="1" l="1"/>
  <c r="CI356" i="1" s="1"/>
  <c r="CI377" i="1"/>
  <c r="CI327" i="1" s="1"/>
  <c r="CI328" i="1" s="1"/>
  <c r="CI415" i="1" l="1"/>
  <c r="CI413" i="1"/>
  <c r="CI411" i="1"/>
  <c r="CI378" i="1"/>
  <c r="CJ376" i="1"/>
  <c r="CJ377" i="1" s="1"/>
  <c r="CI335" i="1"/>
  <c r="CI332" i="1"/>
  <c r="CI276" i="1" l="1"/>
  <c r="CI278" i="1" s="1"/>
  <c r="CI281" i="1" s="1"/>
  <c r="CJ199" i="1"/>
  <c r="CJ378" i="1"/>
  <c r="CI333" i="1"/>
  <c r="CI277" i="1" l="1"/>
  <c r="CI280" i="1" s="1"/>
  <c r="CJ335" i="1"/>
  <c r="CJ276" i="1" l="1"/>
  <c r="CJ277" i="1" s="1"/>
  <c r="CJ280" i="1" s="1"/>
  <c r="CK199" i="1"/>
  <c r="CJ278" i="1" l="1"/>
  <c r="CJ281" i="1" s="1"/>
  <c r="CN420" i="1"/>
  <c r="CM420" i="1"/>
  <c r="CN398" i="1"/>
  <c r="CM398" i="1"/>
  <c r="CM313" i="1" l="1"/>
  <c r="CN312" i="1"/>
  <c r="CN172" i="1"/>
  <c r="CN190" i="1" s="1"/>
  <c r="CN311" i="1"/>
  <c r="CN320" i="1"/>
  <c r="CM320" i="1"/>
  <c r="CN319" i="1"/>
  <c r="CN313" i="1"/>
  <c r="CM312" i="1"/>
  <c r="CM172" i="1"/>
  <c r="CM190" i="1" s="1"/>
  <c r="CM319" i="1"/>
  <c r="CM311" i="1"/>
  <c r="CN279" i="1" l="1"/>
  <c r="CM279" i="1"/>
  <c r="CN191" i="1"/>
  <c r="CN192" i="1"/>
  <c r="CN59" i="1"/>
  <c r="CN193" i="1"/>
  <c r="CM192" i="1"/>
  <c r="CM59" i="1"/>
  <c r="CM191" i="1"/>
  <c r="CM193" i="1"/>
  <c r="CM171" i="1"/>
  <c r="CR420" i="1"/>
  <c r="CQ420" i="1"/>
  <c r="CM323" i="1"/>
  <c r="CN171" i="1"/>
  <c r="CN174" i="1"/>
  <c r="CN315" i="1"/>
  <c r="CM315" i="1"/>
  <c r="CN323" i="1"/>
  <c r="CM174" i="1"/>
  <c r="CR398" i="1"/>
  <c r="CQ398" i="1"/>
  <c r="CP420" i="1"/>
  <c r="CN175" i="1"/>
  <c r="CM175" i="1"/>
  <c r="CP398" i="1"/>
  <c r="CN364" i="1" l="1"/>
  <c r="CN324" i="1"/>
  <c r="CM324" i="1"/>
  <c r="CN363" i="1"/>
  <c r="CR319" i="1"/>
  <c r="CR172" i="1"/>
  <c r="CR190" i="1" s="1"/>
  <c r="CR196" i="1" s="1"/>
  <c r="CR311" i="1"/>
  <c r="CR312" i="1"/>
  <c r="CR313" i="1"/>
  <c r="CR320" i="1"/>
  <c r="CQ313" i="1"/>
  <c r="CQ312" i="1"/>
  <c r="CQ319" i="1"/>
  <c r="CQ320" i="1"/>
  <c r="CQ311" i="1"/>
  <c r="CQ172" i="1"/>
  <c r="CQ190" i="1" s="1"/>
  <c r="CM364" i="1"/>
  <c r="CP312" i="1"/>
  <c r="AB312" i="1" s="1"/>
  <c r="CP311" i="1"/>
  <c r="CP319" i="1"/>
  <c r="CP172" i="1"/>
  <c r="CP190" i="1" s="1"/>
  <c r="CP320" i="1"/>
  <c r="AB320" i="1" s="1"/>
  <c r="CP313" i="1"/>
  <c r="AB313" i="1" s="1"/>
  <c r="CT420" i="1"/>
  <c r="CM363" i="1"/>
  <c r="CQ192" i="1" l="1"/>
  <c r="CQ59" i="1"/>
  <c r="CQ191" i="1"/>
  <c r="CQ193" i="1"/>
  <c r="CR59" i="1"/>
  <c r="CR191" i="1"/>
  <c r="CR192" i="1"/>
  <c r="CR193" i="1"/>
  <c r="CP191" i="1"/>
  <c r="CP192" i="1"/>
  <c r="CP59" i="1"/>
  <c r="CP171" i="1"/>
  <c r="CU420" i="1"/>
  <c r="CU398" i="1"/>
  <c r="CR315" i="1"/>
  <c r="CQ323" i="1"/>
  <c r="CN365" i="1"/>
  <c r="CR323" i="1"/>
  <c r="CR174" i="1"/>
  <c r="CR175" i="1"/>
  <c r="CR171" i="1"/>
  <c r="CV420" i="1"/>
  <c r="CV398" i="1"/>
  <c r="CQ171" i="1"/>
  <c r="CQ174" i="1"/>
  <c r="CQ315" i="1"/>
  <c r="CQ175" i="1"/>
  <c r="CM365" i="1"/>
  <c r="AB311" i="1"/>
  <c r="CP315" i="1"/>
  <c r="CU311" i="1"/>
  <c r="CU172" i="1"/>
  <c r="CU190" i="1" s="1"/>
  <c r="CU319" i="1"/>
  <c r="CY420" i="1"/>
  <c r="CU312" i="1"/>
  <c r="CU320" i="1"/>
  <c r="CU313" i="1"/>
  <c r="CP174" i="1"/>
  <c r="CT398" i="1"/>
  <c r="AB319" i="1"/>
  <c r="AB323" i="1" s="1"/>
  <c r="CP323" i="1"/>
  <c r="CU192" i="1" l="1"/>
  <c r="CU59" i="1"/>
  <c r="CU191" i="1"/>
  <c r="CU171" i="1"/>
  <c r="CQ364" i="1"/>
  <c r="CV311" i="1"/>
  <c r="CV172" i="1"/>
  <c r="CV190" i="1" s="1"/>
  <c r="CV319" i="1"/>
  <c r="CR364" i="1"/>
  <c r="CR324" i="1"/>
  <c r="CV313" i="1"/>
  <c r="CV312" i="1"/>
  <c r="CV320" i="1"/>
  <c r="CR363" i="1"/>
  <c r="CQ324" i="1"/>
  <c r="CU323" i="1"/>
  <c r="CU174" i="1"/>
  <c r="CT311" i="1"/>
  <c r="CT320" i="1"/>
  <c r="AC320" i="1" s="1"/>
  <c r="CT172" i="1"/>
  <c r="CT190" i="1" s="1"/>
  <c r="CT312" i="1"/>
  <c r="AC312" i="1" s="1"/>
  <c r="CT319" i="1"/>
  <c r="CT313" i="1"/>
  <c r="AC313" i="1" s="1"/>
  <c r="CU315" i="1"/>
  <c r="CQ363" i="1"/>
  <c r="CP324" i="1"/>
  <c r="CY398" i="1"/>
  <c r="AB364" i="1"/>
  <c r="AB315" i="1"/>
  <c r="CU193" i="1" l="1"/>
  <c r="CV191" i="1"/>
  <c r="CV59" i="1"/>
  <c r="CV192" i="1"/>
  <c r="CV193" i="1"/>
  <c r="CT191" i="1"/>
  <c r="CT192" i="1"/>
  <c r="CT59" i="1"/>
  <c r="CT171" i="1"/>
  <c r="CV174" i="1"/>
  <c r="CQ365" i="1"/>
  <c r="CV315" i="1"/>
  <c r="CV363" i="1" s="1"/>
  <c r="CV171" i="1"/>
  <c r="CV175" i="1"/>
  <c r="CV323" i="1"/>
  <c r="CZ420" i="1"/>
  <c r="CZ398" i="1"/>
  <c r="CZ320" i="1"/>
  <c r="CR365" i="1"/>
  <c r="CX420" i="1"/>
  <c r="CT315" i="1"/>
  <c r="AC311" i="1"/>
  <c r="AB324" i="1"/>
  <c r="AB363" i="1"/>
  <c r="AB365" i="1" s="1"/>
  <c r="CT323" i="1"/>
  <c r="AC319" i="1"/>
  <c r="AC323" i="1" s="1"/>
  <c r="CT174" i="1"/>
  <c r="CX398" i="1"/>
  <c r="CY312" i="1"/>
  <c r="CY172" i="1"/>
  <c r="CY190" i="1" s="1"/>
  <c r="CY320" i="1"/>
  <c r="CY313" i="1"/>
  <c r="CY319" i="1"/>
  <c r="CY311" i="1"/>
  <c r="CU324" i="1"/>
  <c r="CU175" i="1"/>
  <c r="CY192" i="1" l="1"/>
  <c r="CY59" i="1"/>
  <c r="CY191" i="1"/>
  <c r="CY171" i="1"/>
  <c r="CZ311" i="1"/>
  <c r="CZ319" i="1"/>
  <c r="CZ323" i="1" s="1"/>
  <c r="CZ313" i="1"/>
  <c r="CZ312" i="1"/>
  <c r="CZ172" i="1"/>
  <c r="CZ190" i="1" s="1"/>
  <c r="CV324" i="1"/>
  <c r="CV364" i="1"/>
  <c r="CV365" i="1" s="1"/>
  <c r="CU364" i="1"/>
  <c r="AC315" i="1"/>
  <c r="CT324" i="1"/>
  <c r="CU363" i="1"/>
  <c r="CY315" i="1"/>
  <c r="CY323" i="1"/>
  <c r="CX311" i="1"/>
  <c r="CX312" i="1"/>
  <c r="AD312" i="1" s="1"/>
  <c r="CX172" i="1"/>
  <c r="CX190" i="1" s="1"/>
  <c r="CX320" i="1"/>
  <c r="AD320" i="1" s="1"/>
  <c r="CX319" i="1"/>
  <c r="CX313" i="1"/>
  <c r="AD313" i="1" s="1"/>
  <c r="CY174" i="1"/>
  <c r="AC364" i="1"/>
  <c r="CX191" i="1" l="1"/>
  <c r="CX192" i="1"/>
  <c r="CX59" i="1"/>
  <c r="CY193" i="1"/>
  <c r="CZ59" i="1"/>
  <c r="CZ191" i="1"/>
  <c r="CZ192" i="1"/>
  <c r="CZ193" i="1"/>
  <c r="CY175" i="1"/>
  <c r="CZ315" i="1"/>
  <c r="CZ171" i="1"/>
  <c r="CZ174" i="1"/>
  <c r="CZ175" i="1"/>
  <c r="CZ364" i="1"/>
  <c r="DB420" i="1"/>
  <c r="CU365" i="1"/>
  <c r="AD319" i="1"/>
  <c r="AD323" i="1" s="1"/>
  <c r="CX323" i="1"/>
  <c r="CY324" i="1"/>
  <c r="CX174" i="1"/>
  <c r="AC324" i="1"/>
  <c r="AC363" i="1"/>
  <c r="AC365" i="1" s="1"/>
  <c r="DB398" i="1"/>
  <c r="AD311" i="1"/>
  <c r="CX315" i="1"/>
  <c r="CX171" i="1"/>
  <c r="CZ363" i="1" l="1"/>
  <c r="CZ365" i="1" s="1"/>
  <c r="CZ324" i="1"/>
  <c r="CY363" i="1"/>
  <c r="CX324" i="1"/>
  <c r="CY364" i="1"/>
  <c r="AD364" i="1"/>
  <c r="AD315" i="1"/>
  <c r="DB312" i="1"/>
  <c r="AE312" i="1" s="1"/>
  <c r="DB172" i="1"/>
  <c r="DB190" i="1" s="1"/>
  <c r="DB311" i="1"/>
  <c r="DB320" i="1"/>
  <c r="AE320" i="1" s="1"/>
  <c r="DB313" i="1"/>
  <c r="AE313" i="1" s="1"/>
  <c r="DB319" i="1"/>
  <c r="DB191" i="1" l="1"/>
  <c r="DB192" i="1"/>
  <c r="DB59" i="1"/>
  <c r="DB171" i="1"/>
  <c r="DB174" i="1"/>
  <c r="CY365" i="1"/>
  <c r="AD324" i="1"/>
  <c r="AD363" i="1"/>
  <c r="AD365" i="1" s="1"/>
  <c r="DB315" i="1"/>
  <c r="AE311" i="1"/>
  <c r="AE319" i="1"/>
  <c r="AE323" i="1" s="1"/>
  <c r="DB323" i="1"/>
  <c r="AE315" i="1" l="1"/>
  <c r="DB324" i="1"/>
  <c r="AE364" i="1"/>
  <c r="AE324" i="1" l="1"/>
  <c r="AE363" i="1"/>
  <c r="AE365" i="1" s="1"/>
  <c r="CJ45" i="1" l="1"/>
  <c r="CJ30" i="1" s="1"/>
  <c r="CJ29" i="1" s="1"/>
  <c r="CJ32" i="1" s="1"/>
  <c r="DB196" i="1"/>
  <c r="CZ196" i="1"/>
  <c r="CY196" i="1"/>
  <c r="CX196" i="1"/>
  <c r="CV196" i="1"/>
  <c r="CU196" i="1"/>
  <c r="CT196" i="1"/>
  <c r="CQ196" i="1"/>
  <c r="CP196" i="1"/>
  <c r="CN196" i="1"/>
  <c r="CM196" i="1"/>
  <c r="CZ417" i="1"/>
  <c r="CZ418" i="1" s="1"/>
  <c r="CZ399" i="1"/>
  <c r="CZ400" i="1" s="1"/>
  <c r="CQ417" i="1"/>
  <c r="CQ418" i="1" s="1"/>
  <c r="CQ399" i="1"/>
  <c r="CQ400" i="1" s="1"/>
  <c r="CU417" i="1"/>
  <c r="CU418" i="1" s="1"/>
  <c r="CU399" i="1"/>
  <c r="CU400" i="1" s="1"/>
  <c r="CM399" i="1"/>
  <c r="CM400" i="1" s="1"/>
  <c r="CM417" i="1"/>
  <c r="CM418" i="1" s="1"/>
  <c r="CY417" i="1"/>
  <c r="CY418" i="1" s="1"/>
  <c r="CY399" i="1"/>
  <c r="CY400" i="1" s="1"/>
  <c r="CP399" i="1"/>
  <c r="CP400" i="1" s="1"/>
  <c r="CT399" i="1"/>
  <c r="CT400" i="1" s="1"/>
  <c r="CX399" i="1"/>
  <c r="CX400" i="1" s="1"/>
  <c r="DB399" i="1"/>
  <c r="DB400" i="1" s="1"/>
  <c r="CN399" i="1"/>
  <c r="CN400" i="1" s="1"/>
  <c r="CN417" i="1"/>
  <c r="CN418" i="1" s="1"/>
  <c r="CR399" i="1"/>
  <c r="CR400" i="1" s="1"/>
  <c r="CR417" i="1"/>
  <c r="CR418" i="1" s="1"/>
  <c r="CV417" i="1"/>
  <c r="CV418" i="1" s="1"/>
  <c r="CV399" i="1"/>
  <c r="CV400" i="1" s="1"/>
  <c r="CJ46" i="1" l="1"/>
  <c r="CO164" i="1" l="1"/>
  <c r="CO45" i="1" s="1"/>
  <c r="CN260" i="1"/>
  <c r="CN261" i="1" s="1"/>
  <c r="CN264" i="1" s="1"/>
  <c r="CM260" i="1"/>
  <c r="CM261" i="1" s="1"/>
  <c r="CM264" i="1" s="1"/>
  <c r="CK419" i="1"/>
  <c r="CK420" i="1"/>
  <c r="CK398" i="1"/>
  <c r="CO46" i="1" l="1"/>
  <c r="CO30" i="1"/>
  <c r="CO188" i="1"/>
  <c r="CO180" i="1" s="1"/>
  <c r="AB180" i="1" s="1"/>
  <c r="AB188" i="1" s="1"/>
  <c r="CO166" i="1"/>
  <c r="CS164" i="1"/>
  <c r="CS45" i="1" s="1"/>
  <c r="AB164" i="1"/>
  <c r="CO260" i="1"/>
  <c r="CO261" i="1" s="1"/>
  <c r="CO264" i="1" s="1"/>
  <c r="CP260" i="1"/>
  <c r="CP261" i="1" s="1"/>
  <c r="CP264" i="1" s="1"/>
  <c r="CR260" i="1"/>
  <c r="CR261" i="1" s="1"/>
  <c r="CR264" i="1" s="1"/>
  <c r="CO420" i="1"/>
  <c r="CO398" i="1"/>
  <c r="CQ260" i="1"/>
  <c r="CQ261" i="1" s="1"/>
  <c r="CQ264" i="1" s="1"/>
  <c r="CK319" i="1"/>
  <c r="CK392" i="1"/>
  <c r="CK311" i="1"/>
  <c r="CK320" i="1"/>
  <c r="CK313" i="1"/>
  <c r="CK312" i="1"/>
  <c r="CM392" i="1"/>
  <c r="CN392" i="1"/>
  <c r="CS46" i="1" l="1"/>
  <c r="CS30" i="1"/>
  <c r="CS188" i="1"/>
  <c r="CS180" i="1" s="1"/>
  <c r="AC180" i="1" s="1"/>
  <c r="AC188" i="1" s="1"/>
  <c r="CS166" i="1"/>
  <c r="CW164" i="1"/>
  <c r="CW45" i="1" s="1"/>
  <c r="CS260" i="1"/>
  <c r="CS261" i="1" s="1"/>
  <c r="CS264" i="1" s="1"/>
  <c r="CS420" i="1"/>
  <c r="CS398" i="1"/>
  <c r="CU260" i="1"/>
  <c r="CU261" i="1" s="1"/>
  <c r="CU264" i="1" s="1"/>
  <c r="AC164" i="1"/>
  <c r="CV260" i="1"/>
  <c r="CV261" i="1" s="1"/>
  <c r="CV264" i="1" s="1"/>
  <c r="CT260" i="1"/>
  <c r="CT261" i="1" s="1"/>
  <c r="CT264" i="1" s="1"/>
  <c r="CO168" i="1"/>
  <c r="CP168" i="1"/>
  <c r="CO311" i="1"/>
  <c r="CO312" i="1"/>
  <c r="CO172" i="1"/>
  <c r="CO171" i="1" s="1"/>
  <c r="AB171" i="1" s="1"/>
  <c r="CO313" i="1"/>
  <c r="CO392" i="1"/>
  <c r="CO319" i="1"/>
  <c r="CO320" i="1"/>
  <c r="CR392" i="1"/>
  <c r="CQ392" i="1"/>
  <c r="CP392" i="1"/>
  <c r="CM393" i="1"/>
  <c r="CK399" i="1"/>
  <c r="CK400" i="1" s="1"/>
  <c r="CK393" i="1"/>
  <c r="CK417" i="1"/>
  <c r="CK418" i="1" s="1"/>
  <c r="CN393" i="1"/>
  <c r="AB420" i="1"/>
  <c r="AB166" i="1"/>
  <c r="AB189" i="1" s="1"/>
  <c r="AB350" i="1"/>
  <c r="AB347" i="1"/>
  <c r="AB346" i="1"/>
  <c r="AB352" i="1"/>
  <c r="AB349" i="1"/>
  <c r="CK323" i="1"/>
  <c r="CL364" i="1" s="1"/>
  <c r="CK315" i="1"/>
  <c r="CL363" i="1" s="1"/>
  <c r="CL365" i="1" l="1"/>
  <c r="CL366" i="1" s="1"/>
  <c r="CL380" i="1" s="1"/>
  <c r="CW46" i="1"/>
  <c r="CW30" i="1"/>
  <c r="CO174" i="1"/>
  <c r="AB351" i="1"/>
  <c r="CO315" i="1"/>
  <c r="CP363" i="1" s="1"/>
  <c r="AB355" i="1"/>
  <c r="CO323" i="1"/>
  <c r="CW188" i="1"/>
  <c r="CW180" i="1" s="1"/>
  <c r="AD180" i="1" s="1"/>
  <c r="AD188" i="1" s="1"/>
  <c r="CW166" i="1"/>
  <c r="DA164" i="1"/>
  <c r="DA45" i="1" s="1"/>
  <c r="CW420" i="1"/>
  <c r="CW260" i="1"/>
  <c r="CW261" i="1" s="1"/>
  <c r="CW264" i="1" s="1"/>
  <c r="CW398" i="1"/>
  <c r="CX260" i="1"/>
  <c r="CX261" i="1" s="1"/>
  <c r="CX264" i="1" s="1"/>
  <c r="CZ260" i="1"/>
  <c r="CZ261" i="1" s="1"/>
  <c r="CZ264" i="1" s="1"/>
  <c r="AD164" i="1"/>
  <c r="CY260" i="1"/>
  <c r="CY261" i="1" s="1"/>
  <c r="CY264" i="1" s="1"/>
  <c r="CS168" i="1"/>
  <c r="CT168" i="1"/>
  <c r="CS172" i="1"/>
  <c r="CS171" i="1" s="1"/>
  <c r="AC171" i="1" s="1"/>
  <c r="CS313" i="1"/>
  <c r="CS319" i="1"/>
  <c r="CS392" i="1"/>
  <c r="CS312" i="1"/>
  <c r="CS311" i="1"/>
  <c r="CS320" i="1"/>
  <c r="CU392" i="1"/>
  <c r="CT392" i="1"/>
  <c r="CV392" i="1"/>
  <c r="AB167" i="1"/>
  <c r="AB348" i="1"/>
  <c r="AB353" i="1"/>
  <c r="AB356" i="1" s="1"/>
  <c r="AB260" i="1"/>
  <c r="AB261" i="1" s="1"/>
  <c r="AB264" i="1" s="1"/>
  <c r="AB220" i="1"/>
  <c r="AB172" i="1"/>
  <c r="AB174" i="1" s="1"/>
  <c r="CO190" i="1"/>
  <c r="CO175" i="1"/>
  <c r="CP175" i="1"/>
  <c r="AC420" i="1"/>
  <c r="AC166" i="1"/>
  <c r="AC347" i="1"/>
  <c r="AC350" i="1"/>
  <c r="AC352" i="1"/>
  <c r="AC346" i="1"/>
  <c r="AC349" i="1"/>
  <c r="CK363" i="1"/>
  <c r="CK324" i="1"/>
  <c r="CK364" i="1"/>
  <c r="DA46" i="1" l="1"/>
  <c r="DA30" i="1"/>
  <c r="CR279" i="1"/>
  <c r="CQ279" i="1"/>
  <c r="CO279" i="1"/>
  <c r="CP279" i="1"/>
  <c r="AB357" i="1"/>
  <c r="CO324" i="1"/>
  <c r="CO363" i="1"/>
  <c r="AC351" i="1"/>
  <c r="CK401" i="1"/>
  <c r="CK394" i="1"/>
  <c r="CK412" i="1"/>
  <c r="CS190" i="1"/>
  <c r="CS175" i="1"/>
  <c r="CS174" i="1"/>
  <c r="CT175" i="1"/>
  <c r="AC353" i="1"/>
  <c r="AC356" i="1" s="1"/>
  <c r="AC348" i="1"/>
  <c r="DA166" i="1"/>
  <c r="DA188" i="1"/>
  <c r="DA180" i="1" s="1"/>
  <c r="AE180" i="1" s="1"/>
  <c r="AE188" i="1" s="1"/>
  <c r="DA420" i="1"/>
  <c r="DA260" i="1"/>
  <c r="DA261" i="1" s="1"/>
  <c r="DA264" i="1" s="1"/>
  <c r="DA398" i="1"/>
  <c r="DB260" i="1"/>
  <c r="DB261" i="1" s="1"/>
  <c r="DB264" i="1" s="1"/>
  <c r="AE164" i="1"/>
  <c r="CO364" i="1"/>
  <c r="CP364" i="1"/>
  <c r="CP365" i="1" s="1"/>
  <c r="CK365" i="1"/>
  <c r="AC260" i="1"/>
  <c r="AC261" i="1" s="1"/>
  <c r="AC264" i="1" s="1"/>
  <c r="AC167" i="1"/>
  <c r="AC355" i="1"/>
  <c r="AC172" i="1"/>
  <c r="AC174" i="1" s="1"/>
  <c r="AC220" i="1"/>
  <c r="CO191" i="1"/>
  <c r="CO59" i="1"/>
  <c r="CO192" i="1"/>
  <c r="CO193" i="1"/>
  <c r="CP193" i="1"/>
  <c r="CO196" i="1"/>
  <c r="CO399" i="1"/>
  <c r="CO400" i="1" s="1"/>
  <c r="CO393" i="1"/>
  <c r="CP417" i="1"/>
  <c r="CP418" i="1" s="1"/>
  <c r="CR393" i="1"/>
  <c r="CO417" i="1"/>
  <c r="CO418" i="1" s="1"/>
  <c r="CP393" i="1"/>
  <c r="CQ393" i="1"/>
  <c r="AC189" i="1"/>
  <c r="CS323" i="1"/>
  <c r="CX168" i="1"/>
  <c r="CW168" i="1"/>
  <c r="CW392" i="1"/>
  <c r="CW319" i="1"/>
  <c r="CW320" i="1"/>
  <c r="CW313" i="1"/>
  <c r="CW172" i="1"/>
  <c r="CW171" i="1" s="1"/>
  <c r="AD171" i="1" s="1"/>
  <c r="CW311" i="1"/>
  <c r="CW312" i="1"/>
  <c r="CX392" i="1"/>
  <c r="CY392" i="1"/>
  <c r="CZ392" i="1"/>
  <c r="AB221" i="1"/>
  <c r="AB173" i="1"/>
  <c r="AB190" i="1"/>
  <c r="CS315" i="1"/>
  <c r="AD420" i="1"/>
  <c r="AD166" i="1"/>
  <c r="AD350" i="1"/>
  <c r="AD347" i="1"/>
  <c r="AD346" i="1"/>
  <c r="AD352" i="1"/>
  <c r="AD349" i="1"/>
  <c r="CV279" i="1" l="1"/>
  <c r="CT279" i="1"/>
  <c r="CU279" i="1"/>
  <c r="CS279" i="1"/>
  <c r="CO365" i="1"/>
  <c r="CW323" i="1"/>
  <c r="CX364" i="1" s="1"/>
  <c r="AD172" i="1"/>
  <c r="AD173" i="1" s="1"/>
  <c r="CW315" i="1"/>
  <c r="AC357" i="1"/>
  <c r="CS363" i="1"/>
  <c r="CS324" i="1"/>
  <c r="CT363" i="1"/>
  <c r="DA168" i="1"/>
  <c r="DB168" i="1"/>
  <c r="DA392" i="1"/>
  <c r="DA172" i="1"/>
  <c r="DA171" i="1" s="1"/>
  <c r="AE171" i="1" s="1"/>
  <c r="DB392" i="1"/>
  <c r="DA319" i="1"/>
  <c r="DA311" i="1"/>
  <c r="DA320" i="1"/>
  <c r="DA313" i="1"/>
  <c r="DA312" i="1"/>
  <c r="CK286" i="1"/>
  <c r="CK287" i="1" s="1"/>
  <c r="CL374" i="1" s="1"/>
  <c r="CL372" i="1" s="1"/>
  <c r="CK360" i="1"/>
  <c r="CK362" i="1" s="1"/>
  <c r="CK366" i="1" s="1"/>
  <c r="CK380" i="1" s="1"/>
  <c r="AD348" i="1"/>
  <c r="AD353" i="1"/>
  <c r="AD356" i="1" s="1"/>
  <c r="AD351" i="1"/>
  <c r="AD355" i="1"/>
  <c r="AD220" i="1"/>
  <c r="AD260" i="1"/>
  <c r="AD261" i="1" s="1"/>
  <c r="AD264" i="1" s="1"/>
  <c r="AD167" i="1"/>
  <c r="AB196" i="1"/>
  <c r="AB191" i="1"/>
  <c r="AB279" i="1"/>
  <c r="AB222" i="1"/>
  <c r="AE420" i="1"/>
  <c r="AE166" i="1"/>
  <c r="AE189" i="1" s="1"/>
  <c r="AE347" i="1"/>
  <c r="AE350" i="1"/>
  <c r="AE346" i="1"/>
  <c r="AE352" i="1"/>
  <c r="AE349" i="1"/>
  <c r="CS191" i="1"/>
  <c r="CS59" i="1"/>
  <c r="CS193" i="1"/>
  <c r="CS192" i="1"/>
  <c r="CT193" i="1"/>
  <c r="CT393" i="1"/>
  <c r="CV393" i="1"/>
  <c r="CS196" i="1"/>
  <c r="CT417" i="1"/>
  <c r="CT418" i="1" s="1"/>
  <c r="CU393" i="1"/>
  <c r="CS399" i="1"/>
  <c r="CS400" i="1" s="1"/>
  <c r="CS393" i="1"/>
  <c r="CS417" i="1"/>
  <c r="CS418" i="1" s="1"/>
  <c r="AC221" i="1"/>
  <c r="AC173" i="1"/>
  <c r="AC190" i="1"/>
  <c r="CS364" i="1"/>
  <c r="CT364" i="1"/>
  <c r="AD189" i="1"/>
  <c r="CW190" i="1"/>
  <c r="CW174" i="1"/>
  <c r="CW175" i="1"/>
  <c r="CX175" i="1"/>
  <c r="AB192" i="1" l="1"/>
  <c r="AB417" i="1"/>
  <c r="AB418" i="1" s="1"/>
  <c r="CZ279" i="1"/>
  <c r="CY279" i="1"/>
  <c r="CW279" i="1"/>
  <c r="CX279" i="1"/>
  <c r="CW364" i="1"/>
  <c r="AD190" i="1"/>
  <c r="AD196" i="1" s="1"/>
  <c r="AD174" i="1"/>
  <c r="AD221" i="1"/>
  <c r="CK216" i="1"/>
  <c r="CK254" i="1"/>
  <c r="CW324" i="1"/>
  <c r="CX363" i="1"/>
  <c r="CX365" i="1" s="1"/>
  <c r="CW363" i="1"/>
  <c r="CT365" i="1"/>
  <c r="AE351" i="1"/>
  <c r="AC222" i="1"/>
  <c r="AC196" i="1"/>
  <c r="AC417" i="1"/>
  <c r="AC418" i="1" s="1"/>
  <c r="AC279" i="1"/>
  <c r="AC191" i="1"/>
  <c r="AE355" i="1"/>
  <c r="AE220" i="1"/>
  <c r="AE260" i="1"/>
  <c r="AE261" i="1" s="1"/>
  <c r="AE264" i="1" s="1"/>
  <c r="AE167" i="1"/>
  <c r="AC192" i="1"/>
  <c r="AD357" i="1"/>
  <c r="CK374" i="1"/>
  <c r="CK372" i="1" s="1"/>
  <c r="CK377" i="1" s="1"/>
  <c r="CK327" i="1" s="1"/>
  <c r="CK328" i="1" s="1"/>
  <c r="CK296" i="1"/>
  <c r="CK217" i="1" s="1"/>
  <c r="DA190" i="1"/>
  <c r="DA175" i="1"/>
  <c r="DA174" i="1"/>
  <c r="DB175" i="1"/>
  <c r="CG251" i="1"/>
  <c r="AE172" i="1"/>
  <c r="DA315" i="1"/>
  <c r="CW191" i="1"/>
  <c r="CW59" i="1"/>
  <c r="CW192" i="1"/>
  <c r="CW193" i="1"/>
  <c r="CX193" i="1"/>
  <c r="CW393" i="1"/>
  <c r="CZ393" i="1"/>
  <c r="CW399" i="1"/>
  <c r="CW400" i="1" s="1"/>
  <c r="CW196" i="1"/>
  <c r="CY393" i="1"/>
  <c r="CX393" i="1"/>
  <c r="CX417" i="1"/>
  <c r="CX418" i="1" s="1"/>
  <c r="CW417" i="1"/>
  <c r="CW418" i="1" s="1"/>
  <c r="AE353" i="1"/>
  <c r="AE356" i="1" s="1"/>
  <c r="AE348" i="1"/>
  <c r="DA323" i="1"/>
  <c r="CS365" i="1"/>
  <c r="CK335" i="1" l="1"/>
  <c r="CL376" i="1"/>
  <c r="CL377" i="1" s="1"/>
  <c r="CL378" i="1" s="1"/>
  <c r="CW365" i="1"/>
  <c r="DB279" i="1"/>
  <c r="DA279" i="1"/>
  <c r="AD417" i="1"/>
  <c r="AD418" i="1" s="1"/>
  <c r="AD279" i="1"/>
  <c r="AD192" i="1"/>
  <c r="AD191" i="1"/>
  <c r="AD222" i="1"/>
  <c r="CK256" i="1"/>
  <c r="CK257" i="1"/>
  <c r="CK258" i="1"/>
  <c r="AE357" i="1"/>
  <c r="CK332" i="1"/>
  <c r="CK333" i="1" s="1"/>
  <c r="CK413" i="1"/>
  <c r="CK378" i="1"/>
  <c r="CK411" i="1"/>
  <c r="CK415" i="1"/>
  <c r="DA364" i="1"/>
  <c r="DB364" i="1"/>
  <c r="DA363" i="1"/>
  <c r="DA324" i="1"/>
  <c r="DB363" i="1"/>
  <c r="DA192" i="1"/>
  <c r="DA59" i="1"/>
  <c r="DA191" i="1"/>
  <c r="DA193" i="1"/>
  <c r="DB193" i="1"/>
  <c r="DA399" i="1"/>
  <c r="DA400" i="1" s="1"/>
  <c r="DA196" i="1"/>
  <c r="DB393" i="1"/>
  <c r="DB417" i="1"/>
  <c r="DB418" i="1" s="1"/>
  <c r="DA417" i="1"/>
  <c r="DA418" i="1" s="1"/>
  <c r="DA393" i="1"/>
  <c r="AE174" i="1"/>
  <c r="AE173" i="1"/>
  <c r="AE221" i="1"/>
  <c r="AE190" i="1"/>
  <c r="CK276" i="1" l="1"/>
  <c r="CL199" i="1"/>
  <c r="CM199" i="1" s="1"/>
  <c r="CN199" i="1" s="1"/>
  <c r="CO199" i="1" s="1"/>
  <c r="CP199" i="1" s="1"/>
  <c r="CQ199" i="1" s="1"/>
  <c r="CR199" i="1" s="1"/>
  <c r="CS199" i="1" s="1"/>
  <c r="CT199" i="1" s="1"/>
  <c r="CU199" i="1" s="1"/>
  <c r="CV199" i="1" s="1"/>
  <c r="CW199" i="1" s="1"/>
  <c r="CX199" i="1" s="1"/>
  <c r="CY199" i="1" s="1"/>
  <c r="CZ199" i="1" s="1"/>
  <c r="DA199" i="1" s="1"/>
  <c r="DB199" i="1" s="1"/>
  <c r="AE417" i="1"/>
  <c r="AE418" i="1" s="1"/>
  <c r="AE196" i="1"/>
  <c r="AE191" i="1"/>
  <c r="AE279" i="1"/>
  <c r="AE222" i="1"/>
  <c r="AE192" i="1"/>
  <c r="DB365" i="1"/>
  <c r="DA365" i="1"/>
  <c r="CK278" i="1" l="1"/>
  <c r="CK281" i="1" s="1"/>
  <c r="CK277" i="1"/>
  <c r="CK280" i="1" s="1"/>
  <c r="CM249" i="1" l="1"/>
  <c r="CN249" i="1" s="1"/>
  <c r="CO249" i="1" s="1"/>
  <c r="CP249" i="1" s="1"/>
  <c r="CQ249" i="1" s="1"/>
  <c r="CR249" i="1" s="1"/>
  <c r="CS249" i="1" s="1"/>
  <c r="CT249" i="1" s="1"/>
  <c r="CU249" i="1" s="1"/>
  <c r="CV249" i="1" s="1"/>
  <c r="CW249" i="1" s="1"/>
  <c r="CX249" i="1" s="1"/>
  <c r="CY249" i="1" s="1"/>
  <c r="CZ249" i="1" s="1"/>
  <c r="DA249" i="1" s="1"/>
  <c r="DB249" i="1" s="1"/>
  <c r="Z251" i="1"/>
  <c r="CH251" i="1"/>
  <c r="CL254" i="1" l="1"/>
  <c r="CL216" i="1"/>
  <c r="CL217" i="1"/>
  <c r="CM248" i="1"/>
  <c r="CN248" i="1" s="1"/>
  <c r="CO248" i="1" s="1"/>
  <c r="CP248" i="1" s="1"/>
  <c r="CQ248" i="1" s="1"/>
  <c r="CR248" i="1" s="1"/>
  <c r="CS248" i="1" s="1"/>
  <c r="CT248" i="1" s="1"/>
  <c r="CU248" i="1" s="1"/>
  <c r="CV248" i="1" s="1"/>
  <c r="CW248" i="1" s="1"/>
  <c r="CX248" i="1" s="1"/>
  <c r="CY248" i="1" s="1"/>
  <c r="CZ248" i="1" s="1"/>
  <c r="DA248" i="1" s="1"/>
  <c r="DB248" i="1" s="1"/>
  <c r="CL256" i="1" l="1"/>
  <c r="CL257" i="1"/>
  <c r="CM257" i="1" s="1"/>
  <c r="CN257" i="1" s="1"/>
  <c r="CO257" i="1" s="1"/>
  <c r="CP257" i="1" s="1"/>
  <c r="CQ257" i="1" s="1"/>
  <c r="CR257" i="1" s="1"/>
  <c r="CS257" i="1" s="1"/>
  <c r="CT257" i="1" s="1"/>
  <c r="CU257" i="1" s="1"/>
  <c r="CV257" i="1" s="1"/>
  <c r="CW257" i="1" s="1"/>
  <c r="CX257" i="1" s="1"/>
  <c r="CY257" i="1" s="1"/>
  <c r="CZ257" i="1" s="1"/>
  <c r="DA257" i="1" s="1"/>
  <c r="DB257" i="1" s="1"/>
  <c r="CL258" i="1"/>
  <c r="CM258" i="1" s="1"/>
  <c r="CN258" i="1" s="1"/>
  <c r="CO258" i="1" s="1"/>
  <c r="CP258" i="1" s="1"/>
  <c r="CQ258" i="1" s="1"/>
  <c r="CR258" i="1" s="1"/>
  <c r="CS258" i="1" s="1"/>
  <c r="CT258" i="1" s="1"/>
  <c r="CU258" i="1" s="1"/>
  <c r="CV258" i="1" s="1"/>
  <c r="CW258" i="1" s="1"/>
  <c r="CX258" i="1" s="1"/>
  <c r="CY258" i="1" s="1"/>
  <c r="CZ258" i="1" s="1"/>
  <c r="DA258" i="1" s="1"/>
  <c r="DB258" i="1" s="1"/>
  <c r="CL276" i="1" l="1"/>
  <c r="CM376" i="1"/>
  <c r="AB376" i="1"/>
  <c r="CL278" i="1" l="1"/>
  <c r="CL281" i="1" s="1"/>
  <c r="CM281" i="1" s="1"/>
  <c r="CL277" i="1"/>
  <c r="CL280" i="1" s="1"/>
  <c r="CM280" i="1" s="1"/>
  <c r="CM198" i="1"/>
  <c r="CM277" i="1" l="1"/>
  <c r="CN280" i="1"/>
  <c r="CN281" i="1"/>
  <c r="CM278" i="1"/>
  <c r="CM419" i="1"/>
  <c r="CM200" i="1"/>
  <c r="CO281" i="1" l="1"/>
  <c r="CN278" i="1"/>
  <c r="CO280" i="1"/>
  <c r="CN277" i="1"/>
  <c r="CM201" i="1"/>
  <c r="CM203" i="1" s="1"/>
  <c r="CP280" i="1" l="1"/>
  <c r="CO277" i="1"/>
  <c r="CP281" i="1"/>
  <c r="CO278" i="1"/>
  <c r="AA147" i="1"/>
  <c r="AA146" i="1"/>
  <c r="CM205" i="1"/>
  <c r="CM210" i="1"/>
  <c r="CM118" i="1" s="1"/>
  <c r="CM204" i="1"/>
  <c r="CM412" i="1" s="1"/>
  <c r="CM206" i="1"/>
  <c r="CM401" i="1"/>
  <c r="CM394" i="1"/>
  <c r="CQ281" i="1" l="1"/>
  <c r="CP278" i="1"/>
  <c r="CQ280" i="1"/>
  <c r="CP277" i="1"/>
  <c r="AA149" i="1"/>
  <c r="AA154" i="1"/>
  <c r="AA150" i="1"/>
  <c r="AA155" i="1"/>
  <c r="CM360" i="1"/>
  <c r="CM362" i="1" s="1"/>
  <c r="CM366" i="1" s="1"/>
  <c r="CM380" i="1" s="1"/>
  <c r="CM228" i="1"/>
  <c r="CM286" i="1"/>
  <c r="CR280" i="1" l="1"/>
  <c r="CQ277" i="1"/>
  <c r="CQ278" i="1"/>
  <c r="CR281" i="1"/>
  <c r="CM231" i="1"/>
  <c r="CM119" i="1"/>
  <c r="CM287" i="1"/>
  <c r="CR278" i="1" l="1"/>
  <c r="CS281" i="1"/>
  <c r="CS280" i="1"/>
  <c r="CR277" i="1"/>
  <c r="CM254" i="1"/>
  <c r="CM256" i="1" s="1"/>
  <c r="CM296" i="1"/>
  <c r="CM217" i="1" s="1"/>
  <c r="CM374" i="1"/>
  <c r="CM372" i="1" s="1"/>
  <c r="CM377" i="1" s="1"/>
  <c r="CM216" i="1"/>
  <c r="CM247" i="1"/>
  <c r="CI251" i="1"/>
  <c r="CM232" i="1"/>
  <c r="CT281" i="1" l="1"/>
  <c r="CS278" i="1"/>
  <c r="CT280" i="1"/>
  <c r="CS277" i="1"/>
  <c r="CM327" i="1"/>
  <c r="CM328" i="1" s="1"/>
  <c r="CM378" i="1" s="1"/>
  <c r="CU280" i="1" l="1"/>
  <c r="CT277" i="1"/>
  <c r="CU281" i="1"/>
  <c r="CT278" i="1"/>
  <c r="CM332" i="1"/>
  <c r="CM333" i="1" s="1"/>
  <c r="CN376" i="1"/>
  <c r="CM415" i="1"/>
  <c r="CM413" i="1"/>
  <c r="CM335" i="1"/>
  <c r="CM276" i="1" s="1"/>
  <c r="CM411" i="1"/>
  <c r="CV281" i="1" l="1"/>
  <c r="CU278" i="1"/>
  <c r="CV280" i="1"/>
  <c r="CU277" i="1"/>
  <c r="CM275" i="1"/>
  <c r="CM274" i="1"/>
  <c r="CN198" i="1"/>
  <c r="CW280" i="1" l="1"/>
  <c r="CV277" i="1"/>
  <c r="CW281" i="1"/>
  <c r="CV278" i="1"/>
  <c r="CN200" i="1"/>
  <c r="CN419" i="1"/>
  <c r="CW278" i="1" l="1"/>
  <c r="CX281" i="1"/>
  <c r="CX280" i="1"/>
  <c r="CW277" i="1"/>
  <c r="CN201" i="1"/>
  <c r="CN203" i="1" s="1"/>
  <c r="CY280" i="1" l="1"/>
  <c r="CX277" i="1"/>
  <c r="CY281" i="1"/>
  <c r="CX278" i="1"/>
  <c r="CN206" i="1"/>
  <c r="CN204" i="1"/>
  <c r="CN412" i="1" s="1"/>
  <c r="CN205" i="1"/>
  <c r="CN401" i="1"/>
  <c r="CN210" i="1"/>
  <c r="CN118" i="1" s="1"/>
  <c r="CN394" i="1"/>
  <c r="CZ281" i="1" l="1"/>
  <c r="CY278" i="1"/>
  <c r="CY277" i="1"/>
  <c r="CZ280" i="1"/>
  <c r="CN360" i="1"/>
  <c r="CN362" i="1" s="1"/>
  <c r="CN366" i="1" s="1"/>
  <c r="CN380" i="1" s="1"/>
  <c r="CN228" i="1"/>
  <c r="CN286" i="1"/>
  <c r="DA280" i="1" l="1"/>
  <c r="CZ277" i="1"/>
  <c r="DA281" i="1"/>
  <c r="CZ278" i="1"/>
  <c r="CN287" i="1"/>
  <c r="CN231" i="1"/>
  <c r="CN119" i="1"/>
  <c r="DB281" i="1" l="1"/>
  <c r="DB278" i="1" s="1"/>
  <c r="DA278" i="1"/>
  <c r="DB280" i="1"/>
  <c r="DB277" i="1" s="1"/>
  <c r="DA277" i="1"/>
  <c r="CN247" i="1"/>
  <c r="CJ251" i="1"/>
  <c r="CN232" i="1"/>
  <c r="CN374" i="1"/>
  <c r="CN372" i="1" s="1"/>
  <c r="CN377" i="1" s="1"/>
  <c r="CN254" i="1"/>
  <c r="CN256" i="1" s="1"/>
  <c r="CN296" i="1"/>
  <c r="CN217" i="1" s="1"/>
  <c r="CN216" i="1"/>
  <c r="CN327" i="1" l="1"/>
  <c r="CN328" i="1" s="1"/>
  <c r="CN415" i="1" l="1"/>
  <c r="CN335" i="1"/>
  <c r="CN276" i="1" s="1"/>
  <c r="CN332" i="1"/>
  <c r="CN333" i="1" s="1"/>
  <c r="CO376" i="1"/>
  <c r="CN413" i="1"/>
  <c r="CN411" i="1"/>
  <c r="CN378" i="1"/>
  <c r="CN275" i="1" l="1"/>
  <c r="CN274" i="1"/>
  <c r="CO198" i="1"/>
  <c r="CO419" i="1" l="1"/>
  <c r="CO200" i="1"/>
  <c r="CO201" i="1" l="1"/>
  <c r="CO203" i="1" s="1"/>
  <c r="CO204" i="1" l="1"/>
  <c r="CO412" i="1" s="1"/>
  <c r="CO206" i="1"/>
  <c r="CO401" i="1"/>
  <c r="CO205" i="1"/>
  <c r="CO210" i="1"/>
  <c r="CO118" i="1" s="1"/>
  <c r="CO394" i="1"/>
  <c r="CO228" i="1" l="1"/>
  <c r="CO360" i="1"/>
  <c r="CO362" i="1" s="1"/>
  <c r="CO366" i="1" s="1"/>
  <c r="CO380" i="1" s="1"/>
  <c r="CO286" i="1"/>
  <c r="CO287" i="1" l="1"/>
  <c r="CO119" i="1"/>
  <c r="CO231" i="1"/>
  <c r="CK251" i="1" s="1"/>
  <c r="CO254" i="1" l="1"/>
  <c r="CO256" i="1" s="1"/>
  <c r="CO374" i="1"/>
  <c r="CO372" i="1" s="1"/>
  <c r="CO377" i="1" s="1"/>
  <c r="CO296" i="1"/>
  <c r="CO217" i="1" s="1"/>
  <c r="CO216" i="1"/>
  <c r="CO232" i="1"/>
  <c r="CO247" i="1"/>
  <c r="CO327" i="1" l="1"/>
  <c r="CO328" i="1" s="1"/>
  <c r="CO378" i="1" s="1"/>
  <c r="CO332" i="1" l="1"/>
  <c r="CO333" i="1" s="1"/>
  <c r="CO415" i="1"/>
  <c r="CO335" i="1"/>
  <c r="CO276" i="1" s="1"/>
  <c r="CO413" i="1"/>
  <c r="CP376" i="1"/>
  <c r="CO411" i="1"/>
  <c r="CO275" i="1" l="1"/>
  <c r="CO274" i="1"/>
  <c r="CP198" i="1"/>
  <c r="CP419" i="1" l="1"/>
  <c r="CP200" i="1"/>
  <c r="AB198" i="1"/>
  <c r="AB200" i="1" l="1"/>
  <c r="AB419" i="1"/>
  <c r="AB199" i="1"/>
  <c r="CP201" i="1"/>
  <c r="AB201" i="1" s="1"/>
  <c r="AB202" i="1" l="1"/>
  <c r="CP203" i="1"/>
  <c r="CP206" i="1" s="1"/>
  <c r="AB203" i="1"/>
  <c r="CP394" i="1" l="1"/>
  <c r="CP401" i="1"/>
  <c r="CP210" i="1"/>
  <c r="CP118" i="1" s="1"/>
  <c r="AB118" i="1" s="1"/>
  <c r="CP205" i="1"/>
  <c r="CP204" i="1"/>
  <c r="CP412" i="1" s="1"/>
  <c r="AB210" i="1"/>
  <c r="AB223" i="1"/>
  <c r="AB204" i="1"/>
  <c r="AB412" i="1" s="1"/>
  <c r="AB205" i="1"/>
  <c r="CP360" i="1" l="1"/>
  <c r="CP362" i="1" s="1"/>
  <c r="CP366" i="1" s="1"/>
  <c r="CP380" i="1" s="1"/>
  <c r="CP228" i="1"/>
  <c r="CP231" i="1" s="1"/>
  <c r="CL251" i="1" s="1"/>
  <c r="CP286" i="1"/>
  <c r="CP287" i="1" s="1"/>
  <c r="AB119" i="1"/>
  <c r="AB360" i="1"/>
  <c r="AB362" i="1" s="1"/>
  <c r="AB366" i="1" s="1"/>
  <c r="AB380" i="1" s="1"/>
  <c r="AB228" i="1"/>
  <c r="AB213" i="1"/>
  <c r="AB214" i="1" s="1"/>
  <c r="CP119" i="1"/>
  <c r="AB286" i="1" l="1"/>
  <c r="AB287" i="1" s="1"/>
  <c r="AB374" i="1" s="1"/>
  <c r="AB372" i="1" s="1"/>
  <c r="AB377" i="1" s="1"/>
  <c r="CP234" i="1"/>
  <c r="CP247" i="1"/>
  <c r="CP232" i="1"/>
  <c r="CP254" i="1"/>
  <c r="CP256" i="1" s="1"/>
  <c r="CP296" i="1"/>
  <c r="CP217" i="1" s="1"/>
  <c r="CP374" i="1"/>
  <c r="CP372" i="1" s="1"/>
  <c r="CP377" i="1" s="1"/>
  <c r="CP216" i="1"/>
  <c r="AB231" i="1"/>
  <c r="AA251" i="1" s="1"/>
  <c r="AB230" i="1"/>
  <c r="AB216" i="1" l="1"/>
  <c r="AB342" i="1"/>
  <c r="AB296" i="1"/>
  <c r="AB217" i="1" s="1"/>
  <c r="AB254" i="1"/>
  <c r="AB256" i="1" s="1"/>
  <c r="AB232" i="1"/>
  <c r="AB247" i="1"/>
  <c r="CP327" i="1"/>
  <c r="CP328" i="1" l="1"/>
  <c r="AB327" i="1"/>
  <c r="AB328" i="1" s="1"/>
  <c r="AC376" i="1" l="1"/>
  <c r="AB415" i="1"/>
  <c r="AB332" i="1"/>
  <c r="AB333" i="1" s="1"/>
  <c r="AB335" i="1"/>
  <c r="AB276" i="1" s="1"/>
  <c r="AB413" i="1"/>
  <c r="AB411" i="1"/>
  <c r="AB378" i="1"/>
  <c r="CP411" i="1"/>
  <c r="CP413" i="1"/>
  <c r="CP415" i="1"/>
  <c r="CP335" i="1"/>
  <c r="CP276" i="1" s="1"/>
  <c r="CQ376" i="1"/>
  <c r="CP332" i="1"/>
  <c r="CP333" i="1" s="1"/>
  <c r="CP378" i="1"/>
  <c r="CP275" i="1" l="1"/>
  <c r="CP274" i="1"/>
  <c r="CQ198" i="1"/>
  <c r="CQ419" i="1" l="1"/>
  <c r="CQ200" i="1"/>
  <c r="CQ201" i="1" l="1"/>
  <c r="CQ203" i="1" l="1"/>
  <c r="CQ210" i="1" s="1"/>
  <c r="CQ206" i="1" l="1"/>
  <c r="CQ204" i="1"/>
  <c r="CQ412" i="1" s="1"/>
  <c r="CQ401" i="1"/>
  <c r="CQ118" i="1"/>
  <c r="CQ205" i="1"/>
  <c r="CQ394" i="1"/>
  <c r="CQ228" i="1" l="1"/>
  <c r="CQ360" i="1"/>
  <c r="CQ362" i="1" s="1"/>
  <c r="CQ366" i="1" s="1"/>
  <c r="CQ380" i="1" s="1"/>
  <c r="CQ286" i="1"/>
  <c r="CQ287" i="1" l="1"/>
  <c r="CQ119" i="1"/>
  <c r="CQ231" i="1"/>
  <c r="CQ247" i="1" l="1"/>
  <c r="CQ232" i="1"/>
  <c r="CQ296" i="1"/>
  <c r="CQ217" i="1" s="1"/>
  <c r="CQ254" i="1"/>
  <c r="CQ256" i="1" s="1"/>
  <c r="CQ374" i="1"/>
  <c r="CQ372" i="1" s="1"/>
  <c r="CQ377" i="1" s="1"/>
  <c r="CQ216" i="1"/>
  <c r="CQ327" i="1" l="1"/>
  <c r="CQ328" i="1" s="1"/>
  <c r="CQ378" i="1" s="1"/>
  <c r="CQ332" i="1" l="1"/>
  <c r="CQ333" i="1" s="1"/>
  <c r="CQ335" i="1"/>
  <c r="CQ276" i="1" s="1"/>
  <c r="CQ415" i="1"/>
  <c r="CQ413" i="1"/>
  <c r="CR376" i="1"/>
  <c r="CQ411" i="1"/>
  <c r="CQ275" i="1" l="1"/>
  <c r="CQ274" i="1"/>
  <c r="CR198" i="1"/>
  <c r="CR419" i="1" l="1"/>
  <c r="CR200" i="1"/>
  <c r="CR201" i="1" l="1"/>
  <c r="CR203" i="1" l="1"/>
  <c r="CR205" i="1" l="1"/>
  <c r="CR206" i="1"/>
  <c r="CR210" i="1"/>
  <c r="CR118" i="1" s="1"/>
  <c r="CR204" i="1"/>
  <c r="CR412" i="1" s="1"/>
  <c r="CR401" i="1"/>
  <c r="CR394" i="1"/>
  <c r="CR228" i="1" l="1"/>
  <c r="CR360" i="1"/>
  <c r="CR362" i="1" s="1"/>
  <c r="CR366" i="1" s="1"/>
  <c r="CR380" i="1" s="1"/>
  <c r="CR286" i="1"/>
  <c r="CR287" i="1" l="1"/>
  <c r="CR231" i="1"/>
  <c r="CR119" i="1"/>
  <c r="CR247" i="1" l="1"/>
  <c r="CR232" i="1"/>
  <c r="CR296" i="1"/>
  <c r="CR217" i="1" s="1"/>
  <c r="CR374" i="1"/>
  <c r="CR372" i="1" s="1"/>
  <c r="CR377" i="1" s="1"/>
  <c r="CR254" i="1"/>
  <c r="CR256" i="1" s="1"/>
  <c r="CR216" i="1"/>
  <c r="CR327" i="1" l="1"/>
  <c r="CR328" i="1" s="1"/>
  <c r="CR378" i="1" s="1"/>
  <c r="CR411" i="1" l="1"/>
  <c r="CR415" i="1"/>
  <c r="CR413" i="1"/>
  <c r="CS376" i="1"/>
  <c r="CR335" i="1"/>
  <c r="CR276" i="1" s="1"/>
  <c r="CR332" i="1"/>
  <c r="CR333" i="1" s="1"/>
  <c r="CR275" i="1" l="1"/>
  <c r="CR274" i="1"/>
  <c r="CS198" i="1"/>
  <c r="CS419" i="1" l="1"/>
  <c r="CS200" i="1"/>
  <c r="CS201" i="1" l="1"/>
  <c r="CS203" i="1" s="1"/>
  <c r="CS206" i="1" l="1"/>
  <c r="CS204" i="1"/>
  <c r="CS412" i="1" s="1"/>
  <c r="CS210" i="1"/>
  <c r="CS118" i="1" s="1"/>
  <c r="CS401" i="1"/>
  <c r="CS205" i="1"/>
  <c r="CS394" i="1"/>
  <c r="CS228" i="1" l="1"/>
  <c r="CS360" i="1"/>
  <c r="CS362" i="1" s="1"/>
  <c r="CS366" i="1" s="1"/>
  <c r="CS380" i="1" s="1"/>
  <c r="CS286" i="1"/>
  <c r="CS119" i="1" l="1"/>
  <c r="CS287" i="1"/>
  <c r="CS231" i="1"/>
  <c r="CS374" i="1" l="1"/>
  <c r="CS372" i="1" s="1"/>
  <c r="CS377" i="1" s="1"/>
  <c r="CS254" i="1"/>
  <c r="CS256" i="1" s="1"/>
  <c r="CS296" i="1"/>
  <c r="CS217" i="1" s="1"/>
  <c r="CS216" i="1"/>
  <c r="CS247" i="1"/>
  <c r="CS232" i="1"/>
  <c r="CS327" i="1" l="1"/>
  <c r="CS328" i="1" s="1"/>
  <c r="CS415" i="1" l="1"/>
  <c r="CS411" i="1"/>
  <c r="CS335" i="1"/>
  <c r="CS276" i="1" s="1"/>
  <c r="CS332" i="1"/>
  <c r="CS333" i="1" s="1"/>
  <c r="CT376" i="1"/>
  <c r="CS413" i="1"/>
  <c r="CS378" i="1"/>
  <c r="CS275" i="1" l="1"/>
  <c r="CS274" i="1"/>
  <c r="CT198" i="1"/>
  <c r="CT419" i="1" l="1"/>
  <c r="CT200" i="1"/>
  <c r="AC198" i="1"/>
  <c r="CT201" i="1" l="1"/>
  <c r="AC201" i="1" s="1"/>
  <c r="AC419" i="1"/>
  <c r="AC200" i="1"/>
  <c r="AC199" i="1"/>
  <c r="AC203" i="1" l="1"/>
  <c r="AC210" i="1" s="1"/>
  <c r="CT203" i="1"/>
  <c r="CT210" i="1" s="1"/>
  <c r="CT118" i="1" s="1"/>
  <c r="AC202" i="1"/>
  <c r="AC205" i="1" l="1"/>
  <c r="AC204" i="1"/>
  <c r="AC412" i="1" s="1"/>
  <c r="CT205" i="1"/>
  <c r="AC223" i="1"/>
  <c r="CT401" i="1"/>
  <c r="CT394" i="1"/>
  <c r="CT206" i="1"/>
  <c r="CT204" i="1"/>
  <c r="CT412" i="1" s="1"/>
  <c r="CT228" i="1"/>
  <c r="CT360" i="1"/>
  <c r="CT362" i="1" s="1"/>
  <c r="CT366" i="1" s="1"/>
  <c r="CT380" i="1" s="1"/>
  <c r="AC118" i="1"/>
  <c r="AC119" i="1" s="1"/>
  <c r="CT286" i="1"/>
  <c r="AC360" i="1"/>
  <c r="AC362" i="1" s="1"/>
  <c r="AC366" i="1" s="1"/>
  <c r="AC380" i="1" s="1"/>
  <c r="AC228" i="1"/>
  <c r="AC213" i="1"/>
  <c r="AC214" i="1" s="1"/>
  <c r="CT287" i="1" l="1"/>
  <c r="AC286" i="1"/>
  <c r="AC287" i="1" s="1"/>
  <c r="CT119" i="1"/>
  <c r="AC230" i="1"/>
  <c r="AC231" i="1"/>
  <c r="CT231" i="1"/>
  <c r="AC247" i="1" l="1"/>
  <c r="AC232" i="1"/>
  <c r="AC296" i="1"/>
  <c r="AC217" i="1" s="1"/>
  <c r="AC374" i="1"/>
  <c r="AC372" i="1" s="1"/>
  <c r="AC377" i="1" s="1"/>
  <c r="AC254" i="1"/>
  <c r="AC256" i="1" s="1"/>
  <c r="AC342" i="1"/>
  <c r="AC216" i="1"/>
  <c r="CT234" i="1"/>
  <c r="CT247" i="1"/>
  <c r="CT232" i="1"/>
  <c r="CT296" i="1"/>
  <c r="CT217" i="1" s="1"/>
  <c r="CT374" i="1"/>
  <c r="CT372" i="1" s="1"/>
  <c r="CT377" i="1" s="1"/>
  <c r="CT254" i="1"/>
  <c r="CT256" i="1" s="1"/>
  <c r="CT216" i="1"/>
  <c r="CT327" i="1" l="1"/>
  <c r="CT328" i="1" l="1"/>
  <c r="AC327" i="1"/>
  <c r="AC328" i="1" s="1"/>
  <c r="CT335" i="1" l="1"/>
  <c r="CT276" i="1" s="1"/>
  <c r="CT411" i="1"/>
  <c r="CT332" i="1"/>
  <c r="CT333" i="1" s="1"/>
  <c r="CT413" i="1"/>
  <c r="CU376" i="1"/>
  <c r="CT415" i="1"/>
  <c r="CT378" i="1"/>
  <c r="AC335" i="1"/>
  <c r="AC276" i="1" s="1"/>
  <c r="AC415" i="1"/>
  <c r="AC411" i="1"/>
  <c r="AC332" i="1"/>
  <c r="AC333" i="1" s="1"/>
  <c r="AD376" i="1"/>
  <c r="AC413" i="1"/>
  <c r="AC378" i="1"/>
  <c r="CT274" i="1" l="1"/>
  <c r="CT275" i="1"/>
  <c r="CU198" i="1"/>
  <c r="CU419" i="1" l="1"/>
  <c r="CU200" i="1"/>
  <c r="CU201" i="1" l="1"/>
  <c r="CU203" i="1" s="1"/>
  <c r="CU401" i="1" l="1"/>
  <c r="CU210" i="1"/>
  <c r="CU118" i="1" s="1"/>
  <c r="CU206" i="1"/>
  <c r="CU204" i="1"/>
  <c r="CU412" i="1" s="1"/>
  <c r="CU205" i="1"/>
  <c r="CU394" i="1"/>
  <c r="CU228" i="1" l="1"/>
  <c r="CU360" i="1"/>
  <c r="CU362" i="1" s="1"/>
  <c r="CU366" i="1" s="1"/>
  <c r="CU380" i="1" s="1"/>
  <c r="CU286" i="1"/>
  <c r="CU231" i="1" l="1"/>
  <c r="CU287" i="1"/>
  <c r="CU119" i="1"/>
  <c r="CU296" i="1" l="1"/>
  <c r="CU217" i="1" s="1"/>
  <c r="CU254" i="1"/>
  <c r="CU256" i="1" s="1"/>
  <c r="CU374" i="1"/>
  <c r="CU372" i="1" s="1"/>
  <c r="CU377" i="1" s="1"/>
  <c r="CU216" i="1"/>
  <c r="CU247" i="1"/>
  <c r="CU232" i="1"/>
  <c r="CU327" i="1" l="1"/>
  <c r="CU328" i="1" s="1"/>
  <c r="CU378" i="1" s="1"/>
  <c r="CU332" i="1" l="1"/>
  <c r="CU333" i="1" s="1"/>
  <c r="CU415" i="1"/>
  <c r="CV376" i="1"/>
  <c r="CU411" i="1"/>
  <c r="CU413" i="1"/>
  <c r="CU335" i="1"/>
  <c r="CU276" i="1" s="1"/>
  <c r="CU274" i="1" l="1"/>
  <c r="CU275" i="1"/>
  <c r="CV198" i="1"/>
  <c r="CV419" i="1" l="1"/>
  <c r="CV200" i="1"/>
  <c r="CV201" i="1" l="1"/>
  <c r="CV203" i="1" s="1"/>
  <c r="CV205" i="1" l="1"/>
  <c r="CV206" i="1"/>
  <c r="CV401" i="1"/>
  <c r="CV204" i="1"/>
  <c r="CV412" i="1" s="1"/>
  <c r="CV210" i="1"/>
  <c r="CV118" i="1" s="1"/>
  <c r="CV394" i="1"/>
  <c r="CV228" i="1" l="1"/>
  <c r="CV360" i="1"/>
  <c r="CV362" i="1" s="1"/>
  <c r="CV366" i="1" s="1"/>
  <c r="CV380" i="1" s="1"/>
  <c r="CV286" i="1"/>
  <c r="CV119" i="1" l="1"/>
  <c r="CV287" i="1"/>
  <c r="CV231" i="1"/>
  <c r="CV247" i="1" l="1"/>
  <c r="CV232" i="1"/>
  <c r="CV374" i="1"/>
  <c r="CV372" i="1" s="1"/>
  <c r="CV377" i="1" s="1"/>
  <c r="CV254" i="1"/>
  <c r="CV256" i="1" s="1"/>
  <c r="CV296" i="1"/>
  <c r="CV217" i="1" s="1"/>
  <c r="CV216" i="1"/>
  <c r="CV327" i="1" l="1"/>
  <c r="CV328" i="1" s="1"/>
  <c r="CV415" i="1" l="1"/>
  <c r="CV411" i="1"/>
  <c r="CV332" i="1"/>
  <c r="CV333" i="1" s="1"/>
  <c r="CW376" i="1"/>
  <c r="CV335" i="1"/>
  <c r="CV276" i="1" s="1"/>
  <c r="CV413" i="1"/>
  <c r="CV378" i="1"/>
  <c r="CV274" i="1" l="1"/>
  <c r="CV275" i="1"/>
  <c r="CW198" i="1"/>
  <c r="CW200" i="1" l="1"/>
  <c r="CW419" i="1"/>
  <c r="CW201" i="1" l="1"/>
  <c r="CW203" i="1" s="1"/>
  <c r="CW205" i="1" l="1"/>
  <c r="CW206" i="1"/>
  <c r="CW204" i="1"/>
  <c r="CW412" i="1" s="1"/>
  <c r="CW210" i="1"/>
  <c r="CW118" i="1" s="1"/>
  <c r="CW401" i="1"/>
  <c r="CW394" i="1"/>
  <c r="CW228" i="1" l="1"/>
  <c r="CW360" i="1"/>
  <c r="CW362" i="1" s="1"/>
  <c r="CW366" i="1" s="1"/>
  <c r="CW380" i="1" s="1"/>
  <c r="CW286" i="1"/>
  <c r="CW287" i="1" l="1"/>
  <c r="CW119" i="1"/>
  <c r="CW231" i="1"/>
  <c r="CW247" i="1" l="1"/>
  <c r="CW232" i="1"/>
  <c r="CW296" i="1"/>
  <c r="CW217" i="1" s="1"/>
  <c r="CW254" i="1"/>
  <c r="CW256" i="1" s="1"/>
  <c r="CW374" i="1"/>
  <c r="CW372" i="1" s="1"/>
  <c r="CW377" i="1" s="1"/>
  <c r="CW216" i="1"/>
  <c r="CW327" i="1" l="1"/>
  <c r="CW328" i="1" s="1"/>
  <c r="CW378" i="1" s="1"/>
  <c r="CW415" i="1" l="1"/>
  <c r="CW332" i="1"/>
  <c r="CW333" i="1" s="1"/>
  <c r="CW335" i="1"/>
  <c r="CW276" i="1" s="1"/>
  <c r="CW411" i="1"/>
  <c r="CX376" i="1"/>
  <c r="CW413" i="1"/>
  <c r="CW274" i="1" l="1"/>
  <c r="CW275" i="1"/>
  <c r="CX198" i="1"/>
  <c r="CX419" i="1" l="1"/>
  <c r="CX200" i="1"/>
  <c r="AD198" i="1"/>
  <c r="AD200" i="1" l="1"/>
  <c r="AD199" i="1"/>
  <c r="AD419" i="1"/>
  <c r="CX201" i="1"/>
  <c r="AD201" i="1" s="1"/>
  <c r="AD202" i="1" l="1"/>
  <c r="CX203" i="1"/>
  <c r="AD203" i="1"/>
  <c r="AD210" i="1" l="1"/>
  <c r="AD204" i="1"/>
  <c r="AD412" i="1" s="1"/>
  <c r="AD223" i="1"/>
  <c r="AD205" i="1"/>
  <c r="CX205" i="1"/>
  <c r="CX204" i="1"/>
  <c r="CX412" i="1" s="1"/>
  <c r="CX210" i="1"/>
  <c r="CX118" i="1" s="1"/>
  <c r="CX401" i="1"/>
  <c r="CX206" i="1"/>
  <c r="CX394" i="1"/>
  <c r="CX360" i="1" l="1"/>
  <c r="CX362" i="1" s="1"/>
  <c r="CX366" i="1" s="1"/>
  <c r="CX380" i="1" s="1"/>
  <c r="CX228" i="1"/>
  <c r="AD118" i="1"/>
  <c r="AD119" i="1" s="1"/>
  <c r="CX286" i="1"/>
  <c r="AD228" i="1"/>
  <c r="AD213" i="1"/>
  <c r="AD214" i="1" s="1"/>
  <c r="AD360" i="1"/>
  <c r="AD362" i="1" s="1"/>
  <c r="AD366" i="1" s="1"/>
  <c r="AD380" i="1" s="1"/>
  <c r="CX119" i="1" l="1"/>
  <c r="CX231" i="1"/>
  <c r="AD286" i="1"/>
  <c r="AD287" i="1" s="1"/>
  <c r="CX287" i="1"/>
  <c r="AD230" i="1"/>
  <c r="AD231" i="1"/>
  <c r="AD247" i="1" l="1"/>
  <c r="AD232" i="1"/>
  <c r="AD342" i="1"/>
  <c r="AD254" i="1"/>
  <c r="AD256" i="1" s="1"/>
  <c r="AD296" i="1"/>
  <c r="AD217" i="1" s="1"/>
  <c r="AD374" i="1"/>
  <c r="AD372" i="1" s="1"/>
  <c r="AD377" i="1" s="1"/>
  <c r="AD216" i="1"/>
  <c r="CX296" i="1"/>
  <c r="CX217" i="1" s="1"/>
  <c r="CX254" i="1"/>
  <c r="CX256" i="1" s="1"/>
  <c r="CX374" i="1"/>
  <c r="CX372" i="1" s="1"/>
  <c r="CX377" i="1" s="1"/>
  <c r="CX216" i="1"/>
  <c r="CX247" i="1"/>
  <c r="CX232" i="1"/>
  <c r="CX327" i="1" l="1"/>
  <c r="AD327" i="1" l="1"/>
  <c r="AD328" i="1" s="1"/>
  <c r="CX328" i="1"/>
  <c r="CX332" i="1" l="1"/>
  <c r="CX333" i="1" s="1"/>
  <c r="CX413" i="1"/>
  <c r="CX335" i="1"/>
  <c r="CX276" i="1" s="1"/>
  <c r="CY376" i="1"/>
  <c r="CX411" i="1"/>
  <c r="CX415" i="1"/>
  <c r="CX378" i="1"/>
  <c r="AE376" i="1"/>
  <c r="AD413" i="1"/>
  <c r="AD335" i="1"/>
  <c r="AD276" i="1" s="1"/>
  <c r="AD415" i="1"/>
  <c r="AD411" i="1"/>
  <c r="AD332" i="1"/>
  <c r="AD333" i="1" s="1"/>
  <c r="AD378" i="1"/>
  <c r="CX275" i="1" l="1"/>
  <c r="CX274" i="1"/>
  <c r="CY198" i="1"/>
  <c r="CY200" i="1" l="1"/>
  <c r="CY419" i="1"/>
  <c r="CY201" i="1" l="1"/>
  <c r="CY203" i="1" s="1"/>
  <c r="CY206" i="1" l="1"/>
  <c r="CY204" i="1"/>
  <c r="CY412" i="1" s="1"/>
  <c r="CY205" i="1"/>
  <c r="CY210" i="1"/>
  <c r="CY118" i="1" s="1"/>
  <c r="CY401" i="1"/>
  <c r="CY394" i="1"/>
  <c r="CY228" i="1" l="1"/>
  <c r="CY360" i="1"/>
  <c r="CY362" i="1" s="1"/>
  <c r="CY366" i="1" s="1"/>
  <c r="CY380" i="1" s="1"/>
  <c r="CY286" i="1"/>
  <c r="CY287" i="1" l="1"/>
  <c r="CY119" i="1"/>
  <c r="CY231" i="1"/>
  <c r="CY247" i="1" l="1"/>
  <c r="CY232" i="1"/>
  <c r="CY296" i="1"/>
  <c r="CY217" i="1" s="1"/>
  <c r="CY374" i="1"/>
  <c r="CY372" i="1" s="1"/>
  <c r="CY377" i="1" s="1"/>
  <c r="CY254" i="1"/>
  <c r="CY256" i="1" s="1"/>
  <c r="CY216" i="1"/>
  <c r="CY327" i="1" l="1"/>
  <c r="CY328" i="1" s="1"/>
  <c r="CY413" i="1" l="1"/>
  <c r="CY335" i="1"/>
  <c r="CY276" i="1" s="1"/>
  <c r="CY415" i="1"/>
  <c r="CY332" i="1"/>
  <c r="CY333" i="1" s="1"/>
  <c r="CZ376" i="1"/>
  <c r="CY411" i="1"/>
  <c r="CY378" i="1"/>
  <c r="CY274" i="1" l="1"/>
  <c r="CY275" i="1"/>
  <c r="CZ198" i="1"/>
  <c r="CZ419" i="1" l="1"/>
  <c r="CZ200" i="1"/>
  <c r="CZ201" i="1" l="1"/>
  <c r="CZ203" i="1" l="1"/>
  <c r="CZ401" i="1" l="1"/>
  <c r="CZ205" i="1"/>
  <c r="CZ206" i="1"/>
  <c r="CZ210" i="1"/>
  <c r="CZ118" i="1" s="1"/>
  <c r="CZ204" i="1"/>
  <c r="CZ412" i="1" s="1"/>
  <c r="CZ394" i="1"/>
  <c r="CZ228" i="1" l="1"/>
  <c r="CZ360" i="1"/>
  <c r="CZ362" i="1" s="1"/>
  <c r="CZ366" i="1" s="1"/>
  <c r="CZ380" i="1" s="1"/>
  <c r="CZ286" i="1"/>
  <c r="CZ231" i="1" l="1"/>
  <c r="CZ287" i="1"/>
  <c r="CZ119" i="1"/>
  <c r="CZ247" i="1" l="1"/>
  <c r="CZ232" i="1"/>
  <c r="CZ374" i="1"/>
  <c r="CZ372" i="1" s="1"/>
  <c r="CZ377" i="1" s="1"/>
  <c r="CZ254" i="1"/>
  <c r="CZ256" i="1" s="1"/>
  <c r="CZ296" i="1"/>
  <c r="CZ217" i="1" s="1"/>
  <c r="CZ216" i="1"/>
  <c r="CZ327" i="1" l="1"/>
  <c r="CZ328" i="1" s="1"/>
  <c r="CZ378" i="1" s="1"/>
  <c r="CZ415" i="1" l="1"/>
  <c r="CZ411" i="1"/>
  <c r="DA376" i="1"/>
  <c r="CZ335" i="1"/>
  <c r="CZ276" i="1" s="1"/>
  <c r="CZ413" i="1"/>
  <c r="CZ332" i="1"/>
  <c r="CZ333" i="1" s="1"/>
  <c r="CZ275" i="1" l="1"/>
  <c r="CZ274" i="1"/>
  <c r="DA198" i="1"/>
  <c r="DA200" i="1" l="1"/>
  <c r="DA419" i="1"/>
  <c r="DA201" i="1" l="1"/>
  <c r="DA203" i="1" l="1"/>
  <c r="DA204" i="1" l="1"/>
  <c r="DA412" i="1" s="1"/>
  <c r="DA401" i="1"/>
  <c r="DA206" i="1"/>
  <c r="DA205" i="1"/>
  <c r="DA210" i="1"/>
  <c r="DA118" i="1" s="1"/>
  <c r="DA394" i="1"/>
  <c r="DA228" i="1" l="1"/>
  <c r="DA360" i="1"/>
  <c r="DA362" i="1" s="1"/>
  <c r="DA366" i="1" s="1"/>
  <c r="DA380" i="1" s="1"/>
  <c r="DA286" i="1"/>
  <c r="DA287" i="1" l="1"/>
  <c r="DA119" i="1"/>
  <c r="DA231" i="1"/>
  <c r="DA296" i="1" l="1"/>
  <c r="DA217" i="1" s="1"/>
  <c r="DA254" i="1"/>
  <c r="DA256" i="1" s="1"/>
  <c r="DA374" i="1"/>
  <c r="DA372" i="1" s="1"/>
  <c r="DA377" i="1" s="1"/>
  <c r="DA216" i="1"/>
  <c r="DA247" i="1"/>
  <c r="DA232" i="1"/>
  <c r="DA327" i="1" l="1"/>
  <c r="DA328" i="1" s="1"/>
  <c r="DB376" i="1" l="1"/>
  <c r="DA411" i="1"/>
  <c r="DA332" i="1"/>
  <c r="DA333" i="1" s="1"/>
  <c r="DA335" i="1"/>
  <c r="DA276" i="1" s="1"/>
  <c r="DA413" i="1"/>
  <c r="DA415" i="1"/>
  <c r="DA378" i="1"/>
  <c r="DA274" i="1" l="1"/>
  <c r="DA275" i="1"/>
  <c r="DB198" i="1"/>
  <c r="DB419" i="1" l="1"/>
  <c r="DB200" i="1"/>
  <c r="AE198" i="1"/>
  <c r="DB201" i="1" l="1"/>
  <c r="AE201" i="1" s="1"/>
  <c r="AE200" i="1"/>
  <c r="AE419" i="1"/>
  <c r="AE199" i="1"/>
  <c r="AE203" i="1" l="1"/>
  <c r="AE210" i="1" s="1"/>
  <c r="AE202" i="1"/>
  <c r="DB203" i="1"/>
  <c r="AE223" i="1" l="1"/>
  <c r="AE205" i="1"/>
  <c r="AE204" i="1"/>
  <c r="AE412" i="1" s="1"/>
  <c r="DB206" i="1"/>
  <c r="DB204" i="1"/>
  <c r="DB412" i="1" s="1"/>
  <c r="DB401" i="1"/>
  <c r="DB205" i="1"/>
  <c r="DB210" i="1"/>
  <c r="DB118" i="1" s="1"/>
  <c r="DB394" i="1"/>
  <c r="AE360" i="1"/>
  <c r="AE362" i="1" s="1"/>
  <c r="AE366" i="1" s="1"/>
  <c r="AE380" i="1" s="1"/>
  <c r="AE228" i="1"/>
  <c r="AE213" i="1"/>
  <c r="AE214" i="1" s="1"/>
  <c r="AE230" i="1" l="1"/>
  <c r="AE231" i="1"/>
  <c r="AE118" i="1"/>
  <c r="AE119" i="1" s="1"/>
  <c r="DB360" i="1"/>
  <c r="DB362" i="1" s="1"/>
  <c r="DB366" i="1" s="1"/>
  <c r="DB380" i="1" s="1"/>
  <c r="DB228" i="1"/>
  <c r="DB231" i="1" s="1"/>
  <c r="DB286" i="1"/>
  <c r="AE286" i="1" l="1"/>
  <c r="AE287" i="1" s="1"/>
  <c r="DB287" i="1"/>
  <c r="DB119" i="1"/>
  <c r="AE247" i="1"/>
  <c r="AE232" i="1"/>
  <c r="DB247" i="1"/>
  <c r="DB232" i="1"/>
  <c r="DB254" i="1" l="1"/>
  <c r="DB256" i="1" s="1"/>
  <c r="DB374" i="1"/>
  <c r="DB372" i="1" s="1"/>
  <c r="DB377" i="1" s="1"/>
  <c r="DB296" i="1"/>
  <c r="DB217" i="1" s="1"/>
  <c r="DB216" i="1"/>
  <c r="AE374" i="1"/>
  <c r="AE372" i="1" s="1"/>
  <c r="AE377" i="1" s="1"/>
  <c r="AE254" i="1"/>
  <c r="AE256" i="1" s="1"/>
  <c r="AE296" i="1"/>
  <c r="AE217" i="1" s="1"/>
  <c r="AE342" i="1"/>
  <c r="AE216" i="1"/>
  <c r="DB327" i="1" l="1"/>
  <c r="DB328" i="1" l="1"/>
  <c r="AE327" i="1"/>
  <c r="AE328" i="1" s="1"/>
  <c r="AE332" i="1" l="1"/>
  <c r="AE333" i="1" s="1"/>
  <c r="AE415" i="1"/>
  <c r="AE335" i="1"/>
  <c r="AE276" i="1" s="1"/>
  <c r="AE413" i="1"/>
  <c r="AE411" i="1"/>
  <c r="AE378" i="1"/>
  <c r="DB413" i="1"/>
  <c r="DB415" i="1"/>
  <c r="DB335" i="1"/>
  <c r="DB276" i="1" s="1"/>
  <c r="DB332" i="1"/>
  <c r="DB333" i="1" s="1"/>
  <c r="DB411" i="1"/>
  <c r="DB378" i="1"/>
  <c r="DB275" i="1" l="1"/>
  <c r="DB274" i="1"/>
  <c r="CK36" i="1"/>
  <c r="CK45" i="1" s="1"/>
  <c r="CK30" i="1" s="1"/>
  <c r="CK29" i="1" s="1"/>
  <c r="CK32" i="1" s="1"/>
  <c r="CK8" i="1"/>
  <c r="CK11" i="1" s="1"/>
  <c r="CK7" i="1" l="1"/>
  <c r="CK46" i="1"/>
  <c r="AA8" i="1"/>
  <c r="AA11" i="1" s="1"/>
  <c r="CP11" i="1"/>
  <c r="CT11" i="1" s="1"/>
  <c r="CX11" i="1" s="1"/>
  <c r="DB11" i="1" s="1"/>
  <c r="CO11" i="1"/>
  <c r="CS11" i="1" s="1"/>
  <c r="CW11" i="1" s="1"/>
  <c r="DA11" i="1" s="1"/>
  <c r="CK49" i="1"/>
  <c r="CK112" i="1" s="1"/>
  <c r="CK122" i="1" s="1"/>
  <c r="AA7" i="1" l="1"/>
  <c r="CO7" i="1"/>
  <c r="CK10" i="1"/>
  <c r="CK123" i="1"/>
  <c r="CK124" i="1" s="1"/>
  <c r="CK118" i="1"/>
  <c r="CK63" i="1"/>
  <c r="AA10" i="1" l="1"/>
  <c r="AA9" i="1"/>
  <c r="CS7" i="1"/>
  <c r="AB7" i="1"/>
  <c r="AB10" i="1" s="1"/>
  <c r="CK159" i="1"/>
  <c r="CK158" i="1"/>
  <c r="CK160" i="1"/>
  <c r="CK119" i="1"/>
  <c r="AA37" i="1"/>
  <c r="AA36" i="1" s="1"/>
  <c r="CL36" i="1"/>
  <c r="CL45" i="1" s="1"/>
  <c r="CL49" i="1"/>
  <c r="CM6" i="1"/>
  <c r="CK54" i="1"/>
  <c r="CK59" i="1" s="1"/>
  <c r="CK60" i="1" s="1"/>
  <c r="AB6" i="1" l="1"/>
  <c r="AC7" i="1"/>
  <c r="AC10" i="1" s="1"/>
  <c r="CW7" i="1"/>
  <c r="CL46" i="1"/>
  <c r="CL30" i="1"/>
  <c r="CL29" i="1" s="1"/>
  <c r="CL32" i="1" s="1"/>
  <c r="CL112" i="1"/>
  <c r="CL63" i="1"/>
  <c r="AD7" i="1"/>
  <c r="DA7" i="1"/>
  <c r="AE7" i="1" s="1"/>
  <c r="CM8" i="1"/>
  <c r="CM9" i="1" s="1"/>
  <c r="AA50" i="1"/>
  <c r="AD10" i="1" l="1"/>
  <c r="CL118" i="1"/>
  <c r="CL122" i="1"/>
  <c r="CL123" i="1" s="1"/>
  <c r="AE10" i="1"/>
  <c r="CN6" i="1"/>
  <c r="AA64" i="1"/>
  <c r="AA49" i="1"/>
  <c r="AA113" i="1"/>
  <c r="CM37" i="1"/>
  <c r="CL124" i="1" l="1"/>
  <c r="CL158" i="1"/>
  <c r="CL159" i="1"/>
  <c r="CM159" i="1" s="1"/>
  <c r="CL160" i="1"/>
  <c r="CM160" i="1" s="1"/>
  <c r="CL119" i="1"/>
  <c r="AA118" i="1"/>
  <c r="AA119" i="1" s="1"/>
  <c r="AA63" i="1"/>
  <c r="CL54" i="1"/>
  <c r="CL59" i="1" s="1"/>
  <c r="CL60" i="1" s="1"/>
  <c r="CM60" i="1" s="1"/>
  <c r="CN60" i="1" s="1"/>
  <c r="CO60" i="1" s="1"/>
  <c r="CP60" i="1" s="1"/>
  <c r="CQ60" i="1" s="1"/>
  <c r="CR60" i="1" s="1"/>
  <c r="CS60" i="1" s="1"/>
  <c r="CT60" i="1" s="1"/>
  <c r="CU60" i="1" s="1"/>
  <c r="CV60" i="1" s="1"/>
  <c r="CW60" i="1" s="1"/>
  <c r="CX60" i="1" s="1"/>
  <c r="CY60" i="1" s="1"/>
  <c r="CZ60" i="1" s="1"/>
  <c r="DA60" i="1" s="1"/>
  <c r="DB60" i="1" s="1"/>
  <c r="AA55" i="1"/>
  <c r="AA54" i="1" s="1"/>
  <c r="AA59" i="1" s="1"/>
  <c r="AA60" i="1" s="1"/>
  <c r="CM50" i="1"/>
  <c r="AA112" i="1"/>
  <c r="AA122" i="1" s="1"/>
  <c r="AA123" i="1" s="1"/>
  <c r="CN8" i="1"/>
  <c r="CN37" i="1" l="1"/>
  <c r="CN159" i="1"/>
  <c r="CN9" i="1"/>
  <c r="AA124" i="1"/>
  <c r="AA160" i="1"/>
  <c r="AA159" i="1"/>
  <c r="AA158" i="1"/>
  <c r="CN160" i="1"/>
  <c r="CO6" i="1" l="1"/>
  <c r="CO159" i="1"/>
  <c r="CO160" i="1"/>
  <c r="CN50" i="1"/>
  <c r="CO8" i="1" l="1"/>
  <c r="CP159" i="1"/>
  <c r="CP160" i="1"/>
  <c r="CQ159" i="1" l="1"/>
  <c r="CO37" i="1"/>
  <c r="CQ160" i="1"/>
  <c r="CO9" i="1"/>
  <c r="CP6" i="1" l="1"/>
  <c r="CO50" i="1"/>
  <c r="CR160" i="1"/>
  <c r="CR159" i="1"/>
  <c r="CS159" i="1" l="1"/>
  <c r="CS160" i="1"/>
  <c r="CP8" i="1"/>
  <c r="CP37" i="1" l="1"/>
  <c r="AB8" i="1"/>
  <c r="CT160" i="1"/>
  <c r="CP9" i="1"/>
  <c r="CT159" i="1"/>
  <c r="CQ6" i="1" l="1"/>
  <c r="CU160" i="1"/>
  <c r="AB11" i="1"/>
  <c r="AB9" i="1"/>
  <c r="CU159" i="1"/>
  <c r="CP50" i="1"/>
  <c r="AB37" i="1"/>
  <c r="AB50" i="1" l="1"/>
  <c r="AC6" i="1"/>
  <c r="CQ8" i="1"/>
  <c r="CV159" i="1"/>
  <c r="CV160" i="1"/>
  <c r="CW159" i="1" l="1"/>
  <c r="CW160" i="1"/>
  <c r="CQ37" i="1"/>
  <c r="AB64" i="1"/>
  <c r="CQ9" i="1"/>
  <c r="CX159" i="1" l="1"/>
  <c r="CQ50" i="1"/>
  <c r="CR6" i="1"/>
  <c r="CX160" i="1"/>
  <c r="CY159" i="1" l="1"/>
  <c r="CY160" i="1"/>
  <c r="CR8" i="1"/>
  <c r="CR9" i="1" s="1"/>
  <c r="CS6" i="1" l="1"/>
  <c r="CZ159" i="1"/>
  <c r="CR37" i="1"/>
  <c r="CZ160" i="1"/>
  <c r="DA159" i="1" l="1"/>
  <c r="CS8" i="1"/>
  <c r="CR50" i="1"/>
  <c r="DA160" i="1"/>
  <c r="DB159" i="1" l="1"/>
  <c r="CS37" i="1"/>
  <c r="DB160" i="1"/>
  <c r="CS9" i="1"/>
  <c r="CT6" i="1" l="1"/>
  <c r="CS50" i="1"/>
  <c r="CT8" i="1" l="1"/>
  <c r="CT37" i="1" l="1"/>
  <c r="AC8" i="1"/>
  <c r="CT9" i="1"/>
  <c r="CT50" i="1" l="1"/>
  <c r="AC37" i="1"/>
  <c r="CU6" i="1"/>
  <c r="AC11" i="1"/>
  <c r="AC9" i="1"/>
  <c r="AC50" i="1" l="1"/>
  <c r="AD6" i="1"/>
  <c r="CU8" i="1"/>
  <c r="AC64" i="1" l="1"/>
  <c r="CU37" i="1"/>
  <c r="CU9" i="1"/>
  <c r="CV6" i="1" l="1"/>
  <c r="CU50" i="1"/>
  <c r="CV8" i="1" l="1"/>
  <c r="CV9" i="1" s="1"/>
  <c r="CV37" i="1" l="1"/>
  <c r="CW6" i="1"/>
  <c r="CW8" i="1" l="1"/>
  <c r="CV50" i="1"/>
  <c r="CW37" i="1" l="1"/>
  <c r="CW9" i="1"/>
  <c r="CX6" i="1" l="1"/>
  <c r="CW50" i="1"/>
  <c r="CX8" i="1" l="1"/>
  <c r="CX9" i="1" s="1"/>
  <c r="CX37" i="1" l="1"/>
  <c r="AD8" i="1"/>
  <c r="CY6" i="1"/>
  <c r="CX50" i="1" l="1"/>
  <c r="AD37" i="1"/>
  <c r="CY8" i="1"/>
  <c r="AD11" i="1"/>
  <c r="AD9" i="1"/>
  <c r="CY37" i="1" l="1"/>
  <c r="AE6" i="1"/>
  <c r="CY9" i="1"/>
  <c r="AD50" i="1"/>
  <c r="AD64" i="1" l="1"/>
  <c r="CY50" i="1"/>
  <c r="CZ6" i="1"/>
  <c r="CZ8" i="1" l="1"/>
  <c r="CZ37" i="1" l="1"/>
  <c r="CZ9" i="1"/>
  <c r="DA6" i="1" l="1"/>
  <c r="CZ50" i="1"/>
  <c r="DA8" i="1" l="1"/>
  <c r="DA9" i="1" s="1"/>
  <c r="DB6" i="1" l="1"/>
  <c r="DA37" i="1"/>
  <c r="DA50" i="1" l="1"/>
  <c r="DB8" i="1"/>
  <c r="DB37" i="1" l="1"/>
  <c r="AE8" i="1"/>
  <c r="DB9" i="1"/>
  <c r="AE11" i="1" l="1"/>
  <c r="AE9" i="1"/>
  <c r="DB50" i="1"/>
  <c r="AE37" i="1"/>
  <c r="AE50" i="1" l="1"/>
  <c r="AE64" i="1" l="1"/>
  <c r="AA22" i="1"/>
  <c r="AA25" i="1" s="1"/>
  <c r="CK24" i="1"/>
  <c r="CO21" i="1"/>
  <c r="CS21" i="1" s="1"/>
  <c r="CK25" i="1"/>
  <c r="CO25" i="1" s="1"/>
  <c r="CS25" i="1" s="1"/>
  <c r="CW25" i="1" s="1"/>
  <c r="DA25" i="1" s="1"/>
  <c r="CW21" i="1" l="1"/>
  <c r="AA21" i="1"/>
  <c r="CP21" i="1"/>
  <c r="DA21" i="1" l="1"/>
  <c r="AA23" i="1"/>
  <c r="AA24" i="1"/>
  <c r="CM20" i="1"/>
  <c r="CL33" i="1"/>
  <c r="CL142" i="1" s="1"/>
  <c r="CT21" i="1"/>
  <c r="AB21" i="1"/>
  <c r="AB24" i="1" s="1"/>
  <c r="AB20" i="1" l="1"/>
  <c r="AA31" i="1"/>
  <c r="CX21" i="1"/>
  <c r="AC21" i="1"/>
  <c r="AC24" i="1" s="1"/>
  <c r="CM22" i="1"/>
  <c r="AA269" i="1" l="1"/>
  <c r="AA270" i="1"/>
  <c r="AA271" i="1"/>
  <c r="AA33" i="1"/>
  <c r="CM39" i="1"/>
  <c r="DB21" i="1"/>
  <c r="AE21" i="1" s="1"/>
  <c r="AD21" i="1"/>
  <c r="AD24" i="1" s="1"/>
  <c r="CM23" i="1"/>
  <c r="AE24" i="1" l="1"/>
  <c r="CM31" i="1"/>
  <c r="CN20" i="1"/>
  <c r="CM52" i="1"/>
  <c r="CM36" i="1"/>
  <c r="CM269" i="1" l="1"/>
  <c r="CM271" i="1"/>
  <c r="CM270" i="1"/>
  <c r="CM33" i="1"/>
  <c r="CM142" i="1" s="1"/>
  <c r="CN28" i="1"/>
  <c r="CM29" i="1"/>
  <c r="CM32" i="1" s="1"/>
  <c r="CM49" i="1"/>
  <c r="CN22" i="1"/>
  <c r="CN23" i="1" s="1"/>
  <c r="CO20" i="1" l="1"/>
  <c r="CN31" i="1"/>
  <c r="CN39" i="1"/>
  <c r="CM55" i="1"/>
  <c r="CM113" i="1" s="1"/>
  <c r="CM112" i="1"/>
  <c r="CM63" i="1"/>
  <c r="CN269" i="1" l="1"/>
  <c r="CN270" i="1"/>
  <c r="CN271" i="1"/>
  <c r="CN33" i="1"/>
  <c r="CN142" i="1" s="1"/>
  <c r="CO28" i="1"/>
  <c r="CN29" i="1"/>
  <c r="CN32" i="1" s="1"/>
  <c r="CN52" i="1"/>
  <c r="CN36" i="1"/>
  <c r="CM122" i="1"/>
  <c r="CM54" i="1"/>
  <c r="CO22" i="1"/>
  <c r="CO23" i="1" s="1"/>
  <c r="CO31" i="1" l="1"/>
  <c r="CP20" i="1"/>
  <c r="CO39" i="1"/>
  <c r="CM123" i="1"/>
  <c r="CN49" i="1"/>
  <c r="CO269" i="1" l="1"/>
  <c r="CO271" i="1"/>
  <c r="CO270" i="1"/>
  <c r="CO33" i="1"/>
  <c r="CO142" i="1" s="1"/>
  <c r="CP28" i="1"/>
  <c r="CO29" i="1"/>
  <c r="CO32" i="1" s="1"/>
  <c r="CM124" i="1"/>
  <c r="CM158" i="1"/>
  <c r="CM154" i="1"/>
  <c r="CM146" i="1" s="1"/>
  <c r="CM149" i="1" s="1"/>
  <c r="CM155" i="1"/>
  <c r="CM147" i="1" s="1"/>
  <c r="CM150" i="1" s="1"/>
  <c r="CO52" i="1"/>
  <c r="CO36" i="1"/>
  <c r="CP22" i="1"/>
  <c r="CN112" i="1"/>
  <c r="CN55" i="1"/>
  <c r="CN113" i="1" s="1"/>
  <c r="CN63" i="1"/>
  <c r="CP39" i="1" l="1"/>
  <c r="AB22" i="1"/>
  <c r="CN54" i="1"/>
  <c r="CN122" i="1"/>
  <c r="CP23" i="1"/>
  <c r="CO49" i="1"/>
  <c r="CP31" i="1" l="1"/>
  <c r="CQ20" i="1"/>
  <c r="AB25" i="1"/>
  <c r="AB23" i="1"/>
  <c r="CN123" i="1"/>
  <c r="CO112" i="1"/>
  <c r="CO55" i="1"/>
  <c r="CO113" i="1" s="1"/>
  <c r="CO63" i="1"/>
  <c r="CP52" i="1"/>
  <c r="CP36" i="1"/>
  <c r="AB39" i="1"/>
  <c r="AB36" i="1" s="1"/>
  <c r="CP269" i="1" l="1"/>
  <c r="CP271" i="1"/>
  <c r="CP270" i="1"/>
  <c r="CP33" i="1"/>
  <c r="CP142" i="1" s="1"/>
  <c r="CQ28" i="1"/>
  <c r="CP29" i="1"/>
  <c r="CP32" i="1" s="1"/>
  <c r="AC20" i="1"/>
  <c r="AB31" i="1"/>
  <c r="CN124" i="1"/>
  <c r="CN155" i="1"/>
  <c r="CN147" i="1" s="1"/>
  <c r="CN150" i="1" s="1"/>
  <c r="CN158" i="1"/>
  <c r="CN154" i="1"/>
  <c r="CN146" i="1" s="1"/>
  <c r="CN149" i="1" s="1"/>
  <c r="CO54" i="1"/>
  <c r="CQ22" i="1"/>
  <c r="CP49" i="1"/>
  <c r="AB52" i="1"/>
  <c r="CO122" i="1"/>
  <c r="AB33" i="1" l="1"/>
  <c r="AB269" i="1"/>
  <c r="CP55" i="1"/>
  <c r="CP113" i="1" s="1"/>
  <c r="AB113" i="1" s="1"/>
  <c r="CP63" i="1"/>
  <c r="CP112" i="1"/>
  <c r="CQ39" i="1"/>
  <c r="CQ23" i="1"/>
  <c r="CO123" i="1"/>
  <c r="AB49" i="1"/>
  <c r="AB66" i="1"/>
  <c r="AB63" i="1" l="1"/>
  <c r="CP122" i="1"/>
  <c r="AB112" i="1"/>
  <c r="AB122" i="1" s="1"/>
  <c r="AB123" i="1" s="1"/>
  <c r="CO158" i="1"/>
  <c r="CO155" i="1"/>
  <c r="CO147" i="1" s="1"/>
  <c r="CO150" i="1" s="1"/>
  <c r="CO154" i="1"/>
  <c r="CO146" i="1" s="1"/>
  <c r="CO149" i="1" s="1"/>
  <c r="CO124" i="1"/>
  <c r="CQ31" i="1"/>
  <c r="CR20" i="1"/>
  <c r="CQ36" i="1"/>
  <c r="CQ52" i="1"/>
  <c r="CP54" i="1"/>
  <c r="AB55" i="1"/>
  <c r="AB54" i="1" s="1"/>
  <c r="AB59" i="1" s="1"/>
  <c r="AB60" i="1" s="1"/>
  <c r="CQ269" i="1" l="1"/>
  <c r="CQ270" i="1"/>
  <c r="CQ271" i="1"/>
  <c r="CQ33" i="1"/>
  <c r="CQ142" i="1" s="1"/>
  <c r="CR28" i="1"/>
  <c r="CQ29" i="1"/>
  <c r="CQ32" i="1" s="1"/>
  <c r="AB158" i="1"/>
  <c r="AB124" i="1"/>
  <c r="CP123" i="1"/>
  <c r="CR22" i="1"/>
  <c r="CQ49" i="1"/>
  <c r="CP154" i="1" l="1"/>
  <c r="CP146" i="1" s="1"/>
  <c r="CP149" i="1" s="1"/>
  <c r="CP155" i="1"/>
  <c r="CP147" i="1" s="1"/>
  <c r="CP150" i="1" s="1"/>
  <c r="CP158" i="1"/>
  <c r="CP124" i="1"/>
  <c r="CQ112" i="1"/>
  <c r="CQ55" i="1"/>
  <c r="CQ113" i="1" s="1"/>
  <c r="CQ63" i="1"/>
  <c r="CR39" i="1"/>
  <c r="CR23" i="1"/>
  <c r="CR52" i="1" l="1"/>
  <c r="CR36" i="1"/>
  <c r="CR31" i="1"/>
  <c r="CS20" i="1"/>
  <c r="CQ54" i="1"/>
  <c r="CQ122" i="1"/>
  <c r="CR269" i="1" l="1"/>
  <c r="CR270" i="1"/>
  <c r="CR271" i="1"/>
  <c r="CR33" i="1"/>
  <c r="CR142" i="1" s="1"/>
  <c r="CS28" i="1"/>
  <c r="CR29" i="1"/>
  <c r="CR32" i="1" s="1"/>
  <c r="CQ123" i="1"/>
  <c r="CS22" i="1"/>
  <c r="CS23" i="1" s="1"/>
  <c r="CR49" i="1"/>
  <c r="CQ154" i="1" l="1"/>
  <c r="CQ146" i="1" s="1"/>
  <c r="CQ149" i="1" s="1"/>
  <c r="CQ124" i="1"/>
  <c r="CQ158" i="1"/>
  <c r="CQ155" i="1"/>
  <c r="CQ147" i="1" s="1"/>
  <c r="CQ150" i="1" s="1"/>
  <c r="CR112" i="1"/>
  <c r="CR55" i="1"/>
  <c r="CR113" i="1" s="1"/>
  <c r="CR63" i="1"/>
  <c r="CT20" i="1"/>
  <c r="CS31" i="1"/>
  <c r="CS39" i="1"/>
  <c r="CS269" i="1" l="1"/>
  <c r="CS270" i="1"/>
  <c r="CS271" i="1"/>
  <c r="CS33" i="1"/>
  <c r="CS142" i="1" s="1"/>
  <c r="CT28" i="1"/>
  <c r="CS29" i="1"/>
  <c r="CS32" i="1" s="1"/>
  <c r="CR54" i="1"/>
  <c r="CT22" i="1"/>
  <c r="CS52" i="1"/>
  <c r="CS36" i="1"/>
  <c r="CR122" i="1"/>
  <c r="CT39" i="1" l="1"/>
  <c r="AC22" i="1"/>
  <c r="CS49" i="1"/>
  <c r="CR123" i="1"/>
  <c r="CT23" i="1"/>
  <c r="CS63" i="1" l="1"/>
  <c r="CS55" i="1"/>
  <c r="CS113" i="1" s="1"/>
  <c r="CS112" i="1"/>
  <c r="CR124" i="1"/>
  <c r="CR158" i="1"/>
  <c r="CR155" i="1"/>
  <c r="CR147" i="1" s="1"/>
  <c r="CR150" i="1" s="1"/>
  <c r="CR154" i="1"/>
  <c r="CR146" i="1" s="1"/>
  <c r="CR149" i="1" s="1"/>
  <c r="AC25" i="1"/>
  <c r="AC23" i="1"/>
  <c r="CT31" i="1"/>
  <c r="CU20" i="1"/>
  <c r="CT52" i="1"/>
  <c r="CT36" i="1"/>
  <c r="AC39" i="1"/>
  <c r="AC36" i="1" s="1"/>
  <c r="CT269" i="1" l="1"/>
  <c r="CT270" i="1"/>
  <c r="CT271" i="1"/>
  <c r="CT33" i="1"/>
  <c r="CT142" i="1" s="1"/>
  <c r="CU28" i="1"/>
  <c r="CT29" i="1"/>
  <c r="CT32" i="1" s="1"/>
  <c r="CT49" i="1"/>
  <c r="AC52" i="1"/>
  <c r="CS122" i="1"/>
  <c r="CU22" i="1"/>
  <c r="CU23" i="1" s="1"/>
  <c r="CS54" i="1"/>
  <c r="AD20" i="1"/>
  <c r="AC31" i="1"/>
  <c r="AC33" i="1" l="1"/>
  <c r="AC269" i="1"/>
  <c r="CU31" i="1"/>
  <c r="CV20" i="1"/>
  <c r="AC49" i="1"/>
  <c r="AC66" i="1"/>
  <c r="CS123" i="1"/>
  <c r="CU39" i="1"/>
  <c r="CT112" i="1"/>
  <c r="CT55" i="1"/>
  <c r="CT113" i="1" s="1"/>
  <c r="AC113" i="1" s="1"/>
  <c r="CT63" i="1"/>
  <c r="CU269" i="1" l="1"/>
  <c r="CU270" i="1"/>
  <c r="CU271" i="1"/>
  <c r="CU33" i="1"/>
  <c r="CU142" i="1" s="1"/>
  <c r="CV28" i="1"/>
  <c r="CU29" i="1"/>
  <c r="CU32" i="1" s="1"/>
  <c r="AC63" i="1"/>
  <c r="CV22" i="1"/>
  <c r="CT122" i="1"/>
  <c r="AC112" i="1"/>
  <c r="AC122" i="1" s="1"/>
  <c r="AC123" i="1" s="1"/>
  <c r="CU36" i="1"/>
  <c r="CU52" i="1"/>
  <c r="CT54" i="1"/>
  <c r="AC55" i="1"/>
  <c r="AC54" i="1" s="1"/>
  <c r="AC59" i="1" s="1"/>
  <c r="AC60" i="1" s="1"/>
  <c r="CS154" i="1"/>
  <c r="CS146" i="1" s="1"/>
  <c r="CS149" i="1" s="1"/>
  <c r="CS124" i="1"/>
  <c r="CS158" i="1"/>
  <c r="CS155" i="1"/>
  <c r="CS147" i="1" s="1"/>
  <c r="CS150" i="1" s="1"/>
  <c r="CV39" i="1" l="1"/>
  <c r="CV23" i="1"/>
  <c r="AC158" i="1"/>
  <c r="AC124" i="1"/>
  <c r="CU49" i="1"/>
  <c r="CT123" i="1"/>
  <c r="CU112" i="1" l="1"/>
  <c r="CU55" i="1"/>
  <c r="CU113" i="1" s="1"/>
  <c r="CU63" i="1"/>
  <c r="CV31" i="1"/>
  <c r="CW20" i="1"/>
  <c r="CT124" i="1"/>
  <c r="CT158" i="1"/>
  <c r="CT155" i="1"/>
  <c r="CT147" i="1" s="1"/>
  <c r="CT150" i="1" s="1"/>
  <c r="CT154" i="1"/>
  <c r="CT146" i="1" s="1"/>
  <c r="CT149" i="1" s="1"/>
  <c r="CV52" i="1"/>
  <c r="CV36" i="1"/>
  <c r="CV269" i="1" l="1"/>
  <c r="CV271" i="1"/>
  <c r="CV270" i="1"/>
  <c r="CV33" i="1"/>
  <c r="CV142" i="1" s="1"/>
  <c r="CW28" i="1"/>
  <c r="CV29" i="1"/>
  <c r="CV32" i="1" s="1"/>
  <c r="CU54" i="1"/>
  <c r="CV49" i="1"/>
  <c r="CW22" i="1"/>
  <c r="CW23" i="1" s="1"/>
  <c r="CU122" i="1"/>
  <c r="CW31" i="1" l="1"/>
  <c r="CX20" i="1"/>
  <c r="CV55" i="1"/>
  <c r="CV113" i="1" s="1"/>
  <c r="CV63" i="1"/>
  <c r="CV112" i="1"/>
  <c r="CW39" i="1"/>
  <c r="CU123" i="1"/>
  <c r="CW269" i="1" l="1"/>
  <c r="CW271" i="1"/>
  <c r="CW270" i="1"/>
  <c r="CW33" i="1"/>
  <c r="CW142" i="1" s="1"/>
  <c r="CX28" i="1"/>
  <c r="CW29" i="1"/>
  <c r="CW32" i="1" s="1"/>
  <c r="CV54" i="1"/>
  <c r="CW52" i="1"/>
  <c r="CW36" i="1"/>
  <c r="CX22" i="1"/>
  <c r="CU158" i="1"/>
  <c r="CU155" i="1"/>
  <c r="CU147" i="1" s="1"/>
  <c r="CU150" i="1" s="1"/>
  <c r="CU124" i="1"/>
  <c r="CU154" i="1"/>
  <c r="CU146" i="1" s="1"/>
  <c r="CU149" i="1" s="1"/>
  <c r="CV122" i="1"/>
  <c r="CX39" i="1" l="1"/>
  <c r="AD22" i="1"/>
  <c r="CW49" i="1"/>
  <c r="CX23" i="1"/>
  <c r="CV123" i="1"/>
  <c r="CW112" i="1" l="1"/>
  <c r="CW55" i="1"/>
  <c r="CW113" i="1" s="1"/>
  <c r="CW63" i="1"/>
  <c r="CV124" i="1"/>
  <c r="CV158" i="1"/>
  <c r="CV155" i="1"/>
  <c r="CV147" i="1" s="1"/>
  <c r="CV150" i="1" s="1"/>
  <c r="CV154" i="1"/>
  <c r="CV146" i="1" s="1"/>
  <c r="CV149" i="1" s="1"/>
  <c r="AD25" i="1"/>
  <c r="AD23" i="1"/>
  <c r="CX31" i="1"/>
  <c r="CY20" i="1"/>
  <c r="CX52" i="1"/>
  <c r="CX36" i="1"/>
  <c r="AD39" i="1"/>
  <c r="AD36" i="1" s="1"/>
  <c r="CX269" i="1" l="1"/>
  <c r="CX271" i="1"/>
  <c r="CX270" i="1"/>
  <c r="CX33" i="1"/>
  <c r="CX142" i="1" s="1"/>
  <c r="CY28" i="1"/>
  <c r="CX29" i="1"/>
  <c r="CX32" i="1" s="1"/>
  <c r="CX49" i="1"/>
  <c r="AD52" i="1"/>
  <c r="CY22" i="1"/>
  <c r="CY23" i="1" s="1"/>
  <c r="CW54" i="1"/>
  <c r="AE20" i="1"/>
  <c r="AD31" i="1"/>
  <c r="CW122" i="1"/>
  <c r="AD33" i="1" l="1"/>
  <c r="AD269" i="1"/>
  <c r="CZ20" i="1"/>
  <c r="CY31" i="1"/>
  <c r="CY39" i="1"/>
  <c r="CW123" i="1"/>
  <c r="AD49" i="1"/>
  <c r="AD66" i="1"/>
  <c r="CX63" i="1"/>
  <c r="CX112" i="1"/>
  <c r="CX55" i="1"/>
  <c r="CX113" i="1" s="1"/>
  <c r="AD113" i="1" s="1"/>
  <c r="CY269" i="1" l="1"/>
  <c r="CY270" i="1"/>
  <c r="CY271" i="1"/>
  <c r="CY33" i="1"/>
  <c r="CY142" i="1" s="1"/>
  <c r="CZ28" i="1"/>
  <c r="CY29" i="1"/>
  <c r="CY32" i="1" s="1"/>
  <c r="CX54" i="1"/>
  <c r="AD55" i="1"/>
  <c r="AD54" i="1" s="1"/>
  <c r="AD59" i="1" s="1"/>
  <c r="AD60" i="1" s="1"/>
  <c r="AD63" i="1"/>
  <c r="CX122" i="1"/>
  <c r="AD112" i="1"/>
  <c r="AD122" i="1" s="1"/>
  <c r="AD123" i="1" s="1"/>
  <c r="CW155" i="1"/>
  <c r="CW147" i="1" s="1"/>
  <c r="CW150" i="1" s="1"/>
  <c r="CW154" i="1"/>
  <c r="CW146" i="1" s="1"/>
  <c r="CW149" i="1" s="1"/>
  <c r="CW158" i="1"/>
  <c r="CW124" i="1"/>
  <c r="CY52" i="1"/>
  <c r="CY36" i="1"/>
  <c r="CZ22" i="1"/>
  <c r="AD158" i="1" l="1"/>
  <c r="AD124" i="1"/>
  <c r="CZ39" i="1"/>
  <c r="CZ23" i="1"/>
  <c r="CX123" i="1"/>
  <c r="CY49" i="1"/>
  <c r="CY55" i="1" l="1"/>
  <c r="CY113" i="1" s="1"/>
  <c r="CY63" i="1"/>
  <c r="CY112" i="1"/>
  <c r="CZ31" i="1"/>
  <c r="DA20" i="1"/>
  <c r="CX158" i="1"/>
  <c r="CX155" i="1"/>
  <c r="CX147" i="1" s="1"/>
  <c r="CX150" i="1" s="1"/>
  <c r="CX154" i="1"/>
  <c r="CX146" i="1" s="1"/>
  <c r="CX149" i="1" s="1"/>
  <c r="CX124" i="1"/>
  <c r="CZ52" i="1"/>
  <c r="CZ36" i="1"/>
  <c r="CZ269" i="1" l="1"/>
  <c r="CZ270" i="1"/>
  <c r="CZ271" i="1"/>
  <c r="CZ33" i="1"/>
  <c r="CZ142" i="1" s="1"/>
  <c r="DA28" i="1"/>
  <c r="CZ29" i="1"/>
  <c r="CZ32" i="1" s="1"/>
  <c r="CY122" i="1"/>
  <c r="CZ49" i="1"/>
  <c r="DA22" i="1"/>
  <c r="DA23" i="1" s="1"/>
  <c r="CY54" i="1"/>
  <c r="CZ112" i="1" l="1"/>
  <c r="CZ55" i="1"/>
  <c r="CZ113" i="1" s="1"/>
  <c r="CZ63" i="1"/>
  <c r="DA31" i="1"/>
  <c r="DB20" i="1"/>
  <c r="DA39" i="1"/>
  <c r="CY123" i="1"/>
  <c r="DA269" i="1" l="1"/>
  <c r="DA271" i="1"/>
  <c r="DA270" i="1"/>
  <c r="DA33" i="1"/>
  <c r="DA142" i="1" s="1"/>
  <c r="DB28" i="1"/>
  <c r="DA29" i="1"/>
  <c r="DA32" i="1" s="1"/>
  <c r="CZ54" i="1"/>
  <c r="CY154" i="1"/>
  <c r="CY146" i="1" s="1"/>
  <c r="CY149" i="1" s="1"/>
  <c r="CY158" i="1"/>
  <c r="CY124" i="1"/>
  <c r="CY155" i="1"/>
  <c r="CY147" i="1" s="1"/>
  <c r="CY150" i="1" s="1"/>
  <c r="DA52" i="1"/>
  <c r="DA36" i="1"/>
  <c r="DB22" i="1"/>
  <c r="DB23" i="1" s="1"/>
  <c r="DB31" i="1" s="1"/>
  <c r="CZ122" i="1"/>
  <c r="DB269" i="1" l="1"/>
  <c r="DB271" i="1"/>
  <c r="DB270" i="1"/>
  <c r="DB33" i="1"/>
  <c r="DB142" i="1" s="1"/>
  <c r="DB29" i="1"/>
  <c r="DB32" i="1" s="1"/>
  <c r="DA49" i="1"/>
  <c r="DB39" i="1"/>
  <c r="AE22" i="1"/>
  <c r="CZ123" i="1"/>
  <c r="AE25" i="1" l="1"/>
  <c r="AE23" i="1"/>
  <c r="AE31" i="1" s="1"/>
  <c r="DB52" i="1"/>
  <c r="DB36" i="1"/>
  <c r="AE39" i="1"/>
  <c r="AE36" i="1" s="1"/>
  <c r="CZ124" i="1"/>
  <c r="CZ155" i="1"/>
  <c r="CZ147" i="1" s="1"/>
  <c r="CZ150" i="1" s="1"/>
  <c r="CZ154" i="1"/>
  <c r="CZ146" i="1" s="1"/>
  <c r="CZ149" i="1" s="1"/>
  <c r="CZ158" i="1"/>
  <c r="DA112" i="1"/>
  <c r="DA63" i="1"/>
  <c r="DA55" i="1"/>
  <c r="DA113" i="1" s="1"/>
  <c r="AE33" i="1" l="1"/>
  <c r="AE269" i="1"/>
  <c r="DA54" i="1"/>
  <c r="DB49" i="1"/>
  <c r="AE52" i="1"/>
  <c r="DA122" i="1"/>
  <c r="DA123" i="1" l="1"/>
  <c r="DB55" i="1"/>
  <c r="DB113" i="1" s="1"/>
  <c r="AE113" i="1" s="1"/>
  <c r="DB63" i="1"/>
  <c r="DB112" i="1"/>
  <c r="AE49" i="1"/>
  <c r="AE66" i="1"/>
  <c r="DB54" i="1" l="1"/>
  <c r="AE55" i="1"/>
  <c r="AE54" i="1" s="1"/>
  <c r="AE59" i="1" s="1"/>
  <c r="AE60" i="1" s="1"/>
  <c r="AE63" i="1"/>
  <c r="DB122" i="1"/>
  <c r="DB123" i="1" s="1"/>
  <c r="AE112" i="1"/>
  <c r="AE122" i="1" s="1"/>
  <c r="AE123" i="1" s="1"/>
  <c r="DA158" i="1"/>
  <c r="DA155" i="1"/>
  <c r="DA147" i="1" s="1"/>
  <c r="DA150" i="1" s="1"/>
  <c r="DA154" i="1"/>
  <c r="DA146" i="1" s="1"/>
  <c r="DA149" i="1" s="1"/>
  <c r="DA124" i="1"/>
  <c r="AE124" i="1" l="1"/>
  <c r="AE158" i="1"/>
  <c r="DB155" i="1"/>
  <c r="DB147" i="1" s="1"/>
  <c r="DB150" i="1" s="1"/>
  <c r="DB154" i="1"/>
  <c r="DB146" i="1" s="1"/>
  <c r="DB149" i="1" s="1"/>
  <c r="DB124" i="1"/>
  <c r="DB158" i="1"/>
  <c r="AE45" i="1"/>
  <c r="AE46" i="1" s="1"/>
  <c r="AD45" i="1"/>
  <c r="AD46" i="1" s="1"/>
  <c r="AC45" i="1"/>
  <c r="AC46" i="1" s="1"/>
  <c r="AB45" i="1"/>
  <c r="AB46" i="1" s="1"/>
  <c r="CU41" i="1"/>
  <c r="CN41" i="1"/>
  <c r="CZ41" i="1"/>
  <c r="CO41" i="1"/>
  <c r="CS41" i="1"/>
  <c r="CW41" i="1"/>
  <c r="DA41" i="1"/>
  <c r="CM41" i="1"/>
  <c r="CQ41" i="1"/>
  <c r="CY41" i="1"/>
  <c r="CR41" i="1"/>
  <c r="CV41" i="1"/>
  <c r="AA45" i="1"/>
  <c r="AA46" i="1" s="1"/>
  <c r="CP41" i="1"/>
  <c r="CT41" i="1"/>
  <c r="CX41" i="1"/>
  <c r="DB41" i="1"/>
  <c r="CO241" i="1" l="1"/>
  <c r="CO244" i="1" s="1"/>
  <c r="CV241" i="1"/>
  <c r="CV244" i="1" s="1"/>
  <c r="CU241" i="1"/>
  <c r="CU240" i="1"/>
  <c r="CU243" i="1" s="1"/>
  <c r="CT240" i="1"/>
  <c r="CT243" i="1" s="1"/>
  <c r="DA241" i="1"/>
  <c r="DA244" i="1" s="1"/>
  <c r="CS241" i="1"/>
  <c r="CS244" i="1" s="1"/>
  <c r="DA240" i="1"/>
  <c r="DA243" i="1" s="1"/>
  <c r="CS240" i="1"/>
  <c r="CS243" i="1" s="1"/>
  <c r="CO240" i="1"/>
  <c r="CO243" i="1" s="1"/>
  <c r="CN241" i="1"/>
  <c r="CN244" i="1" s="1"/>
  <c r="CM241" i="1"/>
  <c r="CM240" i="1"/>
  <c r="DB241" i="1"/>
  <c r="DB244" i="1" s="1"/>
  <c r="CT241" i="1"/>
  <c r="CT244" i="1" s="1"/>
  <c r="DB240" i="1"/>
  <c r="DB243" i="1" s="1"/>
  <c r="CZ241" i="1"/>
  <c r="CZ244" i="1" s="1"/>
  <c r="CR241" i="1"/>
  <c r="CR244" i="1" s="1"/>
  <c r="CZ240" i="1"/>
  <c r="CZ243" i="1" s="1"/>
  <c r="CR240" i="1"/>
  <c r="CR243" i="1" s="1"/>
  <c r="CW240" i="1"/>
  <c r="CW243" i="1" s="1"/>
  <c r="CN240" i="1"/>
  <c r="CN243" i="1" s="1"/>
  <c r="CQ240" i="1"/>
  <c r="CW241" i="1"/>
  <c r="CW244" i="1" s="1"/>
  <c r="CV240" i="1"/>
  <c r="CV243" i="1" s="1"/>
  <c r="CY241" i="1"/>
  <c r="CQ241" i="1"/>
  <c r="CQ244" i="1" s="1"/>
  <c r="CY240" i="1"/>
  <c r="CX241" i="1"/>
  <c r="CX244" i="1" s="1"/>
  <c r="CP241" i="1"/>
  <c r="CP244" i="1" s="1"/>
  <c r="CX240" i="1"/>
  <c r="CX243" i="1" s="1"/>
  <c r="CP240" i="1"/>
  <c r="CP243" i="1" s="1"/>
  <c r="AB240" i="1" l="1"/>
  <c r="AB248" i="1" s="1"/>
  <c r="AC240" i="1"/>
  <c r="AC146" i="1" s="1"/>
  <c r="CQ243" i="1"/>
  <c r="AB241" i="1"/>
  <c r="AB275" i="1" s="1"/>
  <c r="AD241" i="1"/>
  <c r="AD147" i="1" s="1"/>
  <c r="AE240" i="1"/>
  <c r="AE243" i="1" s="1"/>
  <c r="AE241" i="1"/>
  <c r="AE244" i="1" s="1"/>
  <c r="AC241" i="1"/>
  <c r="CY244" i="1"/>
  <c r="CM244" i="1"/>
  <c r="CY243" i="1"/>
  <c r="CM243" i="1"/>
  <c r="CU244" i="1"/>
  <c r="AD240" i="1"/>
  <c r="AB278" i="1" l="1"/>
  <c r="AB281" i="1" s="1"/>
  <c r="AB271" i="1"/>
  <c r="AB265" i="1"/>
  <c r="AB251" i="1"/>
  <c r="AB257" i="1"/>
  <c r="AB243" i="1"/>
  <c r="AB146" i="1"/>
  <c r="AB149" i="1" s="1"/>
  <c r="AB274" i="1"/>
  <c r="AC274" i="1"/>
  <c r="AC265" i="1"/>
  <c r="AC257" i="1"/>
  <c r="AC243" i="1"/>
  <c r="AC251" i="1"/>
  <c r="AC248" i="1"/>
  <c r="AB244" i="1"/>
  <c r="AB249" i="1"/>
  <c r="AB266" i="1"/>
  <c r="AB258" i="1"/>
  <c r="AE266" i="1"/>
  <c r="AD266" i="1"/>
  <c r="AD244" i="1"/>
  <c r="AD249" i="1"/>
  <c r="AE146" i="1"/>
  <c r="AE154" i="1" s="1"/>
  <c r="AE159" i="1" s="1"/>
  <c r="AE274" i="1"/>
  <c r="AE257" i="1"/>
  <c r="AE265" i="1"/>
  <c r="AE249" i="1"/>
  <c r="AD258" i="1"/>
  <c r="AB147" i="1"/>
  <c r="AB150" i="1" s="1"/>
  <c r="AE248" i="1"/>
  <c r="AE275" i="1"/>
  <c r="AE147" i="1"/>
  <c r="AE155" i="1" s="1"/>
  <c r="AE160" i="1" s="1"/>
  <c r="AE258" i="1"/>
  <c r="AD275" i="1"/>
  <c r="AC147" i="1"/>
  <c r="AC249" i="1"/>
  <c r="AC258" i="1"/>
  <c r="AC275" i="1"/>
  <c r="AC266" i="1"/>
  <c r="AC244" i="1"/>
  <c r="AD243" i="1"/>
  <c r="AD274" i="1"/>
  <c r="AD257" i="1"/>
  <c r="AD265" i="1"/>
  <c r="AD251" i="1"/>
  <c r="AD248" i="1"/>
  <c r="AD146" i="1"/>
  <c r="AD155" i="1"/>
  <c r="AD160" i="1" s="1"/>
  <c r="AD150" i="1"/>
  <c r="AC149" i="1"/>
  <c r="AC154" i="1"/>
  <c r="AC159" i="1" s="1"/>
  <c r="AB277" i="1" l="1"/>
  <c r="AB280" i="1" s="1"/>
  <c r="AB270" i="1"/>
  <c r="AC277" i="1"/>
  <c r="AC280" i="1" s="1"/>
  <c r="AC270" i="1"/>
  <c r="AE277" i="1"/>
  <c r="AE280" i="1" s="1"/>
  <c r="AE270" i="1"/>
  <c r="AE278" i="1"/>
  <c r="AE281" i="1" s="1"/>
  <c r="AE271" i="1"/>
  <c r="AD278" i="1"/>
  <c r="AD281" i="1" s="1"/>
  <c r="AD271" i="1"/>
  <c r="AC278" i="1"/>
  <c r="AC281" i="1" s="1"/>
  <c r="AC271" i="1"/>
  <c r="AD277" i="1"/>
  <c r="AD280" i="1" s="1"/>
  <c r="AD270" i="1"/>
  <c r="AB154" i="1"/>
  <c r="AB159" i="1" s="1"/>
  <c r="AE149" i="1"/>
  <c r="AE150" i="1"/>
  <c r="AB155" i="1"/>
  <c r="AB160" i="1" s="1"/>
  <c r="AD154" i="1"/>
  <c r="AD159" i="1" s="1"/>
  <c r="AD149" i="1"/>
  <c r="AC150" i="1"/>
  <c r="AC155" i="1"/>
  <c r="AC16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CL125" authorId="0" shapeId="0" xr:uid="{C98AD16C-3D8C-40C7-8F44-22405C2C0F63}">
      <text>
        <r>
          <rPr>
            <b/>
            <sz val="9"/>
            <color indexed="81"/>
            <rFont val="Tahoma"/>
            <family val="2"/>
          </rPr>
          <t>incred analyst estimates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<sst xmlns="http://schemas.openxmlformats.org/spreadsheetml/2006/main" count="826" uniqueCount="662">
  <si>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</si>
  <si>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</si>
  <si>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</si>
  <si>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</si>
  <si>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</si>
  <si>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</si>
  <si>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</si>
  <si>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</si>
  <si>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</si>
  <si>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</si>
  <si>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</si>
  <si>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</si>
  <si>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</si>
  <si>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</si>
  <si>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</si>
  <si>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</si>
  <si>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</si>
  <si>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</si>
  <si>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</si>
  <si>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</si>
  <si>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</si>
  <si>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</si>
  <si>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</si>
  <si>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</si>
  <si>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</si>
  <si>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</si>
  <si>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</si>
  <si>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</si>
  <si>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</si>
  <si>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</si>
  <si>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</si>
  <si>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</si>
  <si>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</si>
  <si>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</si>
  <si>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</si>
  <si>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</si>
  <si>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</si>
  <si>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</si>
  <si>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</si>
  <si>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</si>
  <si>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</si>
  <si>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</si>
  <si>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</si>
  <si>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</si>
  <si>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</si>
  <si>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</si>
  <si>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</si>
  <si>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</si>
  <si>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</si>
  <si>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</si>
  <si>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</si>
  <si>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</si>
  <si>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</si>
  <si>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</si>
  <si>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</si>
  <si>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</si>
  <si>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</si>
  <si>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</si>
  <si>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</si>
  <si>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</si>
  <si>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</si>
  <si>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</si>
  <si>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</si>
  <si>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</si>
  <si>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</si>
  <si>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</si>
  <si>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</si>
  <si>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</si>
  <si>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</si>
  <si>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</si>
  <si>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</si>
  <si>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</si>
  <si>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</si>
  <si>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</si>
  <si>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</si>
  <si>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</si>
  <si>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</si>
  <si>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</si>
  <si>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</si>
  <si>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</si>
  <si>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</si>
  <si>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</si>
  <si>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</si>
  <si>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</si>
  <si>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</si>
  <si>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</si>
  <si>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</si>
  <si>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</si>
  <si>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</si>
  <si>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</si>
  <si>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</si>
  <si>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</si>
  <si>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</si>
  <si>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</si>
  <si>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</si>
  <si>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</si>
  <si>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</si>
  <si>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</si>
  <si>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</si>
  <si>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</si>
  <si>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</si>
  <si>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</si>
  <si>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</si>
  <si>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</si>
  <si>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</si>
  <si>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</si>
  <si>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</si>
  <si>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</si>
  <si>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</si>
  <si>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</si>
  <si>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</si>
  <si>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</si>
  <si>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</si>
  <si>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</si>
  <si>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</si>
  <si>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</si>
  <si>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</si>
  <si>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</si>
  <si>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</si>
  <si>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</si>
  <si>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</si>
  <si>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</si>
  <si>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</si>
  <si>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</si>
  <si>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</si>
  <si>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</si>
  <si>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</si>
  <si>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</si>
  <si>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</si>
  <si>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</si>
  <si>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</si>
  <si>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</si>
  <si>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</si>
  <si>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</si>
  <si>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</si>
  <si>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</si>
  <si>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</si>
  <si>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</si>
  <si>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</si>
  <si>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</si>
  <si>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</si>
  <si>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</si>
  <si>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</si>
  <si>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</si>
  <si>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</si>
  <si>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</si>
  <si>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</si>
  <si>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</si>
  <si>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</si>
  <si>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</si>
  <si>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</si>
  <si>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</si>
  <si>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</si>
  <si>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</si>
  <si>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</si>
  <si>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</si>
  <si>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</si>
  <si>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</si>
  <si>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</si>
  <si>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</si>
  <si>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</si>
  <si>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</si>
  <si>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</si>
  <si>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</si>
  <si>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</si>
  <si>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</si>
  <si>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</si>
  <si>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</si>
  <si>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</si>
  <si>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</si>
  <si>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</si>
  <si>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</si>
  <si>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</si>
  <si>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</si>
  <si>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</si>
  <si>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</si>
  <si>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</si>
  <si>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</si>
  <si>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</si>
  <si>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</si>
  <si>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</si>
  <si>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</si>
  <si>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</si>
  <si>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</si>
  <si>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</si>
  <si>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</si>
  <si>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</si>
  <si>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</si>
  <si>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</si>
  <si>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</si>
  <si>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</si>
  <si>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</si>
  <si>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</si>
  <si>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</si>
  <si>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</si>
  <si>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</si>
  <si>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</si>
  <si>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</si>
  <si>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</si>
  <si>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</si>
  <si>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</si>
  <si>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</si>
  <si>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</si>
  <si>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</si>
  <si>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</si>
  <si>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</si>
  <si>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</si>
  <si>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</si>
  <si>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</si>
  <si>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</si>
  <si>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</si>
  <si>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</si>
  <si>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</si>
  <si>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</si>
  <si>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</si>
  <si>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</si>
  <si>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</si>
  <si>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</si>
  <si>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</si>
  <si>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</si>
  <si>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</si>
  <si>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</si>
  <si>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</si>
  <si>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</si>
  <si>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</si>
  <si>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</si>
  <si>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</si>
  <si>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</si>
  <si>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</si>
  <si>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</si>
  <si>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</si>
  <si>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</si>
  <si>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</si>
  <si>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</si>
  <si>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</si>
  <si>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</si>
  <si>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</si>
  <si>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</si>
  <si>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</si>
  <si>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</si>
  <si>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</si>
  <si>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</si>
  <si>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</si>
  <si>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</si>
  <si>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</si>
  <si>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</si>
  <si>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</si>
  <si>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</si>
  <si>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</si>
  <si>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</si>
  <si>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</si>
  <si>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</si>
  <si>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</si>
  <si>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</si>
  <si>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</si>
  <si>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</si>
  <si>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</si>
  <si>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</si>
  <si>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</si>
  <si>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</si>
  <si>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</si>
  <si>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</si>
  <si>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</si>
  <si>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</si>
  <si>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</si>
  <si>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</si>
  <si>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</si>
  <si>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</si>
  <si>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</si>
  <si>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</si>
  <si>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</si>
  <si>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</si>
  <si>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</si>
  <si>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</si>
  <si>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</si>
  <si>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</si>
  <si>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</si>
  <si>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</si>
  <si>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</si>
  <si>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</si>
  <si>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</si>
  <si>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</si>
  <si>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</si>
  <si>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</si>
  <si>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</si>
  <si>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</si>
  <si>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</si>
  <si>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</si>
  <si>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</si>
  <si>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</si>
  <si>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</si>
  <si>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</si>
  <si>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</si>
  <si>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</si>
  <si>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</si>
  <si>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</si>
  <si>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</si>
  <si>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</si>
  <si>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</si>
  <si>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</si>
  <si>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</si>
  <si>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</si>
  <si>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</si>
  <si>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</si>
  <si>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</si>
  <si>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</si>
  <si>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</si>
  <si>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</si>
  <si>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</si>
  <si>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</si>
  <si>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</si>
  <si>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</si>
  <si>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</si>
  <si>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</si>
  <si>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</si>
  <si>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</si>
  <si>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</si>
  <si>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</si>
  <si>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</si>
  <si>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</si>
  <si>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</si>
  <si>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</si>
  <si>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</si>
  <si>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</si>
  <si>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</si>
  <si>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</si>
  <si>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</si>
  <si>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</si>
  <si>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</si>
  <si>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</si>
  <si>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</si>
  <si>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</si>
  <si>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</si>
  <si>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</si>
  <si>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</si>
  <si>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</si>
  <si>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</si>
  <si>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</si>
  <si>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</si>
  <si>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</si>
  <si>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</si>
  <si>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</si>
  <si>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</si>
  <si>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</si>
  <si>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</si>
  <si>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</si>
  <si>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</si>
  <si>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</si>
  <si>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</si>
  <si>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</si>
  <si>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</si>
  <si>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</si>
  <si>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</si>
  <si>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</si>
  <si>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</si>
  <si>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</si>
  <si>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</si>
  <si>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</si>
  <si>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</si>
  <si>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</si>
  <si>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</si>
  <si>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</si>
  <si>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</si>
  <si>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</si>
  <si>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</si>
  <si>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</si>
  <si>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</si>
  <si>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</si>
  <si>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</si>
  <si>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</si>
  <si>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</si>
  <si>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</si>
  <si>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</si>
  <si>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</si>
  <si>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</si>
  <si>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</si>
  <si>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</si>
  <si>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</si>
  <si>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</si>
  <si>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</si>
  <si>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</si>
  <si>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</si>
  <si>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</si>
  <si>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</si>
  <si>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</si>
  <si>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</si>
  <si>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</si>
  <si>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</si>
  <si>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</si>
  <si>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</si>
  <si>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</si>
  <si>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</si>
  <si>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</si>
  <si>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</si>
  <si>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</si>
  <si>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</si>
  <si>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</si>
  <si>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</si>
  <si>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</si>
  <si>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</si>
  <si>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</si>
  <si>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</si>
  <si>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</si>
  <si>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</si>
  <si>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</si>
  <si>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</si>
  <si>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</si>
  <si>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</si>
  <si>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</si>
  <si>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</si>
  <si>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</si>
  <si>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</si>
  <si>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</si>
  <si>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</si>
  <si>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</si>
  <si>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</si>
  <si>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</si>
  <si>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</si>
  <si>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</si>
  <si>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</si>
  <si>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</si>
  <si>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</si>
  <si>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</si>
  <si>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</si>
  <si>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</si>
  <si>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</si>
  <si>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</si>
  <si>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</si>
  <si>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</si>
  <si>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</si>
  <si>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</si>
  <si>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</si>
  <si>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</si>
  <si>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</si>
  <si>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</si>
  <si>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</si>
  <si>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</si>
  <si>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</si>
  <si>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</si>
  <si>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</si>
  <si>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</si>
  <si>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</si>
  <si>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</si>
  <si>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</si>
  <si>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</si>
  <si>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</si>
  <si>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</si>
  <si>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</si>
  <si>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</si>
  <si>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</si>
  <si>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</si>
  <si>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</si>
  <si>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</si>
  <si>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</si>
  <si>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</si>
  <si>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</si>
  <si>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</si>
  <si>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</si>
  <si>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</si>
  <si>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</si>
  <si>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</si>
  <si>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</si>
  <si>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</si>
  <si>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</si>
  <si>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</si>
  <si>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</si>
  <si>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</si>
  <si>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</si>
  <si>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</si>
  <si>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</si>
  <si>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</si>
  <si>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</si>
  <si>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</si>
  <si>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</si>
  <si>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</si>
  <si>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</si>
  <si>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</si>
  <si>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</si>
  <si>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</si>
  <si>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</si>
  <si>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</si>
  <si>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</si>
  <si>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</si>
  <si>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</si>
  <si>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</si>
  <si>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</si>
  <si>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</si>
  <si>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</si>
  <si>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</si>
  <si>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</si>
  <si>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</si>
  <si>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</si>
  <si>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</si>
  <si>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</si>
  <si>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</si>
  <si>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</si>
  <si>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</si>
  <si>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</si>
  <si>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</si>
  <si>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</si>
  <si>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</si>
  <si>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</si>
  <si>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</si>
  <si>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</si>
  <si>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</si>
  <si>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</si>
  <si>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</si>
  <si>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</si>
  <si>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</si>
  <si>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</si>
  <si>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</si>
  <si>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</si>
  <si>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</si>
  <si>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</si>
  <si>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</si>
  <si>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Larsen &amp; Toubro Ltd.</t>
  </si>
  <si>
    <t>DATE</t>
  </si>
  <si>
    <t>ADJHIGH</t>
  </si>
  <si>
    <t>ADJCLOSE</t>
  </si>
  <si>
    <t>ADJLOW</t>
  </si>
  <si>
    <t>ADJOPEN</t>
  </si>
  <si>
    <t>CLOSE</t>
  </si>
  <si>
    <t>VOLUME</t>
  </si>
  <si>
    <t>Total</t>
  </si>
  <si>
    <t>Segment Revenue</t>
  </si>
  <si>
    <t>Order Book-Segment Wise</t>
  </si>
  <si>
    <t>Corporate EBITDA</t>
  </si>
  <si>
    <t xml:space="preserve">Segment EBITDA </t>
  </si>
  <si>
    <t>Segment EBITDA Margin %</t>
  </si>
  <si>
    <t>Total Deprecation</t>
  </si>
  <si>
    <t>Segment Finance Cost &amp; Tax Expense</t>
  </si>
  <si>
    <t>Total Finance Cost &amp; tax Expenses</t>
  </si>
  <si>
    <t>Segment Share in profit/loss of JV/Associates - Cr</t>
  </si>
  <si>
    <t>Segment Exceptional Items (Net of Tax)</t>
  </si>
  <si>
    <t>Segment Non Controlling Interest</t>
  </si>
  <si>
    <t>Segment PAT - Cr</t>
  </si>
  <si>
    <t>TOTAL PAT</t>
  </si>
  <si>
    <t>EPS L&amp;T project</t>
  </si>
  <si>
    <t>EPS TTM Growth</t>
  </si>
  <si>
    <t>Mcap-low</t>
  </si>
  <si>
    <t>L&amp;T Technology Services Ltd.</t>
  </si>
  <si>
    <t>L&amp;T Finance Ltd.</t>
  </si>
  <si>
    <t>LTIMindtree Ltd.</t>
  </si>
  <si>
    <t>Total No. Of Shares</t>
  </si>
  <si>
    <t>Value per share</t>
  </si>
  <si>
    <t>Order Book growth</t>
  </si>
  <si>
    <t>Upside</t>
  </si>
  <si>
    <t>Downside</t>
  </si>
  <si>
    <t>Adjusted Share Price</t>
  </si>
  <si>
    <t>PE on Adjusted price</t>
  </si>
  <si>
    <t>Stake %</t>
  </si>
  <si>
    <t>tr</t>
  </si>
  <si>
    <t>bn</t>
  </si>
  <si>
    <t>Construction of Raw Materials</t>
  </si>
  <si>
    <t>Bank Charges</t>
  </si>
  <si>
    <t>Provision/reversal for onerus construction contratcs(OI)</t>
  </si>
  <si>
    <t>Allowances for expected credit loss(OI)</t>
  </si>
  <si>
    <t>Diminution in carrying cost of investments(OI)</t>
  </si>
  <si>
    <t>Forex exchange gain/loss(OI)</t>
  </si>
  <si>
    <t>Infrastructure Projects Segment (orderbook)</t>
  </si>
  <si>
    <t>Energy Projects Segment (orderbook)</t>
  </si>
  <si>
    <t>Hi-Tech Manufacturing Segment (orderbook)</t>
  </si>
  <si>
    <t>Infrastructure Projects Segment- Opening</t>
  </si>
  <si>
    <t>Infrastructure Projects Segment- Addition</t>
  </si>
  <si>
    <t>Infrastructure Projects Segment- Execution %</t>
  </si>
  <si>
    <t>Infrastructure Projects Segment- Closing</t>
  </si>
  <si>
    <t>Infrastructure Projects Segment- Inflow growth YoY%</t>
  </si>
  <si>
    <t>Energy Projects Segment- Addition</t>
  </si>
  <si>
    <t>Energy Projects Segment- Opening</t>
  </si>
  <si>
    <t>Energy Projects Segment- Execution %</t>
  </si>
  <si>
    <t>Energy Projects Segment- Closing</t>
  </si>
  <si>
    <t>Energy Projects Segment- Inflow growth YoY%</t>
  </si>
  <si>
    <t>Hi-Tech Manufacturing Segment- Opening</t>
  </si>
  <si>
    <t>Hi-Tech Manufacturing Segment- Addition</t>
  </si>
  <si>
    <t>Hi-Tech Manufacturing Segment- Executiom</t>
  </si>
  <si>
    <t>Hi-Tech Manufacturing Segment- Closing</t>
  </si>
  <si>
    <t>Hi-Tech Manufacturing Segment- Inflow growth YoY%</t>
  </si>
  <si>
    <t>Hi-Tech Manufacturing Segment- Execution %</t>
  </si>
  <si>
    <t>Other Segments- (Orderbook)</t>
  </si>
  <si>
    <t>Projects &amp; Manufacturing- Revenue</t>
  </si>
  <si>
    <t>Infrastructure Projects Segment- Revenue</t>
  </si>
  <si>
    <t>Energy Projects Segment- Revenue</t>
  </si>
  <si>
    <t>Hi-Tech Manufacturing Segment- Revenue</t>
  </si>
  <si>
    <t>Other Segment- Revenue</t>
  </si>
  <si>
    <t>Services &amp; Concessions- Revenue</t>
  </si>
  <si>
    <t>IT &amp; Technology Services Segment- Revenue</t>
  </si>
  <si>
    <t>Financial Services Segment- Revenue</t>
  </si>
  <si>
    <t>Developmental Projects Segment- Revenue</t>
  </si>
  <si>
    <t>Total- Revenue</t>
  </si>
  <si>
    <t xml:space="preserve">Checksum- Revenue </t>
  </si>
  <si>
    <t xml:space="preserve">Projects &amp; Manufacturing- EBITDA </t>
  </si>
  <si>
    <t xml:space="preserve">Infrastructure Projects Segment- EBITDA </t>
  </si>
  <si>
    <t xml:space="preserve">Energy Projects Segment- EBITDA </t>
  </si>
  <si>
    <t xml:space="preserve">Hi-Tech Manufacturing Segment- EBITDA </t>
  </si>
  <si>
    <t xml:space="preserve">Other Segment- EBITDA </t>
  </si>
  <si>
    <t xml:space="preserve">Services &amp; Concessions- EBITDA </t>
  </si>
  <si>
    <t xml:space="preserve">IT &amp; Technology Services Segment- EBITDA </t>
  </si>
  <si>
    <t xml:space="preserve">Financial Services Segment- EBITDA </t>
  </si>
  <si>
    <t xml:space="preserve">Developmental Projects Segment- EBITDA </t>
  </si>
  <si>
    <t>Projects &amp; Manufacturing (EBITDA Margin %)</t>
  </si>
  <si>
    <t>Infrastructure Projects Segment (EBITDA Margin %)</t>
  </si>
  <si>
    <t>Energy Projects Segment (EBITDA Margin %)</t>
  </si>
  <si>
    <t>Hi-Tech Manufacturing Segment (EBITDA Margin %)</t>
  </si>
  <si>
    <t>Other Segment (EBITDA Margin %)</t>
  </si>
  <si>
    <t>Projects &amp; Manufacturing- Depreciation</t>
  </si>
  <si>
    <t>IT &amp; Technology Services Segment- Depreciation</t>
  </si>
  <si>
    <t>Financial Services Segment- Depreciation</t>
  </si>
  <si>
    <t>Developmental Projects Segment- Depreciation</t>
  </si>
  <si>
    <t>Corporate- Depreciation</t>
  </si>
  <si>
    <t xml:space="preserve">Checksum- Depreciation </t>
  </si>
  <si>
    <t>Checksum- EBITDA</t>
  </si>
  <si>
    <t>Projects &amp; Manufacturing- SFC &amp; TE</t>
  </si>
  <si>
    <t>IT &amp; Technology Services Segment- SFC &amp; TE</t>
  </si>
  <si>
    <t>Financial Services Segment- SFC &amp; TE</t>
  </si>
  <si>
    <t>Developmental Projects Segment- SFC &amp; TE</t>
  </si>
  <si>
    <t>Corporate- SFC &amp; TE</t>
  </si>
  <si>
    <t>Projects &amp; Manufacturing- NCI</t>
  </si>
  <si>
    <t>IT &amp; Technology Services Segment- NCI</t>
  </si>
  <si>
    <t>Financial Services Segment- NCI</t>
  </si>
  <si>
    <t>Developmental Projects Segment- NCI</t>
  </si>
  <si>
    <t>Corporate- NCI</t>
  </si>
  <si>
    <t>Total- NCI</t>
  </si>
  <si>
    <t xml:space="preserve">Projects &amp; Manufacturing- JV &amp; Associate share </t>
  </si>
  <si>
    <t xml:space="preserve">IT &amp; Technology Services Segment- JV &amp; Associate share </t>
  </si>
  <si>
    <t xml:space="preserve">Financial Services Segment- JV &amp; Associate share </t>
  </si>
  <si>
    <t xml:space="preserve">Developmental Projects Segment- JV &amp; Associate share </t>
  </si>
  <si>
    <t xml:space="preserve">Corporate- JV &amp; Associate share </t>
  </si>
  <si>
    <t xml:space="preserve">Total - JV &amp; Associate share </t>
  </si>
  <si>
    <t>Projects &amp; Manufacturing-SEI</t>
  </si>
  <si>
    <t>IT &amp; Technology Services Segment-SEI</t>
  </si>
  <si>
    <t>Financial Services Segment-SEI</t>
  </si>
  <si>
    <t>Developmental Projects Segment-SEI</t>
  </si>
  <si>
    <t>Corporate-SEI</t>
  </si>
  <si>
    <t>Total -SEI</t>
  </si>
  <si>
    <t>Projects &amp; Manufacturing- PAT</t>
  </si>
  <si>
    <t>IT &amp; Technology Services Segment- PAT</t>
  </si>
  <si>
    <t>Financial Services Segment- PAT</t>
  </si>
  <si>
    <t>Developmental Projects Segment- PAT</t>
  </si>
  <si>
    <t>PAT from discontinued operations- PAT</t>
  </si>
  <si>
    <t>Corporate- PAT</t>
  </si>
  <si>
    <t>checksum- PAT</t>
  </si>
  <si>
    <t>Close- Share Price</t>
  </si>
  <si>
    <t>High- Share Price</t>
  </si>
  <si>
    <t>Low- Share Price</t>
  </si>
  <si>
    <t>Close- Adjusted Share Price</t>
  </si>
  <si>
    <t>High- Adjusted Share Price</t>
  </si>
  <si>
    <t>Low- Adjusted Share Price</t>
  </si>
  <si>
    <t>Close- PE Adjusted</t>
  </si>
  <si>
    <t>High- PE Adjusted</t>
  </si>
  <si>
    <t>Low- PE Adjusted</t>
  </si>
  <si>
    <t xml:space="preserve"> -   </t>
  </si>
  <si>
    <t>Total Order Book -Opening</t>
  </si>
  <si>
    <t>Total Order Book -Addition</t>
  </si>
  <si>
    <t>Total Order Book-Closing</t>
  </si>
  <si>
    <t xml:space="preserve">Total Order Book -Execution </t>
  </si>
  <si>
    <t>Total Order Book Growth YoY %</t>
  </si>
  <si>
    <t>Total Inflow Growth YoY%</t>
  </si>
  <si>
    <t xml:space="preserve">Mcap to order book </t>
  </si>
  <si>
    <t>Mcap to order book- Close</t>
  </si>
  <si>
    <t>Mcap to order book- High</t>
  </si>
  <si>
    <t xml:space="preserve">Mcap to order book- Low </t>
  </si>
  <si>
    <t>Market Cap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</si>
</sst>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9"/>
      <color rgb="FF000000"/>
      <name val="Calibri"/>
      <family val="2"/>
    </font>
    <font>
      <i/>
      <sz val="9"/>
      <color rgb="FFFF0000"/>
      <name val="Calibri"/>
      <family val="2"/>
    </font>
    <font>
      <b/>
      <sz val="9"/>
      <color rgb="FF000000"/>
      <name val="Calibri"/>
      <family val="2"/>
    </font>
    <font>
      <i/>
      <sz val="9"/>
      <color rgb="FF000000"/>
      <name val="Calibri"/>
      <family val="2"/>
    </font>
    <font>
      <b/>
      <i/>
      <sz val="9"/>
      <color rgb="FF000000"/>
      <name val="Calibri"/>
      <family val="2"/>
    </font>
    <font>
      <b/>
      <i/>
      <sz val="9"/>
      <color rgb="FFFF0000"/>
      <name val="Calibri"/>
      <family val="2"/>
    </font>
    <font>
      <b/>
      <i/>
      <sz val="9"/>
      <color rgb="FF7030A0"/>
      <name val="Calibri"/>
      <family val="2"/>
    </font>
    <font>
      <i/>
      <sz val="9"/>
      <color rgb="FF7030A0"/>
      <name val="Calibri"/>
      <family val="2"/>
      <scheme val="minor"/>
    </font>
    <font>
      <b/>
      <sz val="9"/>
      <color indexed="81"/>
      <name val="Tahoma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b/>
      <i/>
      <sz val="9"/>
      <name val="Calibri"/>
      <family val="2"/>
    </font>
    <font>
      <b/>
      <i/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0" fontId="1" fillId="0" borderId="0"/>
  </cellStyleXfs>
  <cellXfs count="308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43" fontId="18" fillId="10" borderId="0" xfId="2" applyFont="1" applyFill="1" applyAlignment="1">
      <alignment horizontal="left"/>
    </xf>
    <xf numFmtId="43" fontId="18" fillId="10" borderId="0" xfId="2" applyFont="1" applyFill="1" applyAlignment="1">
      <alignment horizontal="center"/>
    </xf>
    <xf numFmtId="43" fontId="4" fillId="10" borderId="0" xfId="2" applyFont="1" applyFill="1" applyAlignment="1">
      <alignment horizontal="center"/>
    </xf>
    <xf numFmtId="9" fontId="22" fillId="11" borderId="0" xfId="1" applyFont="1" applyFill="1"/>
    <xf numFmtId="43" fontId="23" fillId="2" borderId="0" xfId="2" applyFont="1" applyFill="1"/>
    <xf numFmtId="43" fontId="25" fillId="2" borderId="0" xfId="2" applyFont="1" applyFill="1"/>
    <xf numFmtId="43" fontId="24" fillId="2" borderId="0" xfId="2" applyFont="1" applyFill="1"/>
    <xf numFmtId="43" fontId="20" fillId="11" borderId="0" xfId="2" applyFont="1" applyFill="1" applyAlignment="1">
      <alignment horizontal="center"/>
    </xf>
    <xf numFmtId="43" fontId="7" fillId="11" borderId="0" xfId="2" applyFont="1" applyFill="1" applyAlignment="1">
      <alignment horizontal="center"/>
    </xf>
    <xf numFmtId="165" fontId="20" fillId="2" borderId="0" xfId="2" applyNumberFormat="1" applyFont="1" applyFill="1" applyAlignment="1">
      <alignment horizontal="center"/>
    </xf>
    <xf numFmtId="43" fontId="25" fillId="2" borderId="4" xfId="2" applyFont="1" applyFill="1" applyBorder="1"/>
    <xf numFmtId="43" fontId="18" fillId="2" borderId="1" xfId="2" applyFont="1" applyFill="1" applyBorder="1" applyAlignment="1">
      <alignment horizontal="center"/>
    </xf>
    <xf numFmtId="43" fontId="18" fillId="7" borderId="1" xfId="2" applyFont="1" applyFill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18" fillId="0" borderId="1" xfId="2" applyFont="1" applyFill="1" applyBorder="1" applyAlignment="1">
      <alignment horizontal="center"/>
    </xf>
    <xf numFmtId="43" fontId="26" fillId="2" borderId="0" xfId="2" applyFont="1" applyFill="1"/>
    <xf numFmtId="165" fontId="18" fillId="2" borderId="0" xfId="2" applyNumberFormat="1" applyFont="1" applyFill="1" applyAlignment="1">
      <alignment horizontal="center"/>
    </xf>
    <xf numFmtId="165" fontId="18" fillId="2" borderId="1" xfId="2" applyNumberFormat="1" applyFont="1" applyFill="1" applyBorder="1" applyAlignment="1">
      <alignment horizontal="center"/>
    </xf>
    <xf numFmtId="9" fontId="20" fillId="11" borderId="0" xfId="1" applyFont="1" applyFill="1" applyAlignment="1">
      <alignment horizontal="center"/>
    </xf>
    <xf numFmtId="9" fontId="7" fillId="11" borderId="0" xfId="1" applyFont="1" applyFill="1" applyAlignment="1">
      <alignment horizontal="center"/>
    </xf>
    <xf numFmtId="165" fontId="18" fillId="7" borderId="1" xfId="2" applyNumberFormat="1" applyFont="1" applyFill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165" fontId="18" fillId="0" borderId="1" xfId="2" applyNumberFormat="1" applyFont="1" applyFill="1" applyBorder="1" applyAlignment="1">
      <alignment horizontal="center"/>
    </xf>
    <xf numFmtId="165" fontId="25" fillId="2" borderId="4" xfId="2" applyNumberFormat="1" applyFont="1" applyFill="1" applyBorder="1"/>
    <xf numFmtId="165" fontId="20" fillId="7" borderId="0" xfId="2" applyNumberFormat="1" applyFont="1" applyFill="1" applyAlignment="1">
      <alignment horizontal="center"/>
    </xf>
    <xf numFmtId="165" fontId="18" fillId="7" borderId="0" xfId="2" applyNumberFormat="1" applyFont="1" applyFill="1" applyAlignment="1">
      <alignment horizontal="center"/>
    </xf>
    <xf numFmtId="43" fontId="3" fillId="11" borderId="0" xfId="2" applyFont="1" applyFill="1" applyAlignment="1">
      <alignment horizontal="center"/>
    </xf>
    <xf numFmtId="9" fontId="3" fillId="11" borderId="0" xfId="1" applyFont="1" applyFill="1" applyAlignment="1">
      <alignment horizontal="right"/>
    </xf>
    <xf numFmtId="43" fontId="3" fillId="2" borderId="0" xfId="2" applyFont="1" applyFill="1" applyAlignment="1">
      <alignment horizontal="left"/>
    </xf>
    <xf numFmtId="43" fontId="3" fillId="2" borderId="0" xfId="2" applyFont="1" applyFill="1" applyAlignment="1">
      <alignment horizontal="center"/>
    </xf>
    <xf numFmtId="43" fontId="3" fillId="7" borderId="0" xfId="2" applyFont="1" applyFill="1" applyAlignment="1">
      <alignment horizontal="center"/>
    </xf>
    <xf numFmtId="43" fontId="3" fillId="0" borderId="0" xfId="2" applyFont="1" applyAlignment="1">
      <alignment horizontal="center"/>
    </xf>
    <xf numFmtId="43" fontId="3" fillId="0" borderId="0" xfId="2" applyFont="1" applyFill="1" applyAlignment="1">
      <alignment horizontal="center"/>
    </xf>
    <xf numFmtId="0" fontId="25" fillId="2" borderId="4" xfId="2" applyNumberFormat="1" applyFont="1" applyFill="1" applyBorder="1"/>
    <xf numFmtId="9" fontId="20" fillId="2" borderId="0" xfId="1" applyFont="1" applyFill="1" applyAlignment="1">
      <alignment horizontal="center"/>
    </xf>
    <xf numFmtId="9" fontId="7" fillId="0" borderId="0" xfId="1" applyFont="1" applyAlignment="1">
      <alignment horizontal="center"/>
    </xf>
    <xf numFmtId="9" fontId="20" fillId="0" borderId="0" xfId="1" applyFont="1" applyFill="1" applyAlignment="1">
      <alignment horizontal="center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18" fillId="2" borderId="0" xfId="1" applyFont="1" applyFill="1" applyAlignment="1">
      <alignment horizontal="right"/>
    </xf>
    <xf numFmtId="165" fontId="3" fillId="2" borderId="0" xfId="2" applyNumberFormat="1" applyFont="1" applyFill="1" applyAlignment="1">
      <alignment horizontal="center"/>
    </xf>
    <xf numFmtId="165" fontId="3" fillId="7" borderId="0" xfId="2" applyNumberFormat="1" applyFont="1" applyFill="1" applyAlignment="1">
      <alignment horizontal="center"/>
    </xf>
    <xf numFmtId="43" fontId="21" fillId="7" borderId="0" xfId="2" applyFont="1" applyFill="1"/>
    <xf numFmtId="9" fontId="20" fillId="7" borderId="0" xfId="2" applyNumberFormat="1" applyFont="1" applyFill="1" applyAlignment="1">
      <alignment horizontal="right"/>
    </xf>
    <xf numFmtId="9" fontId="18" fillId="7" borderId="0" xfId="2" applyNumberFormat="1" applyFont="1" applyFill="1" applyAlignment="1">
      <alignment horizontal="right"/>
    </xf>
    <xf numFmtId="9" fontId="26" fillId="2" borderId="0" xfId="1" applyFont="1" applyFill="1"/>
    <xf numFmtId="43" fontId="27" fillId="2" borderId="0" xfId="2" applyFont="1" applyFill="1"/>
    <xf numFmtId="43" fontId="11" fillId="2" borderId="0" xfId="2" applyFont="1" applyFill="1" applyAlignment="1">
      <alignment horizontal="center"/>
    </xf>
    <xf numFmtId="43" fontId="11" fillId="7" borderId="0" xfId="2" applyFont="1" applyFill="1" applyAlignment="1">
      <alignment horizontal="center"/>
    </xf>
    <xf numFmtId="43" fontId="11" fillId="0" borderId="0" xfId="2" applyFont="1" applyAlignment="1">
      <alignment horizontal="center"/>
    </xf>
    <xf numFmtId="43" fontId="11" fillId="0" borderId="0" xfId="2" applyFont="1" applyFill="1" applyAlignment="1">
      <alignment horizontal="center"/>
    </xf>
    <xf numFmtId="43" fontId="23" fillId="2" borderId="0" xfId="2" applyFont="1" applyFill="1" applyBorder="1"/>
    <xf numFmtId="9" fontId="23" fillId="2" borderId="0" xfId="1" applyFont="1" applyFill="1" applyBorder="1"/>
    <xf numFmtId="43" fontId="28" fillId="2" borderId="0" xfId="2" applyFont="1" applyFill="1" applyAlignment="1">
      <alignment horizontal="center"/>
    </xf>
    <xf numFmtId="43" fontId="28" fillId="7" borderId="0" xfId="2" applyFont="1" applyFill="1" applyAlignment="1">
      <alignment horizontal="center"/>
    </xf>
    <xf numFmtId="43" fontId="28" fillId="0" borderId="0" xfId="2" applyFont="1" applyAlignment="1">
      <alignment horizontal="center"/>
    </xf>
    <xf numFmtId="43" fontId="28" fillId="0" borderId="0" xfId="2" applyFont="1" applyFill="1" applyAlignment="1">
      <alignment horizontal="center"/>
    </xf>
    <xf numFmtId="43" fontId="9" fillId="2" borderId="0" xfId="2" applyFont="1" applyFill="1" applyAlignment="1">
      <alignment horizontal="center"/>
    </xf>
    <xf numFmtId="43" fontId="9" fillId="0" borderId="0" xfId="2" applyFont="1" applyAlignment="1">
      <alignment horizontal="center"/>
    </xf>
    <xf numFmtId="9" fontId="9" fillId="2" borderId="0" xfId="1" applyFont="1" applyFill="1" applyAlignment="1">
      <alignment horizontal="center"/>
    </xf>
    <xf numFmtId="9" fontId="9" fillId="0" borderId="0" xfId="1" applyFont="1" applyAlignment="1">
      <alignment horizontal="center"/>
    </xf>
    <xf numFmtId="9" fontId="9" fillId="2" borderId="0" xfId="1" applyFont="1" applyFill="1" applyAlignment="1">
      <alignment horizontal="right"/>
    </xf>
    <xf numFmtId="9" fontId="9" fillId="7" borderId="0" xfId="1" applyFont="1" applyFill="1" applyAlignment="1">
      <alignment horizontal="right"/>
    </xf>
    <xf numFmtId="9" fontId="9" fillId="0" borderId="0" xfId="1" applyFont="1" applyFill="1" applyAlignment="1">
      <alignment horizontal="center"/>
    </xf>
    <xf numFmtId="43" fontId="23" fillId="2" borderId="4" xfId="2" applyFont="1" applyFill="1" applyBorder="1"/>
    <xf numFmtId="9" fontId="20" fillId="2" borderId="0" xfId="1" applyFont="1" applyFill="1" applyAlignment="1">
      <alignment horizontal="left"/>
    </xf>
    <xf numFmtId="9" fontId="20" fillId="2" borderId="0" xfId="2" applyNumberFormat="1" applyFont="1" applyFill="1" applyAlignment="1">
      <alignment horizontal="right"/>
    </xf>
    <xf numFmtId="43" fontId="23" fillId="11" borderId="0" xfId="2" applyFont="1" applyFill="1" applyBorder="1"/>
    <xf numFmtId="9" fontId="27" fillId="11" borderId="0" xfId="1" applyFont="1" applyFill="1" applyBorder="1"/>
    <xf numFmtId="9" fontId="11" fillId="11" borderId="0" xfId="1" applyFont="1" applyFill="1" applyAlignment="1">
      <alignment horizontal="center"/>
    </xf>
    <xf numFmtId="9" fontId="3" fillId="11" borderId="0" xfId="1" applyFont="1" applyFill="1" applyAlignment="1">
      <alignment horizontal="center"/>
    </xf>
    <xf numFmtId="166" fontId="20" fillId="2" borderId="0" xfId="1" applyNumberFormat="1" applyFont="1" applyFill="1" applyAlignment="1">
      <alignment horizontal="center"/>
    </xf>
    <xf numFmtId="166" fontId="20" fillId="2" borderId="0" xfId="2" applyNumberFormat="1" applyFont="1" applyFill="1" applyAlignment="1">
      <alignment horizontal="center"/>
    </xf>
    <xf numFmtId="166" fontId="24" fillId="2" borderId="0" xfId="1" applyNumberFormat="1" applyFont="1" applyFill="1"/>
    <xf numFmtId="166" fontId="20" fillId="2" borderId="0" xfId="1" applyNumberFormat="1" applyFont="1" applyFill="1" applyAlignment="1">
      <alignment horizontal="right"/>
    </xf>
    <xf numFmtId="166" fontId="20" fillId="7" borderId="0" xfId="1" applyNumberFormat="1" applyFont="1" applyFill="1" applyAlignment="1">
      <alignment horizontal="right"/>
    </xf>
    <xf numFmtId="166" fontId="7" fillId="0" borderId="0" xfId="1" applyNumberFormat="1" applyFont="1" applyAlignment="1">
      <alignment horizontal="center"/>
    </xf>
    <xf numFmtId="166" fontId="20" fillId="0" borderId="0" xfId="1" applyNumberFormat="1" applyFont="1" applyFill="1" applyAlignment="1">
      <alignment horizontal="center"/>
    </xf>
    <xf numFmtId="166" fontId="24" fillId="2" borderId="0" xfId="2" applyNumberFormat="1" applyFont="1" applyFill="1"/>
    <xf numFmtId="166" fontId="7" fillId="0" borderId="0" xfId="2" applyNumberFormat="1" applyFont="1" applyAlignment="1">
      <alignment horizontal="center"/>
    </xf>
    <xf numFmtId="166" fontId="20" fillId="2" borderId="0" xfId="2" applyNumberFormat="1" applyFont="1" applyFill="1" applyAlignment="1">
      <alignment horizontal="right"/>
    </xf>
    <xf numFmtId="166" fontId="20" fillId="7" borderId="0" xfId="2" applyNumberFormat="1" applyFont="1" applyFill="1" applyAlignment="1">
      <alignment horizontal="right"/>
    </xf>
    <xf numFmtId="166" fontId="20" fillId="0" borderId="0" xfId="2" applyNumberFormat="1" applyFont="1" applyFill="1" applyAlignment="1">
      <alignment horizontal="center"/>
    </xf>
    <xf numFmtId="166" fontId="25" fillId="2" borderId="0" xfId="1" applyNumberFormat="1" applyFont="1" applyFill="1" applyAlignment="1">
      <alignment horizontal="left"/>
    </xf>
    <xf numFmtId="166" fontId="18" fillId="2" borderId="0" xfId="1" applyNumberFormat="1" applyFont="1" applyFill="1" applyAlignment="1">
      <alignment horizontal="right"/>
    </xf>
    <xf numFmtId="166" fontId="18" fillId="7" borderId="0" xfId="1" applyNumberFormat="1" applyFont="1" applyFill="1" applyAlignment="1">
      <alignment horizontal="right"/>
    </xf>
    <xf numFmtId="166" fontId="4" fillId="0" borderId="0" xfId="1" applyNumberFormat="1" applyFont="1" applyAlignment="1">
      <alignment horizontal="right"/>
    </xf>
    <xf numFmtId="166" fontId="25" fillId="7" borderId="0" xfId="1" applyNumberFormat="1" applyFont="1" applyFill="1"/>
    <xf numFmtId="166" fontId="18" fillId="0" borderId="0" xfId="1" applyNumberFormat="1" applyFont="1" applyFill="1" applyAlignment="1">
      <alignment horizontal="right"/>
    </xf>
    <xf numFmtId="166" fontId="24" fillId="2" borderId="0" xfId="1" applyNumberFormat="1" applyFont="1" applyFill="1" applyAlignment="1">
      <alignment horizontal="left"/>
    </xf>
    <xf numFmtId="166" fontId="7" fillId="0" borderId="0" xfId="1" applyNumberFormat="1" applyFont="1" applyAlignment="1">
      <alignment horizontal="right"/>
    </xf>
    <xf numFmtId="166" fontId="24" fillId="7" borderId="0" xfId="1" applyNumberFormat="1" applyFont="1" applyFill="1"/>
    <xf numFmtId="166" fontId="20" fillId="0" borderId="0" xfId="1" applyNumberFormat="1" applyFont="1" applyFill="1" applyAlignment="1">
      <alignment horizontal="right"/>
    </xf>
    <xf numFmtId="43" fontId="20" fillId="2" borderId="0" xfId="2" applyFont="1" applyFill="1" applyAlignment="1">
      <alignment horizontal="right"/>
    </xf>
    <xf numFmtId="43" fontId="20" fillId="7" borderId="0" xfId="2" applyFont="1" applyFill="1" applyAlignment="1">
      <alignment horizontal="right"/>
    </xf>
    <xf numFmtId="17" fontId="5" fillId="0" borderId="0" xfId="0" applyNumberFormat="1" applyFont="1" applyAlignment="1">
      <alignment horizontal="center"/>
    </xf>
    <xf numFmtId="9" fontId="7" fillId="11" borderId="0" xfId="2" applyNumberFormat="1" applyFont="1" applyFill="1" applyAlignment="1">
      <alignment horizontal="center"/>
    </xf>
    <xf numFmtId="9" fontId="3" fillId="11" borderId="0" xfId="2" applyNumberFormat="1" applyFont="1" applyFill="1" applyAlignment="1">
      <alignment horizontal="center"/>
    </xf>
    <xf numFmtId="9" fontId="7" fillId="0" borderId="0" xfId="2" applyNumberFormat="1" applyFont="1" applyAlignment="1">
      <alignment horizontal="center"/>
    </xf>
    <xf numFmtId="165" fontId="25" fillId="2" borderId="0" xfId="2" applyNumberFormat="1" applyFont="1" applyFill="1" applyBorder="1"/>
    <xf numFmtId="165" fontId="18" fillId="2" borderId="0" xfId="2" applyNumberFormat="1" applyFont="1" applyFill="1" applyBorder="1" applyAlignment="1">
      <alignment horizontal="center"/>
    </xf>
    <xf numFmtId="165" fontId="18" fillId="7" borderId="0" xfId="2" applyNumberFormat="1" applyFont="1" applyFill="1" applyBorder="1" applyAlignment="1">
      <alignment horizontal="center"/>
    </xf>
    <xf numFmtId="165" fontId="4" fillId="0" borderId="0" xfId="2" applyNumberFormat="1" applyFont="1" applyBorder="1" applyAlignment="1">
      <alignment horizontal="center"/>
    </xf>
    <xf numFmtId="165" fontId="18" fillId="0" borderId="0" xfId="2" applyNumberFormat="1" applyFont="1" applyFill="1" applyBorder="1" applyAlignment="1">
      <alignment horizontal="center"/>
    </xf>
    <xf numFmtId="43" fontId="30" fillId="2" borderId="0" xfId="2" applyFont="1" applyFill="1"/>
    <xf numFmtId="43" fontId="31" fillId="2" borderId="0" xfId="2" applyFont="1" applyFill="1" applyAlignment="1">
      <alignment horizontal="center"/>
    </xf>
    <xf numFmtId="43" fontId="31" fillId="7" borderId="0" xfId="2" applyFont="1" applyFill="1" applyAlignment="1">
      <alignment horizontal="center"/>
    </xf>
    <xf numFmtId="43" fontId="31" fillId="0" borderId="0" xfId="2" applyFont="1" applyAlignment="1">
      <alignment horizontal="center"/>
    </xf>
    <xf numFmtId="43" fontId="31" fillId="0" borderId="0" xfId="2" applyFont="1" applyFill="1" applyAlignment="1">
      <alignment horizontal="center"/>
    </xf>
    <xf numFmtId="43" fontId="32" fillId="2" borderId="0" xfId="2" applyFont="1" applyFill="1"/>
    <xf numFmtId="43" fontId="33" fillId="2" borderId="0" xfId="2" applyFont="1" applyFill="1" applyAlignment="1">
      <alignment horizontal="center"/>
    </xf>
    <xf numFmtId="43" fontId="33" fillId="7" borderId="0" xfId="2" applyFont="1" applyFill="1" applyAlignment="1">
      <alignment horizontal="center"/>
    </xf>
    <xf numFmtId="43" fontId="33" fillId="0" borderId="0" xfId="2" applyFont="1" applyAlignment="1">
      <alignment horizontal="center"/>
    </xf>
    <xf numFmtId="43" fontId="33" fillId="0" borderId="0" xfId="2" applyFont="1" applyFill="1" applyAlignment="1">
      <alignment horizontal="center"/>
    </xf>
    <xf numFmtId="4" fontId="7" fillId="4" borderId="0" xfId="0" applyNumberFormat="1" applyFont="1" applyFill="1"/>
    <xf numFmtId="9" fontId="4" fillId="8" borderId="0" xfId="2" applyNumberFormat="1" applyFont="1" applyFill="1"/>
    <xf numFmtId="10" fontId="7" fillId="0" borderId="0" xfId="0" applyNumberFormat="1" applyFont="1"/>
    <xf numFmtId="10" fontId="7" fillId="4" borderId="0" xfId="0" applyNumberFormat="1" applyFont="1" applyFill="1"/>
    <xf numFmtId="10" fontId="7" fillId="4" borderId="0" xfId="2" applyNumberFormat="1" applyFont="1" applyFill="1"/>
    <xf numFmtId="44" fontId="24" fillId="2" borderId="0" xfId="2" applyNumberFormat="1" applyFont="1" applyFill="1"/>
    <xf numFmtId="9" fontId="18" fillId="2" borderId="0" xfId="1" applyFont="1" applyFill="1" applyBorder="1" applyAlignment="1">
      <alignment horizontal="right"/>
    </xf>
    <xf numFmtId="9" fontId="18" fillId="7" borderId="0" xfId="2" applyNumberFormat="1" applyFont="1" applyFill="1" applyBorder="1" applyAlignment="1">
      <alignment horizontal="right"/>
    </xf>
  </cellXfs>
  <cellStyles count="6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Normal 6" xfId="5" xr:uid="{CC19541C-4401-4F5B-9F4A-17F17E1CCB4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421"/>
  <sheetViews>
    <sheetView tabSelected="1" zoomScale="111" zoomScaleNormal="100" workbookViewId="0">
      <pane xSplit="1" ySplit="1" topLeftCell="CX140" activePane="bottomRight" state="frozen"/>
      <selection pane="topRight" activeCell="B1" sqref="B1"/>
      <selection pane="bottomLeft" activeCell="A2" sqref="A2"/>
      <selection pane="bottomRight" activeCell="DF163" sqref="DF163:DF421"/>
    </sheetView>
  </sheetViews>
  <sheetFormatPr defaultColWidth="11.140625" defaultRowHeight="12" outlineLevelRow="1" x14ac:dyDescent="0.2"/>
  <cols>
    <col min="1" max="1" width="37.14062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Larsen &amp; Toubro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ref="CK1" si="16">EOMONTH(CJ1,3)</f>
        <v>46022</v>
      </c>
      <c r="CL1" s="79">
        <f t="shared" ref="CL1" si="17">EOMONTH(CK1,3)</f>
        <v>46112</v>
      </c>
      <c r="CM1" s="80">
        <f t="shared" ref="CM1" si="18">EOMONTH(CL1,3)</f>
        <v>46203</v>
      </c>
      <c r="CN1" s="80">
        <f t="shared" ref="CN1" si="19">EOMONTH(CM1,3)</f>
        <v>46295</v>
      </c>
      <c r="CO1" s="80">
        <f t="shared" ref="CO1" si="20">EOMONTH(CN1,3)</f>
        <v>46387</v>
      </c>
      <c r="CP1" s="80">
        <f t="shared" ref="CP1" si="21">EOMONTH(CO1,3)</f>
        <v>46477</v>
      </c>
      <c r="CQ1" s="80">
        <f t="shared" ref="CQ1" si="22">EOMONTH(CP1,3)</f>
        <v>46568</v>
      </c>
      <c r="CR1" s="80">
        <f t="shared" ref="CR1" si="23">EOMONTH(CQ1,3)</f>
        <v>46660</v>
      </c>
      <c r="CS1" s="80">
        <f t="shared" ref="CS1" si="24">EOMONTH(CR1,3)</f>
        <v>46752</v>
      </c>
      <c r="CT1" s="80">
        <f t="shared" ref="CT1" si="25">EOMONTH(CS1,3)</f>
        <v>46843</v>
      </c>
      <c r="CU1" s="80">
        <f t="shared" ref="CU1" si="26">EOMONTH(CT1,3)</f>
        <v>46934</v>
      </c>
      <c r="CV1" s="80">
        <f t="shared" ref="CV1" si="27">EOMONTH(CU1,3)</f>
        <v>47026</v>
      </c>
      <c r="CW1" s="80">
        <f t="shared" ref="CW1" si="28">EOMONTH(CV1,3)</f>
        <v>47118</v>
      </c>
      <c r="CX1" s="80">
        <f t="shared" ref="CX1" si="29">EOMONTH(CW1,3)</f>
        <v>47208</v>
      </c>
      <c r="CY1" s="80">
        <f t="shared" ref="CY1" si="30">EOMONTH(CX1,3)</f>
        <v>47299</v>
      </c>
      <c r="CZ1" s="80">
        <f t="shared" ref="CZ1" si="31">EOMONTH(CY1,3)</f>
        <v>47391</v>
      </c>
      <c r="DA1" s="80">
        <f t="shared" ref="DA1" si="32">EOMONTH(CZ1,3)</f>
        <v>47483</v>
      </c>
      <c r="DB1" s="80">
        <f t="shared" ref="DB1" si="33">EOMONTH(DA1,3)</f>
        <v>47573</v>
      </c>
      <c r="DE1" s="148" t="s">
        <v>445</v>
      </c>
      <c r="DF1" s="281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88" customFormat="1" x14ac:dyDescent="0.2">
      <c r="A4" s="186" t="s">
        <v>525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I4" s="187"/>
      <c r="AJ4" s="187"/>
      <c r="AK4" s="187"/>
      <c r="AL4" s="187"/>
      <c r="AM4" s="187"/>
      <c r="AN4" s="187"/>
      <c r="AO4" s="187"/>
      <c r="AP4" s="187"/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7"/>
      <c r="BL4" s="187"/>
      <c r="BM4" s="187"/>
      <c r="BN4" s="187"/>
      <c r="BO4" s="187"/>
      <c r="BP4" s="187"/>
      <c r="BQ4" s="187"/>
      <c r="BR4" s="187"/>
      <c r="BS4" s="187"/>
      <c r="BT4" s="187"/>
      <c r="BU4" s="187"/>
      <c r="BV4" s="187"/>
      <c r="BW4" s="187"/>
      <c r="BX4" s="187"/>
      <c r="BY4" s="187"/>
      <c r="BZ4" s="187"/>
      <c r="CA4" s="187"/>
      <c r="CB4" s="187"/>
      <c r="CC4" s="187"/>
      <c r="CD4" s="187"/>
      <c r="CE4" s="187"/>
      <c r="CF4" s="187"/>
      <c r="CG4" s="187"/>
      <c r="CH4" s="187"/>
      <c r="CI4" s="187"/>
      <c r="CJ4" s="187"/>
      <c r="CK4" s="187"/>
      <c r="CL4" s="187"/>
      <c r="CM4" s="187"/>
      <c r="CN4" s="187"/>
      <c r="CO4" s="187"/>
      <c r="CP4" s="187"/>
      <c r="CQ4" s="187"/>
      <c r="CR4" s="187"/>
      <c r="CS4" s="187"/>
      <c r="CT4" s="187"/>
      <c r="CU4" s="187"/>
      <c r="CV4" s="187"/>
      <c r="CW4" s="187"/>
      <c r="CX4" s="187"/>
      <c r="CY4" s="187"/>
      <c r="CZ4" s="187"/>
      <c r="DA4" s="187"/>
      <c r="DB4" s="187"/>
      <c r="DE4" s="187"/>
    </row>
    <row r="5" spans="1:110" s="158" customFormat="1" x14ac:dyDescent="0.2">
      <c r="A5" s="191" t="s">
        <v>559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95">
        <f>+CG7+CG14+CG21</f>
        <v>98787</v>
      </c>
      <c r="CH5" s="156"/>
      <c r="CI5" s="156"/>
      <c r="CJ5" s="156"/>
      <c r="CK5" s="195"/>
      <c r="CL5" s="156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293" customFormat="1" x14ac:dyDescent="0.2">
      <c r="A6" s="290" t="s">
        <v>562</v>
      </c>
      <c r="B6" s="291"/>
      <c r="C6" s="291"/>
      <c r="D6" s="291"/>
      <c r="E6" s="291"/>
      <c r="F6" s="291"/>
      <c r="G6" s="291"/>
      <c r="H6" s="291"/>
      <c r="I6" s="291"/>
      <c r="J6" s="291"/>
      <c r="K6" s="291"/>
      <c r="L6" s="291"/>
      <c r="M6" s="291"/>
      <c r="N6" s="291"/>
      <c r="O6" s="291"/>
      <c r="P6" s="291"/>
      <c r="Q6" s="291"/>
      <c r="R6" s="291"/>
      <c r="S6" s="291"/>
      <c r="T6" s="291">
        <v>0</v>
      </c>
      <c r="U6" s="291">
        <v>221810.4</v>
      </c>
      <c r="V6" s="291">
        <v>224886</v>
      </c>
      <c r="W6" s="291">
        <v>245550</v>
      </c>
      <c r="X6" s="291">
        <v>261048</v>
      </c>
      <c r="Y6" s="291">
        <v>283645</v>
      </c>
      <c r="Z6" s="291">
        <f>+Y9</f>
        <v>311665</v>
      </c>
      <c r="AA6" s="292">
        <f t="shared" ref="AA6:AE6" si="34">+Z9</f>
        <v>357073</v>
      </c>
      <c r="AB6" s="292">
        <f t="shared" si="34"/>
        <v>422562</v>
      </c>
      <c r="AC6" s="292">
        <f t="shared" si="34"/>
        <v>481360.92498717306</v>
      </c>
      <c r="AD6" s="292">
        <f t="shared" si="34"/>
        <v>536492.48049760447</v>
      </c>
      <c r="AE6" s="292">
        <f t="shared" si="34"/>
        <v>590139.00037435442</v>
      </c>
      <c r="AI6" s="291"/>
      <c r="AJ6" s="291"/>
      <c r="AK6" s="291"/>
      <c r="AL6" s="291"/>
      <c r="AM6" s="291"/>
      <c r="AN6" s="291"/>
      <c r="AO6" s="291"/>
      <c r="AP6" s="291"/>
      <c r="AQ6" s="291"/>
      <c r="AR6" s="291"/>
      <c r="AS6" s="291"/>
      <c r="AT6" s="291"/>
      <c r="AU6" s="291"/>
      <c r="AV6" s="291"/>
      <c r="AW6" s="291"/>
      <c r="AX6" s="291"/>
      <c r="AY6" s="291"/>
      <c r="AZ6" s="291"/>
      <c r="BA6" s="291"/>
      <c r="BB6" s="291"/>
      <c r="BC6" s="291"/>
      <c r="BD6" s="291"/>
      <c r="BE6" s="291"/>
      <c r="BF6" s="291"/>
      <c r="BG6" s="291"/>
      <c r="BH6" s="291"/>
      <c r="BI6" s="291"/>
      <c r="BJ6" s="291"/>
      <c r="BK6" s="291">
        <f t="shared" ref="BK6" si="35">+BJ9</f>
        <v>221810.4</v>
      </c>
      <c r="BL6" s="291">
        <f t="shared" ref="BL6:CI6" si="36">+BK9</f>
        <v>218736</v>
      </c>
      <c r="BM6" s="291">
        <f t="shared" si="36"/>
        <v>215272</v>
      </c>
      <c r="BN6" s="291">
        <f t="shared" si="36"/>
        <v>223599</v>
      </c>
      <c r="BO6" s="291">
        <f t="shared" si="36"/>
        <v>224886</v>
      </c>
      <c r="BP6" s="291">
        <f t="shared" si="36"/>
        <v>219672</v>
      </c>
      <c r="BQ6" s="291">
        <f t="shared" si="36"/>
        <v>221186</v>
      </c>
      <c r="BR6" s="291">
        <f t="shared" si="36"/>
        <v>245014</v>
      </c>
      <c r="BS6" s="291">
        <f t="shared" si="36"/>
        <v>245550</v>
      </c>
      <c r="BT6" s="291">
        <f t="shared" si="36"/>
        <v>246012</v>
      </c>
      <c r="BU6" s="291">
        <f t="shared" si="36"/>
        <v>244570</v>
      </c>
      <c r="BV6" s="291">
        <f t="shared" si="36"/>
        <v>248492</v>
      </c>
      <c r="BW6" s="291">
        <f t="shared" si="36"/>
        <v>261048</v>
      </c>
      <c r="BX6" s="291">
        <f t="shared" si="36"/>
        <v>265282</v>
      </c>
      <c r="BY6" s="291">
        <f t="shared" si="36"/>
        <v>268128</v>
      </c>
      <c r="BZ6" s="291">
        <f t="shared" si="36"/>
        <v>278352</v>
      </c>
      <c r="CA6" s="291">
        <f t="shared" si="36"/>
        <v>283645</v>
      </c>
      <c r="CB6" s="291">
        <f t="shared" si="36"/>
        <v>301198</v>
      </c>
      <c r="CC6" s="291">
        <f t="shared" si="36"/>
        <v>301969</v>
      </c>
      <c r="CD6" s="291">
        <f t="shared" si="36"/>
        <v>317693</v>
      </c>
      <c r="CE6" s="291">
        <f t="shared" si="36"/>
        <v>311665</v>
      </c>
      <c r="CF6" s="291">
        <f t="shared" si="36"/>
        <v>323994</v>
      </c>
      <c r="CG6" s="291">
        <f t="shared" si="36"/>
        <v>342954</v>
      </c>
      <c r="CH6" s="291">
        <f t="shared" si="36"/>
        <v>361282</v>
      </c>
      <c r="CI6" s="291">
        <f t="shared" si="36"/>
        <v>357073</v>
      </c>
      <c r="CJ6" s="291">
        <f>+CI9</f>
        <v>370390</v>
      </c>
      <c r="CK6" s="291">
        <f>+CJ9</f>
        <v>394706</v>
      </c>
      <c r="CL6" s="291">
        <f>+CK9</f>
        <v>424937</v>
      </c>
      <c r="CM6" s="292">
        <f t="shared" ref="CM6:DB6" si="37">+CL9</f>
        <v>422562</v>
      </c>
      <c r="CN6" s="292">
        <f t="shared" si="37"/>
        <v>433790.81123496988</v>
      </c>
      <c r="CO6" s="292">
        <f t="shared" si="37"/>
        <v>456916.71998418524</v>
      </c>
      <c r="CP6" s="292">
        <f t="shared" si="37"/>
        <v>486677.24814221362</v>
      </c>
      <c r="CQ6" s="292">
        <f t="shared" si="37"/>
        <v>481360.92498717317</v>
      </c>
      <c r="CR6" s="292">
        <f t="shared" si="37"/>
        <v>491281.58942462219</v>
      </c>
      <c r="CS6" s="292">
        <f t="shared" si="37"/>
        <v>514045.69811138604</v>
      </c>
      <c r="CT6" s="292">
        <f t="shared" si="37"/>
        <v>544136.21711526951</v>
      </c>
      <c r="CU6" s="292">
        <f t="shared" si="37"/>
        <v>536492.48049760482</v>
      </c>
      <c r="CV6" s="292">
        <f t="shared" si="37"/>
        <v>545659.87407971034</v>
      </c>
      <c r="CW6" s="292">
        <f t="shared" si="37"/>
        <v>568674.94744969753</v>
      </c>
      <c r="CX6" s="292">
        <f t="shared" si="37"/>
        <v>599703.22669296933</v>
      </c>
      <c r="CY6" s="292">
        <f t="shared" si="37"/>
        <v>590139.00037435465</v>
      </c>
      <c r="CZ6" s="292">
        <f t="shared" si="37"/>
        <v>598951.89601354278</v>
      </c>
      <c r="DA6" s="292">
        <f t="shared" si="37"/>
        <v>622683.1517538185</v>
      </c>
      <c r="DB6" s="292">
        <f t="shared" si="37"/>
        <v>655126.41960391635</v>
      </c>
      <c r="DE6" s="294"/>
      <c r="DF6" s="293">
        <v>424937</v>
      </c>
    </row>
    <row r="7" spans="1:110" s="293" customFormat="1" x14ac:dyDescent="0.2">
      <c r="A7" s="290" t="s">
        <v>563</v>
      </c>
      <c r="B7" s="291"/>
      <c r="C7" s="291"/>
      <c r="D7" s="291"/>
      <c r="E7" s="291"/>
      <c r="F7" s="291"/>
      <c r="G7" s="291"/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>
        <v>0</v>
      </c>
      <c r="U7" s="291">
        <v>64498</v>
      </c>
      <c r="V7" s="291">
        <v>82094</v>
      </c>
      <c r="W7" s="291">
        <v>87902</v>
      </c>
      <c r="X7" s="291">
        <v>109314</v>
      </c>
      <c r="Y7" s="291">
        <v>140571</v>
      </c>
      <c r="Z7" s="291">
        <f>+SUM(CE7:CH7)</f>
        <v>175305</v>
      </c>
      <c r="AA7" s="292">
        <f>SUM(CI7:CL7)</f>
        <v>199399</v>
      </c>
      <c r="AB7" s="292">
        <f>+SUM(CM7:CP7)</f>
        <v>214498.19211922056</v>
      </c>
      <c r="AC7" s="292">
        <f>+SUM(CQ7:CT7)</f>
        <v>230740.74805999052</v>
      </c>
      <c r="AD7" s="292">
        <f>+SUM(CU7:CX7)</f>
        <v>248213.24734379066</v>
      </c>
      <c r="AE7" s="292">
        <f>+SUM(CY7:DB7)</f>
        <v>267008.82559734007</v>
      </c>
      <c r="AI7" s="291"/>
      <c r="AJ7" s="291"/>
      <c r="AK7" s="291"/>
      <c r="AL7" s="291"/>
      <c r="AM7" s="291"/>
      <c r="AN7" s="291"/>
      <c r="AO7" s="291"/>
      <c r="AP7" s="291"/>
      <c r="AQ7" s="291"/>
      <c r="AR7" s="291"/>
      <c r="AS7" s="291"/>
      <c r="AT7" s="291"/>
      <c r="AU7" s="291"/>
      <c r="AV7" s="291"/>
      <c r="AW7" s="291"/>
      <c r="AX7" s="291"/>
      <c r="AY7" s="291"/>
      <c r="AZ7" s="291"/>
      <c r="BA7" s="291"/>
      <c r="BB7" s="291"/>
      <c r="BC7" s="291"/>
      <c r="BD7" s="291"/>
      <c r="BE7" s="291"/>
      <c r="BF7" s="291"/>
      <c r="BG7" s="291"/>
      <c r="BH7" s="291"/>
      <c r="BI7" s="291"/>
      <c r="BJ7" s="291"/>
      <c r="BK7" s="291">
        <f t="shared" ref="BK7:CI7" si="38">+BK9+BK8-BK6</f>
        <v>10519.600000000006</v>
      </c>
      <c r="BL7" s="291">
        <f t="shared" si="38"/>
        <v>12766</v>
      </c>
      <c r="BM7" s="291">
        <f t="shared" si="38"/>
        <v>25353</v>
      </c>
      <c r="BN7" s="291">
        <f t="shared" si="38"/>
        <v>26379</v>
      </c>
      <c r="BO7" s="291">
        <f t="shared" si="38"/>
        <v>1179</v>
      </c>
      <c r="BP7" s="291">
        <f t="shared" si="38"/>
        <v>14483</v>
      </c>
      <c r="BQ7" s="291">
        <f t="shared" si="38"/>
        <v>39656</v>
      </c>
      <c r="BR7" s="291">
        <f t="shared" si="38"/>
        <v>26776</v>
      </c>
      <c r="BS7" s="291">
        <f t="shared" si="38"/>
        <v>10871</v>
      </c>
      <c r="BT7" s="291">
        <f t="shared" si="38"/>
        <v>12481</v>
      </c>
      <c r="BU7" s="291">
        <f t="shared" si="38"/>
        <v>22267</v>
      </c>
      <c r="BV7" s="291">
        <f t="shared" si="38"/>
        <v>42283</v>
      </c>
      <c r="BW7" s="291">
        <f t="shared" si="38"/>
        <v>18415</v>
      </c>
      <c r="BX7" s="291">
        <f t="shared" si="38"/>
        <v>22216</v>
      </c>
      <c r="BY7" s="291">
        <f t="shared" si="38"/>
        <v>32168</v>
      </c>
      <c r="BZ7" s="291">
        <f t="shared" si="38"/>
        <v>36515</v>
      </c>
      <c r="CA7" s="291">
        <f t="shared" si="38"/>
        <v>39611</v>
      </c>
      <c r="CB7" s="291">
        <f t="shared" si="38"/>
        <v>25384</v>
      </c>
      <c r="CC7" s="291">
        <f t="shared" si="38"/>
        <v>43569</v>
      </c>
      <c r="CD7" s="291">
        <f t="shared" si="38"/>
        <v>32007</v>
      </c>
      <c r="CE7" s="291">
        <f t="shared" si="38"/>
        <v>39237</v>
      </c>
      <c r="CF7" s="291">
        <f t="shared" si="38"/>
        <v>50914</v>
      </c>
      <c r="CG7" s="291">
        <f t="shared" si="38"/>
        <v>50462</v>
      </c>
      <c r="CH7" s="291">
        <f t="shared" si="38"/>
        <v>34692</v>
      </c>
      <c r="CI7" s="291">
        <f t="shared" si="38"/>
        <v>42074</v>
      </c>
      <c r="CJ7" s="291">
        <f>+CJ9+CJ8-CJ6</f>
        <v>56075</v>
      </c>
      <c r="CK7" s="291">
        <f>+CK9+CK8-CK6</f>
        <v>63931</v>
      </c>
      <c r="CL7" s="291">
        <f>+CL9+CL8-CL6</f>
        <v>37319</v>
      </c>
      <c r="CM7" s="292">
        <f t="shared" ref="CM7" si="39">+CI7+(CI7*CM10)</f>
        <v>45259.990948921935</v>
      </c>
      <c r="CN7" s="292">
        <f t="shared" ref="CN7" si="40">+CJ7+(CJ7*CN10)</f>
        <v>60321.195808832003</v>
      </c>
      <c r="CO7" s="292">
        <f t="shared" ref="CO7" si="41">+CK7+(CK7*CO10)</f>
        <v>68772.079701372073</v>
      </c>
      <c r="CP7" s="292">
        <f t="shared" ref="CP7" si="42">+CL7+(CL7*CP10)</f>
        <v>40144.925660094545</v>
      </c>
      <c r="CQ7" s="292">
        <f t="shared" ref="CQ7" si="43">+CM7+(CM7*CQ10)</f>
        <v>48687.236314505295</v>
      </c>
      <c r="CR7" s="292">
        <f t="shared" ref="CR7" si="44">+CN7+(CN7*CR10)</f>
        <v>64888.928467364269</v>
      </c>
      <c r="CS7" s="292">
        <f t="shared" ref="CS7" si="45">+CO7+(CO7*CS10)</f>
        <v>73979.742948677042</v>
      </c>
      <c r="CT7" s="292">
        <f t="shared" ref="CT7" si="46">+CP7+(CP7*CT10)</f>
        <v>43184.840329443912</v>
      </c>
      <c r="CU7" s="292">
        <f t="shared" ref="CU7" si="47">+CQ7+(CQ7*CU10)</f>
        <v>52374.004727920641</v>
      </c>
      <c r="CV7" s="292">
        <f t="shared" ref="CV7" si="48">+CR7+(CR7*CV10)</f>
        <v>69802.545874367774</v>
      </c>
      <c r="CW7" s="292">
        <f t="shared" ref="CW7" si="49">+CS7+(CS7*CW10)</f>
        <v>79581.748734626948</v>
      </c>
      <c r="CX7" s="292">
        <f t="shared" ref="CX7" si="50">+CT7+(CT7*CX10)</f>
        <v>46454.948006875282</v>
      </c>
      <c r="CY7" s="292">
        <f t="shared" ref="CY7" si="51">+CU7+(CU7*CY10)</f>
        <v>56339.948185208988</v>
      </c>
      <c r="CZ7" s="292">
        <f t="shared" ref="CZ7" si="52">+CV7+(CV7*CZ10)</f>
        <v>75088.239636963292</v>
      </c>
      <c r="DA7" s="292">
        <f t="shared" ref="DA7" si="53">+CW7+(CW7*DA10)</f>
        <v>85607.958060288904</v>
      </c>
      <c r="DB7" s="292">
        <f t="shared" ref="DB7" si="54">+CX7+(CX7*DB10)</f>
        <v>49972.67971487889</v>
      </c>
      <c r="DE7" s="294"/>
      <c r="DF7" s="293">
        <v>41630.400000000001</v>
      </c>
    </row>
    <row r="8" spans="1:110" s="293" customFormat="1" x14ac:dyDescent="0.2">
      <c r="A8" s="290" t="s">
        <v>564</v>
      </c>
      <c r="B8" s="291"/>
      <c r="C8" s="291"/>
      <c r="D8" s="291"/>
      <c r="E8" s="291"/>
      <c r="F8" s="291"/>
      <c r="G8" s="291"/>
      <c r="H8" s="291"/>
      <c r="I8" s="291"/>
      <c r="J8" s="291"/>
      <c r="K8" s="291"/>
      <c r="L8" s="291"/>
      <c r="M8" s="291"/>
      <c r="N8" s="291"/>
      <c r="O8" s="291"/>
      <c r="P8" s="291"/>
      <c r="Q8" s="291"/>
      <c r="R8" s="291"/>
      <c r="S8" s="291"/>
      <c r="T8" s="291">
        <v>0</v>
      </c>
      <c r="U8" s="291">
        <v>58348</v>
      </c>
      <c r="V8" s="291">
        <v>61430</v>
      </c>
      <c r="W8" s="291">
        <v>72404</v>
      </c>
      <c r="X8" s="291">
        <v>86717</v>
      </c>
      <c r="Y8" s="291">
        <v>112551</v>
      </c>
      <c r="Z8" s="291">
        <f>+SUM(CE8:CH8)</f>
        <v>129897</v>
      </c>
      <c r="AA8" s="292">
        <f>SUM(CI8:CL8)</f>
        <v>133910</v>
      </c>
      <c r="AB8" s="292">
        <f>+SUM(CM8:CP8)</f>
        <v>155699.26713204745</v>
      </c>
      <c r="AC8" s="292">
        <f>+SUM(CQ8:CT8)</f>
        <v>175609.192549559</v>
      </c>
      <c r="AD8" s="292">
        <f>+SUM(CU8:CX8)</f>
        <v>194566.72746704071</v>
      </c>
      <c r="AE8" s="292">
        <f>+SUM(CY8:DB8)</f>
        <v>213245.06422707607</v>
      </c>
      <c r="AF8" s="293">
        <f>24*80</f>
        <v>1920</v>
      </c>
      <c r="AG8" s="293" t="s">
        <v>551</v>
      </c>
      <c r="AI8" s="291"/>
      <c r="AJ8" s="291"/>
      <c r="AK8" s="291"/>
      <c r="AL8" s="291"/>
      <c r="AM8" s="291"/>
      <c r="AN8" s="291"/>
      <c r="AO8" s="291"/>
      <c r="AP8" s="291"/>
      <c r="AQ8" s="291"/>
      <c r="AR8" s="291"/>
      <c r="AS8" s="291"/>
      <c r="AT8" s="291"/>
      <c r="AU8" s="291"/>
      <c r="AV8" s="291"/>
      <c r="AW8" s="291"/>
      <c r="AX8" s="291"/>
      <c r="AY8" s="291"/>
      <c r="AZ8" s="291"/>
      <c r="BA8" s="291"/>
      <c r="BB8" s="291"/>
      <c r="BC8" s="291"/>
      <c r="BD8" s="291"/>
      <c r="BE8" s="291"/>
      <c r="BF8" s="291"/>
      <c r="BG8" s="291"/>
      <c r="BH8" s="291"/>
      <c r="BI8" s="291"/>
      <c r="BJ8" s="291"/>
      <c r="BK8" s="291">
        <f t="shared" ref="BK8" si="55">+BK37</f>
        <v>13594</v>
      </c>
      <c r="BL8" s="291">
        <f t="shared" ref="BL8:CI8" si="56">+BL37</f>
        <v>16230</v>
      </c>
      <c r="BM8" s="291">
        <f t="shared" si="56"/>
        <v>17026</v>
      </c>
      <c r="BN8" s="291">
        <f t="shared" si="56"/>
        <v>25092</v>
      </c>
      <c r="BO8" s="291">
        <f t="shared" si="56"/>
        <v>6393</v>
      </c>
      <c r="BP8" s="291">
        <f t="shared" si="56"/>
        <v>12969</v>
      </c>
      <c r="BQ8" s="291">
        <f t="shared" si="56"/>
        <v>15828</v>
      </c>
      <c r="BR8" s="291">
        <f t="shared" si="56"/>
        <v>26240</v>
      </c>
      <c r="BS8" s="291">
        <f t="shared" si="56"/>
        <v>10409</v>
      </c>
      <c r="BT8" s="291">
        <f t="shared" si="56"/>
        <v>13923</v>
      </c>
      <c r="BU8" s="291">
        <f t="shared" si="56"/>
        <v>18345</v>
      </c>
      <c r="BV8" s="291">
        <f t="shared" si="56"/>
        <v>29727</v>
      </c>
      <c r="BW8" s="291">
        <f t="shared" si="56"/>
        <v>14181</v>
      </c>
      <c r="BX8" s="291">
        <f t="shared" si="56"/>
        <v>19370</v>
      </c>
      <c r="BY8" s="291">
        <f t="shared" si="56"/>
        <v>21944</v>
      </c>
      <c r="BZ8" s="291">
        <f t="shared" si="56"/>
        <v>31222</v>
      </c>
      <c r="CA8" s="291">
        <f t="shared" si="56"/>
        <v>22058</v>
      </c>
      <c r="CB8" s="291">
        <f t="shared" si="56"/>
        <v>24613</v>
      </c>
      <c r="CC8" s="291">
        <f t="shared" si="56"/>
        <v>27845</v>
      </c>
      <c r="CD8" s="291">
        <f t="shared" si="56"/>
        <v>38035</v>
      </c>
      <c r="CE8" s="291">
        <f t="shared" si="56"/>
        <v>26908</v>
      </c>
      <c r="CF8" s="291">
        <f t="shared" si="56"/>
        <v>31954</v>
      </c>
      <c r="CG8" s="291">
        <f t="shared" si="56"/>
        <v>32134</v>
      </c>
      <c r="CH8" s="291">
        <f t="shared" si="56"/>
        <v>38901</v>
      </c>
      <c r="CI8" s="291">
        <f t="shared" si="56"/>
        <v>28757</v>
      </c>
      <c r="CJ8" s="291">
        <f>+CJ37</f>
        <v>31759</v>
      </c>
      <c r="CK8" s="291">
        <f>+CK37</f>
        <v>33700</v>
      </c>
      <c r="CL8" s="291">
        <f>+CL37</f>
        <v>39694</v>
      </c>
      <c r="CM8" s="292">
        <f t="shared" ref="CM8:DB8" si="57">+CM6*CM11</f>
        <v>34031.179713952049</v>
      </c>
      <c r="CN8" s="292">
        <f t="shared" si="57"/>
        <v>37195.287059616639</v>
      </c>
      <c r="CO8" s="292">
        <f t="shared" si="57"/>
        <v>39011.551543343761</v>
      </c>
      <c r="CP8" s="292">
        <f t="shared" si="57"/>
        <v>45461.248815135012</v>
      </c>
      <c r="CQ8" s="292">
        <f t="shared" si="57"/>
        <v>38766.571877056347</v>
      </c>
      <c r="CR8" s="292">
        <f t="shared" si="57"/>
        <v>42124.819780600381</v>
      </c>
      <c r="CS8" s="292">
        <f t="shared" si="57"/>
        <v>43889.223944793623</v>
      </c>
      <c r="CT8" s="292">
        <f t="shared" si="57"/>
        <v>50828.576947108646</v>
      </c>
      <c r="CU8" s="292">
        <f t="shared" si="57"/>
        <v>43206.611145815063</v>
      </c>
      <c r="CV8" s="292">
        <f t="shared" si="57"/>
        <v>46787.472504380574</v>
      </c>
      <c r="CW8" s="292">
        <f t="shared" si="57"/>
        <v>48553.469491355107</v>
      </c>
      <c r="CX8" s="292">
        <f t="shared" si="57"/>
        <v>56019.174325489956</v>
      </c>
      <c r="CY8" s="292">
        <f t="shared" si="57"/>
        <v>47527.052546020888</v>
      </c>
      <c r="CZ8" s="292">
        <f t="shared" si="57"/>
        <v>51356.983896687561</v>
      </c>
      <c r="DA8" s="292">
        <f t="shared" si="57"/>
        <v>53164.690210191089</v>
      </c>
      <c r="DB8" s="292">
        <f t="shared" si="57"/>
        <v>61196.337574176534</v>
      </c>
      <c r="DE8" s="294"/>
      <c r="DF8" s="293">
        <v>36281.120000000003</v>
      </c>
    </row>
    <row r="9" spans="1:110" s="298" customFormat="1" x14ac:dyDescent="0.2">
      <c r="A9" s="295" t="s">
        <v>565</v>
      </c>
      <c r="B9" s="296"/>
      <c r="C9" s="296"/>
      <c r="D9" s="296"/>
      <c r="E9" s="296"/>
      <c r="F9" s="296"/>
      <c r="G9" s="296"/>
      <c r="H9" s="296"/>
      <c r="I9" s="296"/>
      <c r="J9" s="296"/>
      <c r="K9" s="296"/>
      <c r="L9" s="296"/>
      <c r="M9" s="296"/>
      <c r="N9" s="296"/>
      <c r="O9" s="296"/>
      <c r="P9" s="296"/>
      <c r="Q9" s="296"/>
      <c r="R9" s="296"/>
      <c r="S9" s="296"/>
      <c r="T9" s="296">
        <v>221810.4</v>
      </c>
      <c r="U9" s="296">
        <v>224886</v>
      </c>
      <c r="V9" s="296">
        <v>245550</v>
      </c>
      <c r="W9" s="296">
        <v>261048</v>
      </c>
      <c r="X9" s="296">
        <v>283645</v>
      </c>
      <c r="Y9" s="296">
        <v>311665</v>
      </c>
      <c r="Z9" s="296">
        <f>+Z6+Z7-Z8</f>
        <v>357073</v>
      </c>
      <c r="AA9" s="297">
        <f t="shared" ref="AA9:AE9" si="58">+AA6+AA7-AA8</f>
        <v>422562</v>
      </c>
      <c r="AB9" s="297">
        <f t="shared" si="58"/>
        <v>481360.92498717306</v>
      </c>
      <c r="AC9" s="297">
        <f t="shared" si="58"/>
        <v>536492.48049760447</v>
      </c>
      <c r="AD9" s="297">
        <f t="shared" si="58"/>
        <v>590139.00037435442</v>
      </c>
      <c r="AE9" s="297">
        <f t="shared" si="58"/>
        <v>643902.76174461842</v>
      </c>
      <c r="AF9" s="298">
        <v>1.1000000000000001</v>
      </c>
      <c r="AG9" s="293" t="s">
        <v>551</v>
      </c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>
        <v>190476</v>
      </c>
      <c r="AZ9" s="296">
        <v>186332</v>
      </c>
      <c r="BA9" s="296">
        <v>193950</v>
      </c>
      <c r="BB9" s="296">
        <v>193362</v>
      </c>
      <c r="BC9" s="296">
        <v>197175</v>
      </c>
      <c r="BD9" s="296">
        <v>190550</v>
      </c>
      <c r="BE9" s="296">
        <v>200318</v>
      </c>
      <c r="BF9" s="296">
        <v>195483.3</v>
      </c>
      <c r="BG9" s="296">
        <v>210567.5</v>
      </c>
      <c r="BH9" s="296">
        <v>218211.20000000001</v>
      </c>
      <c r="BI9" s="296">
        <v>219248</v>
      </c>
      <c r="BJ9" s="296">
        <v>221810.4</v>
      </c>
      <c r="BK9" s="296">
        <v>218736</v>
      </c>
      <c r="BL9" s="296">
        <v>215272</v>
      </c>
      <c r="BM9" s="296">
        <v>223599</v>
      </c>
      <c r="BN9" s="296">
        <v>224886</v>
      </c>
      <c r="BO9" s="296">
        <v>219672</v>
      </c>
      <c r="BP9" s="296">
        <v>221186</v>
      </c>
      <c r="BQ9" s="296">
        <v>245014</v>
      </c>
      <c r="BR9" s="296">
        <v>245550</v>
      </c>
      <c r="BS9" s="296">
        <v>246012</v>
      </c>
      <c r="BT9" s="296">
        <v>244570</v>
      </c>
      <c r="BU9" s="296">
        <v>248492</v>
      </c>
      <c r="BV9" s="296">
        <v>261048</v>
      </c>
      <c r="BW9" s="296">
        <v>265282</v>
      </c>
      <c r="BX9" s="296">
        <v>268128</v>
      </c>
      <c r="BY9" s="296">
        <v>278352</v>
      </c>
      <c r="BZ9" s="296">
        <v>283645</v>
      </c>
      <c r="CA9" s="296">
        <v>301198</v>
      </c>
      <c r="CB9" s="296">
        <v>301969</v>
      </c>
      <c r="CC9" s="296">
        <v>317693</v>
      </c>
      <c r="CD9" s="296">
        <v>311665</v>
      </c>
      <c r="CE9" s="296">
        <v>323994</v>
      </c>
      <c r="CF9" s="296">
        <v>342954</v>
      </c>
      <c r="CG9" s="296">
        <v>361282</v>
      </c>
      <c r="CH9" s="296">
        <v>357073</v>
      </c>
      <c r="CI9" s="296">
        <v>370390</v>
      </c>
      <c r="CJ9" s="296">
        <v>394706</v>
      </c>
      <c r="CK9" s="296">
        <v>424937</v>
      </c>
      <c r="CL9" s="296">
        <v>422562</v>
      </c>
      <c r="CM9" s="297">
        <f t="shared" ref="CM9" si="59">+CM6+CM7-CM8</f>
        <v>433790.81123496988</v>
      </c>
      <c r="CN9" s="297">
        <f t="shared" ref="CN9" si="60">+CN6+CN7-CN8</f>
        <v>456916.71998418524</v>
      </c>
      <c r="CO9" s="297">
        <f t="shared" ref="CO9" si="61">+CO6+CO7-CO8</f>
        <v>486677.24814221362</v>
      </c>
      <c r="CP9" s="297">
        <f t="shared" ref="CP9" si="62">+CP6+CP7-CP8</f>
        <v>481360.92498717317</v>
      </c>
      <c r="CQ9" s="297">
        <f t="shared" ref="CQ9" si="63">+CQ6+CQ7-CQ8</f>
        <v>491281.58942462219</v>
      </c>
      <c r="CR9" s="297">
        <f t="shared" ref="CR9" si="64">+CR6+CR7-CR8</f>
        <v>514045.69811138604</v>
      </c>
      <c r="CS9" s="297">
        <f t="shared" ref="CS9" si="65">+CS6+CS7-CS8</f>
        <v>544136.21711526951</v>
      </c>
      <c r="CT9" s="297">
        <f t="shared" ref="CT9" si="66">+CT6+CT7-CT8</f>
        <v>536492.48049760482</v>
      </c>
      <c r="CU9" s="297">
        <f t="shared" ref="CU9" si="67">+CU6+CU7-CU8</f>
        <v>545659.87407971034</v>
      </c>
      <c r="CV9" s="297">
        <f t="shared" ref="CV9" si="68">+CV6+CV7-CV8</f>
        <v>568674.94744969753</v>
      </c>
      <c r="CW9" s="297">
        <f t="shared" ref="CW9" si="69">+CW6+CW7-CW8</f>
        <v>599703.22669296933</v>
      </c>
      <c r="CX9" s="297">
        <f t="shared" ref="CX9" si="70">+CX6+CX7-CX8</f>
        <v>590139.00037435465</v>
      </c>
      <c r="CY9" s="297">
        <f t="shared" ref="CY9" si="71">+CY6+CY7-CY8</f>
        <v>598951.89601354278</v>
      </c>
      <c r="CZ9" s="297">
        <f t="shared" ref="CZ9" si="72">+CZ6+CZ7-CZ8</f>
        <v>622683.1517538185</v>
      </c>
      <c r="DA9" s="297">
        <f t="shared" ref="DA9" si="73">+DA6+DA7-DA8</f>
        <v>655126.41960391635</v>
      </c>
      <c r="DB9" s="297">
        <f t="shared" ref="DB9" si="74">+DB6+DB7-DB8</f>
        <v>643902.76174461877</v>
      </c>
      <c r="DE9" s="299"/>
      <c r="DF9" s="298">
        <v>430286.28</v>
      </c>
    </row>
    <row r="10" spans="1:110" s="256" customFormat="1" x14ac:dyDescent="0.2">
      <c r="A10" s="189" t="s">
        <v>566</v>
      </c>
      <c r="U10" s="213" t="e">
        <f t="shared" ref="U10:Z10" si="75">+U7/T7-1</f>
        <v>#DIV/0!</v>
      </c>
      <c r="V10" s="213">
        <f t="shared" si="75"/>
        <v>0.2728146609197184</v>
      </c>
      <c r="W10" s="213">
        <f t="shared" si="75"/>
        <v>7.0748166735693285E-2</v>
      </c>
      <c r="X10" s="213">
        <f t="shared" si="75"/>
        <v>0.24358945188960424</v>
      </c>
      <c r="Y10" s="213">
        <f t="shared" si="75"/>
        <v>0.28593775728634951</v>
      </c>
      <c r="Z10" s="213">
        <f t="shared" si="75"/>
        <v>0.24709221674456328</v>
      </c>
      <c r="AA10" s="213">
        <f>+AA7/Z7-1</f>
        <v>0.13744046091098361</v>
      </c>
      <c r="AB10" s="213">
        <f t="shared" ref="AB10:AE10" si="76">+AB7/AA7-1</f>
        <v>7.5723509742880113E-2</v>
      </c>
      <c r="AC10" s="213">
        <f t="shared" si="76"/>
        <v>7.5723509742880113E-2</v>
      </c>
      <c r="AD10" s="213">
        <f t="shared" si="76"/>
        <v>7.5723509742880113E-2</v>
      </c>
      <c r="AE10" s="213">
        <f t="shared" si="76"/>
        <v>7.5723509742879891E-2</v>
      </c>
      <c r="AF10" s="109">
        <f>+AF9*20%</f>
        <v>0.22000000000000003</v>
      </c>
      <c r="AG10" s="256" t="s">
        <v>552</v>
      </c>
      <c r="BP10" s="213">
        <f t="shared" ref="BP10" si="77">+BP7/BL7-1</f>
        <v>0.13449788500704996</v>
      </c>
      <c r="BQ10" s="213">
        <f t="shared" ref="BQ10" si="78">+BQ7/BM7-1</f>
        <v>0.56415414349386661</v>
      </c>
      <c r="BR10" s="213">
        <f t="shared" ref="BR10" si="79">+BR7/BN7-1</f>
        <v>1.5049850259676312E-2</v>
      </c>
      <c r="BS10" s="213">
        <f t="shared" ref="BS10" si="80">+BS7/BO7-1</f>
        <v>8.2205258693808307</v>
      </c>
      <c r="BT10" s="213">
        <f t="shared" ref="BT10" si="81">+BT7/BP7-1</f>
        <v>-0.13823102948284194</v>
      </c>
      <c r="BU10" s="213">
        <f t="shared" ref="BU10" si="82">+BU7/BQ7-1</f>
        <v>-0.4384960661690539</v>
      </c>
      <c r="BV10" s="213">
        <f t="shared" ref="BV10" si="83">+BV7/BR7-1</f>
        <v>0.57913803406035247</v>
      </c>
      <c r="BW10" s="213">
        <f t="shared" ref="BW10" si="84">+BW7/BS7-1</f>
        <v>0.69395639775549633</v>
      </c>
      <c r="BX10" s="213">
        <f t="shared" ref="BX10" si="85">+BX7/BT7-1</f>
        <v>0.77998557807867952</v>
      </c>
      <c r="BY10" s="213">
        <f t="shared" ref="BY10" si="86">+BY7/BU7-1</f>
        <v>0.44464903220011687</v>
      </c>
      <c r="BZ10" s="213">
        <f t="shared" ref="BZ10" si="87">+BZ7/BV7-1</f>
        <v>-0.13641416171984011</v>
      </c>
      <c r="CA10" s="213">
        <f t="shared" ref="CA10" si="88">+CA7/BW7-1</f>
        <v>1.1510181916915556</v>
      </c>
      <c r="CB10" s="213">
        <f t="shared" ref="CB10" si="89">+CB7/BX7-1</f>
        <v>0.14259992797983445</v>
      </c>
      <c r="CC10" s="213">
        <f t="shared" ref="CC10" si="90">+CC7/BY7-1</f>
        <v>0.35442054215369301</v>
      </c>
      <c r="CD10" s="213">
        <f t="shared" ref="CD10" si="91">+CD7/BZ7-1</f>
        <v>-0.12345611392578393</v>
      </c>
      <c r="CE10" s="213">
        <f t="shared" ref="CE10" si="92">+CE7/CA7-1</f>
        <v>-9.4418217161899021E-3</v>
      </c>
      <c r="CF10" s="213">
        <f t="shared" ref="CF10" si="93">+CF7/CB7-1</f>
        <v>1.0057516545855658</v>
      </c>
      <c r="CG10" s="213">
        <f t="shared" ref="CG10" si="94">+CG7/CC7-1</f>
        <v>0.15820881819642407</v>
      </c>
      <c r="CH10" s="213">
        <f t="shared" ref="CH10" si="95">+CH7/CD7-1</f>
        <v>8.3887899521979614E-2</v>
      </c>
      <c r="CI10" s="213">
        <f t="shared" ref="CI10" si="96">+CI7/CE7-1</f>
        <v>7.2304202665851136E-2</v>
      </c>
      <c r="CJ10" s="213">
        <f>+CJ7/CF7-1</f>
        <v>0.10136701103822121</v>
      </c>
      <c r="CK10" s="213">
        <f>+CK7/CG7-1</f>
        <v>0.26691371725258617</v>
      </c>
      <c r="CL10" s="213">
        <f>+CL7/CH7-1</f>
        <v>7.5723509742880113E-2</v>
      </c>
      <c r="CM10" s="189">
        <f>+CL10</f>
        <v>7.5723509742880113E-2</v>
      </c>
      <c r="CN10" s="189">
        <f t="shared" ref="CN10:DB10" si="97">+CM10</f>
        <v>7.5723509742880113E-2</v>
      </c>
      <c r="CO10" s="189">
        <f t="shared" si="97"/>
        <v>7.5723509742880113E-2</v>
      </c>
      <c r="CP10" s="189">
        <f t="shared" si="97"/>
        <v>7.5723509742880113E-2</v>
      </c>
      <c r="CQ10" s="189">
        <f t="shared" si="97"/>
        <v>7.5723509742880113E-2</v>
      </c>
      <c r="CR10" s="189">
        <f t="shared" si="97"/>
        <v>7.5723509742880113E-2</v>
      </c>
      <c r="CS10" s="189">
        <f t="shared" si="97"/>
        <v>7.5723509742880113E-2</v>
      </c>
      <c r="CT10" s="189">
        <f t="shared" si="97"/>
        <v>7.5723509742880113E-2</v>
      </c>
      <c r="CU10" s="189">
        <f t="shared" si="97"/>
        <v>7.5723509742880113E-2</v>
      </c>
      <c r="CV10" s="189">
        <f t="shared" si="97"/>
        <v>7.5723509742880113E-2</v>
      </c>
      <c r="CW10" s="189">
        <f t="shared" si="97"/>
        <v>7.5723509742880113E-2</v>
      </c>
      <c r="CX10" s="189">
        <f t="shared" si="97"/>
        <v>7.5723509742880113E-2</v>
      </c>
      <c r="CY10" s="189">
        <f t="shared" si="97"/>
        <v>7.5723509742880113E-2</v>
      </c>
      <c r="CZ10" s="189">
        <f t="shared" si="97"/>
        <v>7.5723509742880113E-2</v>
      </c>
      <c r="DA10" s="189">
        <f t="shared" si="97"/>
        <v>7.5723509742880113E-2</v>
      </c>
      <c r="DB10" s="189">
        <f t="shared" si="97"/>
        <v>7.5723509742880113E-2</v>
      </c>
      <c r="DF10" s="256">
        <v>0.2</v>
      </c>
    </row>
    <row r="11" spans="1:110" s="256" customFormat="1" x14ac:dyDescent="0.2">
      <c r="A11" s="189" t="s">
        <v>564</v>
      </c>
      <c r="U11" s="213">
        <f t="shared" ref="U11:Z11" si="98">+U8/U6</f>
        <v>0.26305349072901901</v>
      </c>
      <c r="V11" s="213">
        <f t="shared" si="98"/>
        <v>0.27316062360484866</v>
      </c>
      <c r="W11" s="213">
        <f t="shared" si="98"/>
        <v>0.29486458969659946</v>
      </c>
      <c r="X11" s="213">
        <f t="shared" si="98"/>
        <v>0.33218795010879226</v>
      </c>
      <c r="Y11" s="213">
        <f t="shared" si="98"/>
        <v>0.39680234095436195</v>
      </c>
      <c r="Z11" s="213">
        <f t="shared" si="98"/>
        <v>0.41678404697351323</v>
      </c>
      <c r="AA11" s="213">
        <f>+AA8/AA6</f>
        <v>0.37502135417687699</v>
      </c>
      <c r="AB11" s="213">
        <f t="shared" ref="AB11:AE11" si="99">+AB8/AB6</f>
        <v>0.3684649048708768</v>
      </c>
      <c r="AC11" s="213">
        <f t="shared" si="99"/>
        <v>0.36481813008448599</v>
      </c>
      <c r="AD11" s="213">
        <f t="shared" si="99"/>
        <v>0.36266440731206012</v>
      </c>
      <c r="AE11" s="213">
        <f t="shared" si="99"/>
        <v>0.36134718107395741</v>
      </c>
      <c r="BP11" s="213">
        <f t="shared" ref="BP11:CI11" si="100">+BP8/BP6</f>
        <v>5.9038020321206162E-2</v>
      </c>
      <c r="BQ11" s="213">
        <f t="shared" si="100"/>
        <v>7.1559682800900595E-2</v>
      </c>
      <c r="BR11" s="213">
        <f t="shared" si="100"/>
        <v>0.10709592104940942</v>
      </c>
      <c r="BS11" s="213">
        <f t="shared" si="100"/>
        <v>4.2390551822439421E-2</v>
      </c>
      <c r="BT11" s="213">
        <f t="shared" si="100"/>
        <v>5.659480025364616E-2</v>
      </c>
      <c r="BU11" s="213">
        <f t="shared" si="100"/>
        <v>7.5009199820092409E-2</v>
      </c>
      <c r="BV11" s="213">
        <f t="shared" si="100"/>
        <v>0.11962960578207749</v>
      </c>
      <c r="BW11" s="213">
        <f t="shared" si="100"/>
        <v>5.4323342833501882E-2</v>
      </c>
      <c r="BX11" s="213">
        <f t="shared" si="100"/>
        <v>7.3016638897475145E-2</v>
      </c>
      <c r="BY11" s="213">
        <f t="shared" si="100"/>
        <v>8.184150853323785E-2</v>
      </c>
      <c r="BZ11" s="213">
        <f t="shared" si="100"/>
        <v>0.11216732770017819</v>
      </c>
      <c r="CA11" s="213">
        <f t="shared" si="100"/>
        <v>7.7766221861834336E-2</v>
      </c>
      <c r="CB11" s="213">
        <f t="shared" si="100"/>
        <v>8.1717010073108054E-2</v>
      </c>
      <c r="CC11" s="213">
        <f t="shared" si="100"/>
        <v>9.2211452168931243E-2</v>
      </c>
      <c r="CD11" s="213">
        <f t="shared" si="100"/>
        <v>0.11972249939406912</v>
      </c>
      <c r="CE11" s="213">
        <f t="shared" si="100"/>
        <v>8.6336290568398755E-2</v>
      </c>
      <c r="CF11" s="213">
        <f t="shared" si="100"/>
        <v>9.8625283184256493E-2</v>
      </c>
      <c r="CG11" s="213">
        <f t="shared" si="100"/>
        <v>9.3697697067245164E-2</v>
      </c>
      <c r="CH11" s="213">
        <f t="shared" si="100"/>
        <v>0.10767489108231243</v>
      </c>
      <c r="CI11" s="213">
        <f t="shared" si="100"/>
        <v>8.0535352714991057E-2</v>
      </c>
      <c r="CJ11" s="213">
        <f>+CJ8/CJ6</f>
        <v>8.5744755527957017E-2</v>
      </c>
      <c r="CK11" s="213">
        <f>+CK8/CK6</f>
        <v>8.5380004357673817E-2</v>
      </c>
      <c r="CL11" s="213">
        <f>+CL8/CL6</f>
        <v>9.3411493939101559E-2</v>
      </c>
      <c r="CM11" s="189">
        <f>+CI11</f>
        <v>8.0535352714991057E-2</v>
      </c>
      <c r="CN11" s="189">
        <f t="shared" ref="CN11:DB11" si="101">+CJ11</f>
        <v>8.5744755527957017E-2</v>
      </c>
      <c r="CO11" s="189">
        <f t="shared" si="101"/>
        <v>8.5380004357673817E-2</v>
      </c>
      <c r="CP11" s="189">
        <f t="shared" si="101"/>
        <v>9.3411493939101559E-2</v>
      </c>
      <c r="CQ11" s="189">
        <f t="shared" si="101"/>
        <v>8.0535352714991057E-2</v>
      </c>
      <c r="CR11" s="189">
        <f t="shared" si="101"/>
        <v>8.5744755527957017E-2</v>
      </c>
      <c r="CS11" s="189">
        <f t="shared" si="101"/>
        <v>8.5380004357673817E-2</v>
      </c>
      <c r="CT11" s="189">
        <f t="shared" si="101"/>
        <v>9.3411493939101559E-2</v>
      </c>
      <c r="CU11" s="189">
        <f t="shared" si="101"/>
        <v>8.0535352714991057E-2</v>
      </c>
      <c r="CV11" s="189">
        <f t="shared" si="101"/>
        <v>8.5744755527957017E-2</v>
      </c>
      <c r="CW11" s="189">
        <f t="shared" si="101"/>
        <v>8.5380004357673817E-2</v>
      </c>
      <c r="CX11" s="189">
        <f t="shared" si="101"/>
        <v>9.3411493939101559E-2</v>
      </c>
      <c r="CY11" s="189">
        <f t="shared" si="101"/>
        <v>8.0535352714991057E-2</v>
      </c>
      <c r="CZ11" s="189">
        <f t="shared" si="101"/>
        <v>8.5744755527957017E-2</v>
      </c>
      <c r="DA11" s="189">
        <f t="shared" si="101"/>
        <v>8.5380004357673817E-2</v>
      </c>
      <c r="DB11" s="189">
        <f t="shared" si="101"/>
        <v>9.3411493939101559E-2</v>
      </c>
      <c r="DF11" s="256">
        <v>0.09</v>
      </c>
    </row>
    <row r="12" spans="1:110" s="109" customFormat="1" x14ac:dyDescent="0.2">
      <c r="A12" s="191" t="s">
        <v>560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8"/>
      <c r="AB12" s="108"/>
      <c r="AC12" s="108"/>
      <c r="AD12" s="108"/>
      <c r="AE12" s="108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/>
      <c r="CB12" s="107"/>
      <c r="CC12" s="107"/>
      <c r="CD12" s="107"/>
      <c r="CE12" s="107"/>
      <c r="CF12" s="107"/>
      <c r="CG12" s="107"/>
      <c r="CH12" s="107"/>
      <c r="CI12" s="107"/>
      <c r="CJ12" s="107"/>
      <c r="CK12" s="107"/>
      <c r="CL12" s="107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  <c r="DB12" s="108"/>
      <c r="DE12" s="117"/>
    </row>
    <row r="13" spans="1:110" s="293" customFormat="1" x14ac:dyDescent="0.2">
      <c r="A13" s="290" t="s">
        <v>568</v>
      </c>
      <c r="B13" s="291"/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1"/>
      <c r="N13" s="291"/>
      <c r="O13" s="291"/>
      <c r="P13" s="291"/>
      <c r="Q13" s="291"/>
      <c r="R13" s="291"/>
      <c r="S13" s="291"/>
      <c r="T13" s="291">
        <v>0</v>
      </c>
      <c r="U13" s="291">
        <v>46944</v>
      </c>
      <c r="V13" s="291">
        <v>60780</v>
      </c>
      <c r="W13" s="291">
        <v>58932</v>
      </c>
      <c r="X13" s="291">
        <v>64368</v>
      </c>
      <c r="Y13" s="291">
        <v>71910</v>
      </c>
      <c r="Z13" s="291">
        <f>+Y16</f>
        <v>118189</v>
      </c>
      <c r="AA13" s="292">
        <f t="shared" ref="AA13:AE13" si="102">+Z16</f>
        <v>165754</v>
      </c>
      <c r="AB13" s="292">
        <f t="shared" si="102"/>
        <v>258472</v>
      </c>
      <c r="AC13" s="292">
        <f t="shared" si="102"/>
        <v>308318.27116073971</v>
      </c>
      <c r="AD13" s="292">
        <f t="shared" si="102"/>
        <v>328729.74106372386</v>
      </c>
      <c r="AE13" s="292">
        <f t="shared" si="102"/>
        <v>329515.29775547498</v>
      </c>
      <c r="AI13" s="291"/>
      <c r="AJ13" s="291"/>
      <c r="AK13" s="291"/>
      <c r="AL13" s="291"/>
      <c r="AM13" s="291"/>
      <c r="AN13" s="291"/>
      <c r="AO13" s="291"/>
      <c r="AP13" s="291"/>
      <c r="AQ13" s="291"/>
      <c r="AR13" s="291"/>
      <c r="AS13" s="291"/>
      <c r="AT13" s="291"/>
      <c r="AU13" s="291"/>
      <c r="AV13" s="291"/>
      <c r="AW13" s="291"/>
      <c r="AX13" s="291"/>
      <c r="AY13" s="291"/>
      <c r="AZ13" s="291"/>
      <c r="BA13" s="291"/>
      <c r="BB13" s="291"/>
      <c r="BC13" s="291"/>
      <c r="BD13" s="291"/>
      <c r="BE13" s="291"/>
      <c r="BF13" s="291"/>
      <c r="BG13" s="291"/>
      <c r="BH13" s="291"/>
      <c r="BI13" s="291"/>
      <c r="BJ13" s="291"/>
      <c r="BK13" s="291"/>
      <c r="BL13" s="291">
        <f>+BK16</f>
        <v>53214</v>
      </c>
      <c r="BM13" s="291">
        <f t="shared" ref="BM13:CI13" si="103">+BL16</f>
        <v>66704</v>
      </c>
      <c r="BN13" s="291">
        <f t="shared" si="103"/>
        <v>64323</v>
      </c>
      <c r="BO13" s="291">
        <f t="shared" si="103"/>
        <v>60780</v>
      </c>
      <c r="BP13" s="291">
        <f t="shared" si="103"/>
        <v>57969</v>
      </c>
      <c r="BQ13" s="291">
        <f t="shared" si="103"/>
        <v>53802</v>
      </c>
      <c r="BR13" s="291">
        <f t="shared" si="103"/>
        <v>59598</v>
      </c>
      <c r="BS13" s="291">
        <f t="shared" si="103"/>
        <v>58932</v>
      </c>
      <c r="BT13" s="291">
        <f t="shared" si="103"/>
        <v>55029.000000000007</v>
      </c>
      <c r="BU13" s="291">
        <f t="shared" si="103"/>
        <v>62795</v>
      </c>
      <c r="BV13" s="291">
        <f t="shared" si="103"/>
        <v>64676</v>
      </c>
      <c r="BW13" s="291">
        <f t="shared" si="103"/>
        <v>64368</v>
      </c>
      <c r="BX13" s="291">
        <f t="shared" si="103"/>
        <v>65412</v>
      </c>
      <c r="BY13" s="291">
        <f t="shared" si="103"/>
        <v>70756</v>
      </c>
      <c r="BZ13" s="291">
        <f t="shared" si="103"/>
        <v>73454</v>
      </c>
      <c r="CA13" s="291">
        <f t="shared" si="103"/>
        <v>71910</v>
      </c>
      <c r="CB13" s="291">
        <f t="shared" si="103"/>
        <v>74268</v>
      </c>
      <c r="CC13" s="291">
        <f t="shared" si="103"/>
        <v>108168</v>
      </c>
      <c r="CD13" s="291">
        <f t="shared" si="103"/>
        <v>112777</v>
      </c>
      <c r="CE13" s="291">
        <f t="shared" si="103"/>
        <v>118189</v>
      </c>
      <c r="CF13" s="291">
        <f t="shared" si="103"/>
        <v>117816</v>
      </c>
      <c r="CG13" s="291">
        <f t="shared" si="103"/>
        <v>117144</v>
      </c>
      <c r="CH13" s="291">
        <f t="shared" si="103"/>
        <v>145827</v>
      </c>
      <c r="CI13" s="291">
        <f t="shared" si="103"/>
        <v>165754</v>
      </c>
      <c r="CJ13" s="291">
        <f>+CI16</f>
        <v>186401</v>
      </c>
      <c r="CK13" s="291">
        <f>+CJ16</f>
        <v>214496</v>
      </c>
      <c r="CL13" s="291">
        <f>+CK16</f>
        <v>247861</v>
      </c>
      <c r="CM13" s="292">
        <f t="shared" ref="CM13:DB13" si="104">+CL16</f>
        <v>258472</v>
      </c>
      <c r="CN13" s="292">
        <f t="shared" si="104"/>
        <v>269168.22724920011</v>
      </c>
      <c r="CO13" s="292">
        <f t="shared" si="104"/>
        <v>285963.13286469935</v>
      </c>
      <c r="CP13" s="292">
        <f t="shared" si="104"/>
        <v>305788.45578983321</v>
      </c>
      <c r="CQ13" s="292">
        <f t="shared" si="104"/>
        <v>308318.27116073982</v>
      </c>
      <c r="CR13" s="292">
        <f t="shared" si="104"/>
        <v>311351.42079323722</v>
      </c>
      <c r="CS13" s="292">
        <f t="shared" si="104"/>
        <v>319943.44019972847</v>
      </c>
      <c r="CT13" s="292">
        <f t="shared" si="104"/>
        <v>331473.15609003749</v>
      </c>
      <c r="CU13" s="292">
        <f t="shared" si="104"/>
        <v>328729.7410637241</v>
      </c>
      <c r="CV13" s="292">
        <f t="shared" si="104"/>
        <v>326738.76831359148</v>
      </c>
      <c r="CW13" s="292">
        <f t="shared" si="104"/>
        <v>329752.83971347508</v>
      </c>
      <c r="CX13" s="292">
        <f t="shared" si="104"/>
        <v>335535.31911532715</v>
      </c>
      <c r="CY13" s="292">
        <f t="shared" si="104"/>
        <v>329515.29775547516</v>
      </c>
      <c r="CZ13" s="292">
        <f t="shared" si="104"/>
        <v>324379.21140735078</v>
      </c>
      <c r="DA13" s="292">
        <f t="shared" si="104"/>
        <v>323706.07439348463</v>
      </c>
      <c r="DB13" s="292">
        <f t="shared" si="104"/>
        <v>325589.32197531883</v>
      </c>
      <c r="DE13" s="294"/>
      <c r="DF13" s="293">
        <v>247861</v>
      </c>
    </row>
    <row r="14" spans="1:110" s="293" customFormat="1" x14ac:dyDescent="0.2">
      <c r="A14" s="290" t="s">
        <v>567</v>
      </c>
      <c r="B14" s="291"/>
      <c r="C14" s="291"/>
      <c r="D14" s="291"/>
      <c r="E14" s="291"/>
      <c r="F14" s="291"/>
      <c r="G14" s="291"/>
      <c r="H14" s="291"/>
      <c r="I14" s="291"/>
      <c r="J14" s="291"/>
      <c r="K14" s="291"/>
      <c r="L14" s="291"/>
      <c r="M14" s="291"/>
      <c r="N14" s="291"/>
      <c r="O14" s="291"/>
      <c r="P14" s="291"/>
      <c r="Q14" s="291"/>
      <c r="R14" s="291"/>
      <c r="S14" s="291"/>
      <c r="T14" s="291">
        <v>0</v>
      </c>
      <c r="U14" s="291">
        <v>22956</v>
      </c>
      <c r="V14" s="291">
        <v>18251</v>
      </c>
      <c r="W14" s="291">
        <v>29029</v>
      </c>
      <c r="X14" s="291">
        <v>32450</v>
      </c>
      <c r="Y14" s="291">
        <v>75818</v>
      </c>
      <c r="Z14" s="291">
        <f>+SUM(CE14:CH14)</f>
        <v>88229</v>
      </c>
      <c r="AA14" s="292">
        <f>SUM(CI14:CL14)</f>
        <v>147590</v>
      </c>
      <c r="AB14" s="292">
        <f>+SUM(CM14:CP14)</f>
        <v>124788.22569617105</v>
      </c>
      <c r="AC14" s="292">
        <f>+SUM(CQ14:CT14)</f>
        <v>105509.18945998054</v>
      </c>
      <c r="AD14" s="292">
        <f>+SUM(CU14:CX14)</f>
        <v>89208.649280792219</v>
      </c>
      <c r="AE14" s="292">
        <f>+SUM(CY14:DB14)</f>
        <v>75426.445291022887</v>
      </c>
      <c r="AI14" s="291"/>
      <c r="AJ14" s="291"/>
      <c r="AK14" s="291"/>
      <c r="AL14" s="291"/>
      <c r="AM14" s="291"/>
      <c r="AN14" s="291"/>
      <c r="AO14" s="291"/>
      <c r="AP14" s="291"/>
      <c r="AQ14" s="291"/>
      <c r="AR14" s="291"/>
      <c r="AS14" s="291"/>
      <c r="AT14" s="291"/>
      <c r="AU14" s="291"/>
      <c r="AV14" s="291"/>
      <c r="AW14" s="291"/>
      <c r="AX14" s="291"/>
      <c r="AY14" s="291"/>
      <c r="AZ14" s="291"/>
      <c r="BA14" s="291"/>
      <c r="BB14" s="291"/>
      <c r="BC14" s="291"/>
      <c r="BD14" s="291"/>
      <c r="BE14" s="291"/>
      <c r="BF14" s="291"/>
      <c r="BG14" s="291"/>
      <c r="BH14" s="291"/>
      <c r="BI14" s="291"/>
      <c r="BJ14" s="291"/>
      <c r="BK14" s="291"/>
      <c r="BL14" s="291">
        <f t="shared" ref="BL14:CI14" si="105">+BL16+BL15-BL13</f>
        <v>18276</v>
      </c>
      <c r="BM14" s="291">
        <f t="shared" si="105"/>
        <v>2700</v>
      </c>
      <c r="BN14" s="291">
        <f t="shared" si="105"/>
        <v>1980</v>
      </c>
      <c r="BO14" s="291">
        <f t="shared" si="105"/>
        <v>625</v>
      </c>
      <c r="BP14" s="291">
        <f t="shared" si="105"/>
        <v>564</v>
      </c>
      <c r="BQ14" s="291">
        <f t="shared" si="105"/>
        <v>11100</v>
      </c>
      <c r="BR14" s="291">
        <f t="shared" si="105"/>
        <v>5962</v>
      </c>
      <c r="BS14" s="291">
        <f t="shared" si="105"/>
        <v>1046.0000000000073</v>
      </c>
      <c r="BT14" s="291">
        <f t="shared" si="105"/>
        <v>13746.999999999993</v>
      </c>
      <c r="BU14" s="291">
        <f t="shared" si="105"/>
        <v>7827</v>
      </c>
      <c r="BV14" s="291">
        <f t="shared" si="105"/>
        <v>6409</v>
      </c>
      <c r="BW14" s="291">
        <f t="shared" si="105"/>
        <v>6117</v>
      </c>
      <c r="BX14" s="291">
        <f t="shared" si="105"/>
        <v>10930</v>
      </c>
      <c r="BY14" s="291">
        <f t="shared" si="105"/>
        <v>9031</v>
      </c>
      <c r="BZ14" s="291">
        <f t="shared" si="105"/>
        <v>6372</v>
      </c>
      <c r="CA14" s="291">
        <f t="shared" si="105"/>
        <v>9040</v>
      </c>
      <c r="CB14" s="291">
        <f t="shared" si="105"/>
        <v>40688</v>
      </c>
      <c r="CC14" s="291">
        <f t="shared" si="105"/>
        <v>12473</v>
      </c>
      <c r="CD14" s="291">
        <f t="shared" si="105"/>
        <v>13617</v>
      </c>
      <c r="CE14" s="291">
        <f t="shared" si="105"/>
        <v>8122</v>
      </c>
      <c r="CF14" s="291">
        <f t="shared" si="105"/>
        <v>8197</v>
      </c>
      <c r="CG14" s="291">
        <f t="shared" si="105"/>
        <v>39734</v>
      </c>
      <c r="CH14" s="291">
        <f t="shared" si="105"/>
        <v>32176</v>
      </c>
      <c r="CI14" s="291">
        <f t="shared" si="105"/>
        <v>33117</v>
      </c>
      <c r="CJ14" s="291">
        <f>+CJ16+CJ15-CJ13</f>
        <v>41177</v>
      </c>
      <c r="CK14" s="291">
        <f>+CK16+CK15-CK13</f>
        <v>46091</v>
      </c>
      <c r="CL14" s="291">
        <f>+CL16+CL15-CL13</f>
        <v>27205</v>
      </c>
      <c r="CM14" s="292">
        <f t="shared" ref="CM14" si="106">+CI14+(CI14*CM17)</f>
        <v>28000.621115116857</v>
      </c>
      <c r="CN14" s="292">
        <f t="shared" ref="CN14" si="107">+CJ14+(CJ14*CN17)</f>
        <v>34815.399210591742</v>
      </c>
      <c r="CO14" s="292">
        <f t="shared" ref="CO14" si="108">+CK14+(CK14*CO17)</f>
        <v>38970.215533316754</v>
      </c>
      <c r="CP14" s="292">
        <f t="shared" ref="CP14" si="109">+CL14+(CL14*CP17)</f>
        <v>23001.989837145698</v>
      </c>
      <c r="CQ14" s="292">
        <f t="shared" ref="CQ14" si="110">+CM14+(CM14*CQ17)</f>
        <v>23674.692237591811</v>
      </c>
      <c r="CR14" s="292">
        <f t="shared" ref="CR14" si="111">+CN14+(CN14*CR17)</f>
        <v>29436.627782326839</v>
      </c>
      <c r="CS14" s="292">
        <f t="shared" ref="CS14" si="112">+CO14+(CO14*CS17)</f>
        <v>32949.549775729807</v>
      </c>
      <c r="CT14" s="292">
        <f t="shared" ref="CT14" si="113">+CP14+(CP14*CT17)</f>
        <v>19448.31966433207</v>
      </c>
      <c r="CU14" s="292">
        <f t="shared" ref="CU14" si="114">+CQ14+(CQ14*CU17)</f>
        <v>20017.093558045912</v>
      </c>
      <c r="CV14" s="292">
        <f t="shared" ref="CV14" si="115">+CR14+(CR14*CV17)</f>
        <v>24888.844443628841</v>
      </c>
      <c r="CW14" s="292">
        <f t="shared" ref="CW14" si="116">+CS14+(CS14*CW17)</f>
        <v>27859.040951290695</v>
      </c>
      <c r="CX14" s="292">
        <f t="shared" ref="CX14" si="117">+CT14+(CT14*CX17)</f>
        <v>16443.670327826763</v>
      </c>
      <c r="CY14" s="292">
        <f t="shared" ref="CY14" si="118">+CU14+(CU14*CY17)</f>
        <v>16924.572048938309</v>
      </c>
      <c r="CZ14" s="292">
        <f t="shared" ref="CZ14" si="119">+CV14+(CV14*CZ17)</f>
        <v>21043.666493315595</v>
      </c>
      <c r="DA14" s="292">
        <f t="shared" ref="DA14" si="120">+CW14+(CW14*DA17)</f>
        <v>23554.985364242399</v>
      </c>
      <c r="DB14" s="292">
        <f t="shared" ref="DB14" si="121">+CX14+(CX14*DB17)</f>
        <v>13903.221384526576</v>
      </c>
      <c r="DE14" s="294"/>
      <c r="DF14" s="293">
        <v>37323.800000000003</v>
      </c>
    </row>
    <row r="15" spans="1:110" s="293" customFormat="1" x14ac:dyDescent="0.2">
      <c r="A15" s="290" t="s">
        <v>569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  <c r="M15" s="291"/>
      <c r="N15" s="291"/>
      <c r="O15" s="291"/>
      <c r="P15" s="291"/>
      <c r="Q15" s="291"/>
      <c r="R15" s="291"/>
      <c r="S15" s="291"/>
      <c r="T15" s="291">
        <v>0</v>
      </c>
      <c r="U15" s="291">
        <v>15390</v>
      </c>
      <c r="V15" s="291">
        <v>20099</v>
      </c>
      <c r="W15" s="291">
        <v>23593</v>
      </c>
      <c r="X15" s="291">
        <v>24908</v>
      </c>
      <c r="Y15" s="291">
        <v>29539</v>
      </c>
      <c r="Z15" s="291">
        <f>+SUM(CE15:CH15)</f>
        <v>40664</v>
      </c>
      <c r="AA15" s="292">
        <f>SUM(CI15:CL15)</f>
        <v>54872</v>
      </c>
      <c r="AB15" s="292">
        <f>+SUM(CM15:CP15)</f>
        <v>74941.954535431316</v>
      </c>
      <c r="AC15" s="292">
        <f>+SUM(CQ15:CT15)</f>
        <v>85097.719556996351</v>
      </c>
      <c r="AD15" s="292">
        <f>+SUM(CU15:CX15)</f>
        <v>88423.092589041102</v>
      </c>
      <c r="AE15" s="292">
        <f>+SUM(CY15:DB15)</f>
        <v>87247.018661232942</v>
      </c>
      <c r="AI15" s="291"/>
      <c r="AJ15" s="291"/>
      <c r="AK15" s="291"/>
      <c r="AL15" s="291"/>
      <c r="AM15" s="291"/>
      <c r="AN15" s="291"/>
      <c r="AO15" s="291"/>
      <c r="AP15" s="291"/>
      <c r="AQ15" s="291"/>
      <c r="AR15" s="291"/>
      <c r="AS15" s="291"/>
      <c r="AT15" s="291"/>
      <c r="AU15" s="291"/>
      <c r="AV15" s="291"/>
      <c r="AW15" s="291"/>
      <c r="AX15" s="291"/>
      <c r="AY15" s="291"/>
      <c r="AZ15" s="291"/>
      <c r="BA15" s="291"/>
      <c r="BB15" s="291"/>
      <c r="BC15" s="291"/>
      <c r="BD15" s="291"/>
      <c r="BE15" s="291"/>
      <c r="BF15" s="291"/>
      <c r="BG15" s="291"/>
      <c r="BH15" s="291"/>
      <c r="BI15" s="291"/>
      <c r="BJ15" s="291"/>
      <c r="BK15" s="291"/>
      <c r="BL15" s="291">
        <f t="shared" ref="BL15:CI15" si="122">+BL38</f>
        <v>4786</v>
      </c>
      <c r="BM15" s="291">
        <f t="shared" si="122"/>
        <v>5081</v>
      </c>
      <c r="BN15" s="291">
        <f t="shared" si="122"/>
        <v>5523</v>
      </c>
      <c r="BO15" s="291">
        <f t="shared" si="122"/>
        <v>3436</v>
      </c>
      <c r="BP15" s="291">
        <f t="shared" si="122"/>
        <v>4731</v>
      </c>
      <c r="BQ15" s="291">
        <f t="shared" si="122"/>
        <v>5304</v>
      </c>
      <c r="BR15" s="291">
        <f t="shared" si="122"/>
        <v>6628</v>
      </c>
      <c r="BS15" s="291">
        <f t="shared" si="122"/>
        <v>4949</v>
      </c>
      <c r="BT15" s="291">
        <f t="shared" si="122"/>
        <v>5981</v>
      </c>
      <c r="BU15" s="291">
        <f t="shared" si="122"/>
        <v>5946</v>
      </c>
      <c r="BV15" s="291">
        <f t="shared" si="122"/>
        <v>6717</v>
      </c>
      <c r="BW15" s="291">
        <f t="shared" si="122"/>
        <v>5073</v>
      </c>
      <c r="BX15" s="291">
        <f t="shared" si="122"/>
        <v>5586</v>
      </c>
      <c r="BY15" s="291">
        <f t="shared" si="122"/>
        <v>6333</v>
      </c>
      <c r="BZ15" s="291">
        <f t="shared" si="122"/>
        <v>7916</v>
      </c>
      <c r="CA15" s="291">
        <f t="shared" si="122"/>
        <v>6682</v>
      </c>
      <c r="CB15" s="291">
        <f t="shared" si="122"/>
        <v>6788</v>
      </c>
      <c r="CC15" s="291">
        <f t="shared" si="122"/>
        <v>7864</v>
      </c>
      <c r="CD15" s="291">
        <f t="shared" si="122"/>
        <v>8205</v>
      </c>
      <c r="CE15" s="291">
        <f t="shared" si="122"/>
        <v>8495</v>
      </c>
      <c r="CF15" s="291">
        <f t="shared" si="122"/>
        <v>8869</v>
      </c>
      <c r="CG15" s="291">
        <f t="shared" si="122"/>
        <v>11051</v>
      </c>
      <c r="CH15" s="291">
        <f t="shared" si="122"/>
        <v>12249</v>
      </c>
      <c r="CI15" s="291">
        <f t="shared" si="122"/>
        <v>12470</v>
      </c>
      <c r="CJ15" s="291">
        <f>+CJ38</f>
        <v>13082</v>
      </c>
      <c r="CK15" s="291">
        <f>+CK38</f>
        <v>12726</v>
      </c>
      <c r="CL15" s="291">
        <f>+CL38</f>
        <v>16594</v>
      </c>
      <c r="CM15" s="292">
        <f t="shared" ref="CM15:DB15" si="123">+CM13*CM18</f>
        <v>17304.393865916783</v>
      </c>
      <c r="CN15" s="292">
        <f t="shared" si="123"/>
        <v>18020.493595092517</v>
      </c>
      <c r="CO15" s="292">
        <f t="shared" si="123"/>
        <v>19144.892608182898</v>
      </c>
      <c r="CP15" s="292">
        <f t="shared" si="123"/>
        <v>20472.17446623911</v>
      </c>
      <c r="CQ15" s="292">
        <f t="shared" si="123"/>
        <v>20641.542605094455</v>
      </c>
      <c r="CR15" s="292">
        <f t="shared" si="123"/>
        <v>20844.608375835563</v>
      </c>
      <c r="CS15" s="292">
        <f t="shared" si="123"/>
        <v>21419.833885420838</v>
      </c>
      <c r="CT15" s="292">
        <f t="shared" si="123"/>
        <v>22191.734690645491</v>
      </c>
      <c r="CU15" s="292">
        <f t="shared" si="123"/>
        <v>22008.066308178528</v>
      </c>
      <c r="CV15" s="292">
        <f t="shared" si="123"/>
        <v>21874.773043745234</v>
      </c>
      <c r="CW15" s="292">
        <f t="shared" si="123"/>
        <v>22076.561549438618</v>
      </c>
      <c r="CX15" s="292">
        <f t="shared" si="123"/>
        <v>22463.691687678733</v>
      </c>
      <c r="CY15" s="292">
        <f t="shared" si="123"/>
        <v>22060.658397062689</v>
      </c>
      <c r="CZ15" s="292">
        <f t="shared" si="123"/>
        <v>21716.803507181761</v>
      </c>
      <c r="DA15" s="292">
        <f t="shared" si="123"/>
        <v>21671.737782408221</v>
      </c>
      <c r="DB15" s="292">
        <f t="shared" si="123"/>
        <v>21797.81897458027</v>
      </c>
      <c r="DE15" s="294"/>
      <c r="DF15" s="293">
        <v>14705.54</v>
      </c>
    </row>
    <row r="16" spans="1:110" s="298" customFormat="1" x14ac:dyDescent="0.2">
      <c r="A16" s="295" t="s">
        <v>570</v>
      </c>
      <c r="B16" s="296"/>
      <c r="C16" s="296"/>
      <c r="D16" s="296"/>
      <c r="E16" s="296"/>
      <c r="F16" s="296"/>
      <c r="G16" s="296"/>
      <c r="H16" s="296"/>
      <c r="I16" s="296"/>
      <c r="J16" s="296"/>
      <c r="K16" s="296"/>
      <c r="L16" s="296"/>
      <c r="M16" s="296"/>
      <c r="N16" s="296"/>
      <c r="O16" s="296"/>
      <c r="P16" s="296"/>
      <c r="Q16" s="296"/>
      <c r="R16" s="296"/>
      <c r="S16" s="296"/>
      <c r="T16" s="296">
        <v>46944</v>
      </c>
      <c r="U16" s="296">
        <v>60780</v>
      </c>
      <c r="V16" s="296">
        <v>58932</v>
      </c>
      <c r="W16" s="296">
        <v>64368</v>
      </c>
      <c r="X16" s="296">
        <v>71910</v>
      </c>
      <c r="Y16" s="296">
        <v>118189</v>
      </c>
      <c r="Z16" s="296">
        <f>+Z13+Z14-Z15</f>
        <v>165754</v>
      </c>
      <c r="AA16" s="297">
        <f t="shared" ref="AA16" si="124">+AA13+AA14-AA15</f>
        <v>258472</v>
      </c>
      <c r="AB16" s="297">
        <f t="shared" ref="AB16" si="125">+AB13+AB14-AB15</f>
        <v>308318.27116073971</v>
      </c>
      <c r="AC16" s="297">
        <f t="shared" ref="AC16" si="126">+AC13+AC14-AC15</f>
        <v>328729.74106372386</v>
      </c>
      <c r="AD16" s="297">
        <f t="shared" ref="AD16" si="127">+AD13+AD14-AD15</f>
        <v>329515.29775547498</v>
      </c>
      <c r="AE16" s="297">
        <f t="shared" ref="AE16" si="128">+AE13+AE14-AE15</f>
        <v>317694.72438526491</v>
      </c>
      <c r="AI16" s="296"/>
      <c r="AJ16" s="296"/>
      <c r="AK16" s="296"/>
      <c r="AL16" s="296"/>
      <c r="AM16" s="296"/>
      <c r="AN16" s="296"/>
      <c r="AO16" s="296"/>
      <c r="AP16" s="296"/>
      <c r="AQ16" s="296"/>
      <c r="AR16" s="296"/>
      <c r="AS16" s="296"/>
      <c r="AT16" s="296"/>
      <c r="AU16" s="296"/>
      <c r="AV16" s="296"/>
      <c r="AW16" s="296"/>
      <c r="AX16" s="296"/>
      <c r="AY16" s="296">
        <v>38610</v>
      </c>
      <c r="AZ16" s="296">
        <v>37770</v>
      </c>
      <c r="BA16" s="296">
        <v>36204</v>
      </c>
      <c r="BB16" s="296">
        <v>39195</v>
      </c>
      <c r="BC16" s="296">
        <v>36806</v>
      </c>
      <c r="BD16" s="296">
        <v>36050</v>
      </c>
      <c r="BE16" s="296">
        <v>40605</v>
      </c>
      <c r="BF16" s="296">
        <v>36044.700000000004</v>
      </c>
      <c r="BG16" s="296">
        <v>36407.800000000003</v>
      </c>
      <c r="BH16" s="296">
        <v>36837.200000000004</v>
      </c>
      <c r="BI16" s="296">
        <v>40043.999999999993</v>
      </c>
      <c r="BJ16" s="296">
        <v>46944</v>
      </c>
      <c r="BK16" s="296">
        <v>53214</v>
      </c>
      <c r="BL16" s="296">
        <v>66704</v>
      </c>
      <c r="BM16" s="296">
        <v>64323</v>
      </c>
      <c r="BN16" s="296">
        <v>60780</v>
      </c>
      <c r="BO16" s="296">
        <v>57969</v>
      </c>
      <c r="BP16" s="296">
        <v>53802</v>
      </c>
      <c r="BQ16" s="296">
        <v>59598</v>
      </c>
      <c r="BR16" s="296">
        <v>58932</v>
      </c>
      <c r="BS16" s="296">
        <v>55029.000000000007</v>
      </c>
      <c r="BT16" s="296">
        <v>62795</v>
      </c>
      <c r="BU16" s="296">
        <v>64676</v>
      </c>
      <c r="BV16" s="296">
        <v>64368</v>
      </c>
      <c r="BW16" s="296">
        <v>65412</v>
      </c>
      <c r="BX16" s="296">
        <v>70756</v>
      </c>
      <c r="BY16" s="296">
        <v>73454</v>
      </c>
      <c r="BZ16" s="296">
        <v>71910</v>
      </c>
      <c r="CA16" s="296">
        <v>74268</v>
      </c>
      <c r="CB16" s="296">
        <v>108168</v>
      </c>
      <c r="CC16" s="296">
        <v>112777</v>
      </c>
      <c r="CD16" s="296">
        <v>118189</v>
      </c>
      <c r="CE16" s="296">
        <v>117816</v>
      </c>
      <c r="CF16" s="296">
        <v>117144</v>
      </c>
      <c r="CG16" s="296">
        <v>145827</v>
      </c>
      <c r="CH16" s="296">
        <v>165754</v>
      </c>
      <c r="CI16" s="296">
        <v>186401</v>
      </c>
      <c r="CJ16" s="296">
        <v>214496</v>
      </c>
      <c r="CK16" s="296">
        <v>247861</v>
      </c>
      <c r="CL16" s="296">
        <v>258472</v>
      </c>
      <c r="CM16" s="297">
        <f t="shared" ref="CM16" si="129">+CM13+CM14-CM15</f>
        <v>269168.22724920011</v>
      </c>
      <c r="CN16" s="297">
        <f t="shared" ref="CN16" si="130">+CN13+CN14-CN15</f>
        <v>285963.13286469935</v>
      </c>
      <c r="CO16" s="297">
        <f t="shared" ref="CO16" si="131">+CO13+CO14-CO15</f>
        <v>305788.45578983321</v>
      </c>
      <c r="CP16" s="297">
        <f t="shared" ref="CP16" si="132">+CP13+CP14-CP15</f>
        <v>308318.27116073982</v>
      </c>
      <c r="CQ16" s="297">
        <f t="shared" ref="CQ16" si="133">+CQ13+CQ14-CQ15</f>
        <v>311351.42079323722</v>
      </c>
      <c r="CR16" s="297">
        <f t="shared" ref="CR16" si="134">+CR13+CR14-CR15</f>
        <v>319943.44019972847</v>
      </c>
      <c r="CS16" s="297">
        <f t="shared" ref="CS16" si="135">+CS13+CS14-CS15</f>
        <v>331473.15609003749</v>
      </c>
      <c r="CT16" s="297">
        <f t="shared" ref="CT16" si="136">+CT13+CT14-CT15</f>
        <v>328729.7410637241</v>
      </c>
      <c r="CU16" s="297">
        <f t="shared" ref="CU16" si="137">+CU13+CU14-CU15</f>
        <v>326738.76831359148</v>
      </c>
      <c r="CV16" s="297">
        <f t="shared" ref="CV16" si="138">+CV13+CV14-CV15</f>
        <v>329752.83971347508</v>
      </c>
      <c r="CW16" s="297">
        <f t="shared" ref="CW16" si="139">+CW13+CW14-CW15</f>
        <v>335535.31911532715</v>
      </c>
      <c r="CX16" s="297">
        <f t="shared" ref="CX16" si="140">+CX13+CX14-CX15</f>
        <v>329515.29775547516</v>
      </c>
      <c r="CY16" s="297">
        <f t="shared" ref="CY16" si="141">+CY13+CY14-CY15</f>
        <v>324379.21140735078</v>
      </c>
      <c r="CZ16" s="297">
        <f t="shared" ref="CZ16" si="142">+CZ13+CZ14-CZ15</f>
        <v>323706.07439348463</v>
      </c>
      <c r="DA16" s="297">
        <f t="shared" ref="DA16" si="143">+DA13+DA14-DA15</f>
        <v>325589.32197531883</v>
      </c>
      <c r="DB16" s="297">
        <f t="shared" ref="DB16" si="144">+DB13+DB14-DB15</f>
        <v>317694.72438526514</v>
      </c>
      <c r="DE16" s="299"/>
      <c r="DF16" s="298">
        <v>270479.27</v>
      </c>
    </row>
    <row r="17" spans="1:110" s="194" customFormat="1" x14ac:dyDescent="0.2">
      <c r="A17" s="189" t="s">
        <v>571</v>
      </c>
      <c r="B17" s="193"/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213" t="e">
        <f t="shared" ref="U17:Z17" si="145">+U14/T14-1</f>
        <v>#DIV/0!</v>
      </c>
      <c r="V17" s="213">
        <f t="shared" si="145"/>
        <v>-0.20495730963582504</v>
      </c>
      <c r="W17" s="213">
        <f t="shared" si="145"/>
        <v>0.59054298394608518</v>
      </c>
      <c r="X17" s="213">
        <f t="shared" si="145"/>
        <v>0.11784766957180759</v>
      </c>
      <c r="Y17" s="213">
        <f t="shared" si="145"/>
        <v>1.3364560862865948</v>
      </c>
      <c r="Z17" s="213">
        <f t="shared" si="145"/>
        <v>0.16369463715740329</v>
      </c>
      <c r="AA17" s="213">
        <f>+AA14/Z14-1</f>
        <v>0.67280599349420256</v>
      </c>
      <c r="AB17" s="213">
        <f t="shared" ref="AB17:AE17" si="146">+AB14/AA14-1</f>
        <v>-0.15449403281949281</v>
      </c>
      <c r="AC17" s="213">
        <f t="shared" si="146"/>
        <v>-0.1544940328194927</v>
      </c>
      <c r="AD17" s="213">
        <f t="shared" si="146"/>
        <v>-0.15449403281949281</v>
      </c>
      <c r="AE17" s="213">
        <f t="shared" si="146"/>
        <v>-0.15449403281949281</v>
      </c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93"/>
      <c r="AW17" s="193"/>
      <c r="AX17" s="193"/>
      <c r="AY17" s="193"/>
      <c r="AZ17" s="193"/>
      <c r="BA17" s="193"/>
      <c r="BB17" s="193"/>
      <c r="BC17" s="193"/>
      <c r="BD17" s="193"/>
      <c r="BE17" s="193"/>
      <c r="BF17" s="193"/>
      <c r="BG17" s="193"/>
      <c r="BH17" s="193"/>
      <c r="BI17" s="193"/>
      <c r="BJ17" s="193"/>
      <c r="BK17" s="193"/>
      <c r="BL17" s="193"/>
      <c r="BM17" s="193"/>
      <c r="BN17" s="193"/>
      <c r="BO17" s="193"/>
      <c r="BP17" s="189">
        <f t="shared" ref="BP17:CI17" si="147">+BP14/BL14-1</f>
        <v>-0.96913985554825999</v>
      </c>
      <c r="BQ17" s="189">
        <f t="shared" si="147"/>
        <v>3.1111111111111107</v>
      </c>
      <c r="BR17" s="189">
        <f t="shared" si="147"/>
        <v>2.0111111111111111</v>
      </c>
      <c r="BS17" s="189">
        <f t="shared" si="147"/>
        <v>0.67360000000001174</v>
      </c>
      <c r="BT17" s="189">
        <f t="shared" si="147"/>
        <v>23.374113475177293</v>
      </c>
      <c r="BU17" s="189">
        <f t="shared" si="147"/>
        <v>-0.29486486486486485</v>
      </c>
      <c r="BV17" s="189">
        <f t="shared" si="147"/>
        <v>7.4974840657497488E-2</v>
      </c>
      <c r="BW17" s="189">
        <f t="shared" si="147"/>
        <v>4.8479923518164032</v>
      </c>
      <c r="BX17" s="189">
        <f t="shared" si="147"/>
        <v>-0.20491743653160643</v>
      </c>
      <c r="BY17" s="189">
        <f t="shared" si="147"/>
        <v>0.15382649801967552</v>
      </c>
      <c r="BZ17" s="189">
        <f t="shared" si="147"/>
        <v>-5.7731315337806732E-3</v>
      </c>
      <c r="CA17" s="189">
        <f t="shared" si="147"/>
        <v>0.47784861860389083</v>
      </c>
      <c r="CB17" s="189">
        <f t="shared" si="147"/>
        <v>2.7225983531564499</v>
      </c>
      <c r="CC17" s="189">
        <f t="shared" si="147"/>
        <v>0.38113165762374046</v>
      </c>
      <c r="CD17" s="189">
        <f t="shared" si="147"/>
        <v>1.1370056497175143</v>
      </c>
      <c r="CE17" s="189">
        <f t="shared" si="147"/>
        <v>-0.10154867256637168</v>
      </c>
      <c r="CF17" s="189">
        <f t="shared" si="147"/>
        <v>-0.79854011010617376</v>
      </c>
      <c r="CG17" s="189">
        <f t="shared" si="147"/>
        <v>2.1856008979395494</v>
      </c>
      <c r="CH17" s="189">
        <f t="shared" si="147"/>
        <v>1.3629286920760815</v>
      </c>
      <c r="CI17" s="189">
        <f t="shared" si="147"/>
        <v>3.0774439793154391</v>
      </c>
      <c r="CJ17" s="189">
        <f>+CJ14/CF14-1</f>
        <v>4.0234232036110775</v>
      </c>
      <c r="CK17" s="189">
        <f>+CK14/CG14-1</f>
        <v>0.15998892636029605</v>
      </c>
      <c r="CL17" s="189">
        <f>+CL14/CH14-1</f>
        <v>-0.15449403281949281</v>
      </c>
      <c r="CM17" s="189">
        <f>+CL17</f>
        <v>-0.15449403281949281</v>
      </c>
      <c r="CN17" s="189">
        <f t="shared" ref="CN17:DB17" si="148">+CM17</f>
        <v>-0.15449403281949281</v>
      </c>
      <c r="CO17" s="189">
        <f t="shared" si="148"/>
        <v>-0.15449403281949281</v>
      </c>
      <c r="CP17" s="189">
        <f t="shared" si="148"/>
        <v>-0.15449403281949281</v>
      </c>
      <c r="CQ17" s="189">
        <f t="shared" si="148"/>
        <v>-0.15449403281949281</v>
      </c>
      <c r="CR17" s="189">
        <f t="shared" si="148"/>
        <v>-0.15449403281949281</v>
      </c>
      <c r="CS17" s="189">
        <f t="shared" si="148"/>
        <v>-0.15449403281949281</v>
      </c>
      <c r="CT17" s="189">
        <f t="shared" si="148"/>
        <v>-0.15449403281949281</v>
      </c>
      <c r="CU17" s="189">
        <f t="shared" si="148"/>
        <v>-0.15449403281949281</v>
      </c>
      <c r="CV17" s="189">
        <f t="shared" si="148"/>
        <v>-0.15449403281949281</v>
      </c>
      <c r="CW17" s="189">
        <f t="shared" si="148"/>
        <v>-0.15449403281949281</v>
      </c>
      <c r="CX17" s="189">
        <f t="shared" si="148"/>
        <v>-0.15449403281949281</v>
      </c>
      <c r="CY17" s="189">
        <f t="shared" si="148"/>
        <v>-0.15449403281949281</v>
      </c>
      <c r="CZ17" s="189">
        <f t="shared" si="148"/>
        <v>-0.15449403281949281</v>
      </c>
      <c r="DA17" s="189">
        <f t="shared" si="148"/>
        <v>-0.15449403281949281</v>
      </c>
      <c r="DB17" s="189">
        <f t="shared" si="148"/>
        <v>-0.15449403281949281</v>
      </c>
      <c r="DE17" s="193"/>
      <c r="DF17" s="282">
        <v>0.16</v>
      </c>
    </row>
    <row r="18" spans="1:110" s="205" customFormat="1" x14ac:dyDescent="0.2">
      <c r="A18" s="189" t="s">
        <v>569</v>
      </c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13">
        <f t="shared" ref="U18:Z18" si="149">+U15/U13</f>
        <v>0.32783742331288346</v>
      </c>
      <c r="V18" s="213">
        <f t="shared" si="149"/>
        <v>0.33068443566962819</v>
      </c>
      <c r="W18" s="213">
        <f t="shared" si="149"/>
        <v>0.40034276793592616</v>
      </c>
      <c r="X18" s="213">
        <f t="shared" si="149"/>
        <v>0.38696246582152621</v>
      </c>
      <c r="Y18" s="213">
        <f t="shared" si="149"/>
        <v>0.41077736058962594</v>
      </c>
      <c r="Z18" s="213">
        <f t="shared" si="149"/>
        <v>0.34405909179365252</v>
      </c>
      <c r="AA18" s="213">
        <f>+AA15/AA13</f>
        <v>0.33104480133209457</v>
      </c>
      <c r="AB18" s="213">
        <f t="shared" ref="AB18:AE18" si="150">+AB15/AB13</f>
        <v>0.28994225500414478</v>
      </c>
      <c r="AC18" s="213">
        <f t="shared" si="150"/>
        <v>0.27600608694588591</v>
      </c>
      <c r="AD18" s="213">
        <f t="shared" si="150"/>
        <v>0.26898415793750891</v>
      </c>
      <c r="AE18" s="213">
        <f t="shared" si="150"/>
        <v>0.26477380338795914</v>
      </c>
      <c r="AI18" s="204"/>
      <c r="AJ18" s="204"/>
      <c r="AK18" s="204"/>
      <c r="AL18" s="204"/>
      <c r="AM18" s="204"/>
      <c r="AN18" s="204"/>
      <c r="AO18" s="204"/>
      <c r="AP18" s="204"/>
      <c r="AQ18" s="204"/>
      <c r="AR18" s="204"/>
      <c r="AS18" s="204"/>
      <c r="AT18" s="204"/>
      <c r="AU18" s="204"/>
      <c r="AV18" s="204"/>
      <c r="AW18" s="204"/>
      <c r="AX18" s="204"/>
      <c r="AY18" s="204"/>
      <c r="AZ18" s="204"/>
      <c r="BA18" s="204"/>
      <c r="BB18" s="204"/>
      <c r="BC18" s="204"/>
      <c r="BD18" s="204"/>
      <c r="BE18" s="204"/>
      <c r="BF18" s="204"/>
      <c r="BG18" s="204"/>
      <c r="BH18" s="204"/>
      <c r="BI18" s="204"/>
      <c r="BJ18" s="204"/>
      <c r="BK18" s="204"/>
      <c r="BL18" s="204"/>
      <c r="BM18" s="204"/>
      <c r="BN18" s="204"/>
      <c r="BO18" s="204"/>
      <c r="BP18" s="189">
        <f t="shared" ref="BP18:CI18" si="151">+BP15/BP13</f>
        <v>8.1612586037364793E-2</v>
      </c>
      <c r="BQ18" s="189">
        <f t="shared" si="151"/>
        <v>9.8583695773391322E-2</v>
      </c>
      <c r="BR18" s="189">
        <f t="shared" si="151"/>
        <v>0.11121178563039028</v>
      </c>
      <c r="BS18" s="189">
        <f t="shared" si="151"/>
        <v>8.3978144301907282E-2</v>
      </c>
      <c r="BT18" s="189">
        <f t="shared" si="151"/>
        <v>0.10868814625015899</v>
      </c>
      <c r="BU18" s="189">
        <f t="shared" si="151"/>
        <v>9.4689067600923646E-2</v>
      </c>
      <c r="BV18" s="189">
        <f t="shared" si="151"/>
        <v>0.10385614447399344</v>
      </c>
      <c r="BW18" s="189">
        <f t="shared" si="151"/>
        <v>7.8812453392990311E-2</v>
      </c>
      <c r="BX18" s="189">
        <f t="shared" si="151"/>
        <v>8.5397174830306372E-2</v>
      </c>
      <c r="BY18" s="189">
        <f t="shared" si="151"/>
        <v>8.9504776980044096E-2</v>
      </c>
      <c r="BZ18" s="189">
        <f t="shared" si="151"/>
        <v>0.10776812699104202</v>
      </c>
      <c r="CA18" s="189">
        <f t="shared" si="151"/>
        <v>9.2921707690168262E-2</v>
      </c>
      <c r="CB18" s="189">
        <f t="shared" si="151"/>
        <v>9.1398718155867933E-2</v>
      </c>
      <c r="CC18" s="189">
        <f t="shared" si="151"/>
        <v>7.2701723245322092E-2</v>
      </c>
      <c r="CD18" s="189">
        <f t="shared" si="151"/>
        <v>7.275419633435895E-2</v>
      </c>
      <c r="CE18" s="189">
        <f t="shared" si="151"/>
        <v>7.187640135714829E-2</v>
      </c>
      <c r="CF18" s="189">
        <f t="shared" si="151"/>
        <v>7.5278400217287975E-2</v>
      </c>
      <c r="CG18" s="189">
        <f t="shared" si="151"/>
        <v>9.4336884518199826E-2</v>
      </c>
      <c r="CH18" s="189">
        <f t="shared" si="151"/>
        <v>8.3996790717768319E-2</v>
      </c>
      <c r="CI18" s="189">
        <f t="shared" si="151"/>
        <v>7.5231970269194107E-2</v>
      </c>
      <c r="CJ18" s="189">
        <f>+CJ15/CJ13</f>
        <v>7.0182026920456442E-2</v>
      </c>
      <c r="CK18" s="189">
        <f>+CK15/CK13</f>
        <v>5.9329777711472478E-2</v>
      </c>
      <c r="CL18" s="189">
        <f>+CL15/CL13</f>
        <v>6.6948814053037792E-2</v>
      </c>
      <c r="CM18" s="189">
        <f t="shared" ref="CM18:DB18" si="152">+CL18</f>
        <v>6.6948814053037792E-2</v>
      </c>
      <c r="CN18" s="189">
        <f t="shared" si="152"/>
        <v>6.6948814053037792E-2</v>
      </c>
      <c r="CO18" s="189">
        <f t="shared" si="152"/>
        <v>6.6948814053037792E-2</v>
      </c>
      <c r="CP18" s="189">
        <f t="shared" si="152"/>
        <v>6.6948814053037792E-2</v>
      </c>
      <c r="CQ18" s="189">
        <f t="shared" si="152"/>
        <v>6.6948814053037792E-2</v>
      </c>
      <c r="CR18" s="189">
        <f t="shared" si="152"/>
        <v>6.6948814053037792E-2</v>
      </c>
      <c r="CS18" s="189">
        <f t="shared" si="152"/>
        <v>6.6948814053037792E-2</v>
      </c>
      <c r="CT18" s="189">
        <f t="shared" si="152"/>
        <v>6.6948814053037792E-2</v>
      </c>
      <c r="CU18" s="189">
        <f t="shared" si="152"/>
        <v>6.6948814053037792E-2</v>
      </c>
      <c r="CV18" s="189">
        <f t="shared" si="152"/>
        <v>6.6948814053037792E-2</v>
      </c>
      <c r="CW18" s="189">
        <f t="shared" si="152"/>
        <v>6.6948814053037792E-2</v>
      </c>
      <c r="CX18" s="189">
        <f t="shared" si="152"/>
        <v>6.6948814053037792E-2</v>
      </c>
      <c r="CY18" s="189">
        <f t="shared" si="152"/>
        <v>6.6948814053037792E-2</v>
      </c>
      <c r="CZ18" s="189">
        <f t="shared" si="152"/>
        <v>6.6948814053037792E-2</v>
      </c>
      <c r="DA18" s="189">
        <f t="shared" si="152"/>
        <v>6.6948814053037792E-2</v>
      </c>
      <c r="DB18" s="189">
        <f t="shared" si="152"/>
        <v>6.6948814053037792E-2</v>
      </c>
      <c r="DE18" s="204"/>
      <c r="DF18" s="205">
        <v>0.06</v>
      </c>
    </row>
    <row r="19" spans="1:110" s="109" customFormat="1" x14ac:dyDescent="0.2">
      <c r="A19" s="191" t="s">
        <v>561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8"/>
      <c r="AB19" s="108"/>
      <c r="AC19" s="108"/>
      <c r="AD19" s="108"/>
      <c r="AE19" s="108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7"/>
      <c r="BJ19" s="107"/>
      <c r="BK19" s="107"/>
      <c r="BL19" s="107"/>
      <c r="BM19" s="107"/>
      <c r="BN19" s="107"/>
      <c r="BO19" s="107"/>
      <c r="BP19" s="107"/>
      <c r="BQ19" s="107"/>
      <c r="BR19" s="107"/>
      <c r="BS19" s="107"/>
      <c r="BT19" s="107"/>
      <c r="BU19" s="107"/>
      <c r="BV19" s="107"/>
      <c r="BW19" s="107"/>
      <c r="BX19" s="107"/>
      <c r="BY19" s="107"/>
      <c r="BZ19" s="107"/>
      <c r="CA19" s="107"/>
      <c r="CB19" s="107"/>
      <c r="CC19" s="107"/>
      <c r="CD19" s="107"/>
      <c r="CE19" s="107"/>
      <c r="CF19" s="107"/>
      <c r="CG19" s="107"/>
      <c r="CH19" s="107"/>
      <c r="CI19" s="107"/>
      <c r="CJ19" s="107"/>
      <c r="CK19" s="107"/>
      <c r="CL19" s="107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8"/>
      <c r="DE19" s="117"/>
    </row>
    <row r="20" spans="1:110" s="293" customFormat="1" x14ac:dyDescent="0.2">
      <c r="A20" s="290" t="s">
        <v>572</v>
      </c>
      <c r="B20" s="291"/>
      <c r="C20" s="291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>
        <v>0</v>
      </c>
      <c r="U20" s="291">
        <v>18777.600000000002</v>
      </c>
      <c r="V20" s="291">
        <v>12156</v>
      </c>
      <c r="W20" s="291">
        <v>9822</v>
      </c>
      <c r="X20" s="291">
        <v>21456</v>
      </c>
      <c r="Y20" s="291">
        <v>27965.000000000004</v>
      </c>
      <c r="Z20" s="291">
        <f>+Y23</f>
        <v>31975</v>
      </c>
      <c r="AA20" s="292">
        <f t="shared" ref="AA20:AE20" si="153">+Z23</f>
        <v>40388</v>
      </c>
      <c r="AB20" s="292">
        <f t="shared" si="153"/>
        <v>35312</v>
      </c>
      <c r="AC20" s="292">
        <f t="shared" si="153"/>
        <v>29557.791147433469</v>
      </c>
      <c r="AD20" s="292">
        <f t="shared" si="153"/>
        <v>24128.404534144553</v>
      </c>
      <c r="AE20" s="292">
        <f t="shared" si="153"/>
        <v>19586.428406983934</v>
      </c>
      <c r="AI20" s="291"/>
      <c r="AJ20" s="291"/>
      <c r="AK20" s="291"/>
      <c r="AL20" s="291"/>
      <c r="AM20" s="291"/>
      <c r="AN20" s="291"/>
      <c r="AO20" s="291"/>
      <c r="AP20" s="291"/>
      <c r="AQ20" s="291"/>
      <c r="AR20" s="291"/>
      <c r="AS20" s="291"/>
      <c r="AT20" s="291"/>
      <c r="AU20" s="291"/>
      <c r="AV20" s="291"/>
      <c r="AW20" s="291"/>
      <c r="AX20" s="291"/>
      <c r="AY20" s="291"/>
      <c r="AZ20" s="291"/>
      <c r="BA20" s="291"/>
      <c r="BB20" s="291"/>
      <c r="BC20" s="291"/>
      <c r="BD20" s="291"/>
      <c r="BE20" s="291"/>
      <c r="BF20" s="291"/>
      <c r="BG20" s="291"/>
      <c r="BH20" s="291"/>
      <c r="BI20" s="291"/>
      <c r="BJ20" s="291"/>
      <c r="BK20" s="291"/>
      <c r="BL20" s="291">
        <f t="shared" ref="BL20:CI20" si="154">+BK23</f>
        <v>15288</v>
      </c>
      <c r="BM20" s="291">
        <f t="shared" si="154"/>
        <v>15160</v>
      </c>
      <c r="BN20" s="291">
        <f t="shared" si="154"/>
        <v>12252</v>
      </c>
      <c r="BO20" s="291">
        <f t="shared" si="154"/>
        <v>12156</v>
      </c>
      <c r="BP20" s="291">
        <f t="shared" si="154"/>
        <v>12204</v>
      </c>
      <c r="BQ20" s="291">
        <f t="shared" si="154"/>
        <v>11956</v>
      </c>
      <c r="BR20" s="291">
        <f t="shared" si="154"/>
        <v>13244</v>
      </c>
      <c r="BS20" s="291">
        <f t="shared" si="154"/>
        <v>9822</v>
      </c>
      <c r="BT20" s="291">
        <f t="shared" si="154"/>
        <v>9711</v>
      </c>
      <c r="BU20" s="291">
        <f t="shared" si="154"/>
        <v>9915</v>
      </c>
      <c r="BV20" s="291">
        <f t="shared" si="154"/>
        <v>13616</v>
      </c>
      <c r="BW20" s="291">
        <f t="shared" si="154"/>
        <v>21456</v>
      </c>
      <c r="BX20" s="291">
        <f t="shared" si="154"/>
        <v>18170</v>
      </c>
      <c r="BY20" s="291">
        <f t="shared" si="154"/>
        <v>18620</v>
      </c>
      <c r="BZ20" s="291">
        <f t="shared" si="154"/>
        <v>19330</v>
      </c>
      <c r="CA20" s="291">
        <f t="shared" si="154"/>
        <v>27965.000000000004</v>
      </c>
      <c r="CB20" s="291">
        <f t="shared" si="154"/>
        <v>24756</v>
      </c>
      <c r="CC20" s="291">
        <f t="shared" si="154"/>
        <v>27042</v>
      </c>
      <c r="CD20" s="291">
        <f t="shared" si="154"/>
        <v>25758</v>
      </c>
      <c r="CE20" s="291">
        <f t="shared" si="154"/>
        <v>31975</v>
      </c>
      <c r="CF20" s="291">
        <f t="shared" si="154"/>
        <v>34363</v>
      </c>
      <c r="CG20" s="291">
        <f t="shared" si="154"/>
        <v>35611</v>
      </c>
      <c r="CH20" s="291">
        <f t="shared" si="154"/>
        <v>41769</v>
      </c>
      <c r="CI20" s="291">
        <f t="shared" si="154"/>
        <v>40388</v>
      </c>
      <c r="CJ20" s="291">
        <f>+CI23</f>
        <v>39162</v>
      </c>
      <c r="CK20" s="291">
        <f>+CJ23</f>
        <v>39064</v>
      </c>
      <c r="CL20" s="291">
        <f>+CK23</f>
        <v>37865</v>
      </c>
      <c r="CM20" s="292">
        <f t="shared" ref="CM20:DB20" si="155">+CL23</f>
        <v>35312</v>
      </c>
      <c r="CN20" s="292">
        <f t="shared" si="155"/>
        <v>33785.332249182924</v>
      </c>
      <c r="CO20" s="292">
        <f t="shared" si="155"/>
        <v>33389.730475905264</v>
      </c>
      <c r="CP20" s="292">
        <f t="shared" si="155"/>
        <v>31997.486310151686</v>
      </c>
      <c r="CQ20" s="292">
        <f t="shared" si="155"/>
        <v>29557.791147433469</v>
      </c>
      <c r="CR20" s="292">
        <f t="shared" si="155"/>
        <v>28014.812867071243</v>
      </c>
      <c r="CS20" s="292">
        <f t="shared" si="155"/>
        <v>27580.12703141617</v>
      </c>
      <c r="CT20" s="292">
        <f t="shared" si="155"/>
        <v>26238.341082566942</v>
      </c>
      <c r="CU20" s="292">
        <f t="shared" si="155"/>
        <v>24128.404534144553</v>
      </c>
      <c r="CV20" s="292">
        <f t="shared" si="155"/>
        <v>22753.841456715953</v>
      </c>
      <c r="CW20" s="292">
        <f t="shared" si="155"/>
        <v>22444.486374762266</v>
      </c>
      <c r="CX20" s="292">
        <f t="shared" si="155"/>
        <v>21288.740165183852</v>
      </c>
      <c r="CY20" s="292">
        <f t="shared" si="155"/>
        <v>19586.428406983934</v>
      </c>
      <c r="CZ20" s="292">
        <f t="shared" si="155"/>
        <v>18455.559086655161</v>
      </c>
      <c r="DA20" s="292">
        <f t="shared" si="155"/>
        <v>18337.259047822226</v>
      </c>
      <c r="DB20" s="292">
        <f t="shared" si="155"/>
        <v>17404.69688560726</v>
      </c>
      <c r="DE20" s="294"/>
      <c r="DF20" s="293">
        <v>37865</v>
      </c>
    </row>
    <row r="21" spans="1:110" s="293" customFormat="1" x14ac:dyDescent="0.2">
      <c r="A21" s="290" t="s">
        <v>573</v>
      </c>
      <c r="B21" s="291"/>
      <c r="C21" s="291"/>
      <c r="D21" s="291"/>
      <c r="E21" s="291"/>
      <c r="F21" s="291"/>
      <c r="G21" s="291"/>
      <c r="H21" s="291"/>
      <c r="I21" s="291"/>
      <c r="J21" s="291"/>
      <c r="K21" s="291"/>
      <c r="L21" s="291"/>
      <c r="M21" s="291"/>
      <c r="N21" s="291"/>
      <c r="O21" s="291"/>
      <c r="P21" s="291"/>
      <c r="Q21" s="291"/>
      <c r="R21" s="291"/>
      <c r="S21" s="291"/>
      <c r="T21" s="291">
        <v>0</v>
      </c>
      <c r="U21" s="291">
        <v>1602</v>
      </c>
      <c r="V21" s="291">
        <v>3773</v>
      </c>
      <c r="W21" s="291">
        <v>17575</v>
      </c>
      <c r="X21" s="291">
        <v>13044.000000000004</v>
      </c>
      <c r="Y21" s="291">
        <v>12204.999999999996</v>
      </c>
      <c r="Z21" s="291">
        <f>+SUM(CE21:CH21)</f>
        <v>18108</v>
      </c>
      <c r="AA21" s="292">
        <f>SUM(CI21:CL21)</f>
        <v>9033</v>
      </c>
      <c r="AB21" s="292">
        <f>+SUM(CM21:CP21)</f>
        <v>9033</v>
      </c>
      <c r="AC21" s="292">
        <f>+SUM(CQ21:CT21)</f>
        <v>9033</v>
      </c>
      <c r="AD21" s="292">
        <f>+SUM(CU21:CX21)</f>
        <v>9033</v>
      </c>
      <c r="AE21" s="292">
        <f>+SUM(CY21:DB21)</f>
        <v>9033</v>
      </c>
      <c r="AI21" s="291"/>
      <c r="AJ21" s="291"/>
      <c r="AK21" s="291"/>
      <c r="AL21" s="291"/>
      <c r="AM21" s="291"/>
      <c r="AN21" s="291"/>
      <c r="AO21" s="291"/>
      <c r="AP21" s="291"/>
      <c r="AQ21" s="291"/>
      <c r="AR21" s="291"/>
      <c r="AS21" s="291"/>
      <c r="AT21" s="291"/>
      <c r="AU21" s="291"/>
      <c r="AV21" s="291"/>
      <c r="AW21" s="291"/>
      <c r="AX21" s="291"/>
      <c r="AY21" s="291"/>
      <c r="AZ21" s="291"/>
      <c r="BA21" s="291"/>
      <c r="BB21" s="291"/>
      <c r="BC21" s="291"/>
      <c r="BD21" s="291"/>
      <c r="BE21" s="291"/>
      <c r="BF21" s="291"/>
      <c r="BG21" s="291"/>
      <c r="BH21" s="291"/>
      <c r="BI21" s="291"/>
      <c r="BJ21" s="291"/>
      <c r="BK21" s="291"/>
      <c r="BL21" s="291">
        <f t="shared" ref="BL21:CI21" si="156">+BL23+BL22-BL20</f>
        <v>1447</v>
      </c>
      <c r="BM21" s="291">
        <f t="shared" si="156"/>
        <v>-1182</v>
      </c>
      <c r="BN21" s="291">
        <f t="shared" si="156"/>
        <v>1337</v>
      </c>
      <c r="BO21" s="291">
        <f t="shared" si="156"/>
        <v>899</v>
      </c>
      <c r="BP21" s="291">
        <f t="shared" si="156"/>
        <v>1118</v>
      </c>
      <c r="BQ21" s="291">
        <f t="shared" si="156"/>
        <v>3043</v>
      </c>
      <c r="BR21" s="291">
        <f t="shared" si="156"/>
        <v>-1287</v>
      </c>
      <c r="BS21" s="291">
        <f t="shared" si="156"/>
        <v>1126</v>
      </c>
      <c r="BT21" s="291">
        <f t="shared" si="156"/>
        <v>1673</v>
      </c>
      <c r="BU21" s="291">
        <f t="shared" si="156"/>
        <v>5174</v>
      </c>
      <c r="BV21" s="291">
        <f t="shared" si="156"/>
        <v>9602</v>
      </c>
      <c r="BW21" s="291">
        <f t="shared" si="156"/>
        <v>-2014</v>
      </c>
      <c r="BX21" s="291">
        <f t="shared" si="156"/>
        <v>1906</v>
      </c>
      <c r="BY21" s="291">
        <f t="shared" si="156"/>
        <v>2383</v>
      </c>
      <c r="BZ21" s="291">
        <f t="shared" si="156"/>
        <v>10769.000000000004</v>
      </c>
      <c r="CA21" s="291">
        <f t="shared" si="156"/>
        <v>-1428.0000000000036</v>
      </c>
      <c r="CB21" s="291">
        <f t="shared" si="156"/>
        <v>4172</v>
      </c>
      <c r="CC21" s="291">
        <f t="shared" si="156"/>
        <v>782</v>
      </c>
      <c r="CD21" s="291">
        <f t="shared" si="156"/>
        <v>8679</v>
      </c>
      <c r="CE21" s="291">
        <f t="shared" si="156"/>
        <v>4233</v>
      </c>
      <c r="CF21" s="291">
        <f t="shared" si="156"/>
        <v>3311</v>
      </c>
      <c r="CG21" s="291">
        <f t="shared" si="156"/>
        <v>8591</v>
      </c>
      <c r="CH21" s="291">
        <f t="shared" si="156"/>
        <v>1973</v>
      </c>
      <c r="CI21" s="291">
        <f t="shared" si="156"/>
        <v>2001</v>
      </c>
      <c r="CJ21" s="291">
        <f>+CJ23+CJ22-CJ20</f>
        <v>2656</v>
      </c>
      <c r="CK21" s="291">
        <f>+CK23+CK22-CK20</f>
        <v>2068</v>
      </c>
      <c r="CL21" s="291">
        <f>+CL23+CL22-CL20</f>
        <v>2308</v>
      </c>
      <c r="CM21" s="292">
        <f t="shared" ref="CM21:DB21" si="157">+CI21+(CI21*CM24)</f>
        <v>2001</v>
      </c>
      <c r="CN21" s="292">
        <f t="shared" si="157"/>
        <v>2656</v>
      </c>
      <c r="CO21" s="292">
        <f t="shared" si="157"/>
        <v>2068</v>
      </c>
      <c r="CP21" s="292">
        <f t="shared" si="157"/>
        <v>2308</v>
      </c>
      <c r="CQ21" s="292">
        <f t="shared" si="157"/>
        <v>2001</v>
      </c>
      <c r="CR21" s="292">
        <f t="shared" si="157"/>
        <v>2656</v>
      </c>
      <c r="CS21" s="292">
        <f t="shared" si="157"/>
        <v>2068</v>
      </c>
      <c r="CT21" s="292">
        <f t="shared" si="157"/>
        <v>2308</v>
      </c>
      <c r="CU21" s="292">
        <f t="shared" si="157"/>
        <v>2001</v>
      </c>
      <c r="CV21" s="292">
        <f t="shared" si="157"/>
        <v>2656</v>
      </c>
      <c r="CW21" s="292">
        <f t="shared" si="157"/>
        <v>2068</v>
      </c>
      <c r="CX21" s="292">
        <f t="shared" si="157"/>
        <v>2308</v>
      </c>
      <c r="CY21" s="292">
        <f t="shared" si="157"/>
        <v>2001</v>
      </c>
      <c r="CZ21" s="292">
        <f t="shared" si="157"/>
        <v>2656</v>
      </c>
      <c r="DA21" s="292">
        <f t="shared" si="157"/>
        <v>2068</v>
      </c>
      <c r="DB21" s="292">
        <f t="shared" si="157"/>
        <v>2308</v>
      </c>
      <c r="DE21" s="294"/>
      <c r="DF21" s="293">
        <v>474.93</v>
      </c>
    </row>
    <row r="22" spans="1:110" s="293" customFormat="1" x14ac:dyDescent="0.2">
      <c r="A22" s="290" t="s">
        <v>574</v>
      </c>
      <c r="B22" s="291"/>
      <c r="C22" s="291"/>
      <c r="D22" s="291"/>
      <c r="E22" s="291"/>
      <c r="F22" s="291"/>
      <c r="G22" s="291"/>
      <c r="H22" s="291"/>
      <c r="I22" s="291"/>
      <c r="J22" s="291"/>
      <c r="K22" s="291"/>
      <c r="L22" s="291"/>
      <c r="M22" s="291"/>
      <c r="N22" s="291"/>
      <c r="O22" s="291"/>
      <c r="P22" s="291"/>
      <c r="Q22" s="291"/>
      <c r="R22" s="291"/>
      <c r="S22" s="291"/>
      <c r="T22" s="291">
        <v>0</v>
      </c>
      <c r="U22" s="291">
        <v>4734</v>
      </c>
      <c r="V22" s="291">
        <v>6107</v>
      </c>
      <c r="W22" s="291">
        <v>5941</v>
      </c>
      <c r="X22" s="291">
        <v>6535</v>
      </c>
      <c r="Y22" s="291">
        <v>8195</v>
      </c>
      <c r="Z22" s="291">
        <f>+SUM(CE22:CH22)</f>
        <v>9695</v>
      </c>
      <c r="AA22" s="292">
        <f>SUM(CI22:CL22)</f>
        <v>14109</v>
      </c>
      <c r="AB22" s="292">
        <f>+SUM(CM22:CP22)</f>
        <v>14787.208852566529</v>
      </c>
      <c r="AC22" s="292">
        <f>+SUM(CQ22:CT22)</f>
        <v>14462.386613288916</v>
      </c>
      <c r="AD22" s="292">
        <f>+SUM(CU22:CX22)</f>
        <v>13574.976127160618</v>
      </c>
      <c r="AE22" s="292">
        <f>+SUM(CY22:DB22)</f>
        <v>12533.472294302026</v>
      </c>
      <c r="AI22" s="291"/>
      <c r="AJ22" s="291"/>
      <c r="AK22" s="291"/>
      <c r="AL22" s="291"/>
      <c r="AM22" s="291"/>
      <c r="AN22" s="291"/>
      <c r="AO22" s="291"/>
      <c r="AP22" s="291"/>
      <c r="AQ22" s="291"/>
      <c r="AR22" s="291"/>
      <c r="AS22" s="291"/>
      <c r="AT22" s="291"/>
      <c r="AU22" s="291"/>
      <c r="AV22" s="291"/>
      <c r="AW22" s="291"/>
      <c r="AX22" s="291"/>
      <c r="AY22" s="291"/>
      <c r="AZ22" s="291"/>
      <c r="BA22" s="291"/>
      <c r="BB22" s="291"/>
      <c r="BC22" s="291"/>
      <c r="BD22" s="291"/>
      <c r="BE22" s="291"/>
      <c r="BF22" s="291"/>
      <c r="BG22" s="291"/>
      <c r="BH22" s="291"/>
      <c r="BI22" s="291"/>
      <c r="BJ22" s="291"/>
      <c r="BK22" s="291"/>
      <c r="BL22" s="291">
        <f t="shared" ref="BL22:CI22" si="158">+BL39</f>
        <v>1575</v>
      </c>
      <c r="BM22" s="291">
        <f t="shared" si="158"/>
        <v>1726</v>
      </c>
      <c r="BN22" s="291">
        <f t="shared" si="158"/>
        <v>1433</v>
      </c>
      <c r="BO22" s="291">
        <f t="shared" si="158"/>
        <v>851</v>
      </c>
      <c r="BP22" s="291">
        <f t="shared" si="158"/>
        <v>1366</v>
      </c>
      <c r="BQ22" s="291">
        <f t="shared" si="158"/>
        <v>1755</v>
      </c>
      <c r="BR22" s="291">
        <f t="shared" si="158"/>
        <v>2135</v>
      </c>
      <c r="BS22" s="291">
        <f t="shared" si="158"/>
        <v>1237</v>
      </c>
      <c r="BT22" s="291">
        <f t="shared" si="158"/>
        <v>1469</v>
      </c>
      <c r="BU22" s="291">
        <f t="shared" si="158"/>
        <v>1473</v>
      </c>
      <c r="BV22" s="291">
        <f t="shared" si="158"/>
        <v>1762</v>
      </c>
      <c r="BW22" s="291">
        <f t="shared" si="158"/>
        <v>1272</v>
      </c>
      <c r="BX22" s="291">
        <f t="shared" si="158"/>
        <v>1456</v>
      </c>
      <c r="BY22" s="291">
        <f t="shared" si="158"/>
        <v>1673</v>
      </c>
      <c r="BZ22" s="291">
        <f t="shared" si="158"/>
        <v>2134</v>
      </c>
      <c r="CA22" s="291">
        <f t="shared" si="158"/>
        <v>1781</v>
      </c>
      <c r="CB22" s="291">
        <f t="shared" si="158"/>
        <v>1886</v>
      </c>
      <c r="CC22" s="291">
        <f t="shared" si="158"/>
        <v>2066</v>
      </c>
      <c r="CD22" s="291">
        <f t="shared" si="158"/>
        <v>2462</v>
      </c>
      <c r="CE22" s="291">
        <f t="shared" si="158"/>
        <v>1845</v>
      </c>
      <c r="CF22" s="291">
        <f t="shared" si="158"/>
        <v>2063</v>
      </c>
      <c r="CG22" s="291">
        <f t="shared" si="158"/>
        <v>2433</v>
      </c>
      <c r="CH22" s="291">
        <f t="shared" si="158"/>
        <v>3354</v>
      </c>
      <c r="CI22" s="291">
        <f t="shared" si="158"/>
        <v>3227</v>
      </c>
      <c r="CJ22" s="291">
        <f>+CJ39</f>
        <v>2754</v>
      </c>
      <c r="CK22" s="291">
        <f>+CK39</f>
        <v>3267</v>
      </c>
      <c r="CL22" s="291">
        <f>+CL39</f>
        <v>4861</v>
      </c>
      <c r="CM22" s="292">
        <f t="shared" ref="CM22:DB22" si="159">+CM20*CM25</f>
        <v>3527.6677508170746</v>
      </c>
      <c r="CN22" s="292">
        <f t="shared" si="159"/>
        <v>3051.6017732776622</v>
      </c>
      <c r="CO22" s="292">
        <f t="shared" si="159"/>
        <v>3460.2441657535778</v>
      </c>
      <c r="CP22" s="292">
        <f t="shared" si="159"/>
        <v>4747.6951627182152</v>
      </c>
      <c r="CQ22" s="292">
        <f t="shared" si="159"/>
        <v>3543.9782803622247</v>
      </c>
      <c r="CR22" s="292">
        <f t="shared" si="159"/>
        <v>3090.6858356550729</v>
      </c>
      <c r="CS22" s="292">
        <f t="shared" si="159"/>
        <v>3409.785948849229</v>
      </c>
      <c r="CT22" s="292">
        <f t="shared" si="159"/>
        <v>4417.936548422389</v>
      </c>
      <c r="CU22" s="292">
        <f t="shared" si="159"/>
        <v>3375.5630774285996</v>
      </c>
      <c r="CV22" s="292">
        <f t="shared" si="159"/>
        <v>2965.3550819536881</v>
      </c>
      <c r="CW22" s="292">
        <f t="shared" si="159"/>
        <v>3223.7462095784126</v>
      </c>
      <c r="CX22" s="292">
        <f t="shared" si="159"/>
        <v>4010.3117581999177</v>
      </c>
      <c r="CY22" s="292">
        <f t="shared" si="159"/>
        <v>3131.8693203287739</v>
      </c>
      <c r="CZ22" s="292">
        <f t="shared" si="159"/>
        <v>2774.3000388329365</v>
      </c>
      <c r="DA22" s="292">
        <f t="shared" si="159"/>
        <v>3000.5621622149652</v>
      </c>
      <c r="DB22" s="292">
        <f t="shared" si="159"/>
        <v>3626.74077292535</v>
      </c>
      <c r="DE22" s="294"/>
      <c r="DF22" s="293">
        <v>3797.81</v>
      </c>
    </row>
    <row r="23" spans="1:110" s="298" customFormat="1" x14ac:dyDescent="0.2">
      <c r="A23" s="295" t="s">
        <v>575</v>
      </c>
      <c r="B23" s="296"/>
      <c r="C23" s="296"/>
      <c r="D23" s="296"/>
      <c r="E23" s="296"/>
      <c r="F23" s="296"/>
      <c r="G23" s="296"/>
      <c r="H23" s="296"/>
      <c r="I23" s="296"/>
      <c r="J23" s="296"/>
      <c r="K23" s="296"/>
      <c r="L23" s="296"/>
      <c r="M23" s="296"/>
      <c r="N23" s="296"/>
      <c r="O23" s="296"/>
      <c r="P23" s="296"/>
      <c r="Q23" s="296"/>
      <c r="R23" s="296"/>
      <c r="S23" s="296"/>
      <c r="T23" s="296">
        <v>18777.600000000002</v>
      </c>
      <c r="U23" s="296">
        <v>12156</v>
      </c>
      <c r="V23" s="296">
        <v>9822</v>
      </c>
      <c r="W23" s="296">
        <v>21456</v>
      </c>
      <c r="X23" s="296">
        <v>27965.000000000004</v>
      </c>
      <c r="Y23" s="296">
        <v>31975</v>
      </c>
      <c r="Z23" s="296">
        <f>+Z20+Z21-Z22</f>
        <v>40388</v>
      </c>
      <c r="AA23" s="297">
        <f t="shared" ref="AA23" si="160">+AA20+AA21-AA22</f>
        <v>35312</v>
      </c>
      <c r="AB23" s="297">
        <f t="shared" ref="AB23" si="161">+AB20+AB21-AB22</f>
        <v>29557.791147433469</v>
      </c>
      <c r="AC23" s="297">
        <f t="shared" ref="AC23" si="162">+AC20+AC21-AC22</f>
        <v>24128.404534144553</v>
      </c>
      <c r="AD23" s="297">
        <f t="shared" ref="AD23" si="163">+AD20+AD21-AD22</f>
        <v>19586.428406983934</v>
      </c>
      <c r="AE23" s="297">
        <f t="shared" ref="AE23" si="164">+AE20+AE21-AE22</f>
        <v>16085.956112681908</v>
      </c>
      <c r="AI23" s="296"/>
      <c r="AJ23" s="296"/>
      <c r="AK23" s="296"/>
      <c r="AL23" s="296"/>
      <c r="AM23" s="296"/>
      <c r="AN23" s="296"/>
      <c r="AO23" s="296"/>
      <c r="AP23" s="296"/>
      <c r="AQ23" s="296"/>
      <c r="AR23" s="296"/>
      <c r="AS23" s="296"/>
      <c r="AT23" s="296"/>
      <c r="AU23" s="296"/>
      <c r="AV23" s="296"/>
      <c r="AW23" s="296"/>
      <c r="AX23" s="296"/>
      <c r="AY23" s="296">
        <v>10296</v>
      </c>
      <c r="AZ23" s="296">
        <v>10072</v>
      </c>
      <c r="BA23" s="296">
        <v>10344</v>
      </c>
      <c r="BB23" s="296">
        <v>15678</v>
      </c>
      <c r="BC23" s="296">
        <v>13145</v>
      </c>
      <c r="BD23" s="296">
        <v>15450</v>
      </c>
      <c r="BE23" s="296">
        <v>16242</v>
      </c>
      <c r="BF23" s="296">
        <v>16575.3</v>
      </c>
      <c r="BG23" s="296">
        <v>18747.300000000003</v>
      </c>
      <c r="BH23" s="296">
        <v>20246.399999999998</v>
      </c>
      <c r="BI23" s="296">
        <v>19028</v>
      </c>
      <c r="BJ23" s="296">
        <v>18777.600000000002</v>
      </c>
      <c r="BK23" s="296">
        <v>15288</v>
      </c>
      <c r="BL23" s="296">
        <v>15160</v>
      </c>
      <c r="BM23" s="296">
        <v>12252</v>
      </c>
      <c r="BN23" s="296">
        <v>12156</v>
      </c>
      <c r="BO23" s="296">
        <v>12204</v>
      </c>
      <c r="BP23" s="296">
        <v>11956</v>
      </c>
      <c r="BQ23" s="296">
        <v>13244</v>
      </c>
      <c r="BR23" s="296">
        <v>9822</v>
      </c>
      <c r="BS23" s="296">
        <v>9711</v>
      </c>
      <c r="BT23" s="296">
        <v>9915</v>
      </c>
      <c r="BU23" s="296">
        <v>13616</v>
      </c>
      <c r="BV23" s="296">
        <v>21456</v>
      </c>
      <c r="BW23" s="296">
        <v>18170</v>
      </c>
      <c r="BX23" s="296">
        <v>18620</v>
      </c>
      <c r="BY23" s="296">
        <v>19330</v>
      </c>
      <c r="BZ23" s="296">
        <v>27965.000000000004</v>
      </c>
      <c r="CA23" s="296">
        <v>24756</v>
      </c>
      <c r="CB23" s="296">
        <v>27042</v>
      </c>
      <c r="CC23" s="296">
        <v>25758</v>
      </c>
      <c r="CD23" s="296">
        <v>31975</v>
      </c>
      <c r="CE23" s="296">
        <v>34363</v>
      </c>
      <c r="CF23" s="296">
        <v>35611</v>
      </c>
      <c r="CG23" s="296">
        <v>41769</v>
      </c>
      <c r="CH23" s="296">
        <v>40388</v>
      </c>
      <c r="CI23" s="296">
        <v>39162</v>
      </c>
      <c r="CJ23" s="296">
        <v>39064</v>
      </c>
      <c r="CK23" s="296">
        <v>37865</v>
      </c>
      <c r="CL23" s="296">
        <v>35312</v>
      </c>
      <c r="CM23" s="297">
        <f t="shared" ref="CM23:DB23" si="165">+CM20+CM21-CM22</f>
        <v>33785.332249182924</v>
      </c>
      <c r="CN23" s="297">
        <f t="shared" si="165"/>
        <v>33389.730475905264</v>
      </c>
      <c r="CO23" s="297">
        <f t="shared" si="165"/>
        <v>31997.486310151686</v>
      </c>
      <c r="CP23" s="297">
        <f t="shared" si="165"/>
        <v>29557.791147433469</v>
      </c>
      <c r="CQ23" s="297">
        <f t="shared" si="165"/>
        <v>28014.812867071243</v>
      </c>
      <c r="CR23" s="297">
        <f t="shared" si="165"/>
        <v>27580.12703141617</v>
      </c>
      <c r="CS23" s="297">
        <f t="shared" si="165"/>
        <v>26238.341082566942</v>
      </c>
      <c r="CT23" s="297">
        <f t="shared" si="165"/>
        <v>24128.404534144553</v>
      </c>
      <c r="CU23" s="297">
        <f t="shared" si="165"/>
        <v>22753.841456715953</v>
      </c>
      <c r="CV23" s="297">
        <f t="shared" si="165"/>
        <v>22444.486374762266</v>
      </c>
      <c r="CW23" s="297">
        <f t="shared" si="165"/>
        <v>21288.740165183852</v>
      </c>
      <c r="CX23" s="297">
        <f t="shared" si="165"/>
        <v>19586.428406983934</v>
      </c>
      <c r="CY23" s="297">
        <f t="shared" si="165"/>
        <v>18455.559086655161</v>
      </c>
      <c r="CZ23" s="297">
        <f t="shared" si="165"/>
        <v>18337.259047822226</v>
      </c>
      <c r="DA23" s="297">
        <f t="shared" si="165"/>
        <v>17404.69688560726</v>
      </c>
      <c r="DB23" s="297">
        <f t="shared" si="165"/>
        <v>16085.95611268191</v>
      </c>
      <c r="DE23" s="299"/>
      <c r="DF23" s="298">
        <v>34542.120000000003</v>
      </c>
    </row>
    <row r="24" spans="1:110" s="212" customFormat="1" x14ac:dyDescent="0.2">
      <c r="A24" s="189" t="s">
        <v>576</v>
      </c>
      <c r="U24" s="213" t="e">
        <f t="shared" ref="U24:Z24" si="166">+U21/T21-1</f>
        <v>#DIV/0!</v>
      </c>
      <c r="V24" s="213">
        <f t="shared" si="166"/>
        <v>1.3551810237203497</v>
      </c>
      <c r="W24" s="213">
        <f t="shared" si="166"/>
        <v>3.6580970050357804</v>
      </c>
      <c r="X24" s="213">
        <f t="shared" si="166"/>
        <v>-0.25780938833570388</v>
      </c>
      <c r="Y24" s="213">
        <f t="shared" si="166"/>
        <v>-6.4320760502913799E-2</v>
      </c>
      <c r="Z24" s="213">
        <f t="shared" si="166"/>
        <v>0.48365424006554725</v>
      </c>
      <c r="AA24" s="213">
        <f>+AA21/Z21-1</f>
        <v>-0.50115970841616964</v>
      </c>
      <c r="AB24" s="213">
        <f t="shared" ref="AB24:AE24" si="167">+AB21/AA21-1</f>
        <v>0</v>
      </c>
      <c r="AC24" s="213">
        <f t="shared" si="167"/>
        <v>0</v>
      </c>
      <c r="AD24" s="213">
        <f t="shared" si="167"/>
        <v>0</v>
      </c>
      <c r="AE24" s="213">
        <f t="shared" si="167"/>
        <v>0</v>
      </c>
      <c r="BP24" s="213">
        <f t="shared" ref="BP24" si="168">+BP21/BL21-1</f>
        <v>-0.22736696613683482</v>
      </c>
      <c r="BQ24" s="213">
        <f t="shared" ref="BQ24" si="169">+BQ21/BM21-1</f>
        <v>-3.5744500846023688</v>
      </c>
      <c r="BR24" s="213">
        <f t="shared" ref="BR24" si="170">+BR21/BN21-1</f>
        <v>-1.9626028421839941</v>
      </c>
      <c r="BS24" s="213">
        <f t="shared" ref="BS24" si="171">+BS21/BO21-1</f>
        <v>0.25250278086763078</v>
      </c>
      <c r="BT24" s="213">
        <f t="shared" ref="BT24" si="172">+BT21/BP21-1</f>
        <v>0.49642218246869407</v>
      </c>
      <c r="BU24" s="213">
        <f t="shared" ref="BU24" si="173">+BU21/BQ21-1</f>
        <v>0.70029576076240563</v>
      </c>
      <c r="BV24" s="213">
        <f t="shared" ref="BV24" si="174">+BV21/BR21-1</f>
        <v>-8.4607614607614607</v>
      </c>
      <c r="BW24" s="213">
        <f t="shared" ref="BW24" si="175">+BW21/BS21-1</f>
        <v>-2.7886323268206041</v>
      </c>
      <c r="BX24" s="213">
        <f t="shared" ref="BX24" si="176">+BX21/BT21-1</f>
        <v>0.13927077106993435</v>
      </c>
      <c r="BY24" s="213">
        <f t="shared" ref="BY24" si="177">+BY21/BU21-1</f>
        <v>-0.53942790877464242</v>
      </c>
      <c r="BZ24" s="213">
        <f t="shared" ref="BZ24" si="178">+BZ21/BV21-1</f>
        <v>0.12153717975421818</v>
      </c>
      <c r="CA24" s="213">
        <f t="shared" ref="CA24" si="179">+CA21/BW21-1</f>
        <v>-0.29096325719960092</v>
      </c>
      <c r="CB24" s="213">
        <f t="shared" ref="CB24" si="180">+CB21/BX21-1</f>
        <v>1.1888772298006294</v>
      </c>
      <c r="CC24" s="213">
        <f t="shared" ref="CC24" si="181">+CC21/BY21-1</f>
        <v>-0.67184221569450275</v>
      </c>
      <c r="CD24" s="213">
        <f t="shared" ref="CD24" si="182">+CD21/BZ21-1</f>
        <v>-0.19407558733401453</v>
      </c>
      <c r="CE24" s="213">
        <f t="shared" ref="CE24" si="183">+CE21/CA21-1</f>
        <v>-3.9642857142857069</v>
      </c>
      <c r="CF24" s="213">
        <f t="shared" ref="CF24" si="184">+CF21/CB21-1</f>
        <v>-0.2063758389261745</v>
      </c>
      <c r="CG24" s="213">
        <f t="shared" ref="CG24" si="185">+CG21/CC21-1</f>
        <v>9.9859335038363177</v>
      </c>
      <c r="CH24" s="213">
        <f t="shared" ref="CH24" si="186">+CH21/CD21-1</f>
        <v>-0.77266966240350277</v>
      </c>
      <c r="CI24" s="213">
        <f t="shared" ref="CI24" si="187">+CI21/CE21-1</f>
        <v>-0.52728561304039689</v>
      </c>
      <c r="CJ24" s="213">
        <f>+CJ21/CF21-1</f>
        <v>-0.19782543038356992</v>
      </c>
      <c r="CK24" s="213">
        <f>+CK21/CG21-1</f>
        <v>-0.75928297055057614</v>
      </c>
      <c r="CL24" s="213">
        <f>+CL21/CH21-1</f>
        <v>0.16979219462747075</v>
      </c>
      <c r="CM24" s="212">
        <v>0</v>
      </c>
      <c r="CN24" s="212">
        <v>0</v>
      </c>
      <c r="CO24" s="212">
        <v>0</v>
      </c>
      <c r="CP24" s="212">
        <v>0</v>
      </c>
      <c r="CQ24" s="212">
        <v>0</v>
      </c>
      <c r="CR24" s="212">
        <v>0</v>
      </c>
      <c r="CS24" s="212">
        <v>0</v>
      </c>
      <c r="CT24" s="212">
        <v>0</v>
      </c>
      <c r="CU24" s="212">
        <v>0</v>
      </c>
      <c r="CV24" s="212">
        <v>0</v>
      </c>
      <c r="CW24" s="212">
        <v>0</v>
      </c>
      <c r="CX24" s="212">
        <v>0</v>
      </c>
      <c r="CY24" s="212">
        <v>0</v>
      </c>
      <c r="CZ24" s="212">
        <v>0</v>
      </c>
      <c r="DA24" s="212">
        <v>0</v>
      </c>
      <c r="DB24" s="212">
        <v>0</v>
      </c>
      <c r="DF24" s="283">
        <v>-0.76</v>
      </c>
    </row>
    <row r="25" spans="1:110" s="212" customFormat="1" x14ac:dyDescent="0.2">
      <c r="A25" s="189" t="s">
        <v>577</v>
      </c>
      <c r="U25" s="213">
        <f t="shared" ref="U25:Z25" si="188">+U22/U20</f>
        <v>0.25210889570552142</v>
      </c>
      <c r="V25" s="213">
        <f t="shared" si="188"/>
        <v>0.50238565317538664</v>
      </c>
      <c r="W25" s="213">
        <f t="shared" si="188"/>
        <v>0.60486662594176344</v>
      </c>
      <c r="X25" s="213">
        <f t="shared" si="188"/>
        <v>0.30457680835197615</v>
      </c>
      <c r="Y25" s="213">
        <f t="shared" si="188"/>
        <v>0.29304487752547825</v>
      </c>
      <c r="Z25" s="213">
        <f t="shared" si="188"/>
        <v>0.30320562939796714</v>
      </c>
      <c r="AA25" s="213">
        <f>+AA22/AA20</f>
        <v>0.34933643656531643</v>
      </c>
      <c r="AB25" s="213">
        <f t="shared" ref="AB25:AE25" si="189">+AB22/AB20</f>
        <v>0.41875874639121347</v>
      </c>
      <c r="AC25" s="213">
        <f t="shared" si="189"/>
        <v>0.4892918601782833</v>
      </c>
      <c r="AD25" s="213">
        <f t="shared" si="189"/>
        <v>0.56261391456490284</v>
      </c>
      <c r="AE25" s="213">
        <f t="shared" si="189"/>
        <v>0.63990596110074693</v>
      </c>
      <c r="BP25" s="213">
        <f t="shared" ref="BP25:CI25" si="190">+BP22/BP20</f>
        <v>0.11193051458538185</v>
      </c>
      <c r="BQ25" s="213">
        <f t="shared" si="190"/>
        <v>0.14678822348611575</v>
      </c>
      <c r="BR25" s="213">
        <f t="shared" si="190"/>
        <v>0.16120507399577166</v>
      </c>
      <c r="BS25" s="213">
        <f t="shared" si="190"/>
        <v>0.12594176338831195</v>
      </c>
      <c r="BT25" s="213">
        <f t="shared" si="190"/>
        <v>0.15127175368139223</v>
      </c>
      <c r="BU25" s="213">
        <f t="shared" si="190"/>
        <v>0.14856278366111952</v>
      </c>
      <c r="BV25" s="213">
        <f t="shared" si="190"/>
        <v>0.12940658049353701</v>
      </c>
      <c r="BW25" s="213">
        <f t="shared" si="190"/>
        <v>5.9284116331096197E-2</v>
      </c>
      <c r="BX25" s="213">
        <f t="shared" si="190"/>
        <v>8.0132085855806279E-2</v>
      </c>
      <c r="BY25" s="213">
        <f t="shared" si="190"/>
        <v>8.9849624060150374E-2</v>
      </c>
      <c r="BZ25" s="213">
        <f t="shared" si="190"/>
        <v>0.11039834454216244</v>
      </c>
      <c r="CA25" s="213">
        <f t="shared" si="190"/>
        <v>6.368675129626318E-2</v>
      </c>
      <c r="CB25" s="213">
        <f t="shared" si="190"/>
        <v>7.6183551462271779E-2</v>
      </c>
      <c r="CC25" s="213">
        <f t="shared" si="190"/>
        <v>7.6399674580282517E-2</v>
      </c>
      <c r="CD25" s="213">
        <f t="shared" si="190"/>
        <v>9.5581955120739193E-2</v>
      </c>
      <c r="CE25" s="213">
        <f t="shared" si="190"/>
        <v>5.7701329163408914E-2</v>
      </c>
      <c r="CF25" s="213">
        <f t="shared" si="190"/>
        <v>6.0035503302971222E-2</v>
      </c>
      <c r="CG25" s="213">
        <f t="shared" si="190"/>
        <v>6.8321586026789477E-2</v>
      </c>
      <c r="CH25" s="213">
        <f t="shared" si="190"/>
        <v>8.0298786181139128E-2</v>
      </c>
      <c r="CI25" s="213">
        <f t="shared" si="190"/>
        <v>7.9899970288204419E-2</v>
      </c>
      <c r="CJ25" s="213">
        <f>+CJ22/CJ20</f>
        <v>7.032327256013482E-2</v>
      </c>
      <c r="CK25" s="213">
        <f>+CK22/CK20</f>
        <v>8.3631988531640389E-2</v>
      </c>
      <c r="CL25" s="213">
        <f>+CL22/CL20</f>
        <v>0.12837712927505612</v>
      </c>
      <c r="CM25" s="189">
        <f t="shared" ref="CM25:DB25" si="191">+CI25+2%</f>
        <v>9.9899970288204423E-2</v>
      </c>
      <c r="CN25" s="189">
        <f t="shared" si="191"/>
        <v>9.0323272560134824E-2</v>
      </c>
      <c r="CO25" s="189">
        <f t="shared" si="191"/>
        <v>0.10363198853164039</v>
      </c>
      <c r="CP25" s="189">
        <f t="shared" si="191"/>
        <v>0.14837712927505611</v>
      </c>
      <c r="CQ25" s="189">
        <f t="shared" si="191"/>
        <v>0.11989997028820443</v>
      </c>
      <c r="CR25" s="189">
        <f t="shared" si="191"/>
        <v>0.11032327256013483</v>
      </c>
      <c r="CS25" s="189">
        <f t="shared" si="191"/>
        <v>0.1236319885316404</v>
      </c>
      <c r="CT25" s="189">
        <f t="shared" si="191"/>
        <v>0.1683771292750561</v>
      </c>
      <c r="CU25" s="189">
        <f t="shared" si="191"/>
        <v>0.13989997028820442</v>
      </c>
      <c r="CV25" s="189">
        <f t="shared" si="191"/>
        <v>0.13032327256013482</v>
      </c>
      <c r="CW25" s="189">
        <f t="shared" si="191"/>
        <v>0.14363198853164039</v>
      </c>
      <c r="CX25" s="189">
        <f t="shared" si="191"/>
        <v>0.18837712927505609</v>
      </c>
      <c r="CY25" s="189">
        <f t="shared" si="191"/>
        <v>0.15989997028820441</v>
      </c>
      <c r="CZ25" s="189">
        <f t="shared" si="191"/>
        <v>0.15032327256013481</v>
      </c>
      <c r="DA25" s="189">
        <f t="shared" si="191"/>
        <v>0.16363198853164038</v>
      </c>
      <c r="DB25" s="189">
        <f t="shared" si="191"/>
        <v>0.20837712927505608</v>
      </c>
      <c r="DF25" s="283">
        <v>0.1</v>
      </c>
    </row>
    <row r="26" spans="1:110" s="158" customFormat="1" x14ac:dyDescent="0.2">
      <c r="A26" s="192" t="s">
        <v>578</v>
      </c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95">
        <v>5868</v>
      </c>
      <c r="U26" s="195">
        <v>6078</v>
      </c>
      <c r="V26" s="195">
        <v>13096</v>
      </c>
      <c r="W26" s="195">
        <v>10728</v>
      </c>
      <c r="X26" s="195">
        <v>15980</v>
      </c>
      <c r="Y26" s="195">
        <v>13981</v>
      </c>
      <c r="Z26" s="195">
        <f>+CH26</f>
        <v>15921</v>
      </c>
      <c r="AA26" s="157">
        <f>+CL26</f>
        <v>23981</v>
      </c>
      <c r="AB26" s="157">
        <f>+CP26</f>
        <v>23981</v>
      </c>
      <c r="AC26" s="157">
        <f>+CT26</f>
        <v>23981</v>
      </c>
      <c r="AD26" s="157">
        <f>+CX26</f>
        <v>23981</v>
      </c>
      <c r="AE26" s="157">
        <f>+DB26</f>
        <v>23981</v>
      </c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95">
        <v>18018</v>
      </c>
      <c r="AZ26" s="195">
        <v>17626</v>
      </c>
      <c r="BA26" s="195">
        <v>18102</v>
      </c>
      <c r="BB26" s="195">
        <v>13065</v>
      </c>
      <c r="BC26" s="195">
        <v>15774</v>
      </c>
      <c r="BD26" s="195">
        <v>15450</v>
      </c>
      <c r="BE26" s="195">
        <v>13535</v>
      </c>
      <c r="BF26" s="195">
        <v>14996.7</v>
      </c>
      <c r="BG26" s="195">
        <v>5977.4</v>
      </c>
      <c r="BH26" s="195">
        <v>5624</v>
      </c>
      <c r="BI26" s="195">
        <v>5680</v>
      </c>
      <c r="BJ26" s="195">
        <v>5868</v>
      </c>
      <c r="BK26" s="195">
        <v>6762</v>
      </c>
      <c r="BL26" s="195">
        <v>6064</v>
      </c>
      <c r="BM26" s="195">
        <v>6126</v>
      </c>
      <c r="BN26" s="195">
        <v>6078</v>
      </c>
      <c r="BO26" s="195">
        <v>15255</v>
      </c>
      <c r="BP26" s="195">
        <v>11956</v>
      </c>
      <c r="BQ26" s="195">
        <v>13244</v>
      </c>
      <c r="BR26" s="195">
        <v>13096</v>
      </c>
      <c r="BS26" s="195">
        <v>12948</v>
      </c>
      <c r="BT26" s="195">
        <v>13220</v>
      </c>
      <c r="BU26" s="195">
        <v>13616</v>
      </c>
      <c r="BV26" s="195">
        <v>10728</v>
      </c>
      <c r="BW26" s="195">
        <v>14536</v>
      </c>
      <c r="BX26" s="195">
        <v>14896</v>
      </c>
      <c r="BY26" s="195">
        <v>15464</v>
      </c>
      <c r="BZ26" s="156">
        <v>15980</v>
      </c>
      <c r="CA26" s="195">
        <v>12378</v>
      </c>
      <c r="CB26" s="195">
        <v>13521</v>
      </c>
      <c r="CC26" s="195">
        <v>13580</v>
      </c>
      <c r="CD26" s="195">
        <v>13981</v>
      </c>
      <c r="CE26" s="195">
        <v>14727</v>
      </c>
      <c r="CF26" s="195">
        <v>14684</v>
      </c>
      <c r="CG26" s="195">
        <v>15345</v>
      </c>
      <c r="CH26" s="195">
        <v>15921</v>
      </c>
      <c r="CI26" s="195">
        <v>16808</v>
      </c>
      <c r="CJ26" s="195">
        <v>18774</v>
      </c>
      <c r="CK26" s="195">
        <v>22498</v>
      </c>
      <c r="CL26" s="195">
        <v>23981</v>
      </c>
      <c r="CM26" s="210">
        <f t="shared" ref="CM26:DB26" si="192">+CL26</f>
        <v>23981</v>
      </c>
      <c r="CN26" s="210">
        <f t="shared" si="192"/>
        <v>23981</v>
      </c>
      <c r="CO26" s="210">
        <f t="shared" si="192"/>
        <v>23981</v>
      </c>
      <c r="CP26" s="210">
        <f t="shared" si="192"/>
        <v>23981</v>
      </c>
      <c r="CQ26" s="210">
        <f t="shared" si="192"/>
        <v>23981</v>
      </c>
      <c r="CR26" s="210">
        <f t="shared" si="192"/>
        <v>23981</v>
      </c>
      <c r="CS26" s="210">
        <f t="shared" si="192"/>
        <v>23981</v>
      </c>
      <c r="CT26" s="210">
        <f t="shared" si="192"/>
        <v>23981</v>
      </c>
      <c r="CU26" s="210">
        <f t="shared" si="192"/>
        <v>23981</v>
      </c>
      <c r="CV26" s="210">
        <f t="shared" si="192"/>
        <v>23981</v>
      </c>
      <c r="CW26" s="210">
        <f t="shared" si="192"/>
        <v>23981</v>
      </c>
      <c r="CX26" s="210">
        <f t="shared" si="192"/>
        <v>23981</v>
      </c>
      <c r="CY26" s="210">
        <f t="shared" si="192"/>
        <v>23981</v>
      </c>
      <c r="CZ26" s="210">
        <f t="shared" si="192"/>
        <v>23981</v>
      </c>
      <c r="DA26" s="210">
        <f t="shared" si="192"/>
        <v>23981</v>
      </c>
      <c r="DB26" s="210">
        <f t="shared" si="192"/>
        <v>23981</v>
      </c>
      <c r="DE26" s="159"/>
      <c r="DF26" s="158">
        <v>22498</v>
      </c>
    </row>
    <row r="27" spans="1:110" s="158" customFormat="1" x14ac:dyDescent="0.2">
      <c r="A27" s="192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95"/>
      <c r="U27" s="195"/>
      <c r="V27" s="195"/>
      <c r="W27" s="195"/>
      <c r="X27" s="195"/>
      <c r="Y27" s="195"/>
      <c r="Z27" s="195"/>
      <c r="AA27" s="157"/>
      <c r="AB27" s="157"/>
      <c r="AC27" s="157"/>
      <c r="AD27" s="157"/>
      <c r="AE27" s="157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95"/>
      <c r="AZ27" s="195"/>
      <c r="BA27" s="195"/>
      <c r="BB27" s="195"/>
      <c r="BC27" s="195"/>
      <c r="BD27" s="195"/>
      <c r="BE27" s="195"/>
      <c r="BF27" s="195"/>
      <c r="BG27" s="195"/>
      <c r="BH27" s="195"/>
      <c r="BI27" s="195"/>
      <c r="BJ27" s="195"/>
      <c r="BK27" s="195"/>
      <c r="BL27" s="195"/>
      <c r="BM27" s="195"/>
      <c r="BN27" s="195"/>
      <c r="BO27" s="195"/>
      <c r="BP27" s="195"/>
      <c r="BQ27" s="195"/>
      <c r="BR27" s="195"/>
      <c r="BS27" s="195"/>
      <c r="BT27" s="195"/>
      <c r="BU27" s="195"/>
      <c r="BV27" s="195"/>
      <c r="BW27" s="195"/>
      <c r="BX27" s="195"/>
      <c r="BY27" s="195"/>
      <c r="BZ27" s="156"/>
      <c r="CA27" s="195"/>
      <c r="CB27" s="195"/>
      <c r="CC27" s="195"/>
      <c r="CD27" s="195"/>
      <c r="CE27" s="195"/>
      <c r="CF27" s="195"/>
      <c r="CG27" s="195"/>
      <c r="CH27" s="195"/>
      <c r="CI27" s="195"/>
      <c r="CJ27" s="195"/>
      <c r="CK27" s="195"/>
      <c r="CL27" s="195"/>
      <c r="CM27" s="210"/>
      <c r="CN27" s="210"/>
      <c r="CO27" s="210"/>
      <c r="CP27" s="210"/>
      <c r="CQ27" s="210"/>
      <c r="CR27" s="210"/>
      <c r="CS27" s="210"/>
      <c r="CT27" s="210"/>
      <c r="CU27" s="210"/>
      <c r="CV27" s="210"/>
      <c r="CW27" s="210"/>
      <c r="CX27" s="210"/>
      <c r="CY27" s="210"/>
      <c r="CZ27" s="210"/>
      <c r="DA27" s="210"/>
      <c r="DB27" s="210"/>
      <c r="DE27" s="159"/>
    </row>
    <row r="28" spans="1:110" s="158" customFormat="1" x14ac:dyDescent="0.2">
      <c r="A28" s="192" t="s">
        <v>651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95"/>
      <c r="U28" s="195"/>
      <c r="V28" s="195"/>
      <c r="W28" s="195"/>
      <c r="X28" s="195"/>
      <c r="Y28" s="195"/>
      <c r="Z28" s="195"/>
      <c r="AA28" s="157"/>
      <c r="AB28" s="157"/>
      <c r="AC28" s="157"/>
      <c r="AD28" s="157"/>
      <c r="AE28" s="157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95"/>
      <c r="AZ28" s="195"/>
      <c r="BA28" s="195"/>
      <c r="BB28" s="195"/>
      <c r="BC28" s="195"/>
      <c r="BD28" s="195"/>
      <c r="BE28" s="195"/>
      <c r="BF28" s="195"/>
      <c r="BG28" s="195"/>
      <c r="BH28" s="195"/>
      <c r="BI28" s="195"/>
      <c r="BJ28" s="195"/>
      <c r="BK28" s="195"/>
      <c r="BL28" s="195"/>
      <c r="BM28" s="195"/>
      <c r="BN28" s="195"/>
      <c r="BO28" s="195"/>
      <c r="BP28" s="195"/>
      <c r="BQ28" s="195"/>
      <c r="BR28" s="195"/>
      <c r="BS28" s="195"/>
      <c r="BT28" s="195"/>
      <c r="BU28" s="195"/>
      <c r="BV28" s="195"/>
      <c r="BW28" s="195"/>
      <c r="BX28" s="195"/>
      <c r="BY28" s="195"/>
      <c r="BZ28" s="195">
        <f t="shared" ref="BZ28:CJ28" si="193">+BY31</f>
        <v>386600</v>
      </c>
      <c r="CA28" s="195">
        <f t="shared" si="193"/>
        <v>399500</v>
      </c>
      <c r="CB28" s="195">
        <f t="shared" si="193"/>
        <v>412600</v>
      </c>
      <c r="CC28" s="195">
        <f t="shared" si="193"/>
        <v>450700</v>
      </c>
      <c r="CD28" s="195">
        <f t="shared" si="193"/>
        <v>469808</v>
      </c>
      <c r="CE28" s="195">
        <f t="shared" si="193"/>
        <v>475810</v>
      </c>
      <c r="CF28" s="195">
        <f t="shared" si="193"/>
        <v>490900</v>
      </c>
      <c r="CG28" s="195">
        <f t="shared" si="193"/>
        <v>510393</v>
      </c>
      <c r="CH28" s="195">
        <f t="shared" si="193"/>
        <v>564223</v>
      </c>
      <c r="CI28" s="195">
        <f t="shared" si="193"/>
        <v>579136</v>
      </c>
      <c r="CJ28" s="195">
        <f t="shared" si="193"/>
        <v>612761</v>
      </c>
      <c r="CK28" s="195">
        <f>+CJ31</f>
        <v>667040</v>
      </c>
      <c r="CL28" s="195">
        <f>+CK31</f>
        <v>733161</v>
      </c>
      <c r="CM28" s="210">
        <f t="shared" ref="CM28:DB28" si="194">+CL31</f>
        <v>740327</v>
      </c>
      <c r="CN28" s="210">
        <f t="shared" si="194"/>
        <v>760725.37073335296</v>
      </c>
      <c r="CO28" s="210">
        <f t="shared" si="194"/>
        <v>800250.58332478988</v>
      </c>
      <c r="CP28" s="210">
        <f t="shared" si="194"/>
        <v>848444.19024219853</v>
      </c>
      <c r="CQ28" s="210">
        <f t="shared" si="194"/>
        <v>843217.98729534645</v>
      </c>
      <c r="CR28" s="210">
        <f t="shared" si="194"/>
        <v>854628.82308493066</v>
      </c>
      <c r="CS28" s="210">
        <f t="shared" si="194"/>
        <v>885550.26534253068</v>
      </c>
      <c r="CT28" s="210">
        <f t="shared" si="194"/>
        <v>925828.71428787382</v>
      </c>
      <c r="CU28" s="210">
        <f t="shared" si="194"/>
        <v>913331.62609547353</v>
      </c>
      <c r="CV28" s="210">
        <f t="shared" si="194"/>
        <v>919133.48385001777</v>
      </c>
      <c r="CW28" s="210">
        <f t="shared" si="194"/>
        <v>944853.27353793487</v>
      </c>
      <c r="CX28" s="210">
        <f t="shared" si="194"/>
        <v>980508.28597348032</v>
      </c>
      <c r="CY28" s="210">
        <f t="shared" si="194"/>
        <v>963221.72653681377</v>
      </c>
      <c r="CZ28" s="210">
        <f t="shared" si="194"/>
        <v>965767.66650754877</v>
      </c>
      <c r="DA28" s="210">
        <f t="shared" si="194"/>
        <v>988707.48519512534</v>
      </c>
      <c r="DB28" s="210">
        <f t="shared" si="194"/>
        <v>1022101.4384648424</v>
      </c>
      <c r="DE28" s="159"/>
    </row>
    <row r="29" spans="1:110" s="158" customFormat="1" x14ac:dyDescent="0.2">
      <c r="A29" s="192" t="s">
        <v>652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95"/>
      <c r="U29" s="195"/>
      <c r="V29" s="195"/>
      <c r="W29" s="195"/>
      <c r="X29" s="195"/>
      <c r="Y29" s="195"/>
      <c r="Z29" s="195"/>
      <c r="AA29" s="157"/>
      <c r="AB29" s="157"/>
      <c r="AC29" s="157"/>
      <c r="AD29" s="157"/>
      <c r="AE29" s="157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95"/>
      <c r="AZ29" s="195"/>
      <c r="BA29" s="195"/>
      <c r="BB29" s="195"/>
      <c r="BC29" s="195"/>
      <c r="BD29" s="195"/>
      <c r="BE29" s="195"/>
      <c r="BF29" s="195"/>
      <c r="BG29" s="195"/>
      <c r="BH29" s="195"/>
      <c r="BI29" s="195"/>
      <c r="BJ29" s="195"/>
      <c r="BK29" s="195"/>
      <c r="BL29" s="195"/>
      <c r="BM29" s="195"/>
      <c r="BN29" s="195"/>
      <c r="BO29" s="195"/>
      <c r="BP29" s="195"/>
      <c r="BQ29" s="195"/>
      <c r="BR29" s="195"/>
      <c r="BS29" s="195"/>
      <c r="BT29" s="195"/>
      <c r="BU29" s="195"/>
      <c r="BV29" s="195"/>
      <c r="BW29" s="195"/>
      <c r="BX29" s="195"/>
      <c r="BY29" s="195"/>
      <c r="BZ29" s="195">
        <f t="shared" ref="BZ29:CJ29" si="195">+BZ31+BZ30-BZ28</f>
        <v>71235</v>
      </c>
      <c r="CA29" s="195">
        <f t="shared" si="195"/>
        <v>60982</v>
      </c>
      <c r="CB29" s="195">
        <f t="shared" si="195"/>
        <v>89124</v>
      </c>
      <c r="CC29" s="195">
        <f t="shared" si="195"/>
        <v>74236</v>
      </c>
      <c r="CD29" s="195">
        <f t="shared" si="195"/>
        <v>73081</v>
      </c>
      <c r="CE29" s="195">
        <f t="shared" si="195"/>
        <v>70209</v>
      </c>
      <c r="CF29" s="195">
        <f t="shared" si="195"/>
        <v>81044</v>
      </c>
      <c r="CG29" s="195">
        <f t="shared" si="195"/>
        <v>118498</v>
      </c>
      <c r="CH29" s="195">
        <f t="shared" si="195"/>
        <v>89306</v>
      </c>
      <c r="CI29" s="195">
        <f t="shared" si="195"/>
        <v>97304</v>
      </c>
      <c r="CJ29" s="195">
        <f t="shared" si="195"/>
        <v>122263</v>
      </c>
      <c r="CK29" s="195">
        <f>+CK31+CK30-CK28</f>
        <v>137571</v>
      </c>
      <c r="CL29" s="195">
        <f>+CL31+CL30-CL28</f>
        <v>89927</v>
      </c>
      <c r="CM29" s="210">
        <f t="shared" ref="CM29:DB29" si="196">+CM31+CM30-CM28</f>
        <v>93264.695874177618</v>
      </c>
      <c r="CN29" s="210">
        <f t="shared" si="196"/>
        <v>117130.16969686805</v>
      </c>
      <c r="CO29" s="210">
        <f t="shared" si="196"/>
        <v>130417.67492809321</v>
      </c>
      <c r="CP29" s="210">
        <f t="shared" si="196"/>
        <v>90966.382851243601</v>
      </c>
      <c r="CQ29" s="210">
        <f t="shared" si="196"/>
        <v>95186.648779062554</v>
      </c>
      <c r="CR29" s="210">
        <f t="shared" si="196"/>
        <v>120250.9363161003</v>
      </c>
      <c r="CS29" s="210">
        <f t="shared" si="196"/>
        <v>135121.29790596839</v>
      </c>
      <c r="CT29" s="210">
        <f t="shared" si="196"/>
        <v>98522.250722334487</v>
      </c>
      <c r="CU29" s="210">
        <f t="shared" si="196"/>
        <v>102320.040786403</v>
      </c>
      <c r="CV29" s="210">
        <f t="shared" si="196"/>
        <v>128689.56054212956</v>
      </c>
      <c r="CW29" s="210">
        <f t="shared" si="196"/>
        <v>145018.33470769634</v>
      </c>
      <c r="CX29" s="210">
        <f t="shared" si="196"/>
        <v>110719.66900279711</v>
      </c>
      <c r="CY29" s="210">
        <f t="shared" si="196"/>
        <v>113805.00203890412</v>
      </c>
      <c r="CZ29" s="210">
        <f t="shared" si="196"/>
        <v>141651.90172934055</v>
      </c>
      <c r="DA29" s="210">
        <f t="shared" si="196"/>
        <v>159482.15454207349</v>
      </c>
      <c r="DB29" s="210">
        <f t="shared" si="196"/>
        <v>127139.69446370786</v>
      </c>
      <c r="DE29" s="159"/>
    </row>
    <row r="30" spans="1:110" s="158" customFormat="1" x14ac:dyDescent="0.2">
      <c r="A30" s="192" t="s">
        <v>654</v>
      </c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95"/>
      <c r="U30" s="195"/>
      <c r="V30" s="195"/>
      <c r="W30" s="195"/>
      <c r="X30" s="195"/>
      <c r="Y30" s="195"/>
      <c r="Z30" s="195"/>
      <c r="AA30" s="157"/>
      <c r="AB30" s="157"/>
      <c r="AC30" s="157"/>
      <c r="AD30" s="157"/>
      <c r="AE30" s="157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95"/>
      <c r="AZ30" s="195"/>
      <c r="BA30" s="195"/>
      <c r="BB30" s="195"/>
      <c r="BC30" s="195"/>
      <c r="BD30" s="195"/>
      <c r="BE30" s="195"/>
      <c r="BF30" s="195"/>
      <c r="BG30" s="195"/>
      <c r="BH30" s="195"/>
      <c r="BI30" s="195"/>
      <c r="BJ30" s="195"/>
      <c r="BK30" s="195"/>
      <c r="BL30" s="195"/>
      <c r="BM30" s="195"/>
      <c r="BN30" s="195"/>
      <c r="BO30" s="195"/>
      <c r="BP30" s="195"/>
      <c r="BQ30" s="195"/>
      <c r="BR30" s="195"/>
      <c r="BS30" s="195"/>
      <c r="BT30" s="195"/>
      <c r="BU30" s="195"/>
      <c r="BV30" s="195"/>
      <c r="BW30" s="195"/>
      <c r="BX30" s="195"/>
      <c r="BY30" s="195"/>
      <c r="BZ30" s="195">
        <f t="shared" ref="BZ30:CJ30" si="197">+BZ45</f>
        <v>58335</v>
      </c>
      <c r="CA30" s="195">
        <f t="shared" si="197"/>
        <v>47882</v>
      </c>
      <c r="CB30" s="195">
        <f t="shared" si="197"/>
        <v>51024</v>
      </c>
      <c r="CC30" s="195">
        <f t="shared" si="197"/>
        <v>55128</v>
      </c>
      <c r="CD30" s="195">
        <f t="shared" si="197"/>
        <v>67079</v>
      </c>
      <c r="CE30" s="195">
        <f t="shared" si="197"/>
        <v>55119</v>
      </c>
      <c r="CF30" s="195">
        <f t="shared" si="197"/>
        <v>61551</v>
      </c>
      <c r="CG30" s="195">
        <f t="shared" si="197"/>
        <v>64668</v>
      </c>
      <c r="CH30" s="195">
        <f t="shared" si="197"/>
        <v>74393</v>
      </c>
      <c r="CI30" s="195">
        <f t="shared" si="197"/>
        <v>63679</v>
      </c>
      <c r="CJ30" s="195">
        <f t="shared" si="197"/>
        <v>67984</v>
      </c>
      <c r="CK30" s="195">
        <f>+CK45</f>
        <v>71450</v>
      </c>
      <c r="CL30" s="195">
        <f>+CL45</f>
        <v>82761</v>
      </c>
      <c r="CM30" s="210">
        <f t="shared" ref="CM30:DB30" si="198">+CM45</f>
        <v>72866.325140824716</v>
      </c>
      <c r="CN30" s="210">
        <f t="shared" si="198"/>
        <v>77604.95710543108</v>
      </c>
      <c r="CO30" s="210">
        <f t="shared" si="198"/>
        <v>82224.068010684598</v>
      </c>
      <c r="CP30" s="210">
        <f t="shared" si="198"/>
        <v>96192.58579809565</v>
      </c>
      <c r="CQ30" s="210">
        <f t="shared" si="198"/>
        <v>83775.812989478363</v>
      </c>
      <c r="CR30" s="210">
        <f t="shared" si="198"/>
        <v>89329.494058500321</v>
      </c>
      <c r="CS30" s="210">
        <f t="shared" si="198"/>
        <v>94842.848960625299</v>
      </c>
      <c r="CT30" s="210">
        <f t="shared" si="198"/>
        <v>111019.33891473475</v>
      </c>
      <c r="CU30" s="210">
        <f t="shared" si="198"/>
        <v>96518.183031858745</v>
      </c>
      <c r="CV30" s="210">
        <f t="shared" si="198"/>
        <v>102969.77085421246</v>
      </c>
      <c r="CW30" s="210">
        <f t="shared" si="198"/>
        <v>109363.32227215097</v>
      </c>
      <c r="CX30" s="210">
        <f t="shared" si="198"/>
        <v>128006.22843946359</v>
      </c>
      <c r="CY30" s="210">
        <f t="shared" si="198"/>
        <v>111259.06206816905</v>
      </c>
      <c r="CZ30" s="210">
        <f t="shared" si="198"/>
        <v>118712.08304176394</v>
      </c>
      <c r="DA30" s="210">
        <f t="shared" si="198"/>
        <v>126088.20127235638</v>
      </c>
      <c r="DB30" s="210">
        <f t="shared" si="198"/>
        <v>147576.69068598456</v>
      </c>
      <c r="DE30" s="159"/>
    </row>
    <row r="31" spans="1:110" s="207" customFormat="1" x14ac:dyDescent="0.2">
      <c r="A31" s="209" t="s">
        <v>653</v>
      </c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>
        <f t="shared" ref="T31:AE31" si="199">+T9+T16+T23+T26</f>
        <v>293400</v>
      </c>
      <c r="U31" s="203">
        <f t="shared" si="199"/>
        <v>303900</v>
      </c>
      <c r="V31" s="203">
        <f t="shared" si="199"/>
        <v>327400</v>
      </c>
      <c r="W31" s="203">
        <f t="shared" si="199"/>
        <v>357600</v>
      </c>
      <c r="X31" s="203">
        <f t="shared" si="199"/>
        <v>399500</v>
      </c>
      <c r="Y31" s="203">
        <f t="shared" si="199"/>
        <v>475810</v>
      </c>
      <c r="Z31" s="203">
        <f t="shared" si="199"/>
        <v>579136</v>
      </c>
      <c r="AA31" s="206">
        <f t="shared" si="199"/>
        <v>740327</v>
      </c>
      <c r="AB31" s="206">
        <f t="shared" si="199"/>
        <v>843217.98729534622</v>
      </c>
      <c r="AC31" s="206">
        <f t="shared" si="199"/>
        <v>913331.62609547284</v>
      </c>
      <c r="AD31" s="206">
        <f t="shared" si="199"/>
        <v>963221.72653681331</v>
      </c>
      <c r="AE31" s="206">
        <f t="shared" si="199"/>
        <v>1001664.4422425652</v>
      </c>
      <c r="AI31" s="203"/>
      <c r="AJ31" s="203"/>
      <c r="AK31" s="203"/>
      <c r="AL31" s="203"/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3"/>
      <c r="AX31" s="203"/>
      <c r="AY31" s="203">
        <f t="shared" ref="AY31:CD31" si="200">+AY9+AY16+AY23+AY26</f>
        <v>257400</v>
      </c>
      <c r="AZ31" s="203">
        <f t="shared" si="200"/>
        <v>251800</v>
      </c>
      <c r="BA31" s="203">
        <f t="shared" si="200"/>
        <v>258600</v>
      </c>
      <c r="BB31" s="203">
        <f t="shared" si="200"/>
        <v>261300</v>
      </c>
      <c r="BC31" s="203">
        <f t="shared" si="200"/>
        <v>262900</v>
      </c>
      <c r="BD31" s="203">
        <f t="shared" si="200"/>
        <v>257500</v>
      </c>
      <c r="BE31" s="203">
        <f t="shared" si="200"/>
        <v>270700</v>
      </c>
      <c r="BF31" s="203">
        <f t="shared" si="200"/>
        <v>263100</v>
      </c>
      <c r="BG31" s="203">
        <f t="shared" si="200"/>
        <v>271700</v>
      </c>
      <c r="BH31" s="203">
        <f t="shared" si="200"/>
        <v>280918.80000000005</v>
      </c>
      <c r="BI31" s="203">
        <f t="shared" si="200"/>
        <v>284000</v>
      </c>
      <c r="BJ31" s="203">
        <f t="shared" si="200"/>
        <v>293400</v>
      </c>
      <c r="BK31" s="203">
        <f t="shared" si="200"/>
        <v>294000</v>
      </c>
      <c r="BL31" s="203">
        <f t="shared" si="200"/>
        <v>303200</v>
      </c>
      <c r="BM31" s="203">
        <f t="shared" si="200"/>
        <v>306300</v>
      </c>
      <c r="BN31" s="203">
        <f t="shared" si="200"/>
        <v>303900</v>
      </c>
      <c r="BO31" s="203">
        <f t="shared" si="200"/>
        <v>305100</v>
      </c>
      <c r="BP31" s="203">
        <f t="shared" si="200"/>
        <v>298900</v>
      </c>
      <c r="BQ31" s="203">
        <f t="shared" si="200"/>
        <v>331100</v>
      </c>
      <c r="BR31" s="203">
        <f t="shared" si="200"/>
        <v>327400</v>
      </c>
      <c r="BS31" s="203">
        <f t="shared" si="200"/>
        <v>323700</v>
      </c>
      <c r="BT31" s="203">
        <f t="shared" si="200"/>
        <v>330500</v>
      </c>
      <c r="BU31" s="203">
        <f t="shared" si="200"/>
        <v>340400</v>
      </c>
      <c r="BV31" s="203">
        <f t="shared" si="200"/>
        <v>357600</v>
      </c>
      <c r="BW31" s="203">
        <f t="shared" si="200"/>
        <v>363400</v>
      </c>
      <c r="BX31" s="203">
        <f t="shared" si="200"/>
        <v>372400</v>
      </c>
      <c r="BY31" s="203">
        <f t="shared" si="200"/>
        <v>386600</v>
      </c>
      <c r="BZ31" s="203">
        <f t="shared" si="200"/>
        <v>399500</v>
      </c>
      <c r="CA31" s="203">
        <f t="shared" si="200"/>
        <v>412600</v>
      </c>
      <c r="CB31" s="203">
        <f t="shared" si="200"/>
        <v>450700</v>
      </c>
      <c r="CC31" s="203">
        <f t="shared" si="200"/>
        <v>469808</v>
      </c>
      <c r="CD31" s="203">
        <f t="shared" si="200"/>
        <v>475810</v>
      </c>
      <c r="CE31" s="203">
        <f t="shared" ref="CE31:CK31" si="201">+CE9+CE16+CE23+CE26</f>
        <v>490900</v>
      </c>
      <c r="CF31" s="203">
        <f t="shared" si="201"/>
        <v>510393</v>
      </c>
      <c r="CG31" s="203">
        <f t="shared" si="201"/>
        <v>564223</v>
      </c>
      <c r="CH31" s="203">
        <f t="shared" si="201"/>
        <v>579136</v>
      </c>
      <c r="CI31" s="203">
        <f t="shared" si="201"/>
        <v>612761</v>
      </c>
      <c r="CJ31" s="203">
        <f t="shared" si="201"/>
        <v>667040</v>
      </c>
      <c r="CK31" s="203">
        <f t="shared" si="201"/>
        <v>733161</v>
      </c>
      <c r="CL31" s="203">
        <f t="shared" ref="CL31" si="202">+CL9+CL16+CL23+CL26</f>
        <v>740327</v>
      </c>
      <c r="CM31" s="206">
        <f t="shared" ref="CM31:DB31" si="203">+CM9+CM16+CM23+CM26</f>
        <v>760725.37073335296</v>
      </c>
      <c r="CN31" s="206">
        <f t="shared" si="203"/>
        <v>800250.58332478988</v>
      </c>
      <c r="CO31" s="206">
        <f t="shared" si="203"/>
        <v>848444.19024219853</v>
      </c>
      <c r="CP31" s="206">
        <f t="shared" si="203"/>
        <v>843217.98729534645</v>
      </c>
      <c r="CQ31" s="206">
        <f t="shared" si="203"/>
        <v>854628.82308493066</v>
      </c>
      <c r="CR31" s="206">
        <f t="shared" si="203"/>
        <v>885550.26534253068</v>
      </c>
      <c r="CS31" s="206">
        <f t="shared" si="203"/>
        <v>925828.71428787382</v>
      </c>
      <c r="CT31" s="206">
        <f t="shared" si="203"/>
        <v>913331.62609547353</v>
      </c>
      <c r="CU31" s="206">
        <f t="shared" si="203"/>
        <v>919133.48385001777</v>
      </c>
      <c r="CV31" s="206">
        <f t="shared" si="203"/>
        <v>944853.27353793487</v>
      </c>
      <c r="CW31" s="206">
        <f t="shared" si="203"/>
        <v>980508.28597348032</v>
      </c>
      <c r="CX31" s="206">
        <f t="shared" si="203"/>
        <v>963221.72653681377</v>
      </c>
      <c r="CY31" s="206">
        <f t="shared" si="203"/>
        <v>965767.66650754877</v>
      </c>
      <c r="CZ31" s="206">
        <f t="shared" si="203"/>
        <v>988707.48519512534</v>
      </c>
      <c r="DA31" s="206">
        <f t="shared" si="203"/>
        <v>1022101.4384648424</v>
      </c>
      <c r="DB31" s="206">
        <f t="shared" si="203"/>
        <v>1001664.4422425658</v>
      </c>
      <c r="DE31" s="208"/>
      <c r="DF31" s="207">
        <v>757806</v>
      </c>
    </row>
    <row r="32" spans="1:110" s="288" customFormat="1" x14ac:dyDescent="0.2">
      <c r="A32" s="285" t="s">
        <v>656</v>
      </c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  <c r="AA32" s="287"/>
      <c r="AB32" s="287"/>
      <c r="AC32" s="287"/>
      <c r="AD32" s="287"/>
      <c r="AE32" s="287"/>
      <c r="AI32" s="286"/>
      <c r="AJ32" s="286"/>
      <c r="AK32" s="286"/>
      <c r="AL32" s="286"/>
      <c r="AM32" s="286"/>
      <c r="AN32" s="286"/>
      <c r="AO32" s="286"/>
      <c r="AP32" s="286"/>
      <c r="AQ32" s="286"/>
      <c r="AR32" s="286"/>
      <c r="AS32" s="286"/>
      <c r="AT32" s="286"/>
      <c r="AU32" s="286"/>
      <c r="AV32" s="286"/>
      <c r="AW32" s="286"/>
      <c r="AX32" s="286"/>
      <c r="AY32" s="286"/>
      <c r="AZ32" s="286"/>
      <c r="BA32" s="286"/>
      <c r="BB32" s="286"/>
      <c r="BC32" s="286"/>
      <c r="BD32" s="286"/>
      <c r="BE32" s="286"/>
      <c r="BF32" s="286"/>
      <c r="BG32" s="286"/>
      <c r="BH32" s="286"/>
      <c r="BI32" s="286"/>
      <c r="BJ32" s="286"/>
      <c r="BK32" s="286"/>
      <c r="BL32" s="286"/>
      <c r="BM32" s="286"/>
      <c r="BN32" s="286"/>
      <c r="BO32" s="286"/>
      <c r="BP32" s="286"/>
      <c r="BQ32" s="286"/>
      <c r="BR32" s="286"/>
      <c r="BS32" s="286"/>
      <c r="BT32" s="286"/>
      <c r="BU32" s="286"/>
      <c r="BV32" s="286"/>
      <c r="BW32" s="286"/>
      <c r="BX32" s="286"/>
      <c r="BY32" s="286"/>
      <c r="BZ32" s="286"/>
      <c r="CA32" s="306" t="e">
        <f t="shared" ref="CA32:CJ32" si="204">+CA29/BW29-1</f>
        <v>#DIV/0!</v>
      </c>
      <c r="CB32" s="306" t="e">
        <f t="shared" si="204"/>
        <v>#DIV/0!</v>
      </c>
      <c r="CC32" s="306" t="e">
        <f t="shared" si="204"/>
        <v>#DIV/0!</v>
      </c>
      <c r="CD32" s="306">
        <f t="shared" si="204"/>
        <v>2.5914227556678604E-2</v>
      </c>
      <c r="CE32" s="306">
        <f t="shared" si="204"/>
        <v>0.15130694303237013</v>
      </c>
      <c r="CF32" s="306">
        <f t="shared" si="204"/>
        <v>-9.0660203761051994E-2</v>
      </c>
      <c r="CG32" s="306">
        <f t="shared" si="204"/>
        <v>0.596233633277655</v>
      </c>
      <c r="CH32" s="306">
        <f t="shared" si="204"/>
        <v>0.22201392974918233</v>
      </c>
      <c r="CI32" s="306">
        <f t="shared" si="204"/>
        <v>0.38591918415018012</v>
      </c>
      <c r="CJ32" s="306">
        <f t="shared" si="204"/>
        <v>0.50860026652188939</v>
      </c>
      <c r="CK32" s="306">
        <f>+CK29/CG29-1</f>
        <v>0.16095630305996722</v>
      </c>
      <c r="CL32" s="306">
        <f>+CL29/CH29-1</f>
        <v>6.953620137504668E-3</v>
      </c>
      <c r="CM32" s="307">
        <f t="shared" ref="CM32:DB32" si="205">+CM29/CI29-1</f>
        <v>-4.1512210452010034E-2</v>
      </c>
      <c r="CN32" s="307">
        <f t="shared" si="205"/>
        <v>-4.1981877617365493E-2</v>
      </c>
      <c r="CO32" s="307">
        <f t="shared" si="205"/>
        <v>-5.1997332809289643E-2</v>
      </c>
      <c r="CP32" s="307">
        <f t="shared" si="205"/>
        <v>1.1558073228770116E-2</v>
      </c>
      <c r="CQ32" s="307">
        <f t="shared" si="205"/>
        <v>2.0607507341018128E-2</v>
      </c>
      <c r="CR32" s="307">
        <f t="shared" si="205"/>
        <v>2.6643576350215969E-2</v>
      </c>
      <c r="CS32" s="307">
        <f t="shared" si="205"/>
        <v>3.6065839852370773E-2</v>
      </c>
      <c r="CT32" s="307">
        <f t="shared" si="205"/>
        <v>8.306219983976848E-2</v>
      </c>
      <c r="CU32" s="307">
        <f t="shared" si="205"/>
        <v>7.4941098345606694E-2</v>
      </c>
      <c r="CV32" s="307">
        <f t="shared" si="205"/>
        <v>7.0175122826876768E-2</v>
      </c>
      <c r="CW32" s="307">
        <f t="shared" si="205"/>
        <v>7.3245572349485144E-2</v>
      </c>
      <c r="CX32" s="307">
        <f t="shared" si="205"/>
        <v>0.12380369095341348</v>
      </c>
      <c r="CY32" s="307">
        <f t="shared" si="205"/>
        <v>0.11224547179839783</v>
      </c>
      <c r="CZ32" s="307">
        <f t="shared" si="205"/>
        <v>0.10072566207083633</v>
      </c>
      <c r="DA32" s="307">
        <f t="shared" si="205"/>
        <v>9.973787013573765E-2</v>
      </c>
      <c r="DB32" s="307">
        <f t="shared" si="205"/>
        <v>0.14830269642962834</v>
      </c>
      <c r="DE32" s="289"/>
    </row>
    <row r="33" spans="1:110" s="221" customFormat="1" x14ac:dyDescent="0.2">
      <c r="A33" s="251" t="s">
        <v>655</v>
      </c>
      <c r="B33" s="220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3">
        <f t="shared" ref="U33:AE33" si="206">+U31/T31-1</f>
        <v>3.5787321063394772E-2</v>
      </c>
      <c r="V33" s="223">
        <f t="shared" si="206"/>
        <v>7.7328068443566877E-2</v>
      </c>
      <c r="W33" s="223">
        <f t="shared" si="206"/>
        <v>9.2241905925473322E-2</v>
      </c>
      <c r="X33" s="223">
        <f t="shared" si="206"/>
        <v>0.11717002237136476</v>
      </c>
      <c r="Y33" s="223">
        <f t="shared" si="206"/>
        <v>0.19101376720901131</v>
      </c>
      <c r="Z33" s="223">
        <f t="shared" si="206"/>
        <v>0.2171581093293542</v>
      </c>
      <c r="AA33" s="224">
        <f t="shared" si="206"/>
        <v>0.27833013316388544</v>
      </c>
      <c r="AB33" s="224">
        <f t="shared" si="206"/>
        <v>0.13898046038486545</v>
      </c>
      <c r="AC33" s="224">
        <f t="shared" si="206"/>
        <v>8.3150074899396742E-2</v>
      </c>
      <c r="AD33" s="224">
        <f t="shared" si="206"/>
        <v>5.4624299669357335E-2</v>
      </c>
      <c r="AE33" s="224">
        <f t="shared" si="206"/>
        <v>3.9910557088417953E-2</v>
      </c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  <c r="BB33" s="220"/>
      <c r="BC33" s="223">
        <f t="shared" ref="BC33:CH33" si="207">+BC31/AY31-1</f>
        <v>2.1367521367521292E-2</v>
      </c>
      <c r="BD33" s="223">
        <f t="shared" si="207"/>
        <v>2.2637013502780023E-2</v>
      </c>
      <c r="BE33" s="223">
        <f t="shared" si="207"/>
        <v>4.6790409899458707E-2</v>
      </c>
      <c r="BF33" s="223">
        <f t="shared" si="207"/>
        <v>6.8886337543054843E-3</v>
      </c>
      <c r="BG33" s="223">
        <f t="shared" si="207"/>
        <v>3.3472803347280422E-2</v>
      </c>
      <c r="BH33" s="223">
        <f t="shared" si="207"/>
        <v>9.0946796116505135E-2</v>
      </c>
      <c r="BI33" s="223">
        <f t="shared" si="207"/>
        <v>4.9131880310306686E-2</v>
      </c>
      <c r="BJ33" s="223">
        <f t="shared" si="207"/>
        <v>0.11516533637400217</v>
      </c>
      <c r="BK33" s="223">
        <f t="shared" si="207"/>
        <v>8.2075818917924259E-2</v>
      </c>
      <c r="BL33" s="223">
        <f t="shared" si="207"/>
        <v>7.9315446314023763E-2</v>
      </c>
      <c r="BM33" s="223">
        <f t="shared" si="207"/>
        <v>7.8521126760563442E-2</v>
      </c>
      <c r="BN33" s="223">
        <f t="shared" si="207"/>
        <v>3.5787321063394772E-2</v>
      </c>
      <c r="BO33" s="223">
        <f t="shared" si="207"/>
        <v>3.7755102040816224E-2</v>
      </c>
      <c r="BP33" s="223">
        <f t="shared" si="207"/>
        <v>-1.4182058047493395E-2</v>
      </c>
      <c r="BQ33" s="223">
        <f t="shared" si="207"/>
        <v>8.0966372837087741E-2</v>
      </c>
      <c r="BR33" s="223">
        <f t="shared" si="207"/>
        <v>7.7328068443566877E-2</v>
      </c>
      <c r="BS33" s="223">
        <f t="shared" si="207"/>
        <v>6.0963618485742277E-2</v>
      </c>
      <c r="BT33" s="223">
        <f t="shared" si="207"/>
        <v>0.1057209769153562</v>
      </c>
      <c r="BU33" s="223">
        <f t="shared" si="207"/>
        <v>2.8088190878888586E-2</v>
      </c>
      <c r="BV33" s="223">
        <f t="shared" si="207"/>
        <v>9.2241905925473322E-2</v>
      </c>
      <c r="BW33" s="223">
        <f t="shared" si="207"/>
        <v>0.12264442384924323</v>
      </c>
      <c r="BX33" s="223">
        <f t="shared" si="207"/>
        <v>0.12677760968229945</v>
      </c>
      <c r="BY33" s="223">
        <f t="shared" si="207"/>
        <v>0.13572267920094006</v>
      </c>
      <c r="BZ33" s="223">
        <f t="shared" si="207"/>
        <v>0.11717002237136476</v>
      </c>
      <c r="CA33" s="223">
        <f t="shared" si="207"/>
        <v>0.13538800220143088</v>
      </c>
      <c r="CB33" s="223">
        <f t="shared" si="207"/>
        <v>0.21025778732545652</v>
      </c>
      <c r="CC33" s="223">
        <f t="shared" si="207"/>
        <v>0.21523021210553539</v>
      </c>
      <c r="CD33" s="223">
        <f t="shared" si="207"/>
        <v>0.19101376720901131</v>
      </c>
      <c r="CE33" s="223">
        <f t="shared" si="207"/>
        <v>0.18977217644207456</v>
      </c>
      <c r="CF33" s="223">
        <f t="shared" si="207"/>
        <v>0.13244508542267575</v>
      </c>
      <c r="CG33" s="223">
        <f t="shared" si="207"/>
        <v>0.20096507509450667</v>
      </c>
      <c r="CH33" s="223">
        <f t="shared" si="207"/>
        <v>0.2171581093293542</v>
      </c>
      <c r="CI33" s="223">
        <f t="shared" ref="CI33:DB33" si="208">+CI31/CE31-1</f>
        <v>0.24823996740680387</v>
      </c>
      <c r="CJ33" s="223">
        <f t="shared" si="208"/>
        <v>0.30691447570793495</v>
      </c>
      <c r="CK33" s="223">
        <f t="shared" si="208"/>
        <v>0.29941707445460386</v>
      </c>
      <c r="CL33" s="223">
        <f t="shared" si="208"/>
        <v>0.27833013316388544</v>
      </c>
      <c r="CM33" s="224">
        <f t="shared" si="208"/>
        <v>0.24147158636622268</v>
      </c>
      <c r="CN33" s="224">
        <f t="shared" si="208"/>
        <v>0.19970404072437908</v>
      </c>
      <c r="CO33" s="224">
        <f t="shared" si="208"/>
        <v>0.15724130203624931</v>
      </c>
      <c r="CP33" s="224">
        <f t="shared" si="208"/>
        <v>0.13898046038486567</v>
      </c>
      <c r="CQ33" s="224">
        <f t="shared" si="208"/>
        <v>0.12343935928027894</v>
      </c>
      <c r="CR33" s="224">
        <f t="shared" si="208"/>
        <v>0.10659121504585145</v>
      </c>
      <c r="CS33" s="224">
        <f t="shared" si="208"/>
        <v>9.1207559596329979E-2</v>
      </c>
      <c r="CT33" s="224">
        <f t="shared" si="208"/>
        <v>8.3150074899397186E-2</v>
      </c>
      <c r="CU33" s="224">
        <f t="shared" si="208"/>
        <v>7.547681405390283E-2</v>
      </c>
      <c r="CV33" s="224">
        <f t="shared" si="208"/>
        <v>6.6967410565300645E-2</v>
      </c>
      <c r="CW33" s="224">
        <f t="shared" si="208"/>
        <v>5.9060138059840561E-2</v>
      </c>
      <c r="CX33" s="224">
        <f t="shared" si="208"/>
        <v>5.4624299669356891E-2</v>
      </c>
      <c r="CY33" s="224">
        <f t="shared" si="208"/>
        <v>5.0737116509119273E-2</v>
      </c>
      <c r="CZ33" s="224">
        <f t="shared" si="208"/>
        <v>4.6413779668647903E-2</v>
      </c>
      <c r="DA33" s="224">
        <f t="shared" si="208"/>
        <v>4.2419990821461528E-2</v>
      </c>
      <c r="DB33" s="224">
        <f t="shared" si="208"/>
        <v>3.9910557088417953E-2</v>
      </c>
      <c r="DE33" s="222"/>
      <c r="DF33" s="221">
        <v>0.31</v>
      </c>
    </row>
    <row r="34" spans="1:110" s="158" customFormat="1" x14ac:dyDescent="0.2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7"/>
      <c r="AB34" s="157"/>
      <c r="AC34" s="157"/>
      <c r="AD34" s="157"/>
      <c r="AE34" s="157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  <c r="BI34" s="156"/>
      <c r="BJ34" s="156"/>
      <c r="BK34" s="156"/>
      <c r="BL34" s="156"/>
      <c r="BM34" s="156"/>
      <c r="BN34" s="156"/>
      <c r="BO34" s="156"/>
      <c r="BP34" s="156"/>
      <c r="BQ34" s="156"/>
      <c r="BR34" s="156"/>
      <c r="BS34" s="156"/>
      <c r="BT34" s="156"/>
      <c r="BU34" s="156"/>
      <c r="BV34" s="156"/>
      <c r="BW34" s="156"/>
      <c r="BX34" s="156"/>
      <c r="BY34" s="156"/>
      <c r="BZ34" s="156"/>
      <c r="CA34" s="156"/>
      <c r="CB34" s="156"/>
      <c r="CC34" s="156"/>
      <c r="CD34" s="156"/>
      <c r="CE34" s="156"/>
      <c r="CF34" s="156"/>
      <c r="CG34" s="156"/>
      <c r="CH34" s="156"/>
      <c r="CI34" s="156"/>
      <c r="CJ34" s="156"/>
      <c r="CK34" s="156"/>
      <c r="CL34" s="156"/>
      <c r="CM34" s="157"/>
      <c r="CN34" s="157"/>
      <c r="CO34" s="157"/>
      <c r="CP34" s="157"/>
      <c r="CQ34" s="157"/>
      <c r="CR34" s="157"/>
      <c r="CS34" s="157"/>
      <c r="CT34" s="157"/>
      <c r="CU34" s="157"/>
      <c r="CV34" s="157"/>
      <c r="CW34" s="157"/>
      <c r="CX34" s="157"/>
      <c r="CY34" s="157"/>
      <c r="CZ34" s="157"/>
      <c r="DA34" s="157"/>
      <c r="DB34" s="157"/>
      <c r="DE34" s="159"/>
    </row>
    <row r="35" spans="1:110" s="188" customFormat="1" x14ac:dyDescent="0.2">
      <c r="A35" s="186" t="s">
        <v>524</v>
      </c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I35" s="187"/>
      <c r="AJ35" s="187"/>
      <c r="AK35" s="187"/>
      <c r="AL35" s="187"/>
      <c r="AM35" s="187"/>
      <c r="AN35" s="187"/>
      <c r="AO35" s="187"/>
      <c r="AP35" s="187"/>
      <c r="AQ35" s="187"/>
      <c r="AR35" s="187"/>
      <c r="AS35" s="187"/>
      <c r="AT35" s="187"/>
      <c r="AU35" s="187"/>
      <c r="AV35" s="187"/>
      <c r="AW35" s="187"/>
      <c r="AX35" s="187"/>
      <c r="AY35" s="187"/>
      <c r="AZ35" s="187"/>
      <c r="BA35" s="187"/>
      <c r="BB35" s="187"/>
      <c r="BC35" s="187"/>
      <c r="BD35" s="187"/>
      <c r="BE35" s="187"/>
      <c r="BF35" s="187"/>
      <c r="BG35" s="187"/>
      <c r="BH35" s="187"/>
      <c r="BI35" s="187"/>
      <c r="BJ35" s="187"/>
      <c r="BK35" s="187"/>
      <c r="BL35" s="187"/>
      <c r="BM35" s="187"/>
      <c r="BN35" s="187"/>
      <c r="BO35" s="187"/>
      <c r="BP35" s="187"/>
      <c r="BQ35" s="187"/>
      <c r="BR35" s="187"/>
      <c r="BS35" s="187"/>
      <c r="BT35" s="187"/>
      <c r="BU35" s="187"/>
      <c r="BV35" s="187"/>
      <c r="BW35" s="187"/>
      <c r="BX35" s="187"/>
      <c r="BY35" s="187"/>
      <c r="BZ35" s="187"/>
      <c r="CA35" s="187"/>
      <c r="CB35" s="187"/>
      <c r="CC35" s="187"/>
      <c r="CD35" s="187"/>
      <c r="CE35" s="187"/>
      <c r="CF35" s="187"/>
      <c r="CG35" s="187"/>
      <c r="CH35" s="187"/>
      <c r="CI35" s="187"/>
      <c r="CJ35" s="187"/>
      <c r="CK35" s="187"/>
      <c r="CL35" s="187"/>
      <c r="CM35" s="187"/>
      <c r="CN35" s="187"/>
      <c r="CO35" s="187"/>
      <c r="CP35" s="187"/>
      <c r="CQ35" s="187"/>
      <c r="CR35" s="187"/>
      <c r="CS35" s="187"/>
      <c r="CT35" s="187"/>
      <c r="CU35" s="187"/>
      <c r="CV35" s="187"/>
      <c r="CW35" s="187"/>
      <c r="CX35" s="187"/>
      <c r="CY35" s="187"/>
      <c r="CZ35" s="187"/>
      <c r="DA35" s="187"/>
      <c r="DB35" s="187"/>
      <c r="DE35" s="187"/>
    </row>
    <row r="36" spans="1:110" s="109" customFormat="1" x14ac:dyDescent="0.2">
      <c r="A36" s="191" t="s">
        <v>579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202">
        <f t="shared" ref="T36:AE36" si="209">+SUM(T37:T40)</f>
        <v>0</v>
      </c>
      <c r="U36" s="202">
        <f t="shared" si="209"/>
        <v>104644</v>
      </c>
      <c r="V36" s="202">
        <f t="shared" si="209"/>
        <v>93490</v>
      </c>
      <c r="W36" s="202">
        <f t="shared" si="209"/>
        <v>107916</v>
      </c>
      <c r="X36" s="202">
        <f t="shared" si="209"/>
        <v>124204</v>
      </c>
      <c r="Y36" s="202">
        <f t="shared" si="209"/>
        <v>157910</v>
      </c>
      <c r="Z36" s="202">
        <f t="shared" si="209"/>
        <v>187322</v>
      </c>
      <c r="AA36" s="211">
        <f t="shared" si="209"/>
        <v>209984</v>
      </c>
      <c r="AB36" s="211">
        <f t="shared" si="209"/>
        <v>252188.43052004528</v>
      </c>
      <c r="AC36" s="211">
        <f t="shared" si="209"/>
        <v>281929.29871984426</v>
      </c>
      <c r="AD36" s="211">
        <f t="shared" si="209"/>
        <v>303324.7961832424</v>
      </c>
      <c r="AE36" s="211">
        <f t="shared" si="209"/>
        <v>319785.55518261105</v>
      </c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202">
        <f>+SUM(BK37:BK40)</f>
        <v>21176</v>
      </c>
      <c r="BL36" s="202">
        <f t="shared" ref="BL36:CJ36" si="210">+SUM(BL37:BL40)</f>
        <v>24555</v>
      </c>
      <c r="BM36" s="202">
        <f t="shared" si="210"/>
        <v>25365</v>
      </c>
      <c r="BN36" s="202">
        <f t="shared" si="210"/>
        <v>33548</v>
      </c>
      <c r="BO36" s="202">
        <f t="shared" si="210"/>
        <v>11394</v>
      </c>
      <c r="BP36" s="202">
        <f t="shared" si="210"/>
        <v>20387</v>
      </c>
      <c r="BQ36" s="202">
        <f t="shared" si="210"/>
        <v>24876</v>
      </c>
      <c r="BR36" s="202">
        <f t="shared" si="210"/>
        <v>36833</v>
      </c>
      <c r="BS36" s="202">
        <f t="shared" si="210"/>
        <v>17915</v>
      </c>
      <c r="BT36" s="202">
        <f t="shared" si="210"/>
        <v>22752</v>
      </c>
      <c r="BU36" s="202">
        <f t="shared" si="210"/>
        <v>27219</v>
      </c>
      <c r="BV36" s="202">
        <f t="shared" si="210"/>
        <v>40030</v>
      </c>
      <c r="BW36" s="202">
        <f t="shared" si="210"/>
        <v>21993</v>
      </c>
      <c r="BX36" s="202">
        <f t="shared" si="210"/>
        <v>27830</v>
      </c>
      <c r="BY36" s="202">
        <f t="shared" si="210"/>
        <v>31311</v>
      </c>
      <c r="BZ36" s="202">
        <f t="shared" si="210"/>
        <v>43070</v>
      </c>
      <c r="CA36" s="202">
        <f t="shared" si="210"/>
        <v>32717</v>
      </c>
      <c r="CB36" s="202">
        <f t="shared" si="210"/>
        <v>34909</v>
      </c>
      <c r="CC36" s="202">
        <f t="shared" si="210"/>
        <v>39305</v>
      </c>
      <c r="CD36" s="202">
        <f t="shared" si="210"/>
        <v>50979</v>
      </c>
      <c r="CE36" s="202">
        <f t="shared" si="210"/>
        <v>38623</v>
      </c>
      <c r="CF36" s="202">
        <f t="shared" si="210"/>
        <v>44534</v>
      </c>
      <c r="CG36" s="202">
        <f t="shared" si="210"/>
        <v>47292</v>
      </c>
      <c r="CH36" s="202">
        <f t="shared" si="210"/>
        <v>56873</v>
      </c>
      <c r="CI36" s="202">
        <f t="shared" si="210"/>
        <v>45847</v>
      </c>
      <c r="CJ36" s="202">
        <f t="shared" si="210"/>
        <v>49011</v>
      </c>
      <c r="CK36" s="202">
        <f t="shared" ref="CK36" si="211">+SUM(CK37:CK40)</f>
        <v>52287</v>
      </c>
      <c r="CL36" s="202">
        <f t="shared" ref="CL36" si="212">+SUM(CL37:CL40)</f>
        <v>62839</v>
      </c>
      <c r="CM36" s="211">
        <f t="shared" ref="CM36" si="213">+SUM(CM37:CM40)</f>
        <v>56553.241330685909</v>
      </c>
      <c r="CN36" s="211">
        <f t="shared" ref="CN36" si="214">+SUM(CN37:CN40)</f>
        <v>59957.38242798682</v>
      </c>
      <c r="CO36" s="211">
        <f t="shared" ref="CO36" si="215">+SUM(CO37:CO40)</f>
        <v>63306.688317280234</v>
      </c>
      <c r="CP36" s="211">
        <f t="shared" ref="CP36" si="216">+SUM(CP37:CP40)</f>
        <v>72371.118444092339</v>
      </c>
      <c r="CQ36" s="211">
        <f t="shared" ref="CQ36" si="217">+SUM(CQ37:CQ40)</f>
        <v>64642.092762513028</v>
      </c>
      <c r="CR36" s="211">
        <f t="shared" ref="CR36" si="218">+SUM(CR37:CR40)</f>
        <v>67750.113992091006</v>
      </c>
      <c r="CS36" s="211">
        <f t="shared" ref="CS36" si="219">+SUM(CS37:CS40)</f>
        <v>70408.843779063682</v>
      </c>
      <c r="CT36" s="211">
        <f t="shared" ref="CT36" si="220">+SUM(CT37:CT40)</f>
        <v>79128.248186176526</v>
      </c>
      <c r="CU36" s="211">
        <f t="shared" ref="CU36" si="221">+SUM(CU37:CU40)</f>
        <v>70280.240531422183</v>
      </c>
      <c r="CV36" s="211">
        <f t="shared" ref="CV36" si="222">+SUM(CV37:CV40)</f>
        <v>73317.600630079498</v>
      </c>
      <c r="CW36" s="211">
        <f t="shared" ref="CW36" si="223">+SUM(CW37:CW40)</f>
        <v>75543.777250372135</v>
      </c>
      <c r="CX36" s="211">
        <f t="shared" ref="CX36" si="224">+SUM(CX37:CX40)</f>
        <v>84183.177771368617</v>
      </c>
      <c r="CY36" s="211">
        <f t="shared" ref="CY36" si="225">+SUM(CY37:CY40)</f>
        <v>74409.580263412339</v>
      </c>
      <c r="CZ36" s="211">
        <f t="shared" ref="CZ36" si="226">+SUM(CZ37:CZ40)</f>
        <v>77538.087442702265</v>
      </c>
      <c r="DA36" s="211">
        <f t="shared" ref="DA36" si="227">+SUM(DA37:DA40)</f>
        <v>79526.990154814281</v>
      </c>
      <c r="DB36" s="211">
        <f t="shared" ref="DB36" si="228">+SUM(DB37:DB40)</f>
        <v>88310.897321682147</v>
      </c>
      <c r="DE36" s="117"/>
      <c r="DF36" s="109">
        <v>57378</v>
      </c>
    </row>
    <row r="37" spans="1:110" s="158" customFormat="1" x14ac:dyDescent="0.2">
      <c r="A37" s="192" t="s">
        <v>580</v>
      </c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>
        <v>71942</v>
      </c>
      <c r="V37" s="156">
        <v>61430</v>
      </c>
      <c r="W37" s="156">
        <v>72404</v>
      </c>
      <c r="X37" s="156">
        <v>86717</v>
      </c>
      <c r="Y37" s="156">
        <v>112551</v>
      </c>
      <c r="Z37" s="156">
        <f>+SUM(CE37:CH37)</f>
        <v>129897</v>
      </c>
      <c r="AA37" s="157">
        <f>SUM(CI37:CL37)</f>
        <v>133910</v>
      </c>
      <c r="AB37" s="157">
        <f>+SUM(CM37:CP37)</f>
        <v>155699.26713204745</v>
      </c>
      <c r="AC37" s="157">
        <f>+SUM(CQ37:CT37)</f>
        <v>175609.192549559</v>
      </c>
      <c r="AD37" s="157">
        <f>+SUM(CU37:CX37)</f>
        <v>194566.72746704071</v>
      </c>
      <c r="AE37" s="157">
        <f>+SUM(CY37:DB37)</f>
        <v>213245.06422707607</v>
      </c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  <c r="BI37" s="156"/>
      <c r="BJ37" s="156"/>
      <c r="BK37" s="195">
        <v>13594</v>
      </c>
      <c r="BL37" s="195">
        <v>16230</v>
      </c>
      <c r="BM37" s="195">
        <v>17026</v>
      </c>
      <c r="BN37" s="195">
        <v>25092</v>
      </c>
      <c r="BO37" s="195">
        <v>6393</v>
      </c>
      <c r="BP37" s="195">
        <v>12969</v>
      </c>
      <c r="BQ37" s="195">
        <v>15828</v>
      </c>
      <c r="BR37" s="195">
        <v>26240</v>
      </c>
      <c r="BS37" s="195">
        <v>10409</v>
      </c>
      <c r="BT37" s="195">
        <v>13923</v>
      </c>
      <c r="BU37" s="195">
        <v>18345</v>
      </c>
      <c r="BV37" s="195">
        <v>29727</v>
      </c>
      <c r="BW37" s="195">
        <v>14181</v>
      </c>
      <c r="BX37" s="195">
        <v>19370</v>
      </c>
      <c r="BY37" s="195">
        <v>21944</v>
      </c>
      <c r="BZ37" s="195">
        <v>31222</v>
      </c>
      <c r="CA37" s="195">
        <v>22058</v>
      </c>
      <c r="CB37" s="195">
        <v>24613</v>
      </c>
      <c r="CC37" s="195">
        <v>27845</v>
      </c>
      <c r="CD37" s="195">
        <v>38035</v>
      </c>
      <c r="CE37" s="195">
        <v>26908</v>
      </c>
      <c r="CF37" s="195">
        <v>31954</v>
      </c>
      <c r="CG37" s="195">
        <v>32134</v>
      </c>
      <c r="CH37" s="195">
        <v>38901</v>
      </c>
      <c r="CI37" s="195">
        <v>28757</v>
      </c>
      <c r="CJ37" s="195">
        <v>31759</v>
      </c>
      <c r="CK37" s="195">
        <v>33700</v>
      </c>
      <c r="CL37" s="195">
        <v>39694</v>
      </c>
      <c r="CM37" s="210">
        <f t="shared" ref="CM37:DB37" si="229">+CM8</f>
        <v>34031.179713952049</v>
      </c>
      <c r="CN37" s="210">
        <f t="shared" si="229"/>
        <v>37195.287059616639</v>
      </c>
      <c r="CO37" s="210">
        <f t="shared" si="229"/>
        <v>39011.551543343761</v>
      </c>
      <c r="CP37" s="210">
        <f t="shared" si="229"/>
        <v>45461.248815135012</v>
      </c>
      <c r="CQ37" s="210">
        <f t="shared" si="229"/>
        <v>38766.571877056347</v>
      </c>
      <c r="CR37" s="210">
        <f t="shared" si="229"/>
        <v>42124.819780600381</v>
      </c>
      <c r="CS37" s="210">
        <f t="shared" si="229"/>
        <v>43889.223944793623</v>
      </c>
      <c r="CT37" s="210">
        <f t="shared" si="229"/>
        <v>50828.576947108646</v>
      </c>
      <c r="CU37" s="210">
        <f t="shared" si="229"/>
        <v>43206.611145815063</v>
      </c>
      <c r="CV37" s="210">
        <f t="shared" si="229"/>
        <v>46787.472504380574</v>
      </c>
      <c r="CW37" s="210">
        <f t="shared" si="229"/>
        <v>48553.469491355107</v>
      </c>
      <c r="CX37" s="210">
        <f t="shared" si="229"/>
        <v>56019.174325489956</v>
      </c>
      <c r="CY37" s="210">
        <f t="shared" si="229"/>
        <v>47527.052546020888</v>
      </c>
      <c r="CZ37" s="210">
        <f t="shared" si="229"/>
        <v>51356.983896687561</v>
      </c>
      <c r="DA37" s="210">
        <f t="shared" si="229"/>
        <v>53164.690210191089</v>
      </c>
      <c r="DB37" s="210">
        <f t="shared" si="229"/>
        <v>61196.337574176534</v>
      </c>
      <c r="DE37" s="159"/>
      <c r="DF37" s="158">
        <v>36281</v>
      </c>
    </row>
    <row r="38" spans="1:110" s="158" customFormat="1" x14ac:dyDescent="0.2">
      <c r="A38" s="192" t="s">
        <v>581</v>
      </c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>
        <v>19714</v>
      </c>
      <c r="V38" s="156">
        <v>20099</v>
      </c>
      <c r="W38" s="156">
        <v>23593</v>
      </c>
      <c r="X38" s="156">
        <v>24908</v>
      </c>
      <c r="Y38" s="156">
        <v>29539</v>
      </c>
      <c r="Z38" s="156">
        <f t="shared" ref="Z38:Z40" si="230">+SUM(CE38:CH38)</f>
        <v>40664</v>
      </c>
      <c r="AA38" s="157">
        <f t="shared" ref="AA38:AA40" si="231">SUM(CI38:CL38)</f>
        <v>54872</v>
      </c>
      <c r="AB38" s="157">
        <f t="shared" ref="AB38:AB40" si="232">+SUM(CM38:CP38)</f>
        <v>74941.954535431316</v>
      </c>
      <c r="AC38" s="157">
        <f t="shared" ref="AC38:AC40" si="233">+SUM(CQ38:CT38)</f>
        <v>85097.719556996351</v>
      </c>
      <c r="AD38" s="157">
        <f t="shared" ref="AD38:AD40" si="234">+SUM(CU38:CX38)</f>
        <v>88423.092589041102</v>
      </c>
      <c r="AE38" s="157">
        <f t="shared" ref="AE38:AE40" si="235">+SUM(CY38:DB38)</f>
        <v>87247.018661232942</v>
      </c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  <c r="BI38" s="156"/>
      <c r="BJ38" s="156"/>
      <c r="BK38" s="195">
        <v>4324</v>
      </c>
      <c r="BL38" s="195">
        <v>4786</v>
      </c>
      <c r="BM38" s="195">
        <v>5081</v>
      </c>
      <c r="BN38" s="195">
        <v>5523</v>
      </c>
      <c r="BO38" s="195">
        <v>3436</v>
      </c>
      <c r="BP38" s="195">
        <v>4731</v>
      </c>
      <c r="BQ38" s="195">
        <v>5304</v>
      </c>
      <c r="BR38" s="195">
        <v>6628</v>
      </c>
      <c r="BS38" s="195">
        <v>4949</v>
      </c>
      <c r="BT38" s="195">
        <v>5981</v>
      </c>
      <c r="BU38" s="195">
        <v>5946</v>
      </c>
      <c r="BV38" s="195">
        <v>6717</v>
      </c>
      <c r="BW38" s="195">
        <v>5073</v>
      </c>
      <c r="BX38" s="195">
        <v>5586</v>
      </c>
      <c r="BY38" s="195">
        <v>6333</v>
      </c>
      <c r="BZ38" s="195">
        <v>7916</v>
      </c>
      <c r="CA38" s="195">
        <v>6682</v>
      </c>
      <c r="CB38" s="195">
        <v>6788</v>
      </c>
      <c r="CC38" s="195">
        <v>7864</v>
      </c>
      <c r="CD38" s="195">
        <v>8205</v>
      </c>
      <c r="CE38" s="195">
        <v>8495</v>
      </c>
      <c r="CF38" s="195">
        <v>8869</v>
      </c>
      <c r="CG38" s="195">
        <v>11051</v>
      </c>
      <c r="CH38" s="195">
        <v>12249</v>
      </c>
      <c r="CI38" s="195">
        <v>12470</v>
      </c>
      <c r="CJ38" s="195">
        <v>13082</v>
      </c>
      <c r="CK38" s="195">
        <v>12726</v>
      </c>
      <c r="CL38" s="195">
        <v>16594</v>
      </c>
      <c r="CM38" s="210">
        <f t="shared" ref="CM38:DB38" si="236">+CM15</f>
        <v>17304.393865916783</v>
      </c>
      <c r="CN38" s="210">
        <f t="shared" si="236"/>
        <v>18020.493595092517</v>
      </c>
      <c r="CO38" s="210">
        <f t="shared" si="236"/>
        <v>19144.892608182898</v>
      </c>
      <c r="CP38" s="210">
        <f t="shared" si="236"/>
        <v>20472.17446623911</v>
      </c>
      <c r="CQ38" s="210">
        <f t="shared" si="236"/>
        <v>20641.542605094455</v>
      </c>
      <c r="CR38" s="210">
        <f t="shared" si="236"/>
        <v>20844.608375835563</v>
      </c>
      <c r="CS38" s="210">
        <f t="shared" si="236"/>
        <v>21419.833885420838</v>
      </c>
      <c r="CT38" s="210">
        <f t="shared" si="236"/>
        <v>22191.734690645491</v>
      </c>
      <c r="CU38" s="210">
        <f t="shared" si="236"/>
        <v>22008.066308178528</v>
      </c>
      <c r="CV38" s="210">
        <f t="shared" si="236"/>
        <v>21874.773043745234</v>
      </c>
      <c r="CW38" s="210">
        <f t="shared" si="236"/>
        <v>22076.561549438618</v>
      </c>
      <c r="CX38" s="210">
        <f t="shared" si="236"/>
        <v>22463.691687678733</v>
      </c>
      <c r="CY38" s="210">
        <f t="shared" si="236"/>
        <v>22060.658397062689</v>
      </c>
      <c r="CZ38" s="210">
        <f t="shared" si="236"/>
        <v>21716.803507181761</v>
      </c>
      <c r="DA38" s="210">
        <f t="shared" si="236"/>
        <v>21671.737782408221</v>
      </c>
      <c r="DB38" s="210">
        <f t="shared" si="236"/>
        <v>21797.81897458027</v>
      </c>
      <c r="DE38" s="159"/>
      <c r="DF38" s="158">
        <v>14706</v>
      </c>
    </row>
    <row r="39" spans="1:110" s="158" customFormat="1" x14ac:dyDescent="0.2">
      <c r="A39" s="192" t="s">
        <v>582</v>
      </c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>
        <v>6543</v>
      </c>
      <c r="V39" s="156">
        <v>6107</v>
      </c>
      <c r="W39" s="156">
        <v>5941</v>
      </c>
      <c r="X39" s="156">
        <v>6535</v>
      </c>
      <c r="Y39" s="156">
        <v>8195</v>
      </c>
      <c r="Z39" s="156">
        <f t="shared" si="230"/>
        <v>9695</v>
      </c>
      <c r="AA39" s="157">
        <f t="shared" si="231"/>
        <v>14109</v>
      </c>
      <c r="AB39" s="157">
        <f t="shared" si="232"/>
        <v>14787.208852566529</v>
      </c>
      <c r="AC39" s="157">
        <f t="shared" si="233"/>
        <v>14462.386613288916</v>
      </c>
      <c r="AD39" s="157">
        <f t="shared" si="234"/>
        <v>13574.976127160618</v>
      </c>
      <c r="AE39" s="157">
        <f t="shared" si="235"/>
        <v>12533.472294302026</v>
      </c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  <c r="BF39" s="156"/>
      <c r="BG39" s="156"/>
      <c r="BH39" s="156"/>
      <c r="BI39" s="156"/>
      <c r="BJ39" s="156"/>
      <c r="BK39" s="195">
        <v>1809</v>
      </c>
      <c r="BL39" s="195">
        <v>1575</v>
      </c>
      <c r="BM39" s="195">
        <v>1726</v>
      </c>
      <c r="BN39" s="195">
        <v>1433</v>
      </c>
      <c r="BO39" s="195">
        <v>851</v>
      </c>
      <c r="BP39" s="195">
        <v>1366</v>
      </c>
      <c r="BQ39" s="195">
        <v>1755</v>
      </c>
      <c r="BR39" s="195">
        <v>2135</v>
      </c>
      <c r="BS39" s="195">
        <v>1237</v>
      </c>
      <c r="BT39" s="195">
        <v>1469</v>
      </c>
      <c r="BU39" s="195">
        <v>1473</v>
      </c>
      <c r="BV39" s="195">
        <v>1762</v>
      </c>
      <c r="BW39" s="195">
        <v>1272</v>
      </c>
      <c r="BX39" s="195">
        <v>1456</v>
      </c>
      <c r="BY39" s="195">
        <v>1673</v>
      </c>
      <c r="BZ39" s="195">
        <v>2134</v>
      </c>
      <c r="CA39" s="195">
        <v>1781</v>
      </c>
      <c r="CB39" s="195">
        <v>1886</v>
      </c>
      <c r="CC39" s="195">
        <v>2066</v>
      </c>
      <c r="CD39" s="195">
        <v>2462</v>
      </c>
      <c r="CE39" s="195">
        <v>1845</v>
      </c>
      <c r="CF39" s="195">
        <v>2063</v>
      </c>
      <c r="CG39" s="195">
        <v>2433</v>
      </c>
      <c r="CH39" s="195">
        <v>3354</v>
      </c>
      <c r="CI39" s="195">
        <v>3227</v>
      </c>
      <c r="CJ39" s="195">
        <v>2754</v>
      </c>
      <c r="CK39" s="195">
        <v>3267</v>
      </c>
      <c r="CL39" s="195">
        <v>4861</v>
      </c>
      <c r="CM39" s="210">
        <f t="shared" ref="CM39:DB39" si="237">+CM22</f>
        <v>3527.6677508170746</v>
      </c>
      <c r="CN39" s="210">
        <f t="shared" si="237"/>
        <v>3051.6017732776622</v>
      </c>
      <c r="CO39" s="210">
        <f t="shared" si="237"/>
        <v>3460.2441657535778</v>
      </c>
      <c r="CP39" s="210">
        <f t="shared" si="237"/>
        <v>4747.6951627182152</v>
      </c>
      <c r="CQ39" s="210">
        <f t="shared" si="237"/>
        <v>3543.9782803622247</v>
      </c>
      <c r="CR39" s="210">
        <f t="shared" si="237"/>
        <v>3090.6858356550729</v>
      </c>
      <c r="CS39" s="210">
        <f t="shared" si="237"/>
        <v>3409.785948849229</v>
      </c>
      <c r="CT39" s="210">
        <f t="shared" si="237"/>
        <v>4417.936548422389</v>
      </c>
      <c r="CU39" s="210">
        <f t="shared" si="237"/>
        <v>3375.5630774285996</v>
      </c>
      <c r="CV39" s="210">
        <f t="shared" si="237"/>
        <v>2965.3550819536881</v>
      </c>
      <c r="CW39" s="210">
        <f t="shared" si="237"/>
        <v>3223.7462095784126</v>
      </c>
      <c r="CX39" s="210">
        <f t="shared" si="237"/>
        <v>4010.3117581999177</v>
      </c>
      <c r="CY39" s="210">
        <f t="shared" si="237"/>
        <v>3131.8693203287739</v>
      </c>
      <c r="CZ39" s="210">
        <f t="shared" si="237"/>
        <v>2774.3000388329365</v>
      </c>
      <c r="DA39" s="210">
        <f t="shared" si="237"/>
        <v>3000.5621622149652</v>
      </c>
      <c r="DB39" s="210">
        <f t="shared" si="237"/>
        <v>3626.74077292535</v>
      </c>
      <c r="DE39" s="159"/>
      <c r="DF39" s="158">
        <v>3798</v>
      </c>
    </row>
    <row r="40" spans="1:110" s="158" customFormat="1" x14ac:dyDescent="0.2">
      <c r="A40" s="192" t="s">
        <v>583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>
        <v>6445</v>
      </c>
      <c r="V40" s="156">
        <v>5854</v>
      </c>
      <c r="W40" s="156">
        <v>5978</v>
      </c>
      <c r="X40" s="156">
        <v>6044</v>
      </c>
      <c r="Y40" s="156">
        <v>7625</v>
      </c>
      <c r="Z40" s="156">
        <f t="shared" si="230"/>
        <v>7066</v>
      </c>
      <c r="AA40" s="157">
        <f t="shared" si="231"/>
        <v>7093</v>
      </c>
      <c r="AB40" s="157">
        <f t="shared" si="232"/>
        <v>6760</v>
      </c>
      <c r="AC40" s="157">
        <f t="shared" si="233"/>
        <v>6760</v>
      </c>
      <c r="AD40" s="157">
        <f t="shared" si="234"/>
        <v>6760</v>
      </c>
      <c r="AE40" s="157">
        <f t="shared" si="235"/>
        <v>6760</v>
      </c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  <c r="BG40" s="156"/>
      <c r="BH40" s="156"/>
      <c r="BI40" s="156"/>
      <c r="BJ40" s="156"/>
      <c r="BK40" s="195">
        <v>1449</v>
      </c>
      <c r="BL40" s="195">
        <v>1964</v>
      </c>
      <c r="BM40" s="195">
        <v>1532</v>
      </c>
      <c r="BN40" s="195">
        <v>1500</v>
      </c>
      <c r="BO40" s="195">
        <v>714</v>
      </c>
      <c r="BP40" s="195">
        <v>1321</v>
      </c>
      <c r="BQ40" s="195">
        <v>1989</v>
      </c>
      <c r="BR40" s="195">
        <v>1830</v>
      </c>
      <c r="BS40" s="195">
        <v>1320</v>
      </c>
      <c r="BT40" s="195">
        <v>1379</v>
      </c>
      <c r="BU40" s="195">
        <v>1455</v>
      </c>
      <c r="BV40" s="195">
        <v>1824</v>
      </c>
      <c r="BW40" s="195">
        <v>1467</v>
      </c>
      <c r="BX40" s="195">
        <v>1418</v>
      </c>
      <c r="BY40" s="195">
        <v>1361</v>
      </c>
      <c r="BZ40" s="195">
        <v>1798</v>
      </c>
      <c r="CA40" s="195">
        <v>2196</v>
      </c>
      <c r="CB40" s="195">
        <v>1622</v>
      </c>
      <c r="CC40" s="195">
        <v>1530</v>
      </c>
      <c r="CD40" s="195">
        <v>2277</v>
      </c>
      <c r="CE40" s="195">
        <v>1375</v>
      </c>
      <c r="CF40" s="195">
        <v>1648</v>
      </c>
      <c r="CG40" s="195">
        <v>1674</v>
      </c>
      <c r="CH40" s="195">
        <v>2369</v>
      </c>
      <c r="CI40" s="195">
        <v>1393</v>
      </c>
      <c r="CJ40" s="195">
        <v>1416</v>
      </c>
      <c r="CK40" s="195">
        <v>2594</v>
      </c>
      <c r="CL40" s="195">
        <v>1690</v>
      </c>
      <c r="CM40" s="210">
        <f t="shared" ref="CM40:DB40" si="238">+CL40</f>
        <v>1690</v>
      </c>
      <c r="CN40" s="210">
        <f t="shared" si="238"/>
        <v>1690</v>
      </c>
      <c r="CO40" s="210">
        <f t="shared" si="238"/>
        <v>1690</v>
      </c>
      <c r="CP40" s="210">
        <f t="shared" si="238"/>
        <v>1690</v>
      </c>
      <c r="CQ40" s="210">
        <f t="shared" si="238"/>
        <v>1690</v>
      </c>
      <c r="CR40" s="210">
        <f t="shared" si="238"/>
        <v>1690</v>
      </c>
      <c r="CS40" s="210">
        <f t="shared" si="238"/>
        <v>1690</v>
      </c>
      <c r="CT40" s="210">
        <f t="shared" si="238"/>
        <v>1690</v>
      </c>
      <c r="CU40" s="210">
        <f t="shared" si="238"/>
        <v>1690</v>
      </c>
      <c r="CV40" s="210">
        <f t="shared" si="238"/>
        <v>1690</v>
      </c>
      <c r="CW40" s="210">
        <f t="shared" si="238"/>
        <v>1690</v>
      </c>
      <c r="CX40" s="210">
        <f t="shared" si="238"/>
        <v>1690</v>
      </c>
      <c r="CY40" s="210">
        <f t="shared" si="238"/>
        <v>1690</v>
      </c>
      <c r="CZ40" s="210">
        <f t="shared" si="238"/>
        <v>1690</v>
      </c>
      <c r="DA40" s="210">
        <f t="shared" si="238"/>
        <v>1690</v>
      </c>
      <c r="DB40" s="210">
        <f t="shared" si="238"/>
        <v>1690</v>
      </c>
      <c r="DE40" s="159"/>
      <c r="DF40" s="158">
        <v>2594</v>
      </c>
    </row>
    <row r="41" spans="1:110" s="109" customFormat="1" x14ac:dyDescent="0.2">
      <c r="A41" s="191" t="s">
        <v>584</v>
      </c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202">
        <f t="shared" ref="V41" si="239">+SUM(V42:V44)</f>
        <v>42489</v>
      </c>
      <c r="W41" s="202">
        <f t="shared" ref="W41" si="240">+SUM(W42:W44)</f>
        <v>48604</v>
      </c>
      <c r="X41" s="202">
        <f t="shared" ref="X41" si="241">+SUM(X42:X44)</f>
        <v>59136</v>
      </c>
      <c r="Y41" s="202">
        <f t="shared" ref="Y41" si="242">+SUM(Y42:Y44)</f>
        <v>63203</v>
      </c>
      <c r="Z41" s="202">
        <f t="shared" ref="Z41" si="243">+SUM(Z42:Z44)</f>
        <v>68409</v>
      </c>
      <c r="AA41" s="211">
        <f t="shared" ref="AA41" si="244">+SUM(AA42:AA44)</f>
        <v>75890</v>
      </c>
      <c r="AB41" s="211">
        <f t="shared" ref="AB41" si="245">+SUM(AB42:AB44)</f>
        <v>0</v>
      </c>
      <c r="AC41" s="211">
        <f t="shared" ref="AC41" si="246">+SUM(AC42:AC44)</f>
        <v>0</v>
      </c>
      <c r="AD41" s="211">
        <f t="shared" ref="AD41" si="247">+SUM(AD42:AD44)</f>
        <v>0</v>
      </c>
      <c r="AE41" s="211">
        <f t="shared" ref="AE41" si="248">+SUM(AE42:AE44)</f>
        <v>0</v>
      </c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7"/>
      <c r="BK41" s="202">
        <f t="shared" ref="BK41:CI41" si="249">+SUM(BK42:BK44)</f>
        <v>8460</v>
      </c>
      <c r="BL41" s="202">
        <f t="shared" si="249"/>
        <v>10774</v>
      </c>
      <c r="BM41" s="202">
        <f t="shared" si="249"/>
        <v>10878</v>
      </c>
      <c r="BN41" s="202">
        <f t="shared" si="249"/>
        <v>10690</v>
      </c>
      <c r="BO41" s="202">
        <f t="shared" si="249"/>
        <v>9866</v>
      </c>
      <c r="BP41" s="202">
        <f t="shared" si="249"/>
        <v>10649</v>
      </c>
      <c r="BQ41" s="202">
        <f t="shared" si="249"/>
        <v>10720</v>
      </c>
      <c r="BR41" s="202">
        <f t="shared" si="249"/>
        <v>11254</v>
      </c>
      <c r="BS41" s="202">
        <f t="shared" si="249"/>
        <v>11419</v>
      </c>
      <c r="BT41" s="202">
        <f t="shared" si="249"/>
        <v>12021</v>
      </c>
      <c r="BU41" s="202">
        <f t="shared" si="249"/>
        <v>12344</v>
      </c>
      <c r="BV41" s="202">
        <f t="shared" si="249"/>
        <v>12820</v>
      </c>
      <c r="BW41" s="202">
        <f t="shared" si="249"/>
        <v>13860</v>
      </c>
      <c r="BX41" s="202">
        <f t="shared" si="249"/>
        <v>14933</v>
      </c>
      <c r="BY41" s="202">
        <f t="shared" si="249"/>
        <v>15078</v>
      </c>
      <c r="BZ41" s="202">
        <f t="shared" si="249"/>
        <v>15265</v>
      </c>
      <c r="CA41" s="202">
        <f t="shared" si="249"/>
        <v>15165</v>
      </c>
      <c r="CB41" s="202">
        <f t="shared" si="249"/>
        <v>16115</v>
      </c>
      <c r="CC41" s="202">
        <f t="shared" si="249"/>
        <v>15823</v>
      </c>
      <c r="CD41" s="202">
        <f t="shared" si="249"/>
        <v>16100</v>
      </c>
      <c r="CE41" s="202">
        <f t="shared" si="249"/>
        <v>16496</v>
      </c>
      <c r="CF41" s="202">
        <f t="shared" si="249"/>
        <v>17017</v>
      </c>
      <c r="CG41" s="202">
        <f t="shared" si="249"/>
        <v>17376</v>
      </c>
      <c r="CH41" s="202">
        <f t="shared" si="249"/>
        <v>17520</v>
      </c>
      <c r="CI41" s="202">
        <f t="shared" si="249"/>
        <v>17832</v>
      </c>
      <c r="CJ41" s="202">
        <f>+SUM(CJ42:CJ44)</f>
        <v>18973</v>
      </c>
      <c r="CK41" s="202">
        <f>+SUM(CK42:CK44)</f>
        <v>19163</v>
      </c>
      <c r="CL41" s="202">
        <f>+SUM(CL42:CL44)</f>
        <v>19922</v>
      </c>
      <c r="CM41" s="211">
        <f t="shared" ref="CM41:DB41" si="250">+CM45-CM36</f>
        <v>16313.083810138807</v>
      </c>
      <c r="CN41" s="211">
        <f t="shared" si="250"/>
        <v>17647.57467744426</v>
      </c>
      <c r="CO41" s="211">
        <f t="shared" si="250"/>
        <v>18917.379693404364</v>
      </c>
      <c r="CP41" s="211">
        <f t="shared" si="250"/>
        <v>23821.467354003311</v>
      </c>
      <c r="CQ41" s="211">
        <f t="shared" si="250"/>
        <v>19133.720226965335</v>
      </c>
      <c r="CR41" s="211">
        <f t="shared" si="250"/>
        <v>21579.380066409314</v>
      </c>
      <c r="CS41" s="211">
        <f t="shared" si="250"/>
        <v>24434.005181561617</v>
      </c>
      <c r="CT41" s="211">
        <f t="shared" si="250"/>
        <v>31891.090728558222</v>
      </c>
      <c r="CU41" s="211">
        <f t="shared" si="250"/>
        <v>26237.942500436562</v>
      </c>
      <c r="CV41" s="211">
        <f t="shared" si="250"/>
        <v>29652.170224132962</v>
      </c>
      <c r="CW41" s="211">
        <f t="shared" si="250"/>
        <v>33819.545021778831</v>
      </c>
      <c r="CX41" s="211">
        <f t="shared" si="250"/>
        <v>43823.050668094977</v>
      </c>
      <c r="CY41" s="211">
        <f t="shared" si="250"/>
        <v>36849.48180475671</v>
      </c>
      <c r="CZ41" s="211">
        <f t="shared" si="250"/>
        <v>41173.995599061673</v>
      </c>
      <c r="DA41" s="211">
        <f t="shared" si="250"/>
        <v>46561.211117542101</v>
      </c>
      <c r="DB41" s="211">
        <f t="shared" si="250"/>
        <v>59265.793364302415</v>
      </c>
      <c r="DE41" s="117"/>
      <c r="DF41" s="109">
        <v>33262</v>
      </c>
    </row>
    <row r="42" spans="1:110" s="158" customFormat="1" x14ac:dyDescent="0.2">
      <c r="A42" s="192" t="s">
        <v>585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>
        <v>22135</v>
      </c>
      <c r="V42" s="156">
        <v>25463</v>
      </c>
      <c r="W42" s="156">
        <v>32267</v>
      </c>
      <c r="X42" s="156">
        <v>41538</v>
      </c>
      <c r="Y42" s="156">
        <v>44473</v>
      </c>
      <c r="Z42" s="156">
        <f>+SUM(CE42:CH42)</f>
        <v>47845</v>
      </c>
      <c r="AA42" s="157">
        <f>SUM(CI42:CL42)</f>
        <v>53497</v>
      </c>
      <c r="AB42" s="157">
        <f>+SUM(CM42:CP42)</f>
        <v>0</v>
      </c>
      <c r="AC42" s="157">
        <f>+SUM(CQ42:CT42)</f>
        <v>0</v>
      </c>
      <c r="AD42" s="157">
        <f>+SUM(CU42:CX42)</f>
        <v>0</v>
      </c>
      <c r="AE42" s="157">
        <f>+SUM(CY42:DB42)</f>
        <v>0</v>
      </c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56"/>
      <c r="BJ42" s="156"/>
      <c r="BK42" s="195">
        <v>3820</v>
      </c>
      <c r="BL42" s="195">
        <v>5876</v>
      </c>
      <c r="BM42" s="195">
        <v>6090</v>
      </c>
      <c r="BN42" s="195">
        <v>6349</v>
      </c>
      <c r="BO42" s="195">
        <v>6028</v>
      </c>
      <c r="BP42" s="195">
        <v>6167</v>
      </c>
      <c r="BQ42" s="195">
        <v>6505</v>
      </c>
      <c r="BR42" s="195">
        <v>6763</v>
      </c>
      <c r="BS42" s="195">
        <v>7232</v>
      </c>
      <c r="BT42" s="195">
        <v>7876</v>
      </c>
      <c r="BU42" s="195">
        <v>8398</v>
      </c>
      <c r="BV42" s="195">
        <v>8761</v>
      </c>
      <c r="BW42" s="195">
        <v>9556</v>
      </c>
      <c r="BX42" s="195">
        <v>10437</v>
      </c>
      <c r="BY42" s="195">
        <v>10625</v>
      </c>
      <c r="BZ42" s="195">
        <v>10920</v>
      </c>
      <c r="CA42" s="195">
        <v>10851</v>
      </c>
      <c r="CB42" s="195">
        <v>11182</v>
      </c>
      <c r="CC42" s="195">
        <v>11196</v>
      </c>
      <c r="CD42" s="195">
        <v>11244</v>
      </c>
      <c r="CE42" s="195">
        <v>11505</v>
      </c>
      <c r="CF42" s="195">
        <v>11798</v>
      </c>
      <c r="CG42" s="195">
        <v>12061</v>
      </c>
      <c r="CH42" s="195">
        <v>12481</v>
      </c>
      <c r="CI42" s="195">
        <v>12619</v>
      </c>
      <c r="CJ42" s="195">
        <v>13274</v>
      </c>
      <c r="CK42" s="195">
        <v>13526</v>
      </c>
      <c r="CL42" s="195">
        <v>14078</v>
      </c>
      <c r="CM42" s="210"/>
      <c r="CN42" s="210"/>
      <c r="CO42" s="210"/>
      <c r="CP42" s="210"/>
      <c r="CQ42" s="210"/>
      <c r="CR42" s="210"/>
      <c r="CS42" s="210"/>
      <c r="CT42" s="210"/>
      <c r="CU42" s="210"/>
      <c r="CV42" s="210"/>
      <c r="CW42" s="210"/>
      <c r="CX42" s="210"/>
      <c r="CY42" s="210"/>
      <c r="CZ42" s="210"/>
      <c r="DA42" s="210"/>
      <c r="DB42" s="210"/>
      <c r="DE42" s="159"/>
    </row>
    <row r="43" spans="1:110" s="158" customFormat="1" x14ac:dyDescent="0.2">
      <c r="A43" s="192" t="s">
        <v>586</v>
      </c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>
        <v>13822</v>
      </c>
      <c r="V43" s="156">
        <v>13404</v>
      </c>
      <c r="W43" s="156">
        <v>11969</v>
      </c>
      <c r="X43" s="156">
        <v>12574</v>
      </c>
      <c r="Y43" s="156">
        <v>13109</v>
      </c>
      <c r="Z43" s="156">
        <f t="shared" ref="Z43:Z44" si="251">+SUM(CE43:CH43)</f>
        <v>15194</v>
      </c>
      <c r="AA43" s="157">
        <f t="shared" ref="AA43:AA44" si="252">SUM(CI43:CL43)</f>
        <v>17283</v>
      </c>
      <c r="AB43" s="157">
        <f t="shared" ref="AB43:AB44" si="253">+SUM(CM43:CP43)</f>
        <v>0</v>
      </c>
      <c r="AC43" s="157">
        <f t="shared" ref="AC43:AC44" si="254">+SUM(CQ43:CT43)</f>
        <v>0</v>
      </c>
      <c r="AD43" s="157">
        <f t="shared" ref="AD43:AD44" si="255">+SUM(CU43:CX43)</f>
        <v>0</v>
      </c>
      <c r="AE43" s="157">
        <f t="shared" ref="AE43:AE44" si="256">+SUM(CY43:DB43)</f>
        <v>0</v>
      </c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56"/>
      <c r="BJ43" s="156"/>
      <c r="BK43" s="195">
        <v>3462</v>
      </c>
      <c r="BL43" s="195">
        <v>3445</v>
      </c>
      <c r="BM43" s="195">
        <v>3550</v>
      </c>
      <c r="BN43" s="195">
        <v>3365</v>
      </c>
      <c r="BO43" s="195">
        <v>3284</v>
      </c>
      <c r="BP43" s="195">
        <v>3342</v>
      </c>
      <c r="BQ43" s="195">
        <v>3401</v>
      </c>
      <c r="BR43" s="195">
        <v>3377</v>
      </c>
      <c r="BS43" s="195">
        <v>3061</v>
      </c>
      <c r="BT43" s="195">
        <v>2975</v>
      </c>
      <c r="BU43" s="195">
        <v>2970</v>
      </c>
      <c r="BV43" s="195">
        <v>2963</v>
      </c>
      <c r="BW43" s="195">
        <v>2958</v>
      </c>
      <c r="BX43" s="195">
        <v>3152</v>
      </c>
      <c r="BY43" s="195">
        <v>3348</v>
      </c>
      <c r="BZ43" s="195">
        <v>3116</v>
      </c>
      <c r="CA43" s="195">
        <v>3020</v>
      </c>
      <c r="CB43" s="195">
        <v>3084</v>
      </c>
      <c r="CC43" s="195">
        <v>3407</v>
      </c>
      <c r="CD43" s="195">
        <v>3598</v>
      </c>
      <c r="CE43" s="195">
        <v>3664</v>
      </c>
      <c r="CF43" s="195">
        <v>3837</v>
      </c>
      <c r="CG43" s="195">
        <v>3881</v>
      </c>
      <c r="CH43" s="195">
        <v>3812</v>
      </c>
      <c r="CI43" s="195">
        <v>3971</v>
      </c>
      <c r="CJ43" s="195">
        <v>4166</v>
      </c>
      <c r="CK43" s="195">
        <v>4477</v>
      </c>
      <c r="CL43" s="195">
        <v>4669</v>
      </c>
      <c r="CM43" s="210"/>
      <c r="CN43" s="210"/>
      <c r="CO43" s="210"/>
      <c r="CP43" s="210"/>
      <c r="CQ43" s="210"/>
      <c r="CR43" s="210"/>
      <c r="CS43" s="210"/>
      <c r="CT43" s="210"/>
      <c r="CU43" s="210"/>
      <c r="CV43" s="210"/>
      <c r="CW43" s="210"/>
      <c r="CX43" s="210"/>
      <c r="CY43" s="210"/>
      <c r="CZ43" s="210"/>
      <c r="DA43" s="210"/>
      <c r="DB43" s="210"/>
      <c r="DE43" s="159"/>
    </row>
    <row r="44" spans="1:110" s="158" customFormat="1" x14ac:dyDescent="0.2">
      <c r="A44" s="192" t="s">
        <v>587</v>
      </c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>
        <v>4845</v>
      </c>
      <c r="V44" s="156">
        <v>3622</v>
      </c>
      <c r="W44" s="156">
        <v>4368</v>
      </c>
      <c r="X44" s="156">
        <v>5024</v>
      </c>
      <c r="Y44" s="156">
        <v>5621</v>
      </c>
      <c r="Z44" s="156">
        <f t="shared" si="251"/>
        <v>5370</v>
      </c>
      <c r="AA44" s="157">
        <f t="shared" si="252"/>
        <v>5110</v>
      </c>
      <c r="AB44" s="157">
        <f t="shared" si="253"/>
        <v>0</v>
      </c>
      <c r="AC44" s="157">
        <f t="shared" si="254"/>
        <v>0</v>
      </c>
      <c r="AD44" s="157">
        <f t="shared" si="255"/>
        <v>0</v>
      </c>
      <c r="AE44" s="157">
        <f t="shared" si="256"/>
        <v>0</v>
      </c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56"/>
      <c r="BJ44" s="156"/>
      <c r="BK44" s="195">
        <v>1178</v>
      </c>
      <c r="BL44" s="195">
        <v>1453</v>
      </c>
      <c r="BM44" s="195">
        <v>1238</v>
      </c>
      <c r="BN44" s="195">
        <v>976</v>
      </c>
      <c r="BO44" s="195">
        <v>554</v>
      </c>
      <c r="BP44" s="195">
        <v>1140</v>
      </c>
      <c r="BQ44" s="195">
        <v>814</v>
      </c>
      <c r="BR44" s="195">
        <v>1114</v>
      </c>
      <c r="BS44" s="195">
        <v>1126</v>
      </c>
      <c r="BT44" s="195">
        <v>1170</v>
      </c>
      <c r="BU44" s="195">
        <v>976</v>
      </c>
      <c r="BV44" s="195">
        <v>1096</v>
      </c>
      <c r="BW44" s="195">
        <v>1346</v>
      </c>
      <c r="BX44" s="195">
        <v>1344</v>
      </c>
      <c r="BY44" s="195">
        <v>1105</v>
      </c>
      <c r="BZ44" s="195">
        <v>1229</v>
      </c>
      <c r="CA44" s="195">
        <v>1294</v>
      </c>
      <c r="CB44" s="195">
        <v>1849</v>
      </c>
      <c r="CC44" s="195">
        <v>1220</v>
      </c>
      <c r="CD44" s="195">
        <v>1258</v>
      </c>
      <c r="CE44" s="195">
        <v>1327</v>
      </c>
      <c r="CF44" s="195">
        <v>1382</v>
      </c>
      <c r="CG44" s="195">
        <v>1434</v>
      </c>
      <c r="CH44" s="195">
        <v>1227</v>
      </c>
      <c r="CI44" s="195">
        <v>1242</v>
      </c>
      <c r="CJ44" s="195">
        <v>1533</v>
      </c>
      <c r="CK44" s="195">
        <v>1160</v>
      </c>
      <c r="CL44" s="195">
        <v>1175</v>
      </c>
      <c r="CM44" s="210"/>
      <c r="CN44" s="210"/>
      <c r="CO44" s="210"/>
      <c r="CP44" s="210"/>
      <c r="CQ44" s="210"/>
      <c r="CR44" s="210"/>
      <c r="CS44" s="210"/>
      <c r="CT44" s="210"/>
      <c r="CU44" s="210"/>
      <c r="CV44" s="210"/>
      <c r="CW44" s="210"/>
      <c r="CX44" s="210"/>
      <c r="CY44" s="210"/>
      <c r="CZ44" s="210"/>
      <c r="DA44" s="210"/>
      <c r="DB44" s="210"/>
      <c r="DE44" s="159"/>
    </row>
    <row r="45" spans="1:110" s="199" customFormat="1" x14ac:dyDescent="0.2">
      <c r="A45" s="196" t="s">
        <v>588</v>
      </c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203">
        <f t="shared" ref="U45:Z45" si="257">+U36+U41</f>
        <v>104644</v>
      </c>
      <c r="V45" s="203">
        <f t="shared" si="257"/>
        <v>135979</v>
      </c>
      <c r="W45" s="203">
        <f t="shared" si="257"/>
        <v>156520</v>
      </c>
      <c r="X45" s="203">
        <f t="shared" si="257"/>
        <v>183340</v>
      </c>
      <c r="Y45" s="203">
        <f t="shared" si="257"/>
        <v>221113</v>
      </c>
      <c r="Z45" s="203">
        <f t="shared" si="257"/>
        <v>255731</v>
      </c>
      <c r="AA45" s="198">
        <f t="shared" ref="AA45" si="258">SUM(CI45:CL45)</f>
        <v>285874</v>
      </c>
      <c r="AB45" s="198">
        <f t="shared" ref="AB45" si="259">+SUM(CM45:CP45)</f>
        <v>328887.93605503603</v>
      </c>
      <c r="AC45" s="198">
        <f t="shared" ref="AC45" si="260">+SUM(CQ45:CT45)</f>
        <v>378967.49492333876</v>
      </c>
      <c r="AD45" s="198">
        <f t="shared" ref="AD45" si="261">+SUM(CU45:CX45)</f>
        <v>436857.50459768577</v>
      </c>
      <c r="AE45" s="198">
        <f t="shared" ref="AE45" si="262">+SUM(CY45:DB45)</f>
        <v>503636.03706827393</v>
      </c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197"/>
      <c r="AY45" s="197"/>
      <c r="AZ45" s="197"/>
      <c r="BA45" s="197"/>
      <c r="BB45" s="197"/>
      <c r="BC45" s="197"/>
      <c r="BD45" s="197"/>
      <c r="BE45" s="197"/>
      <c r="BF45" s="197"/>
      <c r="BG45" s="197"/>
      <c r="BH45" s="197"/>
      <c r="BI45" s="197"/>
      <c r="BJ45" s="197"/>
      <c r="BK45" s="203">
        <f t="shared" ref="BK45:CI45" si="263">+BK36+BK41</f>
        <v>29636</v>
      </c>
      <c r="BL45" s="203">
        <f t="shared" si="263"/>
        <v>35329</v>
      </c>
      <c r="BM45" s="203">
        <f t="shared" si="263"/>
        <v>36243</v>
      </c>
      <c r="BN45" s="203">
        <f t="shared" si="263"/>
        <v>44238</v>
      </c>
      <c r="BO45" s="203">
        <f t="shared" si="263"/>
        <v>21260</v>
      </c>
      <c r="BP45" s="203">
        <f t="shared" si="263"/>
        <v>31036</v>
      </c>
      <c r="BQ45" s="203">
        <f t="shared" si="263"/>
        <v>35596</v>
      </c>
      <c r="BR45" s="203">
        <f t="shared" si="263"/>
        <v>48087</v>
      </c>
      <c r="BS45" s="203">
        <f t="shared" si="263"/>
        <v>29334</v>
      </c>
      <c r="BT45" s="203">
        <f t="shared" si="263"/>
        <v>34773</v>
      </c>
      <c r="BU45" s="203">
        <f t="shared" si="263"/>
        <v>39563</v>
      </c>
      <c r="BV45" s="203">
        <f t="shared" si="263"/>
        <v>52850</v>
      </c>
      <c r="BW45" s="203">
        <f t="shared" si="263"/>
        <v>35853</v>
      </c>
      <c r="BX45" s="203">
        <f t="shared" si="263"/>
        <v>42763</v>
      </c>
      <c r="BY45" s="203">
        <f t="shared" si="263"/>
        <v>46389</v>
      </c>
      <c r="BZ45" s="203">
        <f t="shared" si="263"/>
        <v>58335</v>
      </c>
      <c r="CA45" s="203">
        <f t="shared" si="263"/>
        <v>47882</v>
      </c>
      <c r="CB45" s="203">
        <f t="shared" si="263"/>
        <v>51024</v>
      </c>
      <c r="CC45" s="203">
        <f t="shared" si="263"/>
        <v>55128</v>
      </c>
      <c r="CD45" s="203">
        <f t="shared" si="263"/>
        <v>67079</v>
      </c>
      <c r="CE45" s="203">
        <f t="shared" si="263"/>
        <v>55119</v>
      </c>
      <c r="CF45" s="203">
        <f t="shared" si="263"/>
        <v>61551</v>
      </c>
      <c r="CG45" s="203">
        <f t="shared" si="263"/>
        <v>64668</v>
      </c>
      <c r="CH45" s="203">
        <f t="shared" si="263"/>
        <v>74393</v>
      </c>
      <c r="CI45" s="203">
        <f t="shared" si="263"/>
        <v>63679</v>
      </c>
      <c r="CJ45" s="203">
        <f>+CJ36+CJ41</f>
        <v>67984</v>
      </c>
      <c r="CK45" s="203">
        <f>+CK36+CK41</f>
        <v>71450</v>
      </c>
      <c r="CL45" s="203">
        <f>+CL36+CL41</f>
        <v>82761</v>
      </c>
      <c r="CM45" s="206">
        <f t="shared" ref="CM45:DB45" si="264">+CM164</f>
        <v>72866.325140824716</v>
      </c>
      <c r="CN45" s="206">
        <f t="shared" si="264"/>
        <v>77604.95710543108</v>
      </c>
      <c r="CO45" s="206">
        <f t="shared" si="264"/>
        <v>82224.068010684598</v>
      </c>
      <c r="CP45" s="206">
        <f t="shared" si="264"/>
        <v>96192.58579809565</v>
      </c>
      <c r="CQ45" s="206">
        <f t="shared" si="264"/>
        <v>83775.812989478363</v>
      </c>
      <c r="CR45" s="206">
        <f t="shared" si="264"/>
        <v>89329.494058500321</v>
      </c>
      <c r="CS45" s="206">
        <f t="shared" si="264"/>
        <v>94842.848960625299</v>
      </c>
      <c r="CT45" s="206">
        <f t="shared" si="264"/>
        <v>111019.33891473475</v>
      </c>
      <c r="CU45" s="206">
        <f t="shared" si="264"/>
        <v>96518.183031858745</v>
      </c>
      <c r="CV45" s="206">
        <f t="shared" si="264"/>
        <v>102969.77085421246</v>
      </c>
      <c r="CW45" s="206">
        <f t="shared" si="264"/>
        <v>109363.32227215097</v>
      </c>
      <c r="CX45" s="206">
        <f t="shared" si="264"/>
        <v>128006.22843946359</v>
      </c>
      <c r="CY45" s="206">
        <f t="shared" si="264"/>
        <v>111259.06206816905</v>
      </c>
      <c r="CZ45" s="206">
        <f t="shared" si="264"/>
        <v>118712.08304176394</v>
      </c>
      <c r="DA45" s="206">
        <f t="shared" si="264"/>
        <v>126088.20127235638</v>
      </c>
      <c r="DB45" s="206">
        <f t="shared" si="264"/>
        <v>147576.69068598456</v>
      </c>
      <c r="DE45" s="200"/>
      <c r="DF45" s="199">
        <v>90640</v>
      </c>
    </row>
    <row r="46" spans="1:110" s="158" customFormat="1" x14ac:dyDescent="0.2">
      <c r="A46" s="155" t="s">
        <v>589</v>
      </c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>
        <f t="shared" ref="U46:AE46" si="265">+U45-U164</f>
        <v>-40808.359999999986</v>
      </c>
      <c r="V46" s="156">
        <f t="shared" si="265"/>
        <v>-2.9999999998835847E-2</v>
      </c>
      <c r="W46" s="156">
        <f t="shared" si="265"/>
        <v>-1.2300000000104774</v>
      </c>
      <c r="X46" s="156">
        <f t="shared" si="265"/>
        <v>-0.70000000001164153</v>
      </c>
      <c r="Y46" s="156">
        <f t="shared" si="265"/>
        <v>8.999999999650754E-2</v>
      </c>
      <c r="Z46" s="156">
        <f t="shared" si="265"/>
        <v>-3.4500000000116415</v>
      </c>
      <c r="AA46" s="157">
        <f t="shared" si="265"/>
        <v>-0.35999999998603016</v>
      </c>
      <c r="AB46" s="157">
        <f t="shared" si="265"/>
        <v>0</v>
      </c>
      <c r="AC46" s="157">
        <f t="shared" si="265"/>
        <v>0</v>
      </c>
      <c r="AD46" s="157">
        <f t="shared" si="265"/>
        <v>0</v>
      </c>
      <c r="AE46" s="157">
        <f t="shared" si="265"/>
        <v>0</v>
      </c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  <c r="BJ46" s="156"/>
      <c r="BK46" s="156">
        <f t="shared" ref="BK46:DB46" si="266">+BK45-BK164</f>
        <v>4.9999999999272404E-2</v>
      </c>
      <c r="BL46" s="156">
        <f t="shared" si="266"/>
        <v>0.55000000000291038</v>
      </c>
      <c r="BM46" s="156">
        <f t="shared" si="266"/>
        <v>0.31999999999970896</v>
      </c>
      <c r="BN46" s="156">
        <f t="shared" si="266"/>
        <v>-7.2799999999988358</v>
      </c>
      <c r="BO46" s="156">
        <f t="shared" si="266"/>
        <v>2.9999999998835847E-2</v>
      </c>
      <c r="BP46" s="156">
        <f t="shared" si="266"/>
        <v>1.2599999999983993</v>
      </c>
      <c r="BQ46" s="156">
        <f t="shared" si="266"/>
        <v>-0.41999999999825377</v>
      </c>
      <c r="BR46" s="156">
        <f t="shared" si="266"/>
        <v>-0.90000000000145519</v>
      </c>
      <c r="BS46" s="156">
        <f t="shared" si="266"/>
        <v>-0.72999999999956344</v>
      </c>
      <c r="BT46" s="156">
        <f t="shared" si="266"/>
        <v>9.9999999998544808E-2</v>
      </c>
      <c r="BU46" s="156">
        <f t="shared" si="266"/>
        <v>8.000000000174623E-2</v>
      </c>
      <c r="BV46" s="156">
        <f t="shared" si="266"/>
        <v>-0.66999999999825377</v>
      </c>
      <c r="BW46" s="156">
        <f t="shared" si="266"/>
        <v>-0.19999999999708962</v>
      </c>
      <c r="BX46" s="156">
        <f t="shared" si="266"/>
        <v>0.38999999999941792</v>
      </c>
      <c r="BY46" s="156">
        <f t="shared" si="266"/>
        <v>-0.72000000000116415</v>
      </c>
      <c r="BZ46" s="156">
        <f t="shared" si="266"/>
        <v>-0.15000000000145519</v>
      </c>
      <c r="CA46" s="156">
        <f t="shared" si="266"/>
        <v>-0.37000000000261934</v>
      </c>
      <c r="CB46" s="156">
        <f t="shared" si="266"/>
        <v>-4.0000000000873115E-2</v>
      </c>
      <c r="CC46" s="156">
        <f t="shared" si="266"/>
        <v>0.18000000000029104</v>
      </c>
      <c r="CD46" s="156">
        <f t="shared" si="266"/>
        <v>0.32000000000698492</v>
      </c>
      <c r="CE46" s="156">
        <f t="shared" si="266"/>
        <v>-0.81999999999970896</v>
      </c>
      <c r="CF46" s="156">
        <f t="shared" si="266"/>
        <v>-3.5800000000017462</v>
      </c>
      <c r="CG46" s="156">
        <f t="shared" si="266"/>
        <v>0.22000000000116415</v>
      </c>
      <c r="CH46" s="156">
        <f t="shared" si="266"/>
        <v>0.72000000000116415</v>
      </c>
      <c r="CI46" s="156">
        <f t="shared" si="266"/>
        <v>8.000000000174623E-2</v>
      </c>
      <c r="CJ46" s="156">
        <f t="shared" si="266"/>
        <v>0.47000000000116415</v>
      </c>
      <c r="CK46" s="156">
        <f t="shared" si="266"/>
        <v>0.30000000000291038</v>
      </c>
      <c r="CL46" s="156">
        <f t="shared" ref="CL46" si="267">+CL45-CL164</f>
        <v>-1.1600000000034925</v>
      </c>
      <c r="CM46" s="157">
        <f t="shared" si="266"/>
        <v>0</v>
      </c>
      <c r="CN46" s="157">
        <f t="shared" si="266"/>
        <v>0</v>
      </c>
      <c r="CO46" s="157">
        <f t="shared" si="266"/>
        <v>0</v>
      </c>
      <c r="CP46" s="157">
        <f t="shared" si="266"/>
        <v>0</v>
      </c>
      <c r="CQ46" s="157">
        <f t="shared" si="266"/>
        <v>0</v>
      </c>
      <c r="CR46" s="157">
        <f t="shared" si="266"/>
        <v>0</v>
      </c>
      <c r="CS46" s="157">
        <f t="shared" si="266"/>
        <v>0</v>
      </c>
      <c r="CT46" s="157">
        <f t="shared" si="266"/>
        <v>0</v>
      </c>
      <c r="CU46" s="157">
        <f t="shared" si="266"/>
        <v>0</v>
      </c>
      <c r="CV46" s="157">
        <f t="shared" si="266"/>
        <v>0</v>
      </c>
      <c r="CW46" s="157">
        <f t="shared" si="266"/>
        <v>0</v>
      </c>
      <c r="CX46" s="157">
        <f t="shared" si="266"/>
        <v>0</v>
      </c>
      <c r="CY46" s="157">
        <f t="shared" si="266"/>
        <v>0</v>
      </c>
      <c r="CZ46" s="157">
        <f t="shared" si="266"/>
        <v>0</v>
      </c>
      <c r="DA46" s="157">
        <f t="shared" si="266"/>
        <v>0</v>
      </c>
      <c r="DB46" s="157">
        <f t="shared" si="266"/>
        <v>0</v>
      </c>
      <c r="DE46" s="159"/>
      <c r="DF46" s="158" t="s">
        <v>650</v>
      </c>
    </row>
    <row r="47" spans="1:110" s="158" customFormat="1" x14ac:dyDescent="0.2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7"/>
      <c r="AB47" s="157"/>
      <c r="AC47" s="157"/>
      <c r="AD47" s="157"/>
      <c r="AE47" s="157"/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D47" s="156"/>
      <c r="BE47" s="156"/>
      <c r="BF47" s="156"/>
      <c r="BG47" s="156"/>
      <c r="BH47" s="156"/>
      <c r="BI47" s="156"/>
      <c r="BJ47" s="156"/>
      <c r="BK47" s="156"/>
      <c r="BL47" s="156"/>
      <c r="BM47" s="156"/>
      <c r="BN47" s="156"/>
      <c r="BO47" s="156"/>
      <c r="BP47" s="156"/>
      <c r="BQ47" s="156"/>
      <c r="BR47" s="156"/>
      <c r="BS47" s="156"/>
      <c r="BT47" s="156"/>
      <c r="BU47" s="156"/>
      <c r="BV47" s="156"/>
      <c r="BW47" s="156"/>
      <c r="BX47" s="156"/>
      <c r="BY47" s="156"/>
      <c r="BZ47" s="156"/>
      <c r="CA47" s="156"/>
      <c r="CB47" s="156"/>
      <c r="CC47" s="156"/>
      <c r="CD47" s="156"/>
      <c r="CE47" s="156"/>
      <c r="CF47" s="156"/>
      <c r="CG47" s="156"/>
      <c r="CH47" s="156"/>
      <c r="CI47" s="156"/>
      <c r="CJ47" s="156"/>
      <c r="CK47" s="156"/>
      <c r="CL47" s="156"/>
      <c r="CM47" s="157"/>
      <c r="CN47" s="157"/>
      <c r="CO47" s="157"/>
      <c r="CP47" s="157"/>
      <c r="CQ47" s="157"/>
      <c r="CR47" s="157"/>
      <c r="CS47" s="157"/>
      <c r="CT47" s="157"/>
      <c r="CU47" s="157"/>
      <c r="CV47" s="157"/>
      <c r="CW47" s="157"/>
      <c r="CX47" s="157"/>
      <c r="CY47" s="157"/>
      <c r="CZ47" s="157"/>
      <c r="DA47" s="157"/>
      <c r="DB47" s="157"/>
      <c r="DE47" s="159"/>
    </row>
    <row r="48" spans="1:110" s="188" customFormat="1" x14ac:dyDescent="0.2">
      <c r="A48" s="186" t="s">
        <v>527</v>
      </c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I48" s="187"/>
      <c r="AJ48" s="187"/>
      <c r="AK48" s="187"/>
      <c r="AL48" s="187"/>
      <c r="AM48" s="187"/>
      <c r="AN48" s="187"/>
      <c r="AO48" s="187"/>
      <c r="AP48" s="187"/>
      <c r="AQ48" s="187"/>
      <c r="AR48" s="187"/>
      <c r="AS48" s="187"/>
      <c r="AT48" s="187"/>
      <c r="AU48" s="187"/>
      <c r="AV48" s="187"/>
      <c r="AW48" s="187"/>
      <c r="AX48" s="187"/>
      <c r="AY48" s="187"/>
      <c r="AZ48" s="187"/>
      <c r="BA48" s="187"/>
      <c r="BB48" s="187"/>
      <c r="BC48" s="187"/>
      <c r="BD48" s="187"/>
      <c r="BE48" s="187"/>
      <c r="BF48" s="187"/>
      <c r="BG48" s="187"/>
      <c r="BH48" s="187"/>
      <c r="BI48" s="187"/>
      <c r="BJ48" s="187"/>
      <c r="BK48" s="187"/>
      <c r="BL48" s="187"/>
      <c r="BM48" s="187"/>
      <c r="BN48" s="187"/>
      <c r="BO48" s="187"/>
      <c r="BP48" s="187"/>
      <c r="BQ48" s="187"/>
      <c r="BR48" s="187"/>
      <c r="BS48" s="187"/>
      <c r="BT48" s="187"/>
      <c r="BU48" s="187"/>
      <c r="BV48" s="187"/>
      <c r="BW48" s="187"/>
      <c r="BX48" s="187"/>
      <c r="BY48" s="187"/>
      <c r="BZ48" s="187"/>
      <c r="CA48" s="187"/>
      <c r="CB48" s="187"/>
      <c r="CC48" s="187"/>
      <c r="CD48" s="187"/>
      <c r="CE48" s="187"/>
      <c r="CF48" s="187"/>
      <c r="CG48" s="187"/>
      <c r="CH48" s="187"/>
      <c r="CI48" s="187"/>
      <c r="CJ48" s="187"/>
      <c r="CK48" s="187"/>
      <c r="CL48" s="187"/>
      <c r="CM48" s="187"/>
      <c r="CN48" s="187"/>
      <c r="CO48" s="187"/>
      <c r="CP48" s="187"/>
      <c r="CQ48" s="187"/>
      <c r="CR48" s="187"/>
      <c r="CS48" s="187"/>
      <c r="CT48" s="187"/>
      <c r="CU48" s="187"/>
      <c r="CV48" s="187"/>
      <c r="CW48" s="187"/>
      <c r="CX48" s="187"/>
      <c r="CY48" s="187"/>
      <c r="CZ48" s="187"/>
      <c r="DA48" s="187"/>
      <c r="DB48" s="187"/>
      <c r="DE48" s="187"/>
    </row>
    <row r="49" spans="1:110" s="109" customFormat="1" x14ac:dyDescent="0.2">
      <c r="A49" s="191" t="s">
        <v>590</v>
      </c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>
        <f t="shared" ref="U49" si="268">+SUM(U50:U53)</f>
        <v>10479</v>
      </c>
      <c r="V49" s="107">
        <f t="shared" ref="V49" si="269">+SUM(V50:V53)</f>
        <v>9610</v>
      </c>
      <c r="W49" s="107">
        <f t="shared" ref="W49" si="270">+SUM(W50:W53)</f>
        <v>10043</v>
      </c>
      <c r="X49" s="107">
        <f t="shared" ref="X49" si="271">+SUM(X50:X53)</f>
        <v>10708</v>
      </c>
      <c r="Y49" s="107">
        <f t="shared" ref="Y49" si="272">+SUM(Y50:Y53)</f>
        <v>12884</v>
      </c>
      <c r="Z49" s="107">
        <f t="shared" ref="Z49:AE49" si="273">+SUM(Z50:Z53)</f>
        <v>15545</v>
      </c>
      <c r="AA49" s="108">
        <f t="shared" si="273"/>
        <v>17460</v>
      </c>
      <c r="AB49" s="108">
        <f t="shared" si="273"/>
        <v>21456.436037504242</v>
      </c>
      <c r="AC49" s="108">
        <f t="shared" si="273"/>
        <v>23591.270786419816</v>
      </c>
      <c r="AD49" s="108">
        <f t="shared" si="273"/>
        <v>25062.734427613959</v>
      </c>
      <c r="AE49" s="108">
        <f t="shared" si="273"/>
        <v>26178.208104324924</v>
      </c>
      <c r="AI49" s="107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  <c r="BF49" s="107"/>
      <c r="BG49" s="107"/>
      <c r="BH49" s="107"/>
      <c r="BI49" s="107"/>
      <c r="BJ49" s="107"/>
      <c r="BK49" s="107">
        <f>+SUM(BK50:BK53)</f>
        <v>1790</v>
      </c>
      <c r="BL49" s="107">
        <f t="shared" ref="BL49:CJ49" si="274">+SUM(BL50:BL53)</f>
        <v>2409</v>
      </c>
      <c r="BM49" s="107">
        <f t="shared" si="274"/>
        <v>2265</v>
      </c>
      <c r="BN49" s="107">
        <f t="shared" si="274"/>
        <v>4015</v>
      </c>
      <c r="BO49" s="107">
        <f t="shared" si="274"/>
        <v>742</v>
      </c>
      <c r="BP49" s="107">
        <f t="shared" si="274"/>
        <v>1644</v>
      </c>
      <c r="BQ49" s="107">
        <f t="shared" si="274"/>
        <v>2540</v>
      </c>
      <c r="BR49" s="107">
        <f t="shared" si="274"/>
        <v>4684</v>
      </c>
      <c r="BS49" s="107">
        <f t="shared" si="274"/>
        <v>1570</v>
      </c>
      <c r="BT49" s="107">
        <f t="shared" si="274"/>
        <v>2054</v>
      </c>
      <c r="BU49" s="107">
        <f t="shared" si="274"/>
        <v>2297</v>
      </c>
      <c r="BV49" s="107">
        <f t="shared" si="274"/>
        <v>4122</v>
      </c>
      <c r="BW49" s="107">
        <f t="shared" si="274"/>
        <v>1816</v>
      </c>
      <c r="BX49" s="107">
        <f t="shared" si="274"/>
        <v>2277</v>
      </c>
      <c r="BY49" s="107">
        <f t="shared" si="274"/>
        <v>2662</v>
      </c>
      <c r="BZ49" s="107">
        <f t="shared" si="274"/>
        <v>3953</v>
      </c>
      <c r="CA49" s="107">
        <f t="shared" si="274"/>
        <v>2432</v>
      </c>
      <c r="CB49" s="107">
        <f t="shared" si="274"/>
        <v>2583</v>
      </c>
      <c r="CC49" s="107">
        <f t="shared" si="274"/>
        <v>2999</v>
      </c>
      <c r="CD49" s="107">
        <f t="shared" si="274"/>
        <v>4870</v>
      </c>
      <c r="CE49" s="107">
        <f t="shared" si="274"/>
        <v>2936</v>
      </c>
      <c r="CF49" s="107">
        <f t="shared" si="274"/>
        <v>3393</v>
      </c>
      <c r="CG49" s="107">
        <f t="shared" si="274"/>
        <v>3588</v>
      </c>
      <c r="CH49" s="107">
        <f t="shared" si="274"/>
        <v>5628</v>
      </c>
      <c r="CI49" s="107">
        <f t="shared" si="274"/>
        <v>3487</v>
      </c>
      <c r="CJ49" s="107">
        <f t="shared" si="274"/>
        <v>3800</v>
      </c>
      <c r="CK49" s="107">
        <f t="shared" ref="CK49:CL49" si="275">+SUM(CK50:CK53)</f>
        <v>4258</v>
      </c>
      <c r="CL49" s="107">
        <f t="shared" si="275"/>
        <v>5915</v>
      </c>
      <c r="CM49" s="108">
        <f t="shared" ref="CM49" si="276">+SUM(CM50:CM53)</f>
        <v>4811.2656407256991</v>
      </c>
      <c r="CN49" s="108">
        <f t="shared" ref="CN49" si="277">+SUM(CN50:CN53)</f>
        <v>5034.9005456341229</v>
      </c>
      <c r="CO49" s="108">
        <f t="shared" ref="CO49" si="278">+SUM(CO50:CO53)</f>
        <v>5327.9775058919204</v>
      </c>
      <c r="CP49" s="108">
        <f t="shared" ref="CP49" si="279">+SUM(CP50:CP53)</f>
        <v>6282.2923452524992</v>
      </c>
      <c r="CQ49" s="108">
        <f t="shared" ref="CQ49" si="280">+SUM(CQ50:CQ53)</f>
        <v>5438.4669895755378</v>
      </c>
      <c r="CR49" s="108">
        <f t="shared" ref="CR49" si="281">+SUM(CR50:CR53)</f>
        <v>5627.6685768179259</v>
      </c>
      <c r="CS49" s="108">
        <f t="shared" ref="CS49" si="282">+SUM(CS50:CS53)</f>
        <v>5870.5844590787501</v>
      </c>
      <c r="CT49" s="108">
        <f t="shared" ref="CT49" si="283">+SUM(CT50:CT53)</f>
        <v>6654.5507609476062</v>
      </c>
      <c r="CU49" s="108">
        <f t="shared" ref="CU49" si="284">+SUM(CU50:CU53)</f>
        <v>5844.0414545096173</v>
      </c>
      <c r="CV49" s="108">
        <f t="shared" ref="CV49" si="285">+SUM(CV50:CV53)</f>
        <v>6026.3988357637136</v>
      </c>
      <c r="CW49" s="108">
        <f t="shared" ref="CW49" si="286">+SUM(CW50:CW53)</f>
        <v>6225.6176667174723</v>
      </c>
      <c r="CX49" s="108">
        <f t="shared" ref="CX49" si="287">+SUM(CX50:CX53)</f>
        <v>6966.676470623157</v>
      </c>
      <c r="CY49" s="108">
        <f t="shared" ref="CY49" si="288">+SUM(CY50:CY53)</f>
        <v>6126.7875426910641</v>
      </c>
      <c r="CZ49" s="108">
        <f t="shared" ref="CZ49" si="289">+SUM(CZ50:CZ53)</f>
        <v>6320.7180343171176</v>
      </c>
      <c r="DA49" s="108">
        <f t="shared" ref="DA49" si="290">+SUM(DA50:DA53)</f>
        <v>6498.5248835565199</v>
      </c>
      <c r="DB49" s="108">
        <f t="shared" ref="DB49" si="291">+SUM(DB50:DB53)</f>
        <v>7232.1776437602211</v>
      </c>
      <c r="DE49" s="117"/>
      <c r="DF49" s="109">
        <v>4869.3100000000004</v>
      </c>
    </row>
    <row r="50" spans="1:110" s="158" customFormat="1" x14ac:dyDescent="0.2">
      <c r="A50" s="192" t="s">
        <v>591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>
        <v>5873</v>
      </c>
      <c r="V50" s="156">
        <v>5227</v>
      </c>
      <c r="W50" s="156">
        <v>5921</v>
      </c>
      <c r="X50" s="156">
        <v>6064</v>
      </c>
      <c r="Y50" s="156">
        <v>6983</v>
      </c>
      <c r="Z50" s="156">
        <f>+SUM(CE50:CH50)</f>
        <v>8362</v>
      </c>
      <c r="AA50" s="157">
        <f>SUM(CI50:CL50)</f>
        <v>9175</v>
      </c>
      <c r="AB50" s="157">
        <f>+SUM(CM50:CP50)</f>
        <v>11557.165486830088</v>
      </c>
      <c r="AC50" s="157">
        <f>+SUM(CQ50:CT50)</f>
        <v>13106.361856687296</v>
      </c>
      <c r="AD50" s="157">
        <f>+SUM(CU50:CX50)</f>
        <v>14541.297039263896</v>
      </c>
      <c r="AE50" s="157">
        <f>+SUM(CY50:DB50)</f>
        <v>15941.856962454003</v>
      </c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  <c r="BI50" s="156"/>
      <c r="BJ50" s="156"/>
      <c r="BK50" s="156">
        <v>873</v>
      </c>
      <c r="BL50" s="156">
        <v>1166</v>
      </c>
      <c r="BM50" s="156">
        <v>1044</v>
      </c>
      <c r="BN50" s="156">
        <v>2790</v>
      </c>
      <c r="BO50" s="156">
        <v>400</v>
      </c>
      <c r="BP50" s="156">
        <v>825</v>
      </c>
      <c r="BQ50" s="156">
        <v>982</v>
      </c>
      <c r="BR50" s="156">
        <v>3020</v>
      </c>
      <c r="BS50" s="156">
        <v>736</v>
      </c>
      <c r="BT50" s="156">
        <v>1152</v>
      </c>
      <c r="BU50" s="156">
        <v>1298</v>
      </c>
      <c r="BV50" s="156">
        <v>2735</v>
      </c>
      <c r="BW50" s="156">
        <v>919</v>
      </c>
      <c r="BX50" s="156">
        <v>1287</v>
      </c>
      <c r="BY50" s="156">
        <v>1527</v>
      </c>
      <c r="BZ50" s="156">
        <v>2331</v>
      </c>
      <c r="CA50" s="156">
        <v>1117</v>
      </c>
      <c r="CB50" s="156">
        <v>1332</v>
      </c>
      <c r="CC50" s="156">
        <v>1522</v>
      </c>
      <c r="CD50" s="156">
        <v>3012</v>
      </c>
      <c r="CE50" s="156">
        <v>1553</v>
      </c>
      <c r="CF50" s="156">
        <v>1926</v>
      </c>
      <c r="CG50" s="156">
        <v>1774</v>
      </c>
      <c r="CH50" s="156">
        <v>3109</v>
      </c>
      <c r="CI50" s="156">
        <v>1628</v>
      </c>
      <c r="CJ50" s="156">
        <v>1994</v>
      </c>
      <c r="CK50" s="156">
        <v>2054</v>
      </c>
      <c r="CL50" s="156">
        <v>3499</v>
      </c>
      <c r="CM50" s="157">
        <f t="shared" ref="CM50:DB50" si="292">+CM64*CM37</f>
        <v>2454.469507446152</v>
      </c>
      <c r="CN50" s="157">
        <f t="shared" si="292"/>
        <v>2733.9315947015984</v>
      </c>
      <c r="CO50" s="157">
        <f t="shared" si="292"/>
        <v>2874.4211739600173</v>
      </c>
      <c r="CP50" s="157">
        <f t="shared" si="292"/>
        <v>3494.3432107223193</v>
      </c>
      <c r="CQ50" s="157">
        <f t="shared" si="292"/>
        <v>2870.3906974002625</v>
      </c>
      <c r="CR50" s="157">
        <f t="shared" si="292"/>
        <v>3139.2524483782331</v>
      </c>
      <c r="CS50" s="157">
        <f t="shared" si="292"/>
        <v>3281.938115445289</v>
      </c>
      <c r="CT50" s="157">
        <f t="shared" si="292"/>
        <v>3814.780595463511</v>
      </c>
      <c r="CU50" s="157">
        <f t="shared" si="292"/>
        <v>3223.1615387011598</v>
      </c>
      <c r="CV50" s="157">
        <f t="shared" si="292"/>
        <v>3496.7914670148016</v>
      </c>
      <c r="CW50" s="157">
        <f t="shared" si="292"/>
        <v>3631.3895981815544</v>
      </c>
      <c r="CX50" s="157">
        <f t="shared" si="292"/>
        <v>4189.9544353663796</v>
      </c>
      <c r="CY50" s="157">
        <f t="shared" si="292"/>
        <v>3551.7339382280529</v>
      </c>
      <c r="CZ50" s="157">
        <f t="shared" si="292"/>
        <v>3839.6422418961201</v>
      </c>
      <c r="DA50" s="157">
        <f t="shared" si="292"/>
        <v>3975.1388706486468</v>
      </c>
      <c r="DB50" s="157">
        <f t="shared" si="292"/>
        <v>4575.3419116811847</v>
      </c>
      <c r="DE50" s="159"/>
      <c r="DF50" s="158">
        <v>2360.6999999999998</v>
      </c>
    </row>
    <row r="51" spans="1:110" s="158" customFormat="1" x14ac:dyDescent="0.2">
      <c r="A51" s="192" t="s">
        <v>592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>
        <v>2172</v>
      </c>
      <c r="V51" s="156">
        <v>1868</v>
      </c>
      <c r="W51" s="156">
        <v>1843</v>
      </c>
      <c r="X51" s="156">
        <v>2276</v>
      </c>
      <c r="Y51" s="156">
        <v>2947</v>
      </c>
      <c r="Z51" s="156">
        <f t="shared" ref="Z51:Z53" si="293">+SUM(CE51:CH51)</f>
        <v>3440</v>
      </c>
      <c r="AA51" s="157">
        <f t="shared" ref="AA51:AA53" si="294">SUM(CI51:CL51)</f>
        <v>3707</v>
      </c>
      <c r="AB51" s="157">
        <f t="shared" ref="AB51:AB53" si="295">+SUM(CM51:CP51)</f>
        <v>4868.4721579604047</v>
      </c>
      <c r="AC51" s="157">
        <f t="shared" ref="AC51:AC53" si="296">+SUM(CQ51:CT51)</f>
        <v>5528.2235556491542</v>
      </c>
      <c r="AD51" s="157">
        <f t="shared" ref="AD51:AD53" si="297">+SUM(CU51:CX51)</f>
        <v>5744.2505611055985</v>
      </c>
      <c r="AE51" s="157">
        <f t="shared" ref="AE51:AE53" si="298">+SUM(CY51:DB51)</f>
        <v>5667.8489885988383</v>
      </c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56"/>
      <c r="BG51" s="156"/>
      <c r="BH51" s="156"/>
      <c r="BI51" s="156"/>
      <c r="BJ51" s="156"/>
      <c r="BK51" s="156">
        <v>303</v>
      </c>
      <c r="BL51" s="156">
        <v>557</v>
      </c>
      <c r="BM51" s="156">
        <v>554</v>
      </c>
      <c r="BN51" s="156">
        <v>758</v>
      </c>
      <c r="BO51" s="156">
        <v>167</v>
      </c>
      <c r="BP51" s="156">
        <v>364</v>
      </c>
      <c r="BQ51" s="156">
        <v>557</v>
      </c>
      <c r="BR51" s="156">
        <v>780</v>
      </c>
      <c r="BS51" s="156">
        <v>371</v>
      </c>
      <c r="BT51" s="156">
        <v>392</v>
      </c>
      <c r="BU51" s="156">
        <v>492</v>
      </c>
      <c r="BV51" s="156">
        <v>588</v>
      </c>
      <c r="BW51" s="156">
        <v>432</v>
      </c>
      <c r="BX51" s="156">
        <v>472</v>
      </c>
      <c r="BY51" s="156">
        <v>548</v>
      </c>
      <c r="BZ51" s="156">
        <v>824</v>
      </c>
      <c r="CA51" s="156">
        <v>608</v>
      </c>
      <c r="CB51" s="156">
        <v>646</v>
      </c>
      <c r="CC51" s="156">
        <v>760</v>
      </c>
      <c r="CD51" s="156">
        <v>933</v>
      </c>
      <c r="CE51" s="156">
        <v>741</v>
      </c>
      <c r="CF51" s="156">
        <v>789</v>
      </c>
      <c r="CG51" s="156">
        <v>912</v>
      </c>
      <c r="CH51" s="156">
        <v>998</v>
      </c>
      <c r="CI51" s="156">
        <v>915</v>
      </c>
      <c r="CJ51" s="156">
        <v>959</v>
      </c>
      <c r="CK51" s="156">
        <v>755</v>
      </c>
      <c r="CL51" s="156">
        <v>1078</v>
      </c>
      <c r="CM51" s="157">
        <f t="shared" ref="CM51:DB51" si="299">+CM65*CM38</f>
        <v>1124.149487010865</v>
      </c>
      <c r="CN51" s="157">
        <f t="shared" si="299"/>
        <v>1170.6696453844602</v>
      </c>
      <c r="CO51" s="157">
        <f t="shared" si="299"/>
        <v>1243.714248018631</v>
      </c>
      <c r="CP51" s="157">
        <f t="shared" si="299"/>
        <v>1329.9387775464481</v>
      </c>
      <c r="CQ51" s="157">
        <f t="shared" si="299"/>
        <v>1340.9414805527192</v>
      </c>
      <c r="CR51" s="157">
        <f t="shared" si="299"/>
        <v>1354.1332908973566</v>
      </c>
      <c r="CS51" s="157">
        <f t="shared" si="299"/>
        <v>1391.5018035725961</v>
      </c>
      <c r="CT51" s="157">
        <f t="shared" si="299"/>
        <v>1441.6469806264818</v>
      </c>
      <c r="CU51" s="157">
        <f t="shared" si="299"/>
        <v>1429.7152874663404</v>
      </c>
      <c r="CV51" s="157">
        <f t="shared" si="299"/>
        <v>1421.0561251752056</v>
      </c>
      <c r="CW51" s="157">
        <f t="shared" si="299"/>
        <v>1434.1649602443551</v>
      </c>
      <c r="CX51" s="157">
        <f t="shared" si="299"/>
        <v>1459.3141882196983</v>
      </c>
      <c r="CY51" s="157">
        <f t="shared" si="299"/>
        <v>1433.1318399441711</v>
      </c>
      <c r="CZ51" s="157">
        <f t="shared" si="299"/>
        <v>1410.7939123021536</v>
      </c>
      <c r="DA51" s="157">
        <f t="shared" si="299"/>
        <v>1407.8662968203002</v>
      </c>
      <c r="DB51" s="157">
        <f t="shared" si="299"/>
        <v>1416.0569395322123</v>
      </c>
      <c r="DE51" s="159"/>
      <c r="DF51" s="158">
        <v>882.33</v>
      </c>
    </row>
    <row r="52" spans="1:110" s="158" customFormat="1" x14ac:dyDescent="0.2">
      <c r="A52" s="192" t="s">
        <v>593</v>
      </c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>
        <v>1297</v>
      </c>
      <c r="V52" s="156">
        <v>1288</v>
      </c>
      <c r="W52" s="156">
        <v>1167</v>
      </c>
      <c r="X52" s="156">
        <v>1174</v>
      </c>
      <c r="Y52" s="156">
        <v>1336</v>
      </c>
      <c r="Z52" s="156">
        <f t="shared" si="293"/>
        <v>1682</v>
      </c>
      <c r="AA52" s="157">
        <f t="shared" si="294"/>
        <v>2356</v>
      </c>
      <c r="AB52" s="157">
        <f t="shared" si="295"/>
        <v>2957.441770513306</v>
      </c>
      <c r="AC52" s="157">
        <f t="shared" si="296"/>
        <v>2892.4773226577831</v>
      </c>
      <c r="AD52" s="157">
        <f t="shared" si="297"/>
        <v>2714.9952254321238</v>
      </c>
      <c r="AE52" s="157">
        <f t="shared" si="298"/>
        <v>2506.6944588604051</v>
      </c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  <c r="BJ52" s="156"/>
      <c r="BK52" s="156">
        <v>326</v>
      </c>
      <c r="BL52" s="156">
        <v>326</v>
      </c>
      <c r="BM52" s="156">
        <v>381</v>
      </c>
      <c r="BN52" s="156">
        <v>264</v>
      </c>
      <c r="BO52" s="156">
        <v>127</v>
      </c>
      <c r="BP52" s="156">
        <v>217</v>
      </c>
      <c r="BQ52" s="156">
        <v>318</v>
      </c>
      <c r="BR52" s="156">
        <v>626</v>
      </c>
      <c r="BS52" s="156">
        <v>238</v>
      </c>
      <c r="BT52" s="156">
        <v>214</v>
      </c>
      <c r="BU52" s="156">
        <v>293</v>
      </c>
      <c r="BV52" s="156">
        <v>422</v>
      </c>
      <c r="BW52" s="156">
        <v>192</v>
      </c>
      <c r="BX52" s="156">
        <v>270</v>
      </c>
      <c r="BY52" s="156">
        <v>293</v>
      </c>
      <c r="BZ52" s="156">
        <v>419</v>
      </c>
      <c r="CA52" s="156">
        <v>299</v>
      </c>
      <c r="CB52" s="156">
        <v>281</v>
      </c>
      <c r="CC52" s="156">
        <v>344</v>
      </c>
      <c r="CD52" s="156">
        <v>412</v>
      </c>
      <c r="CE52" s="156">
        <v>321</v>
      </c>
      <c r="CF52" s="156">
        <v>265</v>
      </c>
      <c r="CG52" s="156">
        <v>443</v>
      </c>
      <c r="CH52" s="156">
        <v>653</v>
      </c>
      <c r="CI52" s="156">
        <v>486</v>
      </c>
      <c r="CJ52" s="156">
        <v>404</v>
      </c>
      <c r="CK52" s="156">
        <v>597</v>
      </c>
      <c r="CL52" s="156">
        <v>869</v>
      </c>
      <c r="CM52" s="157">
        <f t="shared" ref="CM52:DB52" si="300">+CM66*CM39</f>
        <v>705.53355016341493</v>
      </c>
      <c r="CN52" s="157">
        <f t="shared" si="300"/>
        <v>610.32035465553247</v>
      </c>
      <c r="CO52" s="157">
        <f t="shared" si="300"/>
        <v>692.04883315071561</v>
      </c>
      <c r="CP52" s="157">
        <f t="shared" si="300"/>
        <v>949.53903254364309</v>
      </c>
      <c r="CQ52" s="157">
        <f t="shared" si="300"/>
        <v>708.79565607244501</v>
      </c>
      <c r="CR52" s="157">
        <f t="shared" si="300"/>
        <v>618.13716713101462</v>
      </c>
      <c r="CS52" s="157">
        <f t="shared" si="300"/>
        <v>681.95718976984585</v>
      </c>
      <c r="CT52" s="157">
        <f t="shared" si="300"/>
        <v>883.58730968447787</v>
      </c>
      <c r="CU52" s="157">
        <f t="shared" si="300"/>
        <v>675.11261548571997</v>
      </c>
      <c r="CV52" s="157">
        <f t="shared" si="300"/>
        <v>593.07101639073767</v>
      </c>
      <c r="CW52" s="157">
        <f t="shared" si="300"/>
        <v>644.74924191568255</v>
      </c>
      <c r="CX52" s="157">
        <f t="shared" si="300"/>
        <v>802.0623516399836</v>
      </c>
      <c r="CY52" s="157">
        <f t="shared" si="300"/>
        <v>626.37386406575479</v>
      </c>
      <c r="CZ52" s="157">
        <f t="shared" si="300"/>
        <v>554.86000776658727</v>
      </c>
      <c r="DA52" s="157">
        <f t="shared" si="300"/>
        <v>600.11243244299305</v>
      </c>
      <c r="DB52" s="157">
        <f t="shared" si="300"/>
        <v>725.34815458507001</v>
      </c>
      <c r="DE52" s="159"/>
      <c r="DF52" s="158">
        <v>759.56</v>
      </c>
    </row>
    <row r="53" spans="1:110" s="158" customFormat="1" x14ac:dyDescent="0.2">
      <c r="A53" s="192" t="s">
        <v>594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>
        <v>1137</v>
      </c>
      <c r="V53" s="156">
        <v>1227</v>
      </c>
      <c r="W53" s="156">
        <v>1112</v>
      </c>
      <c r="X53" s="156">
        <v>1194</v>
      </c>
      <c r="Y53" s="156">
        <v>1618</v>
      </c>
      <c r="Z53" s="156">
        <f t="shared" si="293"/>
        <v>2061</v>
      </c>
      <c r="AA53" s="157">
        <f t="shared" si="294"/>
        <v>2222</v>
      </c>
      <c r="AB53" s="157">
        <f t="shared" si="295"/>
        <v>2073.3566222004438</v>
      </c>
      <c r="AC53" s="157">
        <f t="shared" si="296"/>
        <v>2064.2080514255877</v>
      </c>
      <c r="AD53" s="157">
        <f t="shared" si="297"/>
        <v>2062.1916018123402</v>
      </c>
      <c r="AE53" s="157">
        <f t="shared" si="298"/>
        <v>2061.807694411676</v>
      </c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56"/>
      <c r="BG53" s="156"/>
      <c r="BH53" s="156"/>
      <c r="BI53" s="156"/>
      <c r="BJ53" s="156"/>
      <c r="BK53" s="156">
        <v>288</v>
      </c>
      <c r="BL53" s="156">
        <v>360</v>
      </c>
      <c r="BM53" s="156">
        <v>286</v>
      </c>
      <c r="BN53" s="156">
        <v>203</v>
      </c>
      <c r="BO53" s="156">
        <v>48</v>
      </c>
      <c r="BP53" s="156">
        <v>238</v>
      </c>
      <c r="BQ53" s="156">
        <v>683</v>
      </c>
      <c r="BR53" s="156">
        <v>258</v>
      </c>
      <c r="BS53" s="156">
        <v>225</v>
      </c>
      <c r="BT53" s="156">
        <v>296</v>
      </c>
      <c r="BU53" s="156">
        <v>214</v>
      </c>
      <c r="BV53" s="156">
        <v>377</v>
      </c>
      <c r="BW53" s="156">
        <v>273</v>
      </c>
      <c r="BX53" s="156">
        <v>248</v>
      </c>
      <c r="BY53" s="156">
        <v>294</v>
      </c>
      <c r="BZ53" s="156">
        <v>379</v>
      </c>
      <c r="CA53" s="156">
        <v>408</v>
      </c>
      <c r="CB53" s="156">
        <v>324</v>
      </c>
      <c r="CC53" s="156">
        <v>373</v>
      </c>
      <c r="CD53" s="156">
        <v>513</v>
      </c>
      <c r="CE53" s="156">
        <v>321</v>
      </c>
      <c r="CF53" s="156">
        <v>413</v>
      </c>
      <c r="CG53" s="156">
        <v>459</v>
      </c>
      <c r="CH53" s="156">
        <v>868</v>
      </c>
      <c r="CI53" s="156">
        <v>458</v>
      </c>
      <c r="CJ53" s="156">
        <v>443</v>
      </c>
      <c r="CK53" s="156">
        <v>852</v>
      </c>
      <c r="CL53" s="156">
        <v>469</v>
      </c>
      <c r="CM53" s="157">
        <f t="shared" ref="CM53:DB53" si="301">+CM67*CM40</f>
        <v>527.11309610526689</v>
      </c>
      <c r="CN53" s="157">
        <f t="shared" si="301"/>
        <v>519.9789508925312</v>
      </c>
      <c r="CO53" s="157">
        <f t="shared" si="301"/>
        <v>517.7932507625568</v>
      </c>
      <c r="CP53" s="157">
        <f t="shared" si="301"/>
        <v>508.47132444008872</v>
      </c>
      <c r="CQ53" s="157">
        <f t="shared" si="301"/>
        <v>518.33915555011095</v>
      </c>
      <c r="CR53" s="157">
        <f t="shared" si="301"/>
        <v>516.14567041132193</v>
      </c>
      <c r="CS53" s="157">
        <f t="shared" si="301"/>
        <v>515.18735029101958</v>
      </c>
      <c r="CT53" s="157">
        <f t="shared" si="301"/>
        <v>514.53587517313531</v>
      </c>
      <c r="CU53" s="157">
        <f t="shared" si="301"/>
        <v>516.05201285639691</v>
      </c>
      <c r="CV53" s="157">
        <f t="shared" si="301"/>
        <v>515.48022718296841</v>
      </c>
      <c r="CW53" s="157">
        <f t="shared" si="301"/>
        <v>515.31386637588014</v>
      </c>
      <c r="CX53" s="157">
        <f t="shared" si="301"/>
        <v>515.34549539709519</v>
      </c>
      <c r="CY53" s="157">
        <f t="shared" si="301"/>
        <v>515.54790045308516</v>
      </c>
      <c r="CZ53" s="157">
        <f t="shared" si="301"/>
        <v>515.4218723522572</v>
      </c>
      <c r="DA53" s="157">
        <f t="shared" si="301"/>
        <v>515.40728364457948</v>
      </c>
      <c r="DB53" s="157">
        <f t="shared" si="301"/>
        <v>515.43063796175431</v>
      </c>
      <c r="DE53" s="159"/>
      <c r="DF53" s="158">
        <v>866.71</v>
      </c>
    </row>
    <row r="54" spans="1:110" s="109" customFormat="1" x14ac:dyDescent="0.2">
      <c r="A54" s="191" t="s">
        <v>595</v>
      </c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>
        <f t="shared" ref="U54:AA54" si="302">+SUM(U55:U57)</f>
        <v>7941</v>
      </c>
      <c r="V54" s="107">
        <f t="shared" si="302"/>
        <v>7551</v>
      </c>
      <c r="W54" s="107">
        <f t="shared" si="302"/>
        <v>9210</v>
      </c>
      <c r="X54" s="107">
        <f t="shared" si="302"/>
        <v>11580</v>
      </c>
      <c r="Y54" s="107">
        <f t="shared" si="302"/>
        <v>13539</v>
      </c>
      <c r="Z54" s="107">
        <f t="shared" si="302"/>
        <v>14005</v>
      </c>
      <c r="AA54" s="108">
        <f t="shared" si="302"/>
        <v>15532</v>
      </c>
      <c r="AB54" s="108">
        <f t="shared" ref="AB54" si="303">+SUM(AB55:AB57)</f>
        <v>15556.673026682187</v>
      </c>
      <c r="AC54" s="108">
        <f t="shared" ref="AC54" si="304">+SUM(AC55:AC57)</f>
        <v>18929.10645365723</v>
      </c>
      <c r="AD54" s="108">
        <f t="shared" ref="AD54" si="305">+SUM(AD55:AD57)</f>
        <v>24019.253848090215</v>
      </c>
      <c r="AE54" s="108">
        <f t="shared" ref="AE54" si="306">+SUM(AE55:AE57)</f>
        <v>30529.31352120492</v>
      </c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  <c r="BE54" s="107"/>
      <c r="BF54" s="107"/>
      <c r="BG54" s="107"/>
      <c r="BH54" s="107"/>
      <c r="BI54" s="107"/>
      <c r="BJ54" s="107"/>
      <c r="BK54" s="107">
        <f>+SUM(BK55:BK57)</f>
        <v>1768</v>
      </c>
      <c r="BL54" s="107">
        <f t="shared" ref="BL54:CJ54" si="307">+SUM(BL55:BL57)</f>
        <v>2069</v>
      </c>
      <c r="BM54" s="107">
        <f t="shared" si="307"/>
        <v>2247</v>
      </c>
      <c r="BN54" s="107">
        <f t="shared" si="307"/>
        <v>1857</v>
      </c>
      <c r="BO54" s="107">
        <f t="shared" si="307"/>
        <v>1178</v>
      </c>
      <c r="BP54" s="107">
        <f t="shared" si="307"/>
        <v>1841</v>
      </c>
      <c r="BQ54" s="107">
        <f t="shared" si="307"/>
        <v>2030</v>
      </c>
      <c r="BR54" s="107">
        <f t="shared" si="307"/>
        <v>2502</v>
      </c>
      <c r="BS54" s="107">
        <f t="shared" si="307"/>
        <v>1900</v>
      </c>
      <c r="BT54" s="107">
        <f t="shared" si="307"/>
        <v>2221</v>
      </c>
      <c r="BU54" s="107">
        <f t="shared" si="307"/>
        <v>2476</v>
      </c>
      <c r="BV54" s="107">
        <f t="shared" si="307"/>
        <v>2613</v>
      </c>
      <c r="BW54" s="107">
        <f t="shared" si="307"/>
        <v>2534</v>
      </c>
      <c r="BX54" s="107">
        <f t="shared" si="307"/>
        <v>2948</v>
      </c>
      <c r="BY54" s="107">
        <f t="shared" si="307"/>
        <v>2748</v>
      </c>
      <c r="BZ54" s="107">
        <f t="shared" si="307"/>
        <v>3350</v>
      </c>
      <c r="CA54" s="107">
        <f t="shared" si="307"/>
        <v>3184</v>
      </c>
      <c r="CB54" s="107">
        <f t="shared" si="307"/>
        <v>3797</v>
      </c>
      <c r="CC54" s="107">
        <f t="shared" si="307"/>
        <v>3370</v>
      </c>
      <c r="CD54" s="107">
        <f t="shared" si="307"/>
        <v>3188</v>
      </c>
      <c r="CE54" s="107">
        <f t="shared" si="307"/>
        <v>3476</v>
      </c>
      <c r="CF54" s="107">
        <f t="shared" si="307"/>
        <v>3658</v>
      </c>
      <c r="CG54" s="107">
        <f t="shared" si="307"/>
        <v>3343</v>
      </c>
      <c r="CH54" s="107">
        <f t="shared" si="307"/>
        <v>3528</v>
      </c>
      <c r="CI54" s="107">
        <f t="shared" si="307"/>
        <v>3667</v>
      </c>
      <c r="CJ54" s="107">
        <f t="shared" si="307"/>
        <v>3883</v>
      </c>
      <c r="CK54" s="107">
        <f t="shared" ref="CK54" si="308">+SUM(CK55:CK57)</f>
        <v>3982</v>
      </c>
      <c r="CL54" s="107">
        <f t="shared" ref="CL54" si="309">+SUM(CL55:CL57)</f>
        <v>4000</v>
      </c>
      <c r="CM54" s="108">
        <f t="shared" ref="CM54" si="310">+SUM(CM55:CM57)</f>
        <v>3619.2891565366617</v>
      </c>
      <c r="CN54" s="108">
        <f t="shared" ref="CN54" si="311">+SUM(CN55:CN57)</f>
        <v>3820.5155696584798</v>
      </c>
      <c r="CO54" s="108">
        <f t="shared" ref="CO54" si="312">+SUM(CO55:CO57)</f>
        <v>3898.8167008673754</v>
      </c>
      <c r="CP54" s="108">
        <f t="shared" ref="CP54" si="313">+SUM(CP55:CP57)</f>
        <v>4218.05159961967</v>
      </c>
      <c r="CQ54" s="108">
        <f t="shared" ref="CQ54" si="314">+SUM(CQ55:CQ57)</f>
        <v>4017.8665573923627</v>
      </c>
      <c r="CR54" s="108">
        <f t="shared" ref="CR54" si="315">+SUM(CR55:CR57)</f>
        <v>4398.5335508501566</v>
      </c>
      <c r="CS54" s="108">
        <f t="shared" ref="CS54" si="316">+SUM(CS55:CS57)</f>
        <v>4735.0072232453267</v>
      </c>
      <c r="CT54" s="108">
        <f t="shared" ref="CT54" si="317">+SUM(CT55:CT57)</f>
        <v>5777.6991221693806</v>
      </c>
      <c r="CU54" s="108">
        <f t="shared" ref="CU54" si="318">+SUM(CU55:CU57)</f>
        <v>4995.0279864104268</v>
      </c>
      <c r="CV54" s="108">
        <f t="shared" ref="CV54" si="319">+SUM(CV55:CV57)</f>
        <v>5528.356775964181</v>
      </c>
      <c r="CW54" s="108">
        <f t="shared" ref="CW54" si="320">+SUM(CW55:CW57)</f>
        <v>6050.8638340019761</v>
      </c>
      <c r="CX54" s="108">
        <f t="shared" ref="CX54" si="321">+SUM(CX55:CX57)</f>
        <v>7445.0052517136337</v>
      </c>
      <c r="CY54" s="108">
        <f t="shared" ref="CY54" si="322">+SUM(CY55:CY57)</f>
        <v>6378.7616740805433</v>
      </c>
      <c r="CZ54" s="108">
        <f t="shared" ref="CZ54" si="323">+SUM(CZ55:CZ57)</f>
        <v>7031.4901633032232</v>
      </c>
      <c r="DA54" s="108">
        <f t="shared" ref="DA54" si="324">+SUM(DA55:DA57)</f>
        <v>7696.4402554953722</v>
      </c>
      <c r="DB54" s="108">
        <f t="shared" ref="DB54" si="325">+SUM(DB55:DB57)</f>
        <v>9422.6214283257832</v>
      </c>
      <c r="DE54" s="117"/>
      <c r="DF54" s="109">
        <v>-217.66</v>
      </c>
    </row>
    <row r="55" spans="1:110" s="158" customFormat="1" x14ac:dyDescent="0.2">
      <c r="A55" s="192" t="s">
        <v>596</v>
      </c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>
        <v>4645</v>
      </c>
      <c r="V55" s="156">
        <v>5985</v>
      </c>
      <c r="W55" s="156">
        <v>7535</v>
      </c>
      <c r="X55" s="156">
        <v>8492</v>
      </c>
      <c r="Y55" s="156">
        <v>9061</v>
      </c>
      <c r="Z55" s="156">
        <f t="shared" ref="Z55:Z58" si="326">+SUM(CE55:CH55)</f>
        <v>9315</v>
      </c>
      <c r="AA55" s="157">
        <f t="shared" ref="AA55" si="327">SUM(CI55:CL55)</f>
        <v>10421</v>
      </c>
      <c r="AB55" s="157">
        <f t="shared" ref="AB55" si="328">+SUM(CM55:CP55)</f>
        <v>15556.673026682187</v>
      </c>
      <c r="AC55" s="157">
        <f t="shared" ref="AC55" si="329">+SUM(CQ55:CT55)</f>
        <v>18929.10645365723</v>
      </c>
      <c r="AD55" s="157">
        <f t="shared" ref="AD55" si="330">+SUM(CU55:CX55)</f>
        <v>24019.253848090215</v>
      </c>
      <c r="AE55" s="157">
        <f t="shared" ref="AE55" si="331">+SUM(CY55:DB55)</f>
        <v>30529.31352120492</v>
      </c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6">
        <v>888</v>
      </c>
      <c r="BL55" s="156">
        <v>1148</v>
      </c>
      <c r="BM55" s="156">
        <v>1278</v>
      </c>
      <c r="BN55" s="156">
        <v>1331</v>
      </c>
      <c r="BO55" s="156">
        <v>1246</v>
      </c>
      <c r="BP55" s="156">
        <v>1428</v>
      </c>
      <c r="BQ55" s="156">
        <v>1656</v>
      </c>
      <c r="BR55" s="156">
        <v>1655</v>
      </c>
      <c r="BS55" s="156">
        <v>1648</v>
      </c>
      <c r="BT55" s="156">
        <v>1823</v>
      </c>
      <c r="BU55" s="156">
        <v>1986</v>
      </c>
      <c r="BV55" s="156">
        <v>2078</v>
      </c>
      <c r="BW55" s="156">
        <v>2090</v>
      </c>
      <c r="BX55" s="156">
        <v>2238</v>
      </c>
      <c r="BY55" s="156">
        <v>2013</v>
      </c>
      <c r="BZ55" s="156">
        <v>2151</v>
      </c>
      <c r="CA55" s="156">
        <v>2236</v>
      </c>
      <c r="CB55" s="156">
        <v>2257</v>
      </c>
      <c r="CC55" s="156">
        <v>2319</v>
      </c>
      <c r="CD55" s="156">
        <v>2249</v>
      </c>
      <c r="CE55" s="156">
        <v>2300</v>
      </c>
      <c r="CF55" s="156">
        <v>2482</v>
      </c>
      <c r="CG55" s="156">
        <v>2256</v>
      </c>
      <c r="CH55" s="156">
        <v>2277</v>
      </c>
      <c r="CI55" s="156">
        <v>2462</v>
      </c>
      <c r="CJ55" s="156">
        <v>2676</v>
      </c>
      <c r="CK55" s="156">
        <v>2665</v>
      </c>
      <c r="CL55" s="156">
        <v>2618</v>
      </c>
      <c r="CM55" s="157">
        <f t="shared" ref="CM55:DB55" si="332">+CM59-CM49+CM60</f>
        <v>3619.2891565366617</v>
      </c>
      <c r="CN55" s="157">
        <f t="shared" si="332"/>
        <v>3820.5155696584798</v>
      </c>
      <c r="CO55" s="157">
        <f t="shared" si="332"/>
        <v>3898.8167008673754</v>
      </c>
      <c r="CP55" s="157">
        <f t="shared" si="332"/>
        <v>4218.05159961967</v>
      </c>
      <c r="CQ55" s="157">
        <f t="shared" si="332"/>
        <v>4017.8665573923627</v>
      </c>
      <c r="CR55" s="157">
        <f t="shared" si="332"/>
        <v>4398.5335508501566</v>
      </c>
      <c r="CS55" s="157">
        <f t="shared" si="332"/>
        <v>4735.0072232453267</v>
      </c>
      <c r="CT55" s="157">
        <f t="shared" si="332"/>
        <v>5777.6991221693806</v>
      </c>
      <c r="CU55" s="157">
        <f t="shared" si="332"/>
        <v>4995.0279864104268</v>
      </c>
      <c r="CV55" s="157">
        <f t="shared" si="332"/>
        <v>5528.356775964181</v>
      </c>
      <c r="CW55" s="157">
        <f t="shared" si="332"/>
        <v>6050.8638340019761</v>
      </c>
      <c r="CX55" s="157">
        <f t="shared" si="332"/>
        <v>7445.0052517136337</v>
      </c>
      <c r="CY55" s="157">
        <f t="shared" si="332"/>
        <v>6378.7616740805433</v>
      </c>
      <c r="CZ55" s="157">
        <f t="shared" si="332"/>
        <v>7031.4901633032232</v>
      </c>
      <c r="DA55" s="157">
        <f t="shared" si="332"/>
        <v>7696.4402554953722</v>
      </c>
      <c r="DB55" s="157">
        <f t="shared" si="332"/>
        <v>9422.6214283257832</v>
      </c>
      <c r="DE55" s="159"/>
      <c r="DF55" s="158">
        <v>-217.66</v>
      </c>
    </row>
    <row r="56" spans="1:110" s="158" customFormat="1" x14ac:dyDescent="0.2">
      <c r="A56" s="192" t="s">
        <v>597</v>
      </c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>
        <v>2757</v>
      </c>
      <c r="V56" s="156">
        <v>1372</v>
      </c>
      <c r="W56" s="156">
        <v>1575</v>
      </c>
      <c r="X56" s="156">
        <v>2373</v>
      </c>
      <c r="Y56" s="156">
        <v>3144</v>
      </c>
      <c r="Z56" s="156">
        <f t="shared" si="326"/>
        <v>3631</v>
      </c>
      <c r="AA56" s="157">
        <f t="shared" ref="AA56:AA58" si="333">SUM(CI56:CL56)</f>
        <v>4242</v>
      </c>
      <c r="AB56" s="157">
        <f t="shared" ref="AB56:AB58" si="334">+SUM(CM56:CP56)</f>
        <v>0</v>
      </c>
      <c r="AC56" s="157">
        <f t="shared" ref="AC56:AC58" si="335">+SUM(CQ56:CT56)</f>
        <v>0</v>
      </c>
      <c r="AD56" s="157">
        <f t="shared" ref="AD56:AD58" si="336">+SUM(CU56:CX56)</f>
        <v>0</v>
      </c>
      <c r="AE56" s="157">
        <f t="shared" ref="AE56:AE58" si="337">+SUM(CY56:DB56)</f>
        <v>0</v>
      </c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56"/>
      <c r="BG56" s="156"/>
      <c r="BH56" s="156"/>
      <c r="BI56" s="156"/>
      <c r="BJ56" s="156"/>
      <c r="BK56" s="156">
        <v>762</v>
      </c>
      <c r="BL56" s="156">
        <v>774</v>
      </c>
      <c r="BM56" s="156">
        <v>755</v>
      </c>
      <c r="BN56" s="156">
        <v>466</v>
      </c>
      <c r="BO56" s="156">
        <v>-107</v>
      </c>
      <c r="BP56" s="156">
        <v>353</v>
      </c>
      <c r="BQ56" s="156">
        <v>373</v>
      </c>
      <c r="BR56" s="156">
        <v>753</v>
      </c>
      <c r="BS56" s="156">
        <v>257</v>
      </c>
      <c r="BT56" s="156">
        <v>350</v>
      </c>
      <c r="BU56" s="156">
        <v>459</v>
      </c>
      <c r="BV56" s="156">
        <v>509</v>
      </c>
      <c r="BW56" s="156">
        <v>384</v>
      </c>
      <c r="BX56" s="156">
        <v>641</v>
      </c>
      <c r="BY56" s="156">
        <v>660</v>
      </c>
      <c r="BZ56" s="156">
        <v>688</v>
      </c>
      <c r="CA56" s="156">
        <v>744</v>
      </c>
      <c r="CB56" s="156">
        <v>825</v>
      </c>
      <c r="CC56" s="156">
        <v>853</v>
      </c>
      <c r="CD56" s="156">
        <v>722</v>
      </c>
      <c r="CE56" s="156">
        <v>951</v>
      </c>
      <c r="CF56" s="156">
        <v>973</v>
      </c>
      <c r="CG56" s="156">
        <v>860</v>
      </c>
      <c r="CH56" s="156">
        <v>847</v>
      </c>
      <c r="CI56" s="156">
        <v>984</v>
      </c>
      <c r="CJ56" s="156">
        <v>1040</v>
      </c>
      <c r="CK56" s="156">
        <v>1078</v>
      </c>
      <c r="CL56" s="156">
        <v>1140</v>
      </c>
      <c r="CM56" s="157"/>
      <c r="CN56" s="157"/>
      <c r="CO56" s="157"/>
      <c r="CP56" s="157"/>
      <c r="CQ56" s="157"/>
      <c r="CR56" s="157"/>
      <c r="CS56" s="157"/>
      <c r="CT56" s="157"/>
      <c r="CU56" s="157"/>
      <c r="CV56" s="157"/>
      <c r="CW56" s="157"/>
      <c r="CX56" s="157"/>
      <c r="CY56" s="157"/>
      <c r="CZ56" s="157"/>
      <c r="DA56" s="157"/>
      <c r="DB56" s="157"/>
      <c r="DE56" s="159"/>
    </row>
    <row r="57" spans="1:110" s="158" customFormat="1" x14ac:dyDescent="0.2">
      <c r="A57" s="192" t="s">
        <v>598</v>
      </c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>
        <v>539</v>
      </c>
      <c r="V57" s="156">
        <v>194</v>
      </c>
      <c r="W57" s="156">
        <v>100</v>
      </c>
      <c r="X57" s="156">
        <v>715</v>
      </c>
      <c r="Y57" s="156">
        <v>1334</v>
      </c>
      <c r="Z57" s="156">
        <f t="shared" si="326"/>
        <v>1059</v>
      </c>
      <c r="AA57" s="157">
        <f t="shared" si="333"/>
        <v>869</v>
      </c>
      <c r="AB57" s="157">
        <f t="shared" si="334"/>
        <v>0</v>
      </c>
      <c r="AC57" s="157">
        <f t="shared" si="335"/>
        <v>0</v>
      </c>
      <c r="AD57" s="157">
        <f t="shared" si="336"/>
        <v>0</v>
      </c>
      <c r="AE57" s="157">
        <f t="shared" si="337"/>
        <v>0</v>
      </c>
      <c r="AI57" s="156"/>
      <c r="AJ57" s="156"/>
      <c r="AK57" s="156"/>
      <c r="AL57" s="156"/>
      <c r="AM57" s="156"/>
      <c r="AN57" s="156"/>
      <c r="AO57" s="156"/>
      <c r="AP57" s="156"/>
      <c r="AQ57" s="156"/>
      <c r="AR57" s="156"/>
      <c r="AS57" s="156"/>
      <c r="AT57" s="156"/>
      <c r="AU57" s="156"/>
      <c r="AV57" s="156"/>
      <c r="AW57" s="156"/>
      <c r="AX57" s="156"/>
      <c r="AY57" s="156"/>
      <c r="AZ57" s="156"/>
      <c r="BA57" s="156"/>
      <c r="BB57" s="156"/>
      <c r="BC57" s="156"/>
      <c r="BD57" s="156"/>
      <c r="BE57" s="156"/>
      <c r="BF57" s="156"/>
      <c r="BG57" s="156"/>
      <c r="BH57" s="156"/>
      <c r="BI57" s="156"/>
      <c r="BJ57" s="156"/>
      <c r="BK57" s="156">
        <v>118</v>
      </c>
      <c r="BL57" s="156">
        <v>147</v>
      </c>
      <c r="BM57" s="156">
        <v>214</v>
      </c>
      <c r="BN57" s="156">
        <v>60</v>
      </c>
      <c r="BO57" s="156">
        <v>39</v>
      </c>
      <c r="BP57" s="156">
        <v>60</v>
      </c>
      <c r="BQ57" s="156">
        <v>1</v>
      </c>
      <c r="BR57" s="156">
        <v>94</v>
      </c>
      <c r="BS57" s="156">
        <v>-5</v>
      </c>
      <c r="BT57" s="156">
        <v>48</v>
      </c>
      <c r="BU57" s="156">
        <v>31</v>
      </c>
      <c r="BV57" s="156">
        <v>26</v>
      </c>
      <c r="BW57" s="156">
        <v>60</v>
      </c>
      <c r="BX57" s="156">
        <v>69</v>
      </c>
      <c r="BY57" s="156">
        <v>75</v>
      </c>
      <c r="BZ57" s="156">
        <v>511</v>
      </c>
      <c r="CA57" s="156">
        <v>204</v>
      </c>
      <c r="CB57" s="156">
        <v>715</v>
      </c>
      <c r="CC57" s="156">
        <v>198</v>
      </c>
      <c r="CD57" s="156">
        <v>217</v>
      </c>
      <c r="CE57" s="156">
        <v>225</v>
      </c>
      <c r="CF57" s="156">
        <v>203</v>
      </c>
      <c r="CG57" s="156">
        <v>227</v>
      </c>
      <c r="CH57" s="156">
        <v>404</v>
      </c>
      <c r="CI57" s="156">
        <v>221</v>
      </c>
      <c r="CJ57" s="156">
        <v>167</v>
      </c>
      <c r="CK57" s="156">
        <v>239</v>
      </c>
      <c r="CL57" s="156">
        <v>242</v>
      </c>
      <c r="CM57" s="157"/>
      <c r="CN57" s="157"/>
      <c r="CO57" s="157"/>
      <c r="CP57" s="157"/>
      <c r="CQ57" s="157"/>
      <c r="CR57" s="157"/>
      <c r="CS57" s="157"/>
      <c r="CT57" s="157"/>
      <c r="CU57" s="157"/>
      <c r="CV57" s="157"/>
      <c r="CW57" s="157"/>
      <c r="CX57" s="157"/>
      <c r="CY57" s="157"/>
      <c r="CZ57" s="157"/>
      <c r="DA57" s="157"/>
      <c r="DB57" s="157"/>
      <c r="DE57" s="159"/>
    </row>
    <row r="58" spans="1:110" s="109" customFormat="1" x14ac:dyDescent="0.2">
      <c r="A58" s="191" t="s">
        <v>526</v>
      </c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>
        <v>931</v>
      </c>
      <c r="V58" s="107">
        <v>1862</v>
      </c>
      <c r="W58" s="107">
        <v>1114</v>
      </c>
      <c r="X58" s="107">
        <v>1394</v>
      </c>
      <c r="Y58" s="107">
        <v>1229</v>
      </c>
      <c r="Z58" s="156">
        <f t="shared" si="326"/>
        <v>1010</v>
      </c>
      <c r="AA58" s="157">
        <f t="shared" si="333"/>
        <v>1921</v>
      </c>
      <c r="AB58" s="157">
        <f t="shared" si="334"/>
        <v>0</v>
      </c>
      <c r="AC58" s="157">
        <f t="shared" si="335"/>
        <v>0</v>
      </c>
      <c r="AD58" s="157">
        <f t="shared" si="336"/>
        <v>0</v>
      </c>
      <c r="AE58" s="157">
        <f t="shared" si="337"/>
        <v>0</v>
      </c>
      <c r="AI58" s="107"/>
      <c r="AJ58" s="107"/>
      <c r="AK58" s="107"/>
      <c r="AL58" s="107"/>
      <c r="AM58" s="107"/>
      <c r="AN58" s="107"/>
      <c r="AO58" s="107"/>
      <c r="AP58" s="107"/>
      <c r="AQ58" s="107"/>
      <c r="AR58" s="107"/>
      <c r="AS58" s="107"/>
      <c r="AT58" s="107"/>
      <c r="AU58" s="107"/>
      <c r="AV58" s="107"/>
      <c r="AW58" s="107"/>
      <c r="AX58" s="107"/>
      <c r="AY58" s="107"/>
      <c r="AZ58" s="107"/>
      <c r="BA58" s="107"/>
      <c r="BB58" s="107"/>
      <c r="BC58" s="107"/>
      <c r="BD58" s="107"/>
      <c r="BE58" s="107"/>
      <c r="BF58" s="107"/>
      <c r="BG58" s="107"/>
      <c r="BH58" s="107"/>
      <c r="BI58" s="107"/>
      <c r="BJ58" s="107"/>
      <c r="BK58" s="107"/>
      <c r="BL58" s="107">
        <v>284</v>
      </c>
      <c r="BM58" s="107">
        <v>367</v>
      </c>
      <c r="BN58" s="107">
        <v>280</v>
      </c>
      <c r="BO58" s="107">
        <v>477</v>
      </c>
      <c r="BP58" s="107">
        <v>408</v>
      </c>
      <c r="BQ58" s="107">
        <v>275</v>
      </c>
      <c r="BR58" s="107">
        <v>702</v>
      </c>
      <c r="BS58" s="107">
        <v>300</v>
      </c>
      <c r="BT58" s="107">
        <v>211</v>
      </c>
      <c r="BU58" s="107">
        <v>305</v>
      </c>
      <c r="BV58" s="107">
        <v>298</v>
      </c>
      <c r="BW58" s="107">
        <v>298</v>
      </c>
      <c r="BX58" s="107">
        <v>408</v>
      </c>
      <c r="BY58" s="107">
        <v>418</v>
      </c>
      <c r="BZ58" s="107">
        <v>270</v>
      </c>
      <c r="CA58" s="107">
        <v>398</v>
      </c>
      <c r="CB58" s="107">
        <v>385</v>
      </c>
      <c r="CC58" s="107">
        <v>228</v>
      </c>
      <c r="CD58" s="107">
        <v>218</v>
      </c>
      <c r="CE58" s="107">
        <v>124</v>
      </c>
      <c r="CF58" s="107">
        <v>413</v>
      </c>
      <c r="CG58" s="107">
        <v>291</v>
      </c>
      <c r="CH58" s="107">
        <v>182</v>
      </c>
      <c r="CI58" s="107">
        <v>520</v>
      </c>
      <c r="CJ58" s="107">
        <v>507</v>
      </c>
      <c r="CK58" s="107">
        <v>618</v>
      </c>
      <c r="CL58" s="107">
        <v>276</v>
      </c>
      <c r="CM58" s="108"/>
      <c r="CN58" s="108"/>
      <c r="CO58" s="108"/>
      <c r="CP58" s="108"/>
      <c r="CQ58" s="108"/>
      <c r="CR58" s="108"/>
      <c r="CS58" s="108"/>
      <c r="CT58" s="108"/>
      <c r="CU58" s="108"/>
      <c r="CV58" s="108"/>
      <c r="CW58" s="108"/>
      <c r="CX58" s="108"/>
      <c r="CY58" s="108"/>
      <c r="CZ58" s="108"/>
      <c r="DA58" s="108"/>
      <c r="DB58" s="108"/>
      <c r="DE58" s="117"/>
    </row>
    <row r="59" spans="1:110" s="199" customFormat="1" x14ac:dyDescent="0.2">
      <c r="A59" s="219" t="s">
        <v>523</v>
      </c>
      <c r="B59" s="197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203"/>
      <c r="U59" s="203">
        <f t="shared" ref="U59:Z59" si="338">+U49+U54+U58</f>
        <v>19351</v>
      </c>
      <c r="V59" s="203">
        <f t="shared" si="338"/>
        <v>19023</v>
      </c>
      <c r="W59" s="203">
        <f t="shared" si="338"/>
        <v>20367</v>
      </c>
      <c r="X59" s="203">
        <f t="shared" si="338"/>
        <v>23682</v>
      </c>
      <c r="Y59" s="203">
        <f t="shared" si="338"/>
        <v>27652</v>
      </c>
      <c r="Z59" s="203">
        <f t="shared" si="338"/>
        <v>30560</v>
      </c>
      <c r="AA59" s="206">
        <f t="shared" ref="AA59" si="339">+AA49+AA54+AA58</f>
        <v>34913</v>
      </c>
      <c r="AB59" s="206">
        <f t="shared" ref="AB59" si="340">+AB49+AB54+AB58</f>
        <v>37013.109064186428</v>
      </c>
      <c r="AC59" s="206">
        <f t="shared" ref="AC59" si="341">+AC49+AC54+AC58</f>
        <v>42520.377240077047</v>
      </c>
      <c r="AD59" s="206">
        <f t="shared" ref="AD59" si="342">+AD49+AD54+AD58</f>
        <v>49081.988275704178</v>
      </c>
      <c r="AE59" s="206">
        <f t="shared" ref="AE59" si="343">+AE49+AE54+AE58</f>
        <v>56707.521625529844</v>
      </c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  <c r="AS59" s="197"/>
      <c r="AT59" s="197"/>
      <c r="AU59" s="197"/>
      <c r="AV59" s="197"/>
      <c r="AW59" s="197"/>
      <c r="AX59" s="197"/>
      <c r="AY59" s="197"/>
      <c r="AZ59" s="197"/>
      <c r="BA59" s="197"/>
      <c r="BB59" s="197"/>
      <c r="BC59" s="197"/>
      <c r="BD59" s="197"/>
      <c r="BE59" s="197"/>
      <c r="BF59" s="197"/>
      <c r="BG59" s="197"/>
      <c r="BH59" s="197"/>
      <c r="BI59" s="197"/>
      <c r="BJ59" s="197"/>
      <c r="BK59" s="203">
        <f>+BK49+BK54+BK58</f>
        <v>3558</v>
      </c>
      <c r="BL59" s="203">
        <f t="shared" ref="BL59:CI59" si="344">+BL49+BL54+BL58</f>
        <v>4762</v>
      </c>
      <c r="BM59" s="203">
        <f t="shared" si="344"/>
        <v>4879</v>
      </c>
      <c r="BN59" s="203">
        <f t="shared" si="344"/>
        <v>6152</v>
      </c>
      <c r="BO59" s="203">
        <f t="shared" si="344"/>
        <v>2397</v>
      </c>
      <c r="BP59" s="203">
        <f t="shared" si="344"/>
        <v>3893</v>
      </c>
      <c r="BQ59" s="203">
        <f t="shared" si="344"/>
        <v>4845</v>
      </c>
      <c r="BR59" s="203">
        <f t="shared" si="344"/>
        <v>7888</v>
      </c>
      <c r="BS59" s="203">
        <f t="shared" si="344"/>
        <v>3770</v>
      </c>
      <c r="BT59" s="203">
        <f t="shared" si="344"/>
        <v>4486</v>
      </c>
      <c r="BU59" s="203">
        <f t="shared" si="344"/>
        <v>5078</v>
      </c>
      <c r="BV59" s="203">
        <f t="shared" si="344"/>
        <v>7033</v>
      </c>
      <c r="BW59" s="203">
        <f t="shared" si="344"/>
        <v>4648</v>
      </c>
      <c r="BX59" s="203">
        <f t="shared" si="344"/>
        <v>5633</v>
      </c>
      <c r="BY59" s="203">
        <f t="shared" si="344"/>
        <v>5828</v>
      </c>
      <c r="BZ59" s="203">
        <f t="shared" si="344"/>
        <v>7573</v>
      </c>
      <c r="CA59" s="203">
        <f t="shared" si="344"/>
        <v>6014</v>
      </c>
      <c r="CB59" s="203">
        <f t="shared" si="344"/>
        <v>6765</v>
      </c>
      <c r="CC59" s="203">
        <f t="shared" si="344"/>
        <v>6597</v>
      </c>
      <c r="CD59" s="203">
        <f t="shared" si="344"/>
        <v>8276</v>
      </c>
      <c r="CE59" s="203">
        <f t="shared" si="344"/>
        <v>6536</v>
      </c>
      <c r="CF59" s="203">
        <f t="shared" si="344"/>
        <v>7464</v>
      </c>
      <c r="CG59" s="203">
        <f t="shared" si="344"/>
        <v>7222</v>
      </c>
      <c r="CH59" s="203">
        <f t="shared" si="344"/>
        <v>9338</v>
      </c>
      <c r="CI59" s="203">
        <f t="shared" si="344"/>
        <v>7674</v>
      </c>
      <c r="CJ59" s="203">
        <f>+CJ49+CJ54+CJ58</f>
        <v>8190</v>
      </c>
      <c r="CK59" s="203">
        <f>+CK49+CK54+CK58</f>
        <v>8858</v>
      </c>
      <c r="CL59" s="203">
        <f>+CL49+CL54+CL58</f>
        <v>10191</v>
      </c>
      <c r="CM59" s="206">
        <f t="shared" ref="CM59:DB59" si="345">+CM190</f>
        <v>8658.5747972623576</v>
      </c>
      <c r="CN59" s="206">
        <f t="shared" si="345"/>
        <v>9083.4361152925994</v>
      </c>
      <c r="CO59" s="206">
        <f t="shared" si="345"/>
        <v>9454.8142067592926</v>
      </c>
      <c r="CP59" s="206">
        <f t="shared" si="345"/>
        <v>10728.363944872166</v>
      </c>
      <c r="CQ59" s="206">
        <f t="shared" si="345"/>
        <v>9684.3535469678973</v>
      </c>
      <c r="CR59" s="206">
        <f t="shared" si="345"/>
        <v>10254.222127668079</v>
      </c>
      <c r="CS59" s="206">
        <f t="shared" si="345"/>
        <v>10833.611682324074</v>
      </c>
      <c r="CT59" s="206">
        <f t="shared" si="345"/>
        <v>12660.269883116984</v>
      </c>
      <c r="CU59" s="206">
        <f t="shared" si="345"/>
        <v>11067.089440920041</v>
      </c>
      <c r="CV59" s="206">
        <f t="shared" si="345"/>
        <v>11782.775611727891</v>
      </c>
      <c r="CW59" s="206">
        <f t="shared" si="345"/>
        <v>12504.501500719445</v>
      </c>
      <c r="CX59" s="206">
        <f t="shared" si="345"/>
        <v>14639.701722336787</v>
      </c>
      <c r="CY59" s="206">
        <f t="shared" si="345"/>
        <v>12733.569216771604</v>
      </c>
      <c r="CZ59" s="206">
        <f t="shared" si="345"/>
        <v>13580.228197620338</v>
      </c>
      <c r="DA59" s="206">
        <f t="shared" si="345"/>
        <v>14422.985139051889</v>
      </c>
      <c r="DB59" s="206">
        <f t="shared" si="345"/>
        <v>16882.819072086</v>
      </c>
      <c r="DE59" s="200"/>
      <c r="DF59" s="199">
        <v>4984</v>
      </c>
    </row>
    <row r="60" spans="1:110" s="217" customFormat="1" x14ac:dyDescent="0.2">
      <c r="A60" s="214" t="s">
        <v>610</v>
      </c>
      <c r="B60" s="215"/>
      <c r="C60" s="215"/>
      <c r="D60" s="215"/>
      <c r="E60" s="21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26"/>
      <c r="U60" s="226">
        <f t="shared" ref="U60:AE60" si="346">+U59-U190</f>
        <v>-4850.1199999999808</v>
      </c>
      <c r="V60" s="226">
        <f t="shared" si="346"/>
        <v>-4108.0699999999924</v>
      </c>
      <c r="W60" s="226">
        <f t="shared" si="346"/>
        <v>-3497.800000000032</v>
      </c>
      <c r="X60" s="226">
        <f t="shared" si="346"/>
        <v>-2586.9800000000105</v>
      </c>
      <c r="Y60" s="226">
        <f t="shared" si="346"/>
        <v>-1523.7200000000303</v>
      </c>
      <c r="Z60" s="226">
        <f t="shared" si="346"/>
        <v>-2176.9700000000012</v>
      </c>
      <c r="AA60" s="227">
        <f t="shared" si="346"/>
        <v>-2486.4599999999336</v>
      </c>
      <c r="AB60" s="227">
        <f t="shared" si="346"/>
        <v>-912.07999999998719</v>
      </c>
      <c r="AC60" s="227">
        <f t="shared" si="346"/>
        <v>-912.08000000003813</v>
      </c>
      <c r="AD60" s="227">
        <f t="shared" si="346"/>
        <v>-912.07999999998719</v>
      </c>
      <c r="AE60" s="227">
        <f t="shared" si="346"/>
        <v>-912.07999999997264</v>
      </c>
      <c r="AI60" s="215"/>
      <c r="AJ60" s="215"/>
      <c r="AK60" s="215"/>
      <c r="AL60" s="215"/>
      <c r="AM60" s="215"/>
      <c r="AN60" s="215"/>
      <c r="AO60" s="215"/>
      <c r="AP60" s="215"/>
      <c r="AQ60" s="215"/>
      <c r="AR60" s="215"/>
      <c r="AS60" s="215"/>
      <c r="AT60" s="215"/>
      <c r="AU60" s="215"/>
      <c r="AV60" s="215"/>
      <c r="AW60" s="215"/>
      <c r="AX60" s="215"/>
      <c r="AY60" s="215"/>
      <c r="AZ60" s="215"/>
      <c r="BA60" s="215"/>
      <c r="BB60" s="215"/>
      <c r="BC60" s="215"/>
      <c r="BD60" s="215"/>
      <c r="BE60" s="215"/>
      <c r="BF60" s="215"/>
      <c r="BG60" s="215"/>
      <c r="BH60" s="215"/>
      <c r="BI60" s="215"/>
      <c r="BJ60" s="215"/>
      <c r="BK60" s="226">
        <f t="shared" ref="BK60:CK60" si="347">+BK59-BK190</f>
        <v>-1588.9700000000012</v>
      </c>
      <c r="BL60" s="226">
        <f t="shared" si="347"/>
        <v>-1283.1399999999958</v>
      </c>
      <c r="BM60" s="226">
        <f t="shared" si="347"/>
        <v>-1243.0700000000033</v>
      </c>
      <c r="BN60" s="226">
        <f t="shared" si="347"/>
        <v>-904.66999999999825</v>
      </c>
      <c r="BO60" s="226">
        <f t="shared" si="347"/>
        <v>-1327.3600000000024</v>
      </c>
      <c r="BP60" s="226">
        <f t="shared" si="347"/>
        <v>-1426.510000000002</v>
      </c>
      <c r="BQ60" s="226">
        <f t="shared" si="347"/>
        <v>-1220.8399999999965</v>
      </c>
      <c r="BR60" s="226">
        <f t="shared" si="347"/>
        <v>-317.42999999999302</v>
      </c>
      <c r="BS60" s="226">
        <f t="shared" si="347"/>
        <v>-967.27999999999884</v>
      </c>
      <c r="BT60" s="226">
        <f t="shared" si="347"/>
        <v>-1000.2699999999968</v>
      </c>
      <c r="BU60" s="226">
        <f t="shared" si="347"/>
        <v>-904.31000000000131</v>
      </c>
      <c r="BV60" s="226">
        <f t="shared" si="347"/>
        <v>-925.50999999999476</v>
      </c>
      <c r="BW60" s="226">
        <f t="shared" si="347"/>
        <v>-761.81999999999607</v>
      </c>
      <c r="BX60" s="226">
        <f t="shared" si="347"/>
        <v>-729.15999999999622</v>
      </c>
      <c r="BY60" s="226">
        <f t="shared" si="347"/>
        <v>-825.47000000000844</v>
      </c>
      <c r="BZ60" s="226">
        <f t="shared" si="347"/>
        <v>-781.23999999999796</v>
      </c>
      <c r="CA60" s="226">
        <f t="shared" si="347"/>
        <v>-302.35999999999331</v>
      </c>
      <c r="CB60" s="226">
        <f t="shared" si="347"/>
        <v>-275.47000000000116</v>
      </c>
      <c r="CC60" s="226">
        <f t="shared" si="347"/>
        <v>-601.64999999999418</v>
      </c>
      <c r="CD60" s="226">
        <f t="shared" si="347"/>
        <v>-377.04000000000087</v>
      </c>
      <c r="CE60" s="226">
        <f t="shared" si="347"/>
        <v>-509.82000000000698</v>
      </c>
      <c r="CF60" s="226">
        <f t="shared" si="347"/>
        <v>-453.05000000000291</v>
      </c>
      <c r="CG60" s="226">
        <f t="shared" si="347"/>
        <v>-676.15999999999622</v>
      </c>
      <c r="CH60" s="226">
        <f t="shared" si="347"/>
        <v>-537.94000000000233</v>
      </c>
      <c r="CI60" s="226">
        <f t="shared" si="347"/>
        <v>-350.00999999999476</v>
      </c>
      <c r="CJ60" s="226">
        <f t="shared" si="347"/>
        <v>-323.23999999999796</v>
      </c>
      <c r="CK60" s="226">
        <f t="shared" si="347"/>
        <v>-332.20999999999913</v>
      </c>
      <c r="CL60" s="226">
        <f t="shared" ref="CL60" si="348">+CL59-CL190</f>
        <v>-228.0199999999968</v>
      </c>
      <c r="CM60" s="227">
        <f t="shared" ref="CM60:DB60" si="349">+CL60</f>
        <v>-228.0199999999968</v>
      </c>
      <c r="CN60" s="227">
        <f t="shared" si="349"/>
        <v>-228.0199999999968</v>
      </c>
      <c r="CO60" s="227">
        <f t="shared" si="349"/>
        <v>-228.0199999999968</v>
      </c>
      <c r="CP60" s="227">
        <f t="shared" si="349"/>
        <v>-228.0199999999968</v>
      </c>
      <c r="CQ60" s="227">
        <f t="shared" si="349"/>
        <v>-228.0199999999968</v>
      </c>
      <c r="CR60" s="227">
        <f t="shared" si="349"/>
        <v>-228.0199999999968</v>
      </c>
      <c r="CS60" s="227">
        <f t="shared" si="349"/>
        <v>-228.0199999999968</v>
      </c>
      <c r="CT60" s="227">
        <f t="shared" si="349"/>
        <v>-228.0199999999968</v>
      </c>
      <c r="CU60" s="227">
        <f t="shared" si="349"/>
        <v>-228.0199999999968</v>
      </c>
      <c r="CV60" s="227">
        <f t="shared" si="349"/>
        <v>-228.0199999999968</v>
      </c>
      <c r="CW60" s="227">
        <f t="shared" si="349"/>
        <v>-228.0199999999968</v>
      </c>
      <c r="CX60" s="227">
        <f t="shared" si="349"/>
        <v>-228.0199999999968</v>
      </c>
      <c r="CY60" s="227">
        <f t="shared" si="349"/>
        <v>-228.0199999999968</v>
      </c>
      <c r="CZ60" s="227">
        <f t="shared" si="349"/>
        <v>-228.0199999999968</v>
      </c>
      <c r="DA60" s="227">
        <f t="shared" si="349"/>
        <v>-228.0199999999968</v>
      </c>
      <c r="DB60" s="227">
        <f t="shared" si="349"/>
        <v>-228.0199999999968</v>
      </c>
      <c r="DE60" s="218"/>
      <c r="DF60" s="217">
        <v>-332</v>
      </c>
    </row>
    <row r="61" spans="1:110" s="158" customFormat="1" x14ac:dyDescent="0.2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7"/>
      <c r="AB61" s="157"/>
      <c r="AC61" s="157"/>
      <c r="AD61" s="157"/>
      <c r="AE61" s="157"/>
      <c r="AI61" s="156"/>
      <c r="AJ61" s="156"/>
      <c r="AK61" s="156"/>
      <c r="AL61" s="156"/>
      <c r="AM61" s="156"/>
      <c r="AN61" s="156"/>
      <c r="AO61" s="156"/>
      <c r="AP61" s="156"/>
      <c r="AQ61" s="156"/>
      <c r="AR61" s="156"/>
      <c r="AS61" s="156"/>
      <c r="AT61" s="156"/>
      <c r="AU61" s="156"/>
      <c r="AV61" s="156"/>
      <c r="AW61" s="156"/>
      <c r="AX61" s="156"/>
      <c r="AY61" s="156"/>
      <c r="AZ61" s="156"/>
      <c r="BA61" s="156"/>
      <c r="BB61" s="156"/>
      <c r="BC61" s="156"/>
      <c r="BD61" s="156"/>
      <c r="BE61" s="156"/>
      <c r="BF61" s="156"/>
      <c r="BG61" s="156"/>
      <c r="BH61" s="156"/>
      <c r="BI61" s="156"/>
      <c r="BJ61" s="156"/>
      <c r="BK61" s="156"/>
      <c r="BL61" s="156"/>
      <c r="BM61" s="156"/>
      <c r="BN61" s="156"/>
      <c r="BO61" s="156"/>
      <c r="BP61" s="156"/>
      <c r="BQ61" s="156"/>
      <c r="BR61" s="156"/>
      <c r="BS61" s="156"/>
      <c r="BT61" s="156"/>
      <c r="BU61" s="156"/>
      <c r="BV61" s="156"/>
      <c r="BW61" s="156"/>
      <c r="BX61" s="156"/>
      <c r="BY61" s="156"/>
      <c r="BZ61" s="156"/>
      <c r="CA61" s="156"/>
      <c r="CB61" s="156"/>
      <c r="CC61" s="156"/>
      <c r="CD61" s="156"/>
      <c r="CE61" s="156"/>
      <c r="CF61" s="156"/>
      <c r="CG61" s="156"/>
      <c r="CH61" s="156"/>
      <c r="CI61" s="156"/>
      <c r="CJ61" s="156"/>
      <c r="CK61" s="156"/>
      <c r="CL61" s="156"/>
      <c r="CM61" s="157"/>
      <c r="CN61" s="157"/>
      <c r="CO61" s="157"/>
      <c r="CP61" s="157"/>
      <c r="CQ61" s="157"/>
      <c r="CR61" s="157"/>
      <c r="CS61" s="157"/>
      <c r="CT61" s="157"/>
      <c r="CU61" s="157"/>
      <c r="CV61" s="157"/>
      <c r="CW61" s="157"/>
      <c r="CX61" s="157"/>
      <c r="CY61" s="157"/>
      <c r="CZ61" s="157"/>
      <c r="DA61" s="157"/>
      <c r="DB61" s="157"/>
      <c r="DE61" s="159"/>
    </row>
    <row r="62" spans="1:110" s="188" customFormat="1" x14ac:dyDescent="0.2">
      <c r="A62" s="186" t="s">
        <v>528</v>
      </c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87"/>
      <c r="AI62" s="187"/>
      <c r="AJ62" s="187"/>
      <c r="AK62" s="187"/>
      <c r="AL62" s="187"/>
      <c r="AM62" s="187"/>
      <c r="AN62" s="187"/>
      <c r="AO62" s="187"/>
      <c r="AP62" s="187"/>
      <c r="AQ62" s="187"/>
      <c r="AR62" s="187"/>
      <c r="AS62" s="187"/>
      <c r="AT62" s="187"/>
      <c r="AU62" s="187"/>
      <c r="AV62" s="187"/>
      <c r="AW62" s="187"/>
      <c r="AX62" s="187"/>
      <c r="AY62" s="187"/>
      <c r="AZ62" s="187"/>
      <c r="BA62" s="187"/>
      <c r="BB62" s="187"/>
      <c r="BC62" s="187"/>
      <c r="BD62" s="187"/>
      <c r="BE62" s="187"/>
      <c r="BF62" s="187"/>
      <c r="BG62" s="187"/>
      <c r="BH62" s="187"/>
      <c r="BI62" s="187"/>
      <c r="BJ62" s="187"/>
      <c r="BK62" s="187"/>
      <c r="BL62" s="187"/>
      <c r="BM62" s="187"/>
      <c r="BN62" s="187"/>
      <c r="BO62" s="187"/>
      <c r="BP62" s="187"/>
      <c r="BQ62" s="187"/>
      <c r="BR62" s="187"/>
      <c r="BS62" s="187"/>
      <c r="BT62" s="187"/>
      <c r="BU62" s="187"/>
      <c r="BV62" s="187"/>
      <c r="BW62" s="187"/>
      <c r="BX62" s="187"/>
      <c r="BY62" s="187"/>
      <c r="BZ62" s="187"/>
      <c r="CA62" s="187"/>
      <c r="CB62" s="187"/>
      <c r="CC62" s="187"/>
      <c r="CD62" s="187"/>
      <c r="CE62" s="187"/>
      <c r="CF62" s="187"/>
      <c r="CG62" s="187"/>
      <c r="CH62" s="187"/>
      <c r="CI62" s="187"/>
      <c r="CJ62" s="187"/>
      <c r="CK62" s="187"/>
      <c r="CL62" s="187"/>
      <c r="CM62" s="187"/>
      <c r="CN62" s="187"/>
      <c r="CO62" s="187"/>
      <c r="CP62" s="187"/>
      <c r="CQ62" s="187"/>
      <c r="CR62" s="187"/>
      <c r="CS62" s="187"/>
      <c r="CT62" s="187"/>
      <c r="CU62" s="187"/>
      <c r="CV62" s="187"/>
      <c r="CW62" s="187"/>
      <c r="CX62" s="187"/>
      <c r="CY62" s="187"/>
      <c r="CZ62" s="187"/>
      <c r="DA62" s="187"/>
      <c r="DB62" s="187"/>
      <c r="DE62" s="187"/>
    </row>
    <row r="63" spans="1:110" s="272" customFormat="1" x14ac:dyDescent="0.2">
      <c r="A63" s="269" t="s">
        <v>599</v>
      </c>
      <c r="B63" s="270"/>
      <c r="C63" s="270"/>
      <c r="D63" s="270"/>
      <c r="E63" s="270"/>
      <c r="F63" s="270"/>
      <c r="G63" s="270"/>
      <c r="H63" s="270"/>
      <c r="I63" s="270"/>
      <c r="J63" s="270"/>
      <c r="K63" s="270"/>
      <c r="L63" s="270"/>
      <c r="M63" s="270"/>
      <c r="N63" s="270"/>
      <c r="O63" s="270"/>
      <c r="P63" s="270"/>
      <c r="Q63" s="270"/>
      <c r="R63" s="270"/>
      <c r="S63" s="270"/>
      <c r="T63" s="270"/>
      <c r="U63" s="270">
        <f t="shared" ref="U63:AE63" si="350">+U49/U36</f>
        <v>0.10013952066052521</v>
      </c>
      <c r="V63" s="270">
        <f t="shared" si="350"/>
        <v>0.10279174243234571</v>
      </c>
      <c r="W63" s="270">
        <f t="shared" si="350"/>
        <v>9.3063123169872863E-2</v>
      </c>
      <c r="X63" s="270">
        <f t="shared" si="350"/>
        <v>8.6213004412096228E-2</v>
      </c>
      <c r="Y63" s="270">
        <f t="shared" si="350"/>
        <v>8.1590779557976056E-2</v>
      </c>
      <c r="Z63" s="270">
        <f t="shared" si="350"/>
        <v>8.2985447518177255E-2</v>
      </c>
      <c r="AA63" s="271">
        <f t="shared" si="350"/>
        <v>8.3149192319414811E-2</v>
      </c>
      <c r="AB63" s="271">
        <f t="shared" si="350"/>
        <v>8.5080968993138523E-2</v>
      </c>
      <c r="AC63" s="271">
        <f t="shared" si="350"/>
        <v>8.3677967822218716E-2</v>
      </c>
      <c r="AD63" s="271">
        <f t="shared" si="350"/>
        <v>8.2626724695706186E-2</v>
      </c>
      <c r="AE63" s="271">
        <f t="shared" si="350"/>
        <v>8.1861759169753814E-2</v>
      </c>
      <c r="AI63" s="270"/>
      <c r="AJ63" s="270"/>
      <c r="AK63" s="270"/>
      <c r="AL63" s="270"/>
      <c r="AM63" s="270"/>
      <c r="AN63" s="270"/>
      <c r="AO63" s="270"/>
      <c r="AP63" s="270"/>
      <c r="AQ63" s="270"/>
      <c r="AR63" s="270"/>
      <c r="AS63" s="270"/>
      <c r="AT63" s="270"/>
      <c r="AU63" s="270"/>
      <c r="AV63" s="270"/>
      <c r="AW63" s="270"/>
      <c r="AX63" s="270"/>
      <c r="AY63" s="270"/>
      <c r="AZ63" s="270"/>
      <c r="BA63" s="270"/>
      <c r="BB63" s="270"/>
      <c r="BC63" s="270"/>
      <c r="BD63" s="270"/>
      <c r="BE63" s="270"/>
      <c r="BF63" s="270"/>
      <c r="BG63" s="270"/>
      <c r="BH63" s="270"/>
      <c r="BI63" s="270"/>
      <c r="BJ63" s="270"/>
      <c r="BK63" s="270">
        <f t="shared" ref="BK63:DB63" si="351">+BK49/BK36</f>
        <v>8.4529656214582541E-2</v>
      </c>
      <c r="BL63" s="270">
        <f t="shared" si="351"/>
        <v>9.8106291997556508E-2</v>
      </c>
      <c r="BM63" s="270">
        <f t="shared" si="351"/>
        <v>8.9296274393849795E-2</v>
      </c>
      <c r="BN63" s="270">
        <f t="shared" si="351"/>
        <v>0.11967926552998688</v>
      </c>
      <c r="BO63" s="270">
        <f t="shared" si="351"/>
        <v>6.5121994031946642E-2</v>
      </c>
      <c r="BP63" s="270">
        <f t="shared" si="351"/>
        <v>8.0639623289351051E-2</v>
      </c>
      <c r="BQ63" s="270">
        <f t="shared" si="351"/>
        <v>0.10210644798199067</v>
      </c>
      <c r="BR63" s="270">
        <f t="shared" si="351"/>
        <v>0.12716857166128201</v>
      </c>
      <c r="BS63" s="270">
        <f t="shared" si="351"/>
        <v>8.7636059168294728E-2</v>
      </c>
      <c r="BT63" s="270">
        <f t="shared" si="351"/>
        <v>9.0277777777777776E-2</v>
      </c>
      <c r="BU63" s="270">
        <f t="shared" si="351"/>
        <v>8.438958080752415E-2</v>
      </c>
      <c r="BV63" s="270">
        <f t="shared" si="351"/>
        <v>0.10297277042218336</v>
      </c>
      <c r="BW63" s="270">
        <f t="shared" si="351"/>
        <v>8.2571727367798844E-2</v>
      </c>
      <c r="BX63" s="270">
        <f t="shared" si="351"/>
        <v>8.1818181818181818E-2</v>
      </c>
      <c r="BY63" s="270">
        <f t="shared" si="351"/>
        <v>8.501804477659608E-2</v>
      </c>
      <c r="BZ63" s="270">
        <f t="shared" si="351"/>
        <v>9.1780821917808217E-2</v>
      </c>
      <c r="CA63" s="270">
        <f t="shared" si="351"/>
        <v>7.4334443867102723E-2</v>
      </c>
      <c r="CB63" s="270">
        <f t="shared" si="351"/>
        <v>7.3992380188490067E-2</v>
      </c>
      <c r="CC63" s="270">
        <f t="shared" si="351"/>
        <v>7.6300725098587971E-2</v>
      </c>
      <c r="CD63" s="270">
        <f t="shared" si="351"/>
        <v>9.55295317679829E-2</v>
      </c>
      <c r="CE63" s="270">
        <f t="shared" si="351"/>
        <v>7.6016881133003644E-2</v>
      </c>
      <c r="CF63" s="270">
        <f t="shared" si="351"/>
        <v>7.61889792068981E-2</v>
      </c>
      <c r="CG63" s="270">
        <f t="shared" si="351"/>
        <v>7.5869068764273032E-2</v>
      </c>
      <c r="CH63" s="270">
        <f t="shared" si="351"/>
        <v>9.8957325971902307E-2</v>
      </c>
      <c r="CI63" s="270">
        <f t="shared" si="351"/>
        <v>7.605732108971143E-2</v>
      </c>
      <c r="CJ63" s="270">
        <f t="shared" si="351"/>
        <v>7.7533614902776923E-2</v>
      </c>
      <c r="CK63" s="270">
        <f t="shared" ref="CK63:CL63" si="352">+CK49/CK36</f>
        <v>8.1435155966110118E-2</v>
      </c>
      <c r="CL63" s="270">
        <f t="shared" si="352"/>
        <v>9.4129441907095907E-2</v>
      </c>
      <c r="CM63" s="273">
        <f t="shared" si="351"/>
        <v>8.5074975854922325E-2</v>
      </c>
      <c r="CN63" s="273">
        <f t="shared" si="351"/>
        <v>8.3974655692839906E-2</v>
      </c>
      <c r="CO63" s="273">
        <f t="shared" si="351"/>
        <v>8.4161368214195342E-2</v>
      </c>
      <c r="CP63" s="273">
        <f t="shared" si="351"/>
        <v>8.6806622314475557E-2</v>
      </c>
      <c r="CQ63" s="273">
        <f t="shared" si="351"/>
        <v>8.4131975886916066E-2</v>
      </c>
      <c r="CR63" s="273">
        <f t="shared" si="351"/>
        <v>8.306507908569552E-2</v>
      </c>
      <c r="CS63" s="273">
        <f t="shared" si="351"/>
        <v>8.3378509630126732E-2</v>
      </c>
      <c r="CT63" s="273">
        <f t="shared" si="351"/>
        <v>8.4098295027213013E-2</v>
      </c>
      <c r="CU63" s="273">
        <f t="shared" si="351"/>
        <v>8.3153407135776028E-2</v>
      </c>
      <c r="CV63" s="273">
        <f t="shared" si="351"/>
        <v>8.219579997127327E-2</v>
      </c>
      <c r="CW63" s="273">
        <f t="shared" si="351"/>
        <v>8.2410727836445388E-2</v>
      </c>
      <c r="CX63" s="273">
        <f t="shared" si="351"/>
        <v>8.2756159307074528E-2</v>
      </c>
      <c r="CY63" s="273">
        <f t="shared" si="351"/>
        <v>8.2338692423771731E-2</v>
      </c>
      <c r="CZ63" s="273">
        <f t="shared" si="351"/>
        <v>8.1517590164806308E-2</v>
      </c>
      <c r="DA63" s="273">
        <f t="shared" si="351"/>
        <v>8.1714709319514245E-2</v>
      </c>
      <c r="DB63" s="273">
        <f t="shared" si="351"/>
        <v>8.189450977285645E-2</v>
      </c>
      <c r="DE63" s="274"/>
      <c r="DF63" s="272">
        <v>8.5000000000000006E-2</v>
      </c>
    </row>
    <row r="64" spans="1:110" s="276" customFormat="1" x14ac:dyDescent="0.2">
      <c r="A64" s="275" t="s">
        <v>600</v>
      </c>
      <c r="B64" s="260"/>
      <c r="C64" s="260"/>
      <c r="D64" s="260"/>
      <c r="E64" s="260"/>
      <c r="F64" s="260"/>
      <c r="G64" s="260"/>
      <c r="H64" s="260"/>
      <c r="I64" s="260"/>
      <c r="J64" s="260"/>
      <c r="K64" s="260"/>
      <c r="L64" s="260"/>
      <c r="M64" s="260"/>
      <c r="N64" s="260"/>
      <c r="O64" s="260"/>
      <c r="P64" s="260"/>
      <c r="Q64" s="260"/>
      <c r="R64" s="260"/>
      <c r="S64" s="260"/>
      <c r="T64" s="260"/>
      <c r="U64" s="260">
        <f t="shared" ref="U64:AE64" si="353">+U50/U37</f>
        <v>8.1635206138278057E-2</v>
      </c>
      <c r="V64" s="260">
        <f t="shared" si="353"/>
        <v>8.5088718867003088E-2</v>
      </c>
      <c r="W64" s="260">
        <f t="shared" si="353"/>
        <v>8.1777249875697469E-2</v>
      </c>
      <c r="X64" s="260">
        <f t="shared" si="353"/>
        <v>6.9928618379325846E-2</v>
      </c>
      <c r="Y64" s="260">
        <f t="shared" si="353"/>
        <v>6.2042984957930182E-2</v>
      </c>
      <c r="Z64" s="260">
        <f t="shared" si="353"/>
        <v>6.4374081002640554E-2</v>
      </c>
      <c r="AA64" s="261">
        <f t="shared" si="353"/>
        <v>6.8516167575237097E-2</v>
      </c>
      <c r="AB64" s="261">
        <f t="shared" si="353"/>
        <v>7.4227488026828908E-2</v>
      </c>
      <c r="AC64" s="261">
        <f t="shared" si="353"/>
        <v>7.4633688968124626E-2</v>
      </c>
      <c r="AD64" s="261">
        <f t="shared" si="353"/>
        <v>7.4736812550476636E-2</v>
      </c>
      <c r="AE64" s="261">
        <f t="shared" si="353"/>
        <v>7.4758386648884692E-2</v>
      </c>
      <c r="AI64" s="260"/>
      <c r="AJ64" s="260"/>
      <c r="AK64" s="260"/>
      <c r="AL64" s="260"/>
      <c r="AM64" s="260"/>
      <c r="AN64" s="260"/>
      <c r="AO64" s="260"/>
      <c r="AP64" s="260"/>
      <c r="AQ64" s="260"/>
      <c r="AR64" s="260"/>
      <c r="AS64" s="260"/>
      <c r="AT64" s="260"/>
      <c r="AU64" s="260"/>
      <c r="AV64" s="260"/>
      <c r="AW64" s="260"/>
      <c r="AX64" s="260"/>
      <c r="AY64" s="260"/>
      <c r="AZ64" s="260"/>
      <c r="BA64" s="260"/>
      <c r="BB64" s="260"/>
      <c r="BC64" s="260"/>
      <c r="BD64" s="260"/>
      <c r="BE64" s="260"/>
      <c r="BF64" s="260"/>
      <c r="BG64" s="260"/>
      <c r="BH64" s="260"/>
      <c r="BI64" s="260"/>
      <c r="BJ64" s="260"/>
      <c r="BK64" s="260">
        <f t="shared" ref="BK64:CJ64" si="354">+BK50/BK37</f>
        <v>6.4219508606738265E-2</v>
      </c>
      <c r="BL64" s="260">
        <f t="shared" si="354"/>
        <v>7.1842267406038204E-2</v>
      </c>
      <c r="BM64" s="260">
        <f t="shared" si="354"/>
        <v>6.1317984259368026E-2</v>
      </c>
      <c r="BN64" s="260">
        <f t="shared" si="354"/>
        <v>0.11119081779053085</v>
      </c>
      <c r="BO64" s="260">
        <f t="shared" si="354"/>
        <v>6.2568434224933522E-2</v>
      </c>
      <c r="BP64" s="260">
        <f t="shared" si="354"/>
        <v>6.3613231552162849E-2</v>
      </c>
      <c r="BQ64" s="260">
        <f t="shared" si="354"/>
        <v>6.2041950972959316E-2</v>
      </c>
      <c r="BR64" s="260">
        <f t="shared" si="354"/>
        <v>0.11509146341463415</v>
      </c>
      <c r="BS64" s="260">
        <f t="shared" si="354"/>
        <v>7.0708041118263038E-2</v>
      </c>
      <c r="BT64" s="260">
        <f t="shared" si="354"/>
        <v>8.2740788623141562E-2</v>
      </c>
      <c r="BU64" s="260">
        <f t="shared" si="354"/>
        <v>7.0754974107386209E-2</v>
      </c>
      <c r="BV64" s="260">
        <f t="shared" si="354"/>
        <v>9.2003902176472571E-2</v>
      </c>
      <c r="BW64" s="260">
        <f t="shared" si="354"/>
        <v>6.4805020802482197E-2</v>
      </c>
      <c r="BX64" s="260">
        <f t="shared" si="354"/>
        <v>6.6442953020134227E-2</v>
      </c>
      <c r="BY64" s="260">
        <f t="shared" si="354"/>
        <v>6.9586219467736049E-2</v>
      </c>
      <c r="BZ64" s="260">
        <f t="shared" si="354"/>
        <v>7.4658894369354939E-2</v>
      </c>
      <c r="CA64" s="260">
        <f t="shared" si="354"/>
        <v>5.0639223864357603E-2</v>
      </c>
      <c r="CB64" s="260">
        <f t="shared" si="354"/>
        <v>5.4117742656319828E-2</v>
      </c>
      <c r="CC64" s="260">
        <f t="shared" si="354"/>
        <v>5.4659723469204523E-2</v>
      </c>
      <c r="CD64" s="260">
        <f t="shared" si="354"/>
        <v>7.9190219534639145E-2</v>
      </c>
      <c r="CE64" s="260">
        <f t="shared" si="354"/>
        <v>5.771517764233685E-2</v>
      </c>
      <c r="CF64" s="260">
        <f t="shared" si="354"/>
        <v>6.0274144082118043E-2</v>
      </c>
      <c r="CG64" s="260">
        <f t="shared" si="354"/>
        <v>5.5206323520258914E-2</v>
      </c>
      <c r="CH64" s="260">
        <f t="shared" si="354"/>
        <v>7.9920824657463821E-2</v>
      </c>
      <c r="CI64" s="260">
        <f t="shared" si="354"/>
        <v>5.6612303091421221E-2</v>
      </c>
      <c r="CJ64" s="260">
        <f t="shared" si="354"/>
        <v>6.2785352183632986E-2</v>
      </c>
      <c r="CK64" s="260">
        <f t="shared" ref="CK64:CL64" si="355">+CK50/CK37</f>
        <v>6.0949554896142434E-2</v>
      </c>
      <c r="CL64" s="260">
        <f t="shared" si="355"/>
        <v>8.8149342469894698E-2</v>
      </c>
      <c r="CM64" s="277">
        <f>+AVERAGE(CI64:CL64)+0.5%</f>
        <v>7.2124138160272841E-2</v>
      </c>
      <c r="CN64" s="277">
        <f>+AVERAGE(CJ64:CM64)+0.25%</f>
        <v>7.3502096927485744E-2</v>
      </c>
      <c r="CO64" s="277">
        <f t="shared" ref="CO64:DB64" si="356">+AVERAGE(CK64:CN64)</f>
        <v>7.3681283113448931E-2</v>
      </c>
      <c r="CP64" s="277">
        <f t="shared" si="356"/>
        <v>7.6864215167775557E-2</v>
      </c>
      <c r="CQ64" s="277">
        <f t="shared" si="356"/>
        <v>7.4042933342245765E-2</v>
      </c>
      <c r="CR64" s="277">
        <f t="shared" si="356"/>
        <v>7.4522632137738992E-2</v>
      </c>
      <c r="CS64" s="277">
        <f t="shared" si="356"/>
        <v>7.4777765940302304E-2</v>
      </c>
      <c r="CT64" s="277">
        <f t="shared" si="356"/>
        <v>7.5051886647015648E-2</v>
      </c>
      <c r="CU64" s="277">
        <f t="shared" si="356"/>
        <v>7.4598804516825684E-2</v>
      </c>
      <c r="CV64" s="277">
        <f t="shared" si="356"/>
        <v>7.4737772310470657E-2</v>
      </c>
      <c r="CW64" s="277">
        <f t="shared" si="356"/>
        <v>7.4791557353653573E-2</v>
      </c>
      <c r="CX64" s="277">
        <f t="shared" si="356"/>
        <v>7.4795005206991394E-2</v>
      </c>
      <c r="CY64" s="277">
        <f t="shared" si="356"/>
        <v>7.4730784846985324E-2</v>
      </c>
      <c r="CZ64" s="277">
        <f t="shared" si="356"/>
        <v>7.4763779929525237E-2</v>
      </c>
      <c r="DA64" s="277">
        <f t="shared" si="356"/>
        <v>7.4770281834288882E-2</v>
      </c>
      <c r="DB64" s="277">
        <f t="shared" si="356"/>
        <v>7.4764962954447706E-2</v>
      </c>
      <c r="DE64" s="278"/>
      <c r="DF64" s="276">
        <v>6.5000000000000002E-2</v>
      </c>
    </row>
    <row r="65" spans="1:110" s="276" customFormat="1" x14ac:dyDescent="0.2">
      <c r="A65" s="275" t="s">
        <v>601</v>
      </c>
      <c r="B65" s="260"/>
      <c r="C65" s="260"/>
      <c r="D65" s="260"/>
      <c r="E65" s="260"/>
      <c r="F65" s="260"/>
      <c r="G65" s="260"/>
      <c r="H65" s="260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>
        <f t="shared" ref="U65:AE65" si="357">+U51/U38</f>
        <v>0.11017550978999696</v>
      </c>
      <c r="V65" s="260">
        <f t="shared" si="357"/>
        <v>9.2939947261057768E-2</v>
      </c>
      <c r="W65" s="260">
        <f t="shared" si="357"/>
        <v>7.8116390454795917E-2</v>
      </c>
      <c r="X65" s="260">
        <f t="shared" si="357"/>
        <v>9.1376264653926453E-2</v>
      </c>
      <c r="Y65" s="260">
        <f t="shared" si="357"/>
        <v>9.9766410508141778E-2</v>
      </c>
      <c r="Z65" s="260">
        <f t="shared" si="357"/>
        <v>8.4595711194176665E-2</v>
      </c>
      <c r="AA65" s="261">
        <f t="shared" si="357"/>
        <v>6.7557224085143613E-2</v>
      </c>
      <c r="AB65" s="261">
        <f t="shared" si="357"/>
        <v>6.4963239725201877E-2</v>
      </c>
      <c r="AC65" s="261">
        <f t="shared" si="357"/>
        <v>6.4963239725201877E-2</v>
      </c>
      <c r="AD65" s="261">
        <f t="shared" si="357"/>
        <v>6.4963239725201877E-2</v>
      </c>
      <c r="AE65" s="261">
        <f t="shared" si="357"/>
        <v>6.4963239725201891E-2</v>
      </c>
      <c r="AI65" s="260"/>
      <c r="AJ65" s="260"/>
      <c r="AK65" s="260"/>
      <c r="AL65" s="260"/>
      <c r="AM65" s="260"/>
      <c r="AN65" s="260"/>
      <c r="AO65" s="260"/>
      <c r="AP65" s="260"/>
      <c r="AQ65" s="260"/>
      <c r="AR65" s="260"/>
      <c r="AS65" s="260"/>
      <c r="AT65" s="260"/>
      <c r="AU65" s="260"/>
      <c r="AV65" s="260"/>
      <c r="AW65" s="260"/>
      <c r="AX65" s="260"/>
      <c r="AY65" s="260"/>
      <c r="AZ65" s="260"/>
      <c r="BA65" s="260"/>
      <c r="BB65" s="260"/>
      <c r="BC65" s="260"/>
      <c r="BD65" s="260"/>
      <c r="BE65" s="260"/>
      <c r="BF65" s="260"/>
      <c r="BG65" s="260"/>
      <c r="BH65" s="260"/>
      <c r="BI65" s="260"/>
      <c r="BJ65" s="260"/>
      <c r="BK65" s="260">
        <f t="shared" ref="BK65:CJ65" si="358">+BK51/BK38</f>
        <v>7.0074005550416277E-2</v>
      </c>
      <c r="BL65" s="260">
        <f t="shared" si="358"/>
        <v>0.11638111157542834</v>
      </c>
      <c r="BM65" s="260">
        <f t="shared" si="358"/>
        <v>0.10903365479236371</v>
      </c>
      <c r="BN65" s="260">
        <f t="shared" si="358"/>
        <v>0.13724425131269238</v>
      </c>
      <c r="BO65" s="260">
        <f t="shared" si="358"/>
        <v>4.8603026775320142E-2</v>
      </c>
      <c r="BP65" s="260">
        <f t="shared" si="358"/>
        <v>7.6939336292538574E-2</v>
      </c>
      <c r="BQ65" s="260">
        <f t="shared" si="358"/>
        <v>0.10501508295625943</v>
      </c>
      <c r="BR65" s="260">
        <f t="shared" si="358"/>
        <v>0.11768255884127941</v>
      </c>
      <c r="BS65" s="260">
        <f t="shared" si="358"/>
        <v>7.4964639321074958E-2</v>
      </c>
      <c r="BT65" s="260">
        <f t="shared" si="358"/>
        <v>6.5540879451596729E-2</v>
      </c>
      <c r="BU65" s="260">
        <f t="shared" si="358"/>
        <v>8.2744702320887986E-2</v>
      </c>
      <c r="BV65" s="260">
        <f t="shared" si="358"/>
        <v>8.7539079946404641E-2</v>
      </c>
      <c r="BW65" s="260">
        <f t="shared" si="358"/>
        <v>8.5156712004730933E-2</v>
      </c>
      <c r="BX65" s="260">
        <f t="shared" si="358"/>
        <v>8.4496956677407808E-2</v>
      </c>
      <c r="BY65" s="260">
        <f t="shared" si="358"/>
        <v>8.653087004579188E-2</v>
      </c>
      <c r="BZ65" s="260">
        <f t="shared" si="358"/>
        <v>0.10409297625063163</v>
      </c>
      <c r="CA65" s="260">
        <f t="shared" si="358"/>
        <v>9.0990721340915889E-2</v>
      </c>
      <c r="CB65" s="260">
        <f t="shared" si="358"/>
        <v>9.5167943429581611E-2</v>
      </c>
      <c r="CC65" s="260">
        <f t="shared" si="358"/>
        <v>9.6642929806714142E-2</v>
      </c>
      <c r="CD65" s="260">
        <f t="shared" si="358"/>
        <v>0.11371115173674588</v>
      </c>
      <c r="CE65" s="260">
        <f t="shared" si="358"/>
        <v>8.7227781047675104E-2</v>
      </c>
      <c r="CF65" s="260">
        <f t="shared" si="358"/>
        <v>8.8961551471417294E-2</v>
      </c>
      <c r="CG65" s="260">
        <f t="shared" si="358"/>
        <v>8.252646819292371E-2</v>
      </c>
      <c r="CH65" s="260">
        <f t="shared" si="358"/>
        <v>8.1476038860315125E-2</v>
      </c>
      <c r="CI65" s="260">
        <f t="shared" si="358"/>
        <v>7.3376102646351249E-2</v>
      </c>
      <c r="CJ65" s="260">
        <f t="shared" si="358"/>
        <v>7.3306833817459102E-2</v>
      </c>
      <c r="CK65" s="260">
        <f t="shared" ref="CK65:CL65" si="359">+CK51/CK38</f>
        <v>5.9327361307559327E-2</v>
      </c>
      <c r="CL65" s="260">
        <f t="shared" si="359"/>
        <v>6.4963239725201877E-2</v>
      </c>
      <c r="CM65" s="277">
        <f>+CL65</f>
        <v>6.4963239725201877E-2</v>
      </c>
      <c r="CN65" s="277">
        <f t="shared" ref="CN65:DB65" si="360">+CM65</f>
        <v>6.4963239725201877E-2</v>
      </c>
      <c r="CO65" s="277">
        <f t="shared" si="360"/>
        <v>6.4963239725201877E-2</v>
      </c>
      <c r="CP65" s="277">
        <f t="shared" si="360"/>
        <v>6.4963239725201877E-2</v>
      </c>
      <c r="CQ65" s="277">
        <f t="shared" si="360"/>
        <v>6.4963239725201877E-2</v>
      </c>
      <c r="CR65" s="277">
        <f t="shared" si="360"/>
        <v>6.4963239725201877E-2</v>
      </c>
      <c r="CS65" s="277">
        <f t="shared" si="360"/>
        <v>6.4963239725201877E-2</v>
      </c>
      <c r="CT65" s="277">
        <f t="shared" si="360"/>
        <v>6.4963239725201877E-2</v>
      </c>
      <c r="CU65" s="277">
        <f t="shared" si="360"/>
        <v>6.4963239725201877E-2</v>
      </c>
      <c r="CV65" s="277">
        <f t="shared" si="360"/>
        <v>6.4963239725201877E-2</v>
      </c>
      <c r="CW65" s="277">
        <f t="shared" si="360"/>
        <v>6.4963239725201877E-2</v>
      </c>
      <c r="CX65" s="277">
        <f t="shared" si="360"/>
        <v>6.4963239725201877E-2</v>
      </c>
      <c r="CY65" s="277">
        <f t="shared" si="360"/>
        <v>6.4963239725201877E-2</v>
      </c>
      <c r="CZ65" s="277">
        <f t="shared" si="360"/>
        <v>6.4963239725201877E-2</v>
      </c>
      <c r="DA65" s="277">
        <f t="shared" si="360"/>
        <v>6.4963239725201877E-2</v>
      </c>
      <c r="DB65" s="277">
        <f t="shared" si="360"/>
        <v>6.4963239725201877E-2</v>
      </c>
      <c r="DE65" s="278"/>
      <c r="DF65" s="276">
        <v>0.06</v>
      </c>
    </row>
    <row r="66" spans="1:110" s="276" customFormat="1" x14ac:dyDescent="0.2">
      <c r="A66" s="275" t="s">
        <v>602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>
        <f t="shared" ref="U66:AE66" si="361">+U52/U39</f>
        <v>0.19822711294513221</v>
      </c>
      <c r="V66" s="260">
        <f t="shared" si="361"/>
        <v>0.21090551825773701</v>
      </c>
      <c r="W66" s="260">
        <f t="shared" si="361"/>
        <v>0.19643157717555967</v>
      </c>
      <c r="X66" s="260">
        <f t="shared" si="361"/>
        <v>0.17964804896710024</v>
      </c>
      <c r="Y66" s="260">
        <f t="shared" si="361"/>
        <v>0.163026235509457</v>
      </c>
      <c r="Z66" s="260">
        <f t="shared" si="361"/>
        <v>0.17349149045899948</v>
      </c>
      <c r="AA66" s="261">
        <f t="shared" si="361"/>
        <v>0.16698561202069601</v>
      </c>
      <c r="AB66" s="261">
        <f t="shared" si="361"/>
        <v>0.2</v>
      </c>
      <c r="AC66" s="261">
        <f t="shared" si="361"/>
        <v>0.19999999999999998</v>
      </c>
      <c r="AD66" s="261">
        <f t="shared" si="361"/>
        <v>0.2</v>
      </c>
      <c r="AE66" s="261">
        <f t="shared" si="361"/>
        <v>0.19999999999999998</v>
      </c>
      <c r="AI66" s="260"/>
      <c r="AJ66" s="260"/>
      <c r="AK66" s="260"/>
      <c r="AL66" s="260"/>
      <c r="AM66" s="260"/>
      <c r="AN66" s="260"/>
      <c r="AO66" s="260"/>
      <c r="AP66" s="260"/>
      <c r="AQ66" s="260"/>
      <c r="AR66" s="260"/>
      <c r="AS66" s="260"/>
      <c r="AT66" s="260"/>
      <c r="AU66" s="260"/>
      <c r="AV66" s="260"/>
      <c r="AW66" s="260"/>
      <c r="AX66" s="260"/>
      <c r="AY66" s="260"/>
      <c r="AZ66" s="260"/>
      <c r="BA66" s="260"/>
      <c r="BB66" s="260"/>
      <c r="BC66" s="260"/>
      <c r="BD66" s="260"/>
      <c r="BE66" s="260"/>
      <c r="BF66" s="260"/>
      <c r="BG66" s="260"/>
      <c r="BH66" s="260"/>
      <c r="BI66" s="260"/>
      <c r="BJ66" s="260"/>
      <c r="BK66" s="260">
        <f t="shared" ref="BK66:CJ66" si="362">+BK52/BK39</f>
        <v>0.18021006080707574</v>
      </c>
      <c r="BL66" s="260">
        <f t="shared" si="362"/>
        <v>0.20698412698412699</v>
      </c>
      <c r="BM66" s="260">
        <f t="shared" si="362"/>
        <v>0.22074159907300117</v>
      </c>
      <c r="BN66" s="260">
        <f t="shared" si="362"/>
        <v>0.18422889043963714</v>
      </c>
      <c r="BO66" s="260">
        <f t="shared" si="362"/>
        <v>0.1492361927144536</v>
      </c>
      <c r="BP66" s="260">
        <f t="shared" si="362"/>
        <v>0.15885797950219618</v>
      </c>
      <c r="BQ66" s="260">
        <f t="shared" si="362"/>
        <v>0.18119658119658119</v>
      </c>
      <c r="BR66" s="260">
        <f t="shared" si="362"/>
        <v>0.29320843091334897</v>
      </c>
      <c r="BS66" s="260">
        <f t="shared" si="362"/>
        <v>0.19240097008892482</v>
      </c>
      <c r="BT66" s="260">
        <f t="shared" si="362"/>
        <v>0.14567733151803949</v>
      </c>
      <c r="BU66" s="260">
        <f t="shared" si="362"/>
        <v>0.19891378139850646</v>
      </c>
      <c r="BV66" s="260">
        <f t="shared" si="362"/>
        <v>0.23950056753688989</v>
      </c>
      <c r="BW66" s="260">
        <f t="shared" si="362"/>
        <v>0.15094339622641509</v>
      </c>
      <c r="BX66" s="260">
        <f t="shared" si="362"/>
        <v>0.18543956043956045</v>
      </c>
      <c r="BY66" s="260">
        <f t="shared" si="362"/>
        <v>0.17513448894202033</v>
      </c>
      <c r="BZ66" s="260">
        <f t="shared" si="362"/>
        <v>0.19634489222118087</v>
      </c>
      <c r="CA66" s="260">
        <f t="shared" si="362"/>
        <v>0.16788321167883211</v>
      </c>
      <c r="CB66" s="260">
        <f t="shared" si="362"/>
        <v>0.14899257688229056</v>
      </c>
      <c r="CC66" s="260">
        <f t="shared" si="362"/>
        <v>0.1665053242981607</v>
      </c>
      <c r="CD66" s="260">
        <f t="shared" si="362"/>
        <v>0.16734362307067424</v>
      </c>
      <c r="CE66" s="260">
        <f t="shared" si="362"/>
        <v>0.17398373983739837</v>
      </c>
      <c r="CF66" s="260">
        <f t="shared" si="362"/>
        <v>0.12845370819195345</v>
      </c>
      <c r="CG66" s="260">
        <f t="shared" si="362"/>
        <v>0.18207973695026716</v>
      </c>
      <c r="CH66" s="260">
        <f t="shared" si="362"/>
        <v>0.19469290399522957</v>
      </c>
      <c r="CI66" s="260">
        <f t="shared" si="362"/>
        <v>0.15060427641772545</v>
      </c>
      <c r="CJ66" s="260">
        <f t="shared" si="362"/>
        <v>0.1466957153231663</v>
      </c>
      <c r="CK66" s="260">
        <f t="shared" ref="CK66:CL66" si="363">+CK52/CK39</f>
        <v>0.18273645546372819</v>
      </c>
      <c r="CL66" s="260">
        <f t="shared" si="363"/>
        <v>0.17876980045258178</v>
      </c>
      <c r="CM66" s="277">
        <v>0.2</v>
      </c>
      <c r="CN66" s="277">
        <v>0.2</v>
      </c>
      <c r="CO66" s="277">
        <v>0.2</v>
      </c>
      <c r="CP66" s="277">
        <v>0.2</v>
      </c>
      <c r="CQ66" s="277">
        <v>0.2</v>
      </c>
      <c r="CR66" s="277">
        <v>0.2</v>
      </c>
      <c r="CS66" s="277">
        <v>0.2</v>
      </c>
      <c r="CT66" s="277">
        <v>0.2</v>
      </c>
      <c r="CU66" s="277">
        <v>0.2</v>
      </c>
      <c r="CV66" s="277">
        <v>0.2</v>
      </c>
      <c r="CW66" s="277">
        <v>0.2</v>
      </c>
      <c r="CX66" s="277">
        <v>0.2</v>
      </c>
      <c r="CY66" s="277">
        <v>0.2</v>
      </c>
      <c r="CZ66" s="277">
        <v>0.2</v>
      </c>
      <c r="DA66" s="277">
        <v>0.2</v>
      </c>
      <c r="DB66" s="277">
        <v>0.2</v>
      </c>
      <c r="DE66" s="278"/>
      <c r="DF66" s="276">
        <v>0.2</v>
      </c>
    </row>
    <row r="67" spans="1:110" s="276" customFormat="1" x14ac:dyDescent="0.2">
      <c r="A67" s="275" t="s">
        <v>603</v>
      </c>
      <c r="B67" s="260"/>
      <c r="C67" s="260"/>
      <c r="D67" s="260"/>
      <c r="E67" s="260"/>
      <c r="F67" s="260"/>
      <c r="G67" s="260"/>
      <c r="H67" s="260"/>
      <c r="I67" s="260"/>
      <c r="J67" s="260"/>
      <c r="K67" s="260"/>
      <c r="L67" s="260"/>
      <c r="M67" s="260"/>
      <c r="N67" s="260"/>
      <c r="O67" s="260"/>
      <c r="P67" s="260"/>
      <c r="Q67" s="260"/>
      <c r="R67" s="260"/>
      <c r="S67" s="260"/>
      <c r="T67" s="260"/>
      <c r="U67" s="260">
        <f t="shared" ref="U67:AE67" si="364">+U53/U40</f>
        <v>0.17641582622187743</v>
      </c>
      <c r="V67" s="260">
        <f t="shared" si="364"/>
        <v>0.20960027331738981</v>
      </c>
      <c r="W67" s="260">
        <f t="shared" si="364"/>
        <v>0.18601538976246237</v>
      </c>
      <c r="X67" s="260">
        <f t="shared" si="364"/>
        <v>0.19755129053606882</v>
      </c>
      <c r="Y67" s="260">
        <f t="shared" si="364"/>
        <v>0.21219672131147541</v>
      </c>
      <c r="Z67" s="260">
        <f t="shared" si="364"/>
        <v>0.29167846023209737</v>
      </c>
      <c r="AA67" s="261">
        <f t="shared" si="364"/>
        <v>0.31326660087410124</v>
      </c>
      <c r="AB67" s="261">
        <f t="shared" si="364"/>
        <v>0.30670955949710704</v>
      </c>
      <c r="AC67" s="261">
        <f t="shared" si="364"/>
        <v>0.30535622062508694</v>
      </c>
      <c r="AD67" s="261">
        <f t="shared" si="364"/>
        <v>0.3050579292621805</v>
      </c>
      <c r="AE67" s="261">
        <f t="shared" si="364"/>
        <v>0.30500113822657932</v>
      </c>
      <c r="AI67" s="260"/>
      <c r="AJ67" s="260"/>
      <c r="AK67" s="260"/>
      <c r="AL67" s="260"/>
      <c r="AM67" s="260"/>
      <c r="AN67" s="260"/>
      <c r="AO67" s="260"/>
      <c r="AP67" s="260"/>
      <c r="AQ67" s="260"/>
      <c r="AR67" s="260"/>
      <c r="AS67" s="260"/>
      <c r="AT67" s="260"/>
      <c r="AU67" s="260"/>
      <c r="AV67" s="260"/>
      <c r="AW67" s="260"/>
      <c r="AX67" s="260"/>
      <c r="AY67" s="260"/>
      <c r="AZ67" s="260"/>
      <c r="BA67" s="260"/>
      <c r="BB67" s="260"/>
      <c r="BC67" s="260"/>
      <c r="BD67" s="260"/>
      <c r="BE67" s="260"/>
      <c r="BF67" s="260"/>
      <c r="BG67" s="260"/>
      <c r="BH67" s="260"/>
      <c r="BI67" s="260"/>
      <c r="BJ67" s="260"/>
      <c r="BK67" s="260">
        <f t="shared" ref="BK67:CJ67" si="365">+BK53/BK40</f>
        <v>0.19875776397515527</v>
      </c>
      <c r="BL67" s="260">
        <f t="shared" si="365"/>
        <v>0.18329938900203666</v>
      </c>
      <c r="BM67" s="260">
        <f t="shared" si="365"/>
        <v>0.1866840731070496</v>
      </c>
      <c r="BN67" s="260">
        <f t="shared" si="365"/>
        <v>0.13533333333333333</v>
      </c>
      <c r="BO67" s="260">
        <f t="shared" si="365"/>
        <v>6.7226890756302518E-2</v>
      </c>
      <c r="BP67" s="260">
        <f t="shared" si="365"/>
        <v>0.1801665404996215</v>
      </c>
      <c r="BQ67" s="260">
        <f t="shared" si="365"/>
        <v>0.34338863750628457</v>
      </c>
      <c r="BR67" s="260">
        <f t="shared" si="365"/>
        <v>0.14098360655737704</v>
      </c>
      <c r="BS67" s="260">
        <f t="shared" si="365"/>
        <v>0.17045454545454544</v>
      </c>
      <c r="BT67" s="260">
        <f t="shared" si="365"/>
        <v>0.21464829586656997</v>
      </c>
      <c r="BU67" s="260">
        <f t="shared" si="365"/>
        <v>0.14707903780068729</v>
      </c>
      <c r="BV67" s="260">
        <f t="shared" si="365"/>
        <v>0.20668859649122806</v>
      </c>
      <c r="BW67" s="260">
        <f t="shared" si="365"/>
        <v>0.18609406952965235</v>
      </c>
      <c r="BX67" s="260">
        <f t="shared" si="365"/>
        <v>0.17489421720733428</v>
      </c>
      <c r="BY67" s="260">
        <f t="shared" si="365"/>
        <v>0.21601763409257899</v>
      </c>
      <c r="BZ67" s="260">
        <f t="shared" si="365"/>
        <v>0.21078976640711902</v>
      </c>
      <c r="CA67" s="260">
        <f t="shared" si="365"/>
        <v>0.18579234972677597</v>
      </c>
      <c r="CB67" s="260">
        <f t="shared" si="365"/>
        <v>0.1997533908754624</v>
      </c>
      <c r="CC67" s="260">
        <f t="shared" si="365"/>
        <v>0.24379084967320261</v>
      </c>
      <c r="CD67" s="260">
        <f t="shared" si="365"/>
        <v>0.22529644268774704</v>
      </c>
      <c r="CE67" s="260">
        <f t="shared" si="365"/>
        <v>0.23345454545454544</v>
      </c>
      <c r="CF67" s="260">
        <f t="shared" si="365"/>
        <v>0.25060679611650488</v>
      </c>
      <c r="CG67" s="260">
        <f t="shared" si="365"/>
        <v>0.27419354838709675</v>
      </c>
      <c r="CH67" s="260">
        <f t="shared" si="365"/>
        <v>0.36639932460953989</v>
      </c>
      <c r="CI67" s="260">
        <f t="shared" si="365"/>
        <v>0.32878679109834891</v>
      </c>
      <c r="CJ67" s="260">
        <f t="shared" si="365"/>
        <v>0.31285310734463279</v>
      </c>
      <c r="CK67" s="260">
        <f t="shared" ref="CK67:CL67" si="366">+CK53/CK40</f>
        <v>0.32845026985350811</v>
      </c>
      <c r="CL67" s="260">
        <f t="shared" si="366"/>
        <v>0.27751479289940828</v>
      </c>
      <c r="CM67" s="277">
        <f t="shared" ref="CM67:DB67" si="367">+AVERAGE(CI67:CL67)</f>
        <v>0.31190124029897448</v>
      </c>
      <c r="CN67" s="277">
        <f t="shared" si="367"/>
        <v>0.30767985259913089</v>
      </c>
      <c r="CO67" s="277">
        <f t="shared" si="367"/>
        <v>0.30638653891275547</v>
      </c>
      <c r="CP67" s="277">
        <f t="shared" si="367"/>
        <v>0.30087060617756728</v>
      </c>
      <c r="CQ67" s="277">
        <f t="shared" si="367"/>
        <v>0.30670955949710704</v>
      </c>
      <c r="CR67" s="277">
        <f t="shared" si="367"/>
        <v>0.30541163929664017</v>
      </c>
      <c r="CS67" s="277">
        <f t="shared" si="367"/>
        <v>0.30484458597101749</v>
      </c>
      <c r="CT67" s="277">
        <f t="shared" si="367"/>
        <v>0.304459097735583</v>
      </c>
      <c r="CU67" s="277">
        <f t="shared" si="367"/>
        <v>0.30535622062508694</v>
      </c>
      <c r="CV67" s="277">
        <f t="shared" si="367"/>
        <v>0.3050178859070819</v>
      </c>
      <c r="CW67" s="277">
        <f t="shared" si="367"/>
        <v>0.30491944755969236</v>
      </c>
      <c r="CX67" s="277">
        <f t="shared" si="367"/>
        <v>0.30493816295686105</v>
      </c>
      <c r="CY67" s="277">
        <f t="shared" si="367"/>
        <v>0.30505792926218056</v>
      </c>
      <c r="CZ67" s="277">
        <f t="shared" si="367"/>
        <v>0.30498335642145397</v>
      </c>
      <c r="DA67" s="277">
        <f t="shared" si="367"/>
        <v>0.304974724050047</v>
      </c>
      <c r="DB67" s="277">
        <f t="shared" si="367"/>
        <v>0.30498854317263568</v>
      </c>
      <c r="DE67" s="278"/>
      <c r="DF67" s="276">
        <v>0.33400000000000002</v>
      </c>
    </row>
    <row r="68" spans="1:110" s="109" customFormat="1" x14ac:dyDescent="0.2">
      <c r="A68" s="185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8"/>
      <c r="AB68" s="108"/>
      <c r="AC68" s="108"/>
      <c r="AD68" s="108"/>
      <c r="AE68" s="108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  <c r="AU68" s="107"/>
      <c r="AV68" s="107"/>
      <c r="AW68" s="107"/>
      <c r="AX68" s="107"/>
      <c r="AY68" s="107"/>
      <c r="AZ68" s="107"/>
      <c r="BA68" s="107"/>
      <c r="BB68" s="107"/>
      <c r="BC68" s="107"/>
      <c r="BD68" s="107"/>
      <c r="BE68" s="107"/>
      <c r="BF68" s="107"/>
      <c r="BG68" s="107"/>
      <c r="BH68" s="107"/>
      <c r="BI68" s="107"/>
      <c r="BJ68" s="107"/>
      <c r="BK68" s="107"/>
      <c r="BL68" s="107"/>
      <c r="BM68" s="107"/>
      <c r="BN68" s="107"/>
      <c r="BO68" s="107"/>
      <c r="BP68" s="107"/>
      <c r="BQ68" s="107"/>
      <c r="BR68" s="107"/>
      <c r="BS68" s="107"/>
      <c r="BT68" s="107"/>
      <c r="BU68" s="107"/>
      <c r="BV68" s="107"/>
      <c r="BW68" s="107"/>
      <c r="BX68" s="107"/>
      <c r="BY68" s="107"/>
      <c r="BZ68" s="107"/>
      <c r="CA68" s="107"/>
      <c r="CB68" s="107"/>
      <c r="CC68" s="107"/>
      <c r="CD68" s="107"/>
      <c r="CE68" s="107"/>
      <c r="CF68" s="107"/>
      <c r="CG68" s="107"/>
      <c r="CH68" s="107"/>
      <c r="CI68" s="107"/>
      <c r="CJ68" s="225"/>
      <c r="CK68" s="225"/>
      <c r="CL68" s="225"/>
      <c r="CM68" s="230"/>
      <c r="CN68" s="230"/>
      <c r="CO68" s="230"/>
      <c r="CP68" s="230"/>
      <c r="CQ68" s="230"/>
      <c r="CR68" s="230"/>
      <c r="CS68" s="230"/>
      <c r="CT68" s="230"/>
      <c r="CU68" s="230"/>
      <c r="CV68" s="230"/>
      <c r="CW68" s="230"/>
      <c r="CX68" s="230"/>
      <c r="CY68" s="230"/>
      <c r="CZ68" s="230"/>
      <c r="DA68" s="230"/>
      <c r="DB68" s="230"/>
      <c r="DE68" s="117"/>
    </row>
    <row r="69" spans="1:110" s="188" customFormat="1" x14ac:dyDescent="0.2">
      <c r="A69" s="186" t="s">
        <v>15</v>
      </c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  <c r="AB69" s="187"/>
      <c r="AC69" s="187"/>
      <c r="AD69" s="187"/>
      <c r="AE69" s="187"/>
      <c r="AI69" s="187"/>
      <c r="AJ69" s="187"/>
      <c r="AK69" s="187"/>
      <c r="AL69" s="187"/>
      <c r="AM69" s="187"/>
      <c r="AN69" s="187"/>
      <c r="AO69" s="187"/>
      <c r="AP69" s="187"/>
      <c r="AQ69" s="187"/>
      <c r="AR69" s="187"/>
      <c r="AS69" s="187"/>
      <c r="AT69" s="187"/>
      <c r="AU69" s="187"/>
      <c r="AV69" s="187"/>
      <c r="AW69" s="187"/>
      <c r="AX69" s="187"/>
      <c r="AY69" s="187"/>
      <c r="AZ69" s="187"/>
      <c r="BA69" s="187"/>
      <c r="BB69" s="187"/>
      <c r="BC69" s="187"/>
      <c r="BD69" s="187"/>
      <c r="BE69" s="187"/>
      <c r="BF69" s="187"/>
      <c r="BG69" s="187"/>
      <c r="BH69" s="187"/>
      <c r="BI69" s="187"/>
      <c r="BJ69" s="187"/>
      <c r="BK69" s="187"/>
      <c r="BL69" s="187"/>
      <c r="BM69" s="187"/>
      <c r="BN69" s="187"/>
      <c r="BO69" s="187"/>
      <c r="BP69" s="187"/>
      <c r="BQ69" s="187"/>
      <c r="BR69" s="187"/>
      <c r="BS69" s="187"/>
      <c r="BT69" s="187"/>
      <c r="BU69" s="187"/>
      <c r="BV69" s="187"/>
      <c r="BW69" s="187"/>
      <c r="BX69" s="187"/>
      <c r="BY69" s="187"/>
      <c r="BZ69" s="187"/>
      <c r="CA69" s="187"/>
      <c r="CB69" s="187"/>
      <c r="CC69" s="187"/>
      <c r="CD69" s="187"/>
      <c r="CE69" s="187"/>
      <c r="CF69" s="187"/>
      <c r="CG69" s="187"/>
      <c r="CH69" s="187"/>
      <c r="CI69" s="187"/>
      <c r="CJ69" s="187"/>
      <c r="CK69" s="187"/>
      <c r="CL69" s="187"/>
      <c r="CM69" s="187"/>
      <c r="CN69" s="187"/>
      <c r="CO69" s="187"/>
      <c r="CP69" s="187"/>
      <c r="CQ69" s="187"/>
      <c r="CR69" s="187"/>
      <c r="CS69" s="187"/>
      <c r="CT69" s="187"/>
      <c r="CU69" s="187"/>
      <c r="CV69" s="187"/>
      <c r="CW69" s="187"/>
      <c r="CX69" s="187"/>
      <c r="CY69" s="187"/>
      <c r="CZ69" s="187"/>
      <c r="DA69" s="187"/>
      <c r="DB69" s="187"/>
      <c r="DE69" s="187"/>
    </row>
    <row r="70" spans="1:110" s="158" customFormat="1" x14ac:dyDescent="0.2">
      <c r="A70" s="305" t="s">
        <v>604</v>
      </c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>
        <v>2924</v>
      </c>
      <c r="V70" s="156">
        <v>2134</v>
      </c>
      <c r="W70" s="156">
        <v>1206</v>
      </c>
      <c r="X70" s="156">
        <v>1406</v>
      </c>
      <c r="Y70" s="156">
        <v>1815</v>
      </c>
      <c r="Z70" s="156">
        <f t="shared" ref="Z70" si="368">+SUM(CE70:CH70)</f>
        <v>2083</v>
      </c>
      <c r="AA70" s="157">
        <f t="shared" ref="AA70" si="369">SUM(CI70:CL70)</f>
        <v>2147</v>
      </c>
      <c r="AB70" s="157">
        <f t="shared" ref="AB70" si="370">+SUM(CM70:CP70)</f>
        <v>2496</v>
      </c>
      <c r="AC70" s="157">
        <f t="shared" ref="AC70" si="371">+SUM(CQ70:CT70)</f>
        <v>2816</v>
      </c>
      <c r="AD70" s="157">
        <f t="shared" ref="AD70" si="372">+SUM(CU70:CX70)</f>
        <v>3136</v>
      </c>
      <c r="AE70" s="157">
        <f t="shared" ref="AE70" si="373">+SUM(CY70:DB70)</f>
        <v>3456</v>
      </c>
      <c r="AI70" s="156"/>
      <c r="AJ70" s="156"/>
      <c r="AK70" s="156"/>
      <c r="AL70" s="156"/>
      <c r="AM70" s="156"/>
      <c r="AN70" s="156"/>
      <c r="AO70" s="156"/>
      <c r="AP70" s="156"/>
      <c r="AQ70" s="156"/>
      <c r="AR70" s="156"/>
      <c r="AS70" s="156"/>
      <c r="AT70" s="156"/>
      <c r="AU70" s="156"/>
      <c r="AV70" s="156"/>
      <c r="AW70" s="156"/>
      <c r="AX70" s="156"/>
      <c r="AY70" s="156"/>
      <c r="AZ70" s="156"/>
      <c r="BA70" s="156"/>
      <c r="BB70" s="156"/>
      <c r="BC70" s="156"/>
      <c r="BD70" s="156"/>
      <c r="BE70" s="156"/>
      <c r="BF70" s="156"/>
      <c r="BG70" s="156"/>
      <c r="BH70" s="156"/>
      <c r="BI70" s="156"/>
      <c r="BJ70" s="156"/>
      <c r="BK70" s="156"/>
      <c r="BL70" s="156"/>
      <c r="BM70" s="156"/>
      <c r="BN70" s="156"/>
      <c r="BO70" s="156"/>
      <c r="BP70" s="156"/>
      <c r="BQ70" s="156"/>
      <c r="BR70" s="156"/>
      <c r="BS70" s="156">
        <v>294</v>
      </c>
      <c r="BT70" s="156">
        <v>296</v>
      </c>
      <c r="BU70" s="156">
        <v>301</v>
      </c>
      <c r="BV70" s="156">
        <v>315</v>
      </c>
      <c r="BW70" s="156">
        <v>351</v>
      </c>
      <c r="BX70" s="156">
        <v>344</v>
      </c>
      <c r="BY70" s="156">
        <v>343</v>
      </c>
      <c r="BZ70" s="156">
        <v>368</v>
      </c>
      <c r="CA70" s="156">
        <v>388</v>
      </c>
      <c r="CB70" s="156">
        <v>428</v>
      </c>
      <c r="CC70" s="156">
        <v>458</v>
      </c>
      <c r="CD70" s="156">
        <v>541</v>
      </c>
      <c r="CE70" s="156">
        <v>509</v>
      </c>
      <c r="CF70" s="156">
        <v>529</v>
      </c>
      <c r="CG70" s="156">
        <v>523</v>
      </c>
      <c r="CH70" s="156">
        <v>522</v>
      </c>
      <c r="CI70" s="156">
        <v>519</v>
      </c>
      <c r="CJ70" s="156">
        <v>522</v>
      </c>
      <c r="CK70" s="156">
        <v>532</v>
      </c>
      <c r="CL70" s="156">
        <v>574</v>
      </c>
      <c r="CM70" s="228">
        <f t="shared" ref="CM70:DB70" si="374">+CL70+20</f>
        <v>594</v>
      </c>
      <c r="CN70" s="228">
        <f t="shared" si="374"/>
        <v>614</v>
      </c>
      <c r="CO70" s="228">
        <f t="shared" si="374"/>
        <v>634</v>
      </c>
      <c r="CP70" s="228">
        <f t="shared" si="374"/>
        <v>654</v>
      </c>
      <c r="CQ70" s="228">
        <f t="shared" si="374"/>
        <v>674</v>
      </c>
      <c r="CR70" s="228">
        <f t="shared" si="374"/>
        <v>694</v>
      </c>
      <c r="CS70" s="228">
        <f t="shared" si="374"/>
        <v>714</v>
      </c>
      <c r="CT70" s="228">
        <f t="shared" si="374"/>
        <v>734</v>
      </c>
      <c r="CU70" s="228">
        <f t="shared" si="374"/>
        <v>754</v>
      </c>
      <c r="CV70" s="228">
        <f t="shared" si="374"/>
        <v>774</v>
      </c>
      <c r="CW70" s="228">
        <f t="shared" si="374"/>
        <v>794</v>
      </c>
      <c r="CX70" s="228">
        <f t="shared" si="374"/>
        <v>814</v>
      </c>
      <c r="CY70" s="228">
        <f t="shared" si="374"/>
        <v>834</v>
      </c>
      <c r="CZ70" s="228">
        <f t="shared" si="374"/>
        <v>854</v>
      </c>
      <c r="DA70" s="228">
        <f t="shared" si="374"/>
        <v>874</v>
      </c>
      <c r="DB70" s="228">
        <f t="shared" si="374"/>
        <v>894</v>
      </c>
      <c r="DE70" s="159"/>
      <c r="DF70" s="158">
        <v>552</v>
      </c>
    </row>
    <row r="71" spans="1:110" s="158" customFormat="1" x14ac:dyDescent="0.2">
      <c r="A71" s="192" t="s">
        <v>605</v>
      </c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>
        <v>1932</v>
      </c>
      <c r="V71" s="156">
        <v>2508</v>
      </c>
      <c r="W71" s="156">
        <v>1203</v>
      </c>
      <c r="X71" s="156">
        <v>1277</v>
      </c>
      <c r="Y71" s="156">
        <v>1403</v>
      </c>
      <c r="Z71" s="156">
        <f t="shared" ref="Z71:Z74" si="375">+SUM(CE71:CH71)</f>
        <v>1633</v>
      </c>
      <c r="AA71" s="157">
        <f t="shared" ref="AA71:AA74" si="376">SUM(CI71:CL71)</f>
        <v>1786</v>
      </c>
      <c r="AB71" s="157">
        <f t="shared" ref="AB71:AB74" si="377">+SUM(CM71:CP71)</f>
        <v>-287.33579196330027</v>
      </c>
      <c r="AC71" s="157">
        <f t="shared" ref="AC71:AC74" si="378">+SUM(CQ71:CT71)</f>
        <v>-446.36308664076557</v>
      </c>
      <c r="AD71" s="157">
        <f t="shared" ref="AD71:AD74" si="379">+SUM(CU71:CX71)</f>
        <v>-623.8551080124771</v>
      </c>
      <c r="AE71" s="157">
        <f t="shared" ref="AE71:AE74" si="380">+SUM(CY71:DB71)</f>
        <v>-817.69381916521991</v>
      </c>
      <c r="AI71" s="156"/>
      <c r="AJ71" s="156"/>
      <c r="AK71" s="156"/>
      <c r="AL71" s="156"/>
      <c r="AM71" s="156"/>
      <c r="AN71" s="156"/>
      <c r="AO71" s="156"/>
      <c r="AP71" s="156"/>
      <c r="AQ71" s="156"/>
      <c r="AR71" s="156"/>
      <c r="AS71" s="156"/>
      <c r="AT71" s="156"/>
      <c r="AU71" s="156"/>
      <c r="AV71" s="156"/>
      <c r="AW71" s="156"/>
      <c r="AX71" s="156"/>
      <c r="AY71" s="156"/>
      <c r="AZ71" s="156"/>
      <c r="BA71" s="156"/>
      <c r="BB71" s="156"/>
      <c r="BC71" s="156"/>
      <c r="BD71" s="156"/>
      <c r="BE71" s="156"/>
      <c r="BF71" s="156"/>
      <c r="BG71" s="156"/>
      <c r="BH71" s="156"/>
      <c r="BI71" s="156"/>
      <c r="BJ71" s="156"/>
      <c r="BK71" s="156"/>
      <c r="BL71" s="156"/>
      <c r="BM71" s="156"/>
      <c r="BN71" s="156"/>
      <c r="BO71" s="156"/>
      <c r="BP71" s="156"/>
      <c r="BQ71" s="156"/>
      <c r="BR71" s="156"/>
      <c r="BS71" s="156">
        <v>289</v>
      </c>
      <c r="BT71" s="156">
        <v>295</v>
      </c>
      <c r="BU71" s="156">
        <v>302</v>
      </c>
      <c r="BV71" s="156">
        <v>317</v>
      </c>
      <c r="BW71" s="156">
        <v>316</v>
      </c>
      <c r="BX71" s="156">
        <v>333</v>
      </c>
      <c r="BY71" s="156">
        <v>316</v>
      </c>
      <c r="BZ71" s="156">
        <v>312</v>
      </c>
      <c r="CA71" s="156">
        <v>319</v>
      </c>
      <c r="CB71" s="156">
        <v>356</v>
      </c>
      <c r="CC71" s="156">
        <v>348</v>
      </c>
      <c r="CD71" s="156">
        <v>380</v>
      </c>
      <c r="CE71" s="156">
        <v>389</v>
      </c>
      <c r="CF71" s="156">
        <v>402</v>
      </c>
      <c r="CG71" s="156">
        <v>422</v>
      </c>
      <c r="CH71" s="156">
        <v>420</v>
      </c>
      <c r="CI71" s="156">
        <v>416</v>
      </c>
      <c r="CJ71" s="156">
        <v>465</v>
      </c>
      <c r="CK71" s="156">
        <v>449</v>
      </c>
      <c r="CL71" s="156">
        <v>456</v>
      </c>
      <c r="CM71" s="157">
        <f t="shared" ref="CM71:DB71" si="381">+CM75-CM70-CM73-CM74</f>
        <v>-58.022100000000023</v>
      </c>
      <c r="CN71" s="157">
        <f t="shared" si="381"/>
        <v>-67.011437000000114</v>
      </c>
      <c r="CO71" s="157">
        <f t="shared" si="381"/>
        <v>-76.331093890000034</v>
      </c>
      <c r="CP71" s="157">
        <f t="shared" si="381"/>
        <v>-85.971161073300095</v>
      </c>
      <c r="CQ71" s="157">
        <f t="shared" si="381"/>
        <v>-95.922026241101094</v>
      </c>
      <c r="CR71" s="157">
        <f t="shared" si="381"/>
        <v>-106.17436545386806</v>
      </c>
      <c r="CS71" s="157">
        <f t="shared" si="381"/>
        <v>-116.71913449025203</v>
      </c>
      <c r="CT71" s="157">
        <f t="shared" si="381"/>
        <v>-127.54756045554439</v>
      </c>
      <c r="CU71" s="157">
        <f t="shared" si="381"/>
        <v>-138.65113364187812</v>
      </c>
      <c r="CV71" s="157">
        <f t="shared" si="381"/>
        <v>-150.02159963262181</v>
      </c>
      <c r="CW71" s="157">
        <f t="shared" si="381"/>
        <v>-161.65095164364322</v>
      </c>
      <c r="CX71" s="157">
        <f t="shared" si="381"/>
        <v>-173.53142309433395</v>
      </c>
      <c r="CY71" s="157">
        <f t="shared" si="381"/>
        <v>-185.65548040150395</v>
      </c>
      <c r="CZ71" s="157">
        <f t="shared" si="381"/>
        <v>-198.01581598945893</v>
      </c>
      <c r="DA71" s="157">
        <f t="shared" si="381"/>
        <v>-210.60534150977514</v>
      </c>
      <c r="DB71" s="157">
        <f t="shared" si="381"/>
        <v>-223.41718126448188</v>
      </c>
      <c r="DE71" s="159"/>
      <c r="DF71" s="158">
        <v>533.77</v>
      </c>
    </row>
    <row r="72" spans="1:110" s="158" customFormat="1" x14ac:dyDescent="0.2">
      <c r="A72" s="192" t="s">
        <v>606</v>
      </c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>
        <v>1060</v>
      </c>
      <c r="V72" s="156">
        <v>586</v>
      </c>
      <c r="W72" s="156">
        <v>104</v>
      </c>
      <c r="X72" s="156">
        <v>113</v>
      </c>
      <c r="Y72" s="156">
        <v>115</v>
      </c>
      <c r="Z72" s="156">
        <f t="shared" si="375"/>
        <v>138</v>
      </c>
      <c r="AA72" s="157">
        <f t="shared" si="376"/>
        <v>210</v>
      </c>
      <c r="AB72" s="157">
        <f t="shared" si="377"/>
        <v>0</v>
      </c>
      <c r="AC72" s="157">
        <f t="shared" si="378"/>
        <v>0</v>
      </c>
      <c r="AD72" s="157">
        <f t="shared" si="379"/>
        <v>0</v>
      </c>
      <c r="AE72" s="157">
        <f t="shared" si="380"/>
        <v>0</v>
      </c>
      <c r="AI72" s="156"/>
      <c r="AJ72" s="156"/>
      <c r="AK72" s="156"/>
      <c r="AL72" s="156"/>
      <c r="AM72" s="156"/>
      <c r="AN72" s="156"/>
      <c r="AO72" s="156"/>
      <c r="AP72" s="156"/>
      <c r="AQ72" s="156"/>
      <c r="AR72" s="156"/>
      <c r="AS72" s="156"/>
      <c r="AT72" s="156"/>
      <c r="AU72" s="156"/>
      <c r="AV72" s="156"/>
      <c r="AW72" s="156"/>
      <c r="AX72" s="156"/>
      <c r="AY72" s="156"/>
      <c r="AZ72" s="156"/>
      <c r="BA72" s="156"/>
      <c r="BB72" s="156"/>
      <c r="BC72" s="156"/>
      <c r="BD72" s="156"/>
      <c r="BE72" s="156"/>
      <c r="BF72" s="156"/>
      <c r="BG72" s="156"/>
      <c r="BH72" s="156"/>
      <c r="BI72" s="156"/>
      <c r="BJ72" s="156"/>
      <c r="BK72" s="156"/>
      <c r="BL72" s="156"/>
      <c r="BM72" s="156"/>
      <c r="BN72" s="156"/>
      <c r="BO72" s="156"/>
      <c r="BP72" s="156"/>
      <c r="BQ72" s="156"/>
      <c r="BR72" s="156"/>
      <c r="BS72" s="156">
        <v>23</v>
      </c>
      <c r="BT72" s="156">
        <v>28</v>
      </c>
      <c r="BU72" s="156">
        <v>25</v>
      </c>
      <c r="BV72" s="156">
        <v>28</v>
      </c>
      <c r="BW72" s="156">
        <v>28</v>
      </c>
      <c r="BX72" s="156">
        <v>27</v>
      </c>
      <c r="BY72" s="156">
        <v>29</v>
      </c>
      <c r="BZ72" s="156">
        <v>29</v>
      </c>
      <c r="CA72" s="156">
        <v>30</v>
      </c>
      <c r="CB72" s="156">
        <v>28</v>
      </c>
      <c r="CC72" s="156">
        <v>29</v>
      </c>
      <c r="CD72" s="156">
        <v>28</v>
      </c>
      <c r="CE72" s="156">
        <v>28</v>
      </c>
      <c r="CF72" s="156">
        <v>33</v>
      </c>
      <c r="CG72" s="156">
        <v>36</v>
      </c>
      <c r="CH72" s="156">
        <v>41</v>
      </c>
      <c r="CI72" s="156">
        <v>41</v>
      </c>
      <c r="CJ72" s="156">
        <v>51</v>
      </c>
      <c r="CK72" s="156">
        <v>58</v>
      </c>
      <c r="CL72" s="156">
        <v>60</v>
      </c>
      <c r="CM72" s="157"/>
      <c r="CN72" s="157"/>
      <c r="CO72" s="157"/>
      <c r="CP72" s="157"/>
      <c r="CQ72" s="157"/>
      <c r="CR72" s="157"/>
      <c r="CS72" s="157"/>
      <c r="CT72" s="157"/>
      <c r="CU72" s="157"/>
      <c r="CV72" s="157"/>
      <c r="CW72" s="157"/>
      <c r="CX72" s="157"/>
      <c r="CY72" s="157"/>
      <c r="CZ72" s="157"/>
      <c r="DA72" s="157"/>
      <c r="DB72" s="157"/>
      <c r="DE72" s="159"/>
    </row>
    <row r="73" spans="1:110" s="158" customFormat="1" x14ac:dyDescent="0.2">
      <c r="A73" s="192" t="s">
        <v>607</v>
      </c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>
        <v>696</v>
      </c>
      <c r="V73" s="156">
        <v>1808</v>
      </c>
      <c r="W73" s="156">
        <v>330</v>
      </c>
      <c r="X73" s="156">
        <v>324</v>
      </c>
      <c r="Y73" s="156">
        <v>319</v>
      </c>
      <c r="Z73" s="156">
        <f t="shared" si="375"/>
        <v>313</v>
      </c>
      <c r="AA73" s="157">
        <f t="shared" si="376"/>
        <v>320</v>
      </c>
      <c r="AB73" s="157">
        <f t="shared" si="377"/>
        <v>0</v>
      </c>
      <c r="AC73" s="157">
        <f t="shared" si="378"/>
        <v>0</v>
      </c>
      <c r="AD73" s="157">
        <f t="shared" si="379"/>
        <v>0</v>
      </c>
      <c r="AE73" s="157">
        <f t="shared" si="380"/>
        <v>0</v>
      </c>
      <c r="AI73" s="156"/>
      <c r="AJ73" s="156"/>
      <c r="AK73" s="156"/>
      <c r="AL73" s="156"/>
      <c r="AM73" s="156"/>
      <c r="AN73" s="156"/>
      <c r="AO73" s="156"/>
      <c r="AP73" s="156"/>
      <c r="AQ73" s="156"/>
      <c r="AR73" s="156"/>
      <c r="AS73" s="156"/>
      <c r="AT73" s="156"/>
      <c r="AU73" s="156"/>
      <c r="AV73" s="156"/>
      <c r="AW73" s="156"/>
      <c r="AX73" s="156"/>
      <c r="AY73" s="156"/>
      <c r="AZ73" s="156"/>
      <c r="BA73" s="156"/>
      <c r="BB73" s="156"/>
      <c r="BC73" s="156"/>
      <c r="BD73" s="156"/>
      <c r="BE73" s="156"/>
      <c r="BF73" s="156"/>
      <c r="BG73" s="156"/>
      <c r="BH73" s="156"/>
      <c r="BI73" s="156"/>
      <c r="BJ73" s="156"/>
      <c r="BK73" s="156"/>
      <c r="BL73" s="156"/>
      <c r="BM73" s="156"/>
      <c r="BN73" s="156"/>
      <c r="BO73" s="156"/>
      <c r="BP73" s="156"/>
      <c r="BQ73" s="156"/>
      <c r="BR73" s="156"/>
      <c r="BS73" s="156">
        <v>86</v>
      </c>
      <c r="BT73" s="156">
        <v>83</v>
      </c>
      <c r="BU73" s="156">
        <v>79</v>
      </c>
      <c r="BV73" s="156">
        <v>82</v>
      </c>
      <c r="BW73" s="156">
        <v>81</v>
      </c>
      <c r="BX73" s="156">
        <v>81</v>
      </c>
      <c r="BY73" s="156">
        <v>81</v>
      </c>
      <c r="BZ73" s="156">
        <v>81</v>
      </c>
      <c r="CA73" s="156">
        <v>81</v>
      </c>
      <c r="CB73" s="156">
        <v>81</v>
      </c>
      <c r="CC73" s="156">
        <v>79</v>
      </c>
      <c r="CD73" s="156">
        <v>78</v>
      </c>
      <c r="CE73" s="156">
        <v>78</v>
      </c>
      <c r="CF73" s="156">
        <v>78</v>
      </c>
      <c r="CG73" s="156">
        <v>78</v>
      </c>
      <c r="CH73" s="156">
        <v>79</v>
      </c>
      <c r="CI73" s="156">
        <v>78</v>
      </c>
      <c r="CJ73" s="156">
        <v>80</v>
      </c>
      <c r="CK73" s="156">
        <v>81</v>
      </c>
      <c r="CL73" s="156">
        <v>81</v>
      </c>
      <c r="CM73" s="157"/>
      <c r="CN73" s="157"/>
      <c r="CO73" s="157"/>
      <c r="CP73" s="157"/>
      <c r="CQ73" s="157"/>
      <c r="CR73" s="157"/>
      <c r="CS73" s="157"/>
      <c r="CT73" s="157"/>
      <c r="CU73" s="157"/>
      <c r="CV73" s="157"/>
      <c r="CW73" s="157"/>
      <c r="CX73" s="157"/>
      <c r="CY73" s="157"/>
      <c r="CZ73" s="157"/>
      <c r="DA73" s="157"/>
      <c r="DB73" s="157"/>
      <c r="DE73" s="159"/>
    </row>
    <row r="74" spans="1:110" s="158" customFormat="1" x14ac:dyDescent="0.2">
      <c r="A74" s="192" t="s">
        <v>608</v>
      </c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>
        <v>1911</v>
      </c>
      <c r="V74" s="156">
        <v>3793</v>
      </c>
      <c r="W74" s="156">
        <v>104</v>
      </c>
      <c r="X74" s="156">
        <v>385</v>
      </c>
      <c r="Y74" s="156">
        <v>30</v>
      </c>
      <c r="Z74" s="156">
        <f t="shared" si="375"/>
        <v>-46</v>
      </c>
      <c r="AA74" s="157">
        <f t="shared" si="376"/>
        <v>-98</v>
      </c>
      <c r="AB74" s="157">
        <f t="shared" si="377"/>
        <v>-12</v>
      </c>
      <c r="AC74" s="157">
        <f t="shared" si="378"/>
        <v>-12</v>
      </c>
      <c r="AD74" s="157">
        <f t="shared" si="379"/>
        <v>-12</v>
      </c>
      <c r="AE74" s="157">
        <f t="shared" si="380"/>
        <v>-12</v>
      </c>
      <c r="AI74" s="156"/>
      <c r="AJ74" s="156"/>
      <c r="AK74" s="156"/>
      <c r="AL74" s="156"/>
      <c r="AM74" s="156"/>
      <c r="AN74" s="156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56"/>
      <c r="BB74" s="156"/>
      <c r="BC74" s="156"/>
      <c r="BD74" s="156"/>
      <c r="BE74" s="156"/>
      <c r="BF74" s="156"/>
      <c r="BG74" s="156"/>
      <c r="BH74" s="156"/>
      <c r="BI74" s="156"/>
      <c r="BJ74" s="156"/>
      <c r="BK74" s="156"/>
      <c r="BL74" s="156"/>
      <c r="BM74" s="156"/>
      <c r="BN74" s="156"/>
      <c r="BO74" s="156"/>
      <c r="BP74" s="156"/>
      <c r="BQ74" s="156"/>
      <c r="BR74" s="156"/>
      <c r="BS74" s="156">
        <v>26</v>
      </c>
      <c r="BT74" s="156">
        <v>26</v>
      </c>
      <c r="BU74" s="156">
        <v>26</v>
      </c>
      <c r="BV74" s="156">
        <v>26</v>
      </c>
      <c r="BW74" s="156">
        <v>187</v>
      </c>
      <c r="BX74" s="156">
        <v>75</v>
      </c>
      <c r="BY74" s="156">
        <v>59</v>
      </c>
      <c r="BZ74" s="156">
        <v>64</v>
      </c>
      <c r="CA74" s="156">
        <v>13</v>
      </c>
      <c r="CB74" s="156">
        <v>17</v>
      </c>
      <c r="CC74" s="156">
        <v>5</v>
      </c>
      <c r="CD74" s="156">
        <v>-5</v>
      </c>
      <c r="CE74" s="156">
        <v>-6</v>
      </c>
      <c r="CF74" s="156">
        <v>-19</v>
      </c>
      <c r="CG74" s="156">
        <v>-12</v>
      </c>
      <c r="CH74" s="156">
        <v>-9</v>
      </c>
      <c r="CI74" s="156">
        <v>-21</v>
      </c>
      <c r="CJ74" s="156">
        <v>-27</v>
      </c>
      <c r="CK74" s="156">
        <v>-47</v>
      </c>
      <c r="CL74" s="156">
        <v>-3</v>
      </c>
      <c r="CM74" s="157">
        <f t="shared" ref="CM74:DB74" si="382">+CL74</f>
        <v>-3</v>
      </c>
      <c r="CN74" s="157">
        <f t="shared" si="382"/>
        <v>-3</v>
      </c>
      <c r="CO74" s="157">
        <f t="shared" si="382"/>
        <v>-3</v>
      </c>
      <c r="CP74" s="157">
        <f t="shared" si="382"/>
        <v>-3</v>
      </c>
      <c r="CQ74" s="157">
        <f t="shared" si="382"/>
        <v>-3</v>
      </c>
      <c r="CR74" s="157">
        <f t="shared" si="382"/>
        <v>-3</v>
      </c>
      <c r="CS74" s="157">
        <f t="shared" si="382"/>
        <v>-3</v>
      </c>
      <c r="CT74" s="157">
        <f t="shared" si="382"/>
        <v>-3</v>
      </c>
      <c r="CU74" s="157">
        <f t="shared" si="382"/>
        <v>-3</v>
      </c>
      <c r="CV74" s="157">
        <f t="shared" si="382"/>
        <v>-3</v>
      </c>
      <c r="CW74" s="157">
        <f t="shared" si="382"/>
        <v>-3</v>
      </c>
      <c r="CX74" s="157">
        <f t="shared" si="382"/>
        <v>-3</v>
      </c>
      <c r="CY74" s="157">
        <f t="shared" si="382"/>
        <v>-3</v>
      </c>
      <c r="CZ74" s="157">
        <f t="shared" si="382"/>
        <v>-3</v>
      </c>
      <c r="DA74" s="157">
        <f t="shared" si="382"/>
        <v>-3</v>
      </c>
      <c r="DB74" s="157">
        <f t="shared" si="382"/>
        <v>-3</v>
      </c>
      <c r="DE74" s="159"/>
      <c r="DF74" s="158">
        <v>-47</v>
      </c>
    </row>
    <row r="75" spans="1:110" s="109" customFormat="1" x14ac:dyDescent="0.2">
      <c r="A75" s="191" t="s">
        <v>529</v>
      </c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>
        <f t="shared" ref="U75" si="383">+SUM(U70:U74)</f>
        <v>8523</v>
      </c>
      <c r="V75" s="107">
        <f t="shared" ref="V75" si="384">+SUM(V70:V74)</f>
        <v>10829</v>
      </c>
      <c r="W75" s="107">
        <f t="shared" ref="W75" si="385">+SUM(W70:W74)</f>
        <v>2947</v>
      </c>
      <c r="X75" s="107">
        <f t="shared" ref="X75" si="386">+SUM(X70:X74)</f>
        <v>3505</v>
      </c>
      <c r="Y75" s="107">
        <f t="shared" ref="Y75" si="387">+SUM(Y70:Y74)</f>
        <v>3682</v>
      </c>
      <c r="Z75" s="107">
        <f t="shared" ref="Z75" si="388">+SUM(Z70:Z74)</f>
        <v>4121</v>
      </c>
      <c r="AA75" s="108">
        <f t="shared" ref="AA75" si="389">SUM(CI75:CL75)</f>
        <v>4365</v>
      </c>
      <c r="AB75" s="108">
        <f t="shared" ref="AB75" si="390">+SUM(CM75:CP75)</f>
        <v>2196.6642080366996</v>
      </c>
      <c r="AC75" s="108">
        <f t="shared" ref="AC75" si="391">+SUM(CQ75:CT75)</f>
        <v>2357.6369133592343</v>
      </c>
      <c r="AD75" s="108">
        <f t="shared" ref="AD75" si="392">+SUM(CU75:CX75)</f>
        <v>2500.1448919875229</v>
      </c>
      <c r="AE75" s="108">
        <f t="shared" ref="AE75" si="393">+SUM(CY75:DB75)</f>
        <v>2626.3061808347802</v>
      </c>
      <c r="AI75" s="107"/>
      <c r="AJ75" s="107"/>
      <c r="AK75" s="107"/>
      <c r="AL75" s="107"/>
      <c r="AM75" s="107"/>
      <c r="AN75" s="107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  <c r="BE75" s="107"/>
      <c r="BF75" s="107"/>
      <c r="BG75" s="107"/>
      <c r="BH75" s="107"/>
      <c r="BI75" s="107"/>
      <c r="BJ75" s="107"/>
      <c r="BK75" s="107"/>
      <c r="BL75" s="107"/>
      <c r="BM75" s="107"/>
      <c r="BN75" s="107"/>
      <c r="BO75" s="107"/>
      <c r="BP75" s="107"/>
      <c r="BQ75" s="107"/>
      <c r="BR75" s="107"/>
      <c r="BS75" s="107">
        <f t="shared" ref="BS75:CI75" si="394">+SUM(BS70:BS74)</f>
        <v>718</v>
      </c>
      <c r="BT75" s="107">
        <f t="shared" si="394"/>
        <v>728</v>
      </c>
      <c r="BU75" s="107">
        <f t="shared" si="394"/>
        <v>733</v>
      </c>
      <c r="BV75" s="107">
        <f t="shared" si="394"/>
        <v>768</v>
      </c>
      <c r="BW75" s="107">
        <f t="shared" si="394"/>
        <v>963</v>
      </c>
      <c r="BX75" s="107">
        <f t="shared" si="394"/>
        <v>860</v>
      </c>
      <c r="BY75" s="107">
        <f t="shared" si="394"/>
        <v>828</v>
      </c>
      <c r="BZ75" s="107">
        <f t="shared" si="394"/>
        <v>854</v>
      </c>
      <c r="CA75" s="107">
        <f t="shared" si="394"/>
        <v>831</v>
      </c>
      <c r="CB75" s="107">
        <f t="shared" si="394"/>
        <v>910</v>
      </c>
      <c r="CC75" s="107">
        <f t="shared" si="394"/>
        <v>919</v>
      </c>
      <c r="CD75" s="107">
        <f t="shared" si="394"/>
        <v>1022</v>
      </c>
      <c r="CE75" s="107">
        <f t="shared" si="394"/>
        <v>998</v>
      </c>
      <c r="CF75" s="107">
        <f t="shared" si="394"/>
        <v>1023</v>
      </c>
      <c r="CG75" s="107">
        <f t="shared" si="394"/>
        <v>1047</v>
      </c>
      <c r="CH75" s="107">
        <f t="shared" si="394"/>
        <v>1053</v>
      </c>
      <c r="CI75" s="107">
        <f t="shared" si="394"/>
        <v>1033</v>
      </c>
      <c r="CJ75" s="107">
        <f>+SUM(CJ70:CJ74)</f>
        <v>1091</v>
      </c>
      <c r="CK75" s="107">
        <f>+SUM(CK70:CK74)</f>
        <v>1073</v>
      </c>
      <c r="CL75" s="107">
        <f>+SUM(CL70:CL74)</f>
        <v>1168</v>
      </c>
      <c r="CM75" s="108">
        <f t="shared" ref="CM75:DB75" si="395">+CM194</f>
        <v>532.97789999999998</v>
      </c>
      <c r="CN75" s="108">
        <f t="shared" si="395"/>
        <v>543.98856299999989</v>
      </c>
      <c r="CO75" s="108">
        <f t="shared" si="395"/>
        <v>554.66890610999997</v>
      </c>
      <c r="CP75" s="108">
        <f t="shared" si="395"/>
        <v>565.0288389266999</v>
      </c>
      <c r="CQ75" s="108">
        <f t="shared" si="395"/>
        <v>575.07797375889891</v>
      </c>
      <c r="CR75" s="108">
        <f t="shared" si="395"/>
        <v>584.82563454613194</v>
      </c>
      <c r="CS75" s="108">
        <f t="shared" si="395"/>
        <v>594.28086550974797</v>
      </c>
      <c r="CT75" s="108">
        <f t="shared" si="395"/>
        <v>603.45243954445561</v>
      </c>
      <c r="CU75" s="108">
        <f t="shared" si="395"/>
        <v>612.34886635812188</v>
      </c>
      <c r="CV75" s="108">
        <f t="shared" si="395"/>
        <v>620.97840036737819</v>
      </c>
      <c r="CW75" s="108">
        <f t="shared" si="395"/>
        <v>629.34904835635678</v>
      </c>
      <c r="CX75" s="108">
        <f t="shared" si="395"/>
        <v>637.46857690566605</v>
      </c>
      <c r="CY75" s="108">
        <f t="shared" si="395"/>
        <v>645.34451959849605</v>
      </c>
      <c r="CZ75" s="108">
        <f t="shared" si="395"/>
        <v>652.98418401054107</v>
      </c>
      <c r="DA75" s="108">
        <f t="shared" si="395"/>
        <v>660.39465849022486</v>
      </c>
      <c r="DB75" s="108">
        <f t="shared" si="395"/>
        <v>667.58281873551812</v>
      </c>
      <c r="DE75" s="117"/>
      <c r="DF75" s="109">
        <v>1038.77</v>
      </c>
    </row>
    <row r="76" spans="1:110" s="217" customFormat="1" x14ac:dyDescent="0.2">
      <c r="A76" s="214" t="s">
        <v>609</v>
      </c>
      <c r="B76" s="215"/>
      <c r="C76" s="215"/>
      <c r="D76" s="215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>
        <f t="shared" ref="U76:AE76" si="396">+U75-U194</f>
        <v>6060.73</v>
      </c>
      <c r="V76" s="215">
        <f t="shared" si="396"/>
        <v>7924.79</v>
      </c>
      <c r="W76" s="215">
        <f t="shared" si="396"/>
        <v>-0.9499999999998181</v>
      </c>
      <c r="X76" s="215">
        <f t="shared" si="396"/>
        <v>2.75</v>
      </c>
      <c r="Y76" s="215">
        <f t="shared" si="396"/>
        <v>-0.32999999999992724</v>
      </c>
      <c r="Z76" s="215">
        <f t="shared" si="396"/>
        <v>-0.18000000000029104</v>
      </c>
      <c r="AA76" s="216">
        <f t="shared" si="396"/>
        <v>0.25</v>
      </c>
      <c r="AB76" s="216">
        <f t="shared" si="396"/>
        <v>0</v>
      </c>
      <c r="AC76" s="216">
        <f t="shared" si="396"/>
        <v>0</v>
      </c>
      <c r="AD76" s="216">
        <f t="shared" si="396"/>
        <v>0</v>
      </c>
      <c r="AE76" s="216">
        <f t="shared" si="396"/>
        <v>0</v>
      </c>
      <c r="AI76" s="215"/>
      <c r="AJ76" s="215"/>
      <c r="AK76" s="215"/>
      <c r="AL76" s="215"/>
      <c r="AM76" s="215"/>
      <c r="AN76" s="215"/>
      <c r="AO76" s="215"/>
      <c r="AP76" s="215"/>
      <c r="AQ76" s="215"/>
      <c r="AR76" s="215"/>
      <c r="AS76" s="215"/>
      <c r="AT76" s="215"/>
      <c r="AU76" s="215"/>
      <c r="AV76" s="215"/>
      <c r="AW76" s="215"/>
      <c r="AX76" s="215"/>
      <c r="AY76" s="215"/>
      <c r="AZ76" s="215"/>
      <c r="BA76" s="215"/>
      <c r="BB76" s="215"/>
      <c r="BC76" s="215"/>
      <c r="BD76" s="215"/>
      <c r="BE76" s="215"/>
      <c r="BF76" s="215"/>
      <c r="BG76" s="215"/>
      <c r="BH76" s="215"/>
      <c r="BI76" s="215"/>
      <c r="BJ76" s="215"/>
      <c r="BK76" s="215"/>
      <c r="BL76" s="215"/>
      <c r="BM76" s="215"/>
      <c r="BN76" s="215"/>
      <c r="BO76" s="215"/>
      <c r="BP76" s="215"/>
      <c r="BQ76" s="215"/>
      <c r="BR76" s="215"/>
      <c r="BS76" s="215">
        <f t="shared" ref="BS76:DB76" si="397">+BS75-BS194</f>
        <v>0.62000000000000455</v>
      </c>
      <c r="BT76" s="215">
        <f t="shared" si="397"/>
        <v>-0.75</v>
      </c>
      <c r="BU76" s="215">
        <f t="shared" si="397"/>
        <v>0.53999999999996362</v>
      </c>
      <c r="BV76" s="215">
        <f t="shared" si="397"/>
        <v>-1.3600000000000136</v>
      </c>
      <c r="BW76" s="215">
        <f t="shared" si="397"/>
        <v>-0.39999999999997726</v>
      </c>
      <c r="BX76" s="215">
        <f t="shared" si="397"/>
        <v>-0.16999999999995907</v>
      </c>
      <c r="BY76" s="215">
        <f t="shared" si="397"/>
        <v>2.82000000000005</v>
      </c>
      <c r="BZ76" s="215">
        <f t="shared" si="397"/>
        <v>0.5</v>
      </c>
      <c r="CA76" s="215">
        <f t="shared" si="397"/>
        <v>0.52999999999997272</v>
      </c>
      <c r="CB76" s="215">
        <f t="shared" si="397"/>
        <v>0.11000000000001364</v>
      </c>
      <c r="CC76" s="215">
        <f t="shared" si="397"/>
        <v>-1.75</v>
      </c>
      <c r="CD76" s="215">
        <f t="shared" si="397"/>
        <v>0.79999999999995453</v>
      </c>
      <c r="CE76" s="215">
        <f t="shared" si="397"/>
        <v>8.0000000000040927E-2</v>
      </c>
      <c r="CF76" s="215">
        <f t="shared" si="397"/>
        <v>-0.84000000000003183</v>
      </c>
      <c r="CG76" s="215">
        <f t="shared" si="397"/>
        <v>0</v>
      </c>
      <c r="CH76" s="215">
        <f t="shared" si="397"/>
        <v>0.57999999999992724</v>
      </c>
      <c r="CI76" s="215">
        <f t="shared" si="397"/>
        <v>-0.29999999999995453</v>
      </c>
      <c r="CJ76" s="215">
        <f t="shared" si="397"/>
        <v>-0.76999999999998181</v>
      </c>
      <c r="CK76" s="215">
        <f t="shared" si="397"/>
        <v>1.2599999999999909</v>
      </c>
      <c r="CL76" s="215">
        <f t="shared" ref="CL76" si="398">+CL75-CL194</f>
        <v>4.9999999999954525E-2</v>
      </c>
      <c r="CM76" s="216">
        <f t="shared" si="397"/>
        <v>0</v>
      </c>
      <c r="CN76" s="216">
        <f t="shared" si="397"/>
        <v>0</v>
      </c>
      <c r="CO76" s="216">
        <f t="shared" si="397"/>
        <v>0</v>
      </c>
      <c r="CP76" s="216">
        <f t="shared" si="397"/>
        <v>0</v>
      </c>
      <c r="CQ76" s="216">
        <f t="shared" si="397"/>
        <v>0</v>
      </c>
      <c r="CR76" s="216">
        <f t="shared" si="397"/>
        <v>0</v>
      </c>
      <c r="CS76" s="216">
        <f t="shared" si="397"/>
        <v>0</v>
      </c>
      <c r="CT76" s="216">
        <f t="shared" si="397"/>
        <v>0</v>
      </c>
      <c r="CU76" s="216">
        <f t="shared" si="397"/>
        <v>0</v>
      </c>
      <c r="CV76" s="216">
        <f t="shared" si="397"/>
        <v>0</v>
      </c>
      <c r="CW76" s="216">
        <f t="shared" si="397"/>
        <v>0</v>
      </c>
      <c r="CX76" s="216">
        <f t="shared" si="397"/>
        <v>0</v>
      </c>
      <c r="CY76" s="216">
        <f t="shared" si="397"/>
        <v>0</v>
      </c>
      <c r="CZ76" s="216">
        <f t="shared" si="397"/>
        <v>0</v>
      </c>
      <c r="DA76" s="216">
        <f t="shared" si="397"/>
        <v>0</v>
      </c>
      <c r="DB76" s="216">
        <f t="shared" si="397"/>
        <v>0</v>
      </c>
      <c r="DE76" s="218"/>
      <c r="DF76" s="217" t="s">
        <v>650</v>
      </c>
    </row>
    <row r="77" spans="1:110" s="158" customFormat="1" x14ac:dyDescent="0.2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7"/>
      <c r="AB77" s="157"/>
      <c r="AC77" s="157"/>
      <c r="AD77" s="157"/>
      <c r="AE77" s="157"/>
      <c r="AI77" s="156"/>
      <c r="AJ77" s="156"/>
      <c r="AK77" s="156"/>
      <c r="AL77" s="156"/>
      <c r="AM77" s="156"/>
      <c r="AN77" s="156"/>
      <c r="AO77" s="156"/>
      <c r="AP77" s="156"/>
      <c r="AQ77" s="156"/>
      <c r="AR77" s="156"/>
      <c r="AS77" s="156"/>
      <c r="AT77" s="156"/>
      <c r="AU77" s="156"/>
      <c r="AV77" s="156"/>
      <c r="AW77" s="156"/>
      <c r="AX77" s="156"/>
      <c r="AY77" s="156"/>
      <c r="AZ77" s="156"/>
      <c r="BA77" s="156"/>
      <c r="BB77" s="156"/>
      <c r="BC77" s="156"/>
      <c r="BD77" s="156"/>
      <c r="BE77" s="156"/>
      <c r="BF77" s="156"/>
      <c r="BG77" s="156"/>
      <c r="BH77" s="156"/>
      <c r="BI77" s="156"/>
      <c r="BJ77" s="156"/>
      <c r="BK77" s="156"/>
      <c r="BL77" s="156"/>
      <c r="BM77" s="156"/>
      <c r="BN77" s="156"/>
      <c r="BO77" s="156"/>
      <c r="BP77" s="156"/>
      <c r="BQ77" s="156"/>
      <c r="BR77" s="156"/>
      <c r="BS77" s="156"/>
      <c r="BT77" s="156"/>
      <c r="BU77" s="156"/>
      <c r="BV77" s="156"/>
      <c r="BW77" s="156"/>
      <c r="BX77" s="156"/>
      <c r="BY77" s="156"/>
      <c r="BZ77" s="156"/>
      <c r="CA77" s="156"/>
      <c r="CB77" s="156"/>
      <c r="CC77" s="156"/>
      <c r="CD77" s="156"/>
      <c r="CE77" s="156"/>
      <c r="CF77" s="156"/>
      <c r="CG77" s="156"/>
      <c r="CH77" s="156"/>
      <c r="CI77" s="156"/>
      <c r="CJ77" s="156"/>
      <c r="CK77" s="156"/>
      <c r="CL77" s="156"/>
      <c r="CM77" s="157"/>
      <c r="CN77" s="157"/>
      <c r="CO77" s="157"/>
      <c r="CP77" s="157"/>
      <c r="CQ77" s="157"/>
      <c r="CR77" s="157"/>
      <c r="CS77" s="157"/>
      <c r="CT77" s="157"/>
      <c r="CU77" s="157"/>
      <c r="CV77" s="157"/>
      <c r="CW77" s="157"/>
      <c r="CX77" s="157"/>
      <c r="CY77" s="157"/>
      <c r="CZ77" s="157"/>
      <c r="DA77" s="157"/>
      <c r="DB77" s="157"/>
      <c r="DE77" s="159"/>
    </row>
    <row r="78" spans="1:110" s="188" customFormat="1" x14ac:dyDescent="0.2">
      <c r="A78" s="186" t="s">
        <v>530</v>
      </c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I78" s="187"/>
      <c r="AJ78" s="187"/>
      <c r="AK78" s="187"/>
      <c r="AL78" s="187"/>
      <c r="AM78" s="187"/>
      <c r="AN78" s="187"/>
      <c r="AO78" s="187"/>
      <c r="AP78" s="187"/>
      <c r="AQ78" s="187"/>
      <c r="AR78" s="187"/>
      <c r="AS78" s="187"/>
      <c r="AT78" s="187"/>
      <c r="AU78" s="187"/>
      <c r="AV78" s="187"/>
      <c r="AW78" s="187"/>
      <c r="AX78" s="187"/>
      <c r="AY78" s="187"/>
      <c r="AZ78" s="187"/>
      <c r="BA78" s="187"/>
      <c r="BB78" s="187"/>
      <c r="BC78" s="187"/>
      <c r="BD78" s="187"/>
      <c r="BE78" s="187"/>
      <c r="BF78" s="187"/>
      <c r="BG78" s="187"/>
      <c r="BH78" s="187"/>
      <c r="BI78" s="187"/>
      <c r="BJ78" s="187"/>
      <c r="BK78" s="187"/>
      <c r="BL78" s="187"/>
      <c r="BM78" s="187"/>
      <c r="BN78" s="187"/>
      <c r="BO78" s="187"/>
      <c r="BP78" s="187"/>
      <c r="BQ78" s="187"/>
      <c r="BR78" s="187"/>
      <c r="BS78" s="187"/>
      <c r="BT78" s="187"/>
      <c r="BU78" s="187"/>
      <c r="BV78" s="187"/>
      <c r="BW78" s="187"/>
      <c r="BX78" s="187"/>
      <c r="BY78" s="187"/>
      <c r="BZ78" s="187"/>
      <c r="CA78" s="187"/>
      <c r="CB78" s="187"/>
      <c r="CC78" s="187"/>
      <c r="CD78" s="187"/>
      <c r="CE78" s="187"/>
      <c r="CF78" s="187"/>
      <c r="CG78" s="187"/>
      <c r="CH78" s="187"/>
      <c r="CI78" s="187"/>
      <c r="CJ78" s="187"/>
      <c r="CK78" s="187"/>
      <c r="CL78" s="187"/>
      <c r="CM78" s="187"/>
      <c r="CN78" s="187"/>
      <c r="CO78" s="187"/>
      <c r="CP78" s="187"/>
      <c r="CQ78" s="187"/>
      <c r="CR78" s="187"/>
      <c r="CS78" s="187"/>
      <c r="CT78" s="187"/>
      <c r="CU78" s="187"/>
      <c r="CV78" s="187"/>
      <c r="CW78" s="187"/>
      <c r="CX78" s="187"/>
      <c r="CY78" s="187"/>
      <c r="CZ78" s="187"/>
      <c r="DA78" s="187"/>
      <c r="DB78" s="187"/>
      <c r="DE78" s="187"/>
    </row>
    <row r="79" spans="1:110" s="158" customFormat="1" x14ac:dyDescent="0.2">
      <c r="A79" s="191" t="s">
        <v>611</v>
      </c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>
        <v>768</v>
      </c>
      <c r="X79" s="156">
        <v>435</v>
      </c>
      <c r="Y79" s="156">
        <v>507</v>
      </c>
      <c r="Z79" s="156">
        <f t="shared" ref="Z79" si="399">+SUM(CE79:CH79)</f>
        <v>639</v>
      </c>
      <c r="AA79" s="157">
        <f t="shared" ref="AA79" si="400">SUM(CI79:CL79)</f>
        <v>858</v>
      </c>
      <c r="AB79" s="157">
        <f t="shared" ref="AB79" si="401">+SUM(CM79:CP79)</f>
        <v>836</v>
      </c>
      <c r="AC79" s="157">
        <f t="shared" ref="AC79" si="402">+SUM(CQ79:CT79)</f>
        <v>1156</v>
      </c>
      <c r="AD79" s="157">
        <f t="shared" ref="AD79" si="403">+SUM(CU79:CX79)</f>
        <v>1476</v>
      </c>
      <c r="AE79" s="157">
        <f t="shared" ref="AE79" si="404">+SUM(CY79:DB79)</f>
        <v>1796</v>
      </c>
      <c r="AI79" s="156"/>
      <c r="AJ79" s="156"/>
      <c r="AK79" s="156"/>
      <c r="AL79" s="156"/>
      <c r="AM79" s="156"/>
      <c r="AN79" s="156"/>
      <c r="AO79" s="156"/>
      <c r="AP79" s="156"/>
      <c r="AQ79" s="156"/>
      <c r="AR79" s="156"/>
      <c r="AS79" s="156"/>
      <c r="AT79" s="156"/>
      <c r="AU79" s="156"/>
      <c r="AV79" s="156"/>
      <c r="AW79" s="156"/>
      <c r="AX79" s="156"/>
      <c r="AY79" s="156"/>
      <c r="AZ79" s="156"/>
      <c r="BA79" s="156"/>
      <c r="BB79" s="156"/>
      <c r="BC79" s="156"/>
      <c r="BD79" s="156"/>
      <c r="BE79" s="156"/>
      <c r="BF79" s="156"/>
      <c r="BG79" s="156"/>
      <c r="BH79" s="156"/>
      <c r="BI79" s="156"/>
      <c r="BJ79" s="156"/>
      <c r="BK79" s="156"/>
      <c r="BL79" s="156"/>
      <c r="BM79" s="156"/>
      <c r="BN79" s="156"/>
      <c r="BO79" s="156"/>
      <c r="BP79" s="156"/>
      <c r="BQ79" s="156"/>
      <c r="BR79" s="156"/>
      <c r="BS79" s="156">
        <v>188</v>
      </c>
      <c r="BT79" s="156">
        <v>177</v>
      </c>
      <c r="BU79" s="156">
        <v>200</v>
      </c>
      <c r="BV79" s="156">
        <v>203</v>
      </c>
      <c r="BW79" s="156">
        <v>68</v>
      </c>
      <c r="BX79" s="156">
        <v>83</v>
      </c>
      <c r="BY79" s="156">
        <v>127</v>
      </c>
      <c r="BZ79" s="156">
        <v>157</v>
      </c>
      <c r="CA79" s="156">
        <v>104</v>
      </c>
      <c r="CB79" s="156">
        <v>120</v>
      </c>
      <c r="CC79" s="156">
        <v>112</v>
      </c>
      <c r="CD79" s="156">
        <v>171</v>
      </c>
      <c r="CE79" s="156">
        <v>145</v>
      </c>
      <c r="CF79" s="156">
        <v>66</v>
      </c>
      <c r="CG79" s="156">
        <v>55</v>
      </c>
      <c r="CH79" s="156">
        <v>373</v>
      </c>
      <c r="CI79" s="156">
        <v>190</v>
      </c>
      <c r="CJ79" s="156">
        <v>266</v>
      </c>
      <c r="CK79" s="156">
        <v>243</v>
      </c>
      <c r="CL79" s="156">
        <v>159</v>
      </c>
      <c r="CM79" s="228">
        <f t="shared" ref="CM79" si="405">+CL79+20</f>
        <v>179</v>
      </c>
      <c r="CN79" s="228">
        <f t="shared" ref="CN79" si="406">+CM79+20</f>
        <v>199</v>
      </c>
      <c r="CO79" s="228">
        <f t="shared" ref="CO79" si="407">+CN79+20</f>
        <v>219</v>
      </c>
      <c r="CP79" s="228">
        <f t="shared" ref="CP79" si="408">+CO79+20</f>
        <v>239</v>
      </c>
      <c r="CQ79" s="228">
        <f t="shared" ref="CQ79" si="409">+CP79+20</f>
        <v>259</v>
      </c>
      <c r="CR79" s="228">
        <f t="shared" ref="CR79" si="410">+CQ79+20</f>
        <v>279</v>
      </c>
      <c r="CS79" s="228">
        <f t="shared" ref="CS79" si="411">+CR79+20</f>
        <v>299</v>
      </c>
      <c r="CT79" s="228">
        <f t="shared" ref="CT79" si="412">+CS79+20</f>
        <v>319</v>
      </c>
      <c r="CU79" s="228">
        <f t="shared" ref="CU79" si="413">+CT79+20</f>
        <v>339</v>
      </c>
      <c r="CV79" s="228">
        <f t="shared" ref="CV79" si="414">+CU79+20</f>
        <v>359</v>
      </c>
      <c r="CW79" s="228">
        <f t="shared" ref="CW79" si="415">+CV79+20</f>
        <v>379</v>
      </c>
      <c r="CX79" s="228">
        <f t="shared" ref="CX79" si="416">+CW79+20</f>
        <v>399</v>
      </c>
      <c r="CY79" s="228">
        <f t="shared" ref="CY79" si="417">+CX79+20</f>
        <v>419</v>
      </c>
      <c r="CZ79" s="228">
        <f t="shared" ref="CZ79" si="418">+CY79+20</f>
        <v>439</v>
      </c>
      <c r="DA79" s="228">
        <f t="shared" ref="DA79" si="419">+CZ79+20</f>
        <v>459</v>
      </c>
      <c r="DB79" s="228">
        <f t="shared" ref="DB79" si="420">+DA79+20</f>
        <v>479</v>
      </c>
      <c r="DE79" s="159"/>
      <c r="DF79" s="158">
        <v>263</v>
      </c>
    </row>
    <row r="80" spans="1:110" s="158" customFormat="1" x14ac:dyDescent="0.2">
      <c r="A80" s="192" t="s">
        <v>612</v>
      </c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>
        <v>1744</v>
      </c>
      <c r="X80" s="156">
        <v>1980</v>
      </c>
      <c r="Y80" s="156">
        <v>2195</v>
      </c>
      <c r="Z80" s="156">
        <f t="shared" ref="Z80:Z83" si="421">+SUM(CE80:CH80)</f>
        <v>2390</v>
      </c>
      <c r="AA80" s="157">
        <f t="shared" ref="AA80:AA83" si="422">SUM(CI80:CL80)</f>
        <v>2736</v>
      </c>
      <c r="AB80" s="157">
        <f t="shared" ref="AB80:AB83" si="423">+SUM(CM80:CP80)</f>
        <v>4508</v>
      </c>
      <c r="AC80" s="157">
        <f t="shared" ref="AC80:AC83" si="424">+SUM(CQ80:CT80)</f>
        <v>4188</v>
      </c>
      <c r="AD80" s="157">
        <f t="shared" ref="AD80:AD83" si="425">+SUM(CU80:CX80)</f>
        <v>3868</v>
      </c>
      <c r="AE80" s="157">
        <f t="shared" ref="AE80:AE83" si="426">+SUM(CY80:DB80)</f>
        <v>3548</v>
      </c>
      <c r="AI80" s="156"/>
      <c r="AJ80" s="156"/>
      <c r="AK80" s="156"/>
      <c r="AL80" s="156"/>
      <c r="AM80" s="156"/>
      <c r="AN80" s="156"/>
      <c r="AO80" s="156"/>
      <c r="AP80" s="156"/>
      <c r="AQ80" s="156"/>
      <c r="AR80" s="156"/>
      <c r="AS80" s="156"/>
      <c r="AT80" s="156"/>
      <c r="AU80" s="156"/>
      <c r="AV80" s="156"/>
      <c r="AW80" s="156"/>
      <c r="AX80" s="156"/>
      <c r="AY80" s="156"/>
      <c r="AZ80" s="156"/>
      <c r="BA80" s="156"/>
      <c r="BB80" s="156"/>
      <c r="BC80" s="156"/>
      <c r="BD80" s="156"/>
      <c r="BE80" s="156"/>
      <c r="BF80" s="156"/>
      <c r="BG80" s="156"/>
      <c r="BH80" s="156"/>
      <c r="BI80" s="156"/>
      <c r="BJ80" s="156"/>
      <c r="BK80" s="156"/>
      <c r="BL80" s="156"/>
      <c r="BM80" s="156"/>
      <c r="BN80" s="156"/>
      <c r="BO80" s="156"/>
      <c r="BP80" s="156"/>
      <c r="BQ80" s="156"/>
      <c r="BR80" s="156"/>
      <c r="BS80" s="156">
        <v>385</v>
      </c>
      <c r="BT80" s="156">
        <v>415</v>
      </c>
      <c r="BU80" s="156">
        <v>462</v>
      </c>
      <c r="BV80" s="156">
        <v>482</v>
      </c>
      <c r="BW80" s="156">
        <v>495</v>
      </c>
      <c r="BX80" s="156">
        <v>510</v>
      </c>
      <c r="BY80" s="156">
        <v>491</v>
      </c>
      <c r="BZ80" s="156">
        <v>484</v>
      </c>
      <c r="CA80" s="156">
        <v>551</v>
      </c>
      <c r="CB80" s="156">
        <v>526</v>
      </c>
      <c r="CC80" s="156">
        <v>565</v>
      </c>
      <c r="CD80" s="156">
        <v>553</v>
      </c>
      <c r="CE80" s="156">
        <v>585</v>
      </c>
      <c r="CF80" s="156">
        <v>626</v>
      </c>
      <c r="CG80" s="156">
        <v>586</v>
      </c>
      <c r="CH80" s="156">
        <v>593</v>
      </c>
      <c r="CI80" s="156">
        <v>672</v>
      </c>
      <c r="CJ80" s="156">
        <v>694</v>
      </c>
      <c r="CK80" s="156">
        <v>692</v>
      </c>
      <c r="CL80" s="156">
        <v>678</v>
      </c>
      <c r="CM80" s="157">
        <f t="shared" ref="CM80:DB80" si="427">+CM84-CM79-CM83</f>
        <v>1157</v>
      </c>
      <c r="CN80" s="157">
        <f t="shared" si="427"/>
        <v>1137</v>
      </c>
      <c r="CO80" s="157">
        <f t="shared" si="427"/>
        <v>1117</v>
      </c>
      <c r="CP80" s="157">
        <f t="shared" si="427"/>
        <v>1097</v>
      </c>
      <c r="CQ80" s="157">
        <f t="shared" si="427"/>
        <v>1077</v>
      </c>
      <c r="CR80" s="157">
        <f t="shared" si="427"/>
        <v>1057</v>
      </c>
      <c r="CS80" s="157">
        <f t="shared" si="427"/>
        <v>1037</v>
      </c>
      <c r="CT80" s="157">
        <f t="shared" si="427"/>
        <v>1017</v>
      </c>
      <c r="CU80" s="157">
        <f t="shared" si="427"/>
        <v>997</v>
      </c>
      <c r="CV80" s="157">
        <f t="shared" si="427"/>
        <v>977</v>
      </c>
      <c r="CW80" s="157">
        <f t="shared" si="427"/>
        <v>957</v>
      </c>
      <c r="CX80" s="157">
        <f t="shared" si="427"/>
        <v>937</v>
      </c>
      <c r="CY80" s="157">
        <f t="shared" si="427"/>
        <v>917</v>
      </c>
      <c r="CZ80" s="157">
        <f t="shared" si="427"/>
        <v>897</v>
      </c>
      <c r="DA80" s="157">
        <f t="shared" si="427"/>
        <v>877</v>
      </c>
      <c r="DB80" s="157">
        <f t="shared" si="427"/>
        <v>857</v>
      </c>
      <c r="DE80" s="159"/>
      <c r="DF80" s="158">
        <v>1171</v>
      </c>
    </row>
    <row r="81" spans="1:110" s="158" customFormat="1" x14ac:dyDescent="0.2">
      <c r="A81" s="192" t="s">
        <v>613</v>
      </c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>
        <v>426</v>
      </c>
      <c r="X81" s="156">
        <v>872</v>
      </c>
      <c r="Y81" s="156">
        <v>712</v>
      </c>
      <c r="Z81" s="156">
        <f t="shared" si="421"/>
        <v>848</v>
      </c>
      <c r="AA81" s="157">
        <f t="shared" si="422"/>
        <v>1027</v>
      </c>
      <c r="AB81" s="157">
        <f t="shared" si="423"/>
        <v>0</v>
      </c>
      <c r="AC81" s="157">
        <f t="shared" si="424"/>
        <v>0</v>
      </c>
      <c r="AD81" s="157">
        <f t="shared" si="425"/>
        <v>0</v>
      </c>
      <c r="AE81" s="157">
        <f t="shared" si="426"/>
        <v>0</v>
      </c>
      <c r="AI81" s="156"/>
      <c r="AJ81" s="156"/>
      <c r="AK81" s="156"/>
      <c r="AL81" s="156"/>
      <c r="AM81" s="156"/>
      <c r="AN81" s="156"/>
      <c r="AO81" s="156"/>
      <c r="AP81" s="156"/>
      <c r="AQ81" s="156"/>
      <c r="AR81" s="156"/>
      <c r="AS81" s="156"/>
      <c r="AT81" s="156"/>
      <c r="AU81" s="156"/>
      <c r="AV81" s="156"/>
      <c r="AW81" s="156"/>
      <c r="AX81" s="156"/>
      <c r="AY81" s="156"/>
      <c r="AZ81" s="156"/>
      <c r="BA81" s="156"/>
      <c r="BB81" s="156"/>
      <c r="BC81" s="156"/>
      <c r="BD81" s="156"/>
      <c r="BE81" s="156"/>
      <c r="BF81" s="156"/>
      <c r="BG81" s="156"/>
      <c r="BH81" s="156"/>
      <c r="BI81" s="156"/>
      <c r="BJ81" s="156"/>
      <c r="BK81" s="156"/>
      <c r="BL81" s="156"/>
      <c r="BM81" s="156"/>
      <c r="BN81" s="156"/>
      <c r="BO81" s="156"/>
      <c r="BP81" s="156"/>
      <c r="BQ81" s="156"/>
      <c r="BR81" s="156"/>
      <c r="BS81" s="156">
        <v>61</v>
      </c>
      <c r="BT81" s="156">
        <v>99</v>
      </c>
      <c r="BU81" s="156">
        <v>126</v>
      </c>
      <c r="BV81" s="156">
        <v>140</v>
      </c>
      <c r="BW81" s="156">
        <v>97</v>
      </c>
      <c r="BX81" s="156">
        <v>205</v>
      </c>
      <c r="BY81" s="156">
        <v>327</v>
      </c>
      <c r="BZ81" s="156">
        <v>243</v>
      </c>
      <c r="CA81" s="156">
        <v>183</v>
      </c>
      <c r="CB81" s="156">
        <v>203</v>
      </c>
      <c r="CC81" s="156">
        <v>185</v>
      </c>
      <c r="CD81" s="156">
        <v>141</v>
      </c>
      <c r="CE81" s="156">
        <v>237</v>
      </c>
      <c r="CF81" s="156">
        <v>243</v>
      </c>
      <c r="CG81" s="156">
        <v>198</v>
      </c>
      <c r="CH81" s="156">
        <v>170</v>
      </c>
      <c r="CI81" s="156">
        <v>242</v>
      </c>
      <c r="CJ81" s="156">
        <v>254</v>
      </c>
      <c r="CK81" s="156">
        <v>261</v>
      </c>
      <c r="CL81" s="156">
        <v>270</v>
      </c>
      <c r="CM81" s="157"/>
      <c r="CN81" s="157"/>
      <c r="CO81" s="157"/>
      <c r="CP81" s="157"/>
      <c r="CQ81" s="157"/>
      <c r="CR81" s="157"/>
      <c r="CS81" s="157"/>
      <c r="CT81" s="157"/>
      <c r="CU81" s="157"/>
      <c r="CV81" s="157"/>
      <c r="CW81" s="157"/>
      <c r="CX81" s="157"/>
      <c r="CY81" s="157"/>
      <c r="CZ81" s="157"/>
      <c r="DA81" s="157"/>
      <c r="DB81" s="157"/>
      <c r="DE81" s="159"/>
    </row>
    <row r="82" spans="1:110" s="158" customFormat="1" x14ac:dyDescent="0.2">
      <c r="A82" s="192" t="s">
        <v>614</v>
      </c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>
        <v>1478</v>
      </c>
      <c r="X82" s="156">
        <v>1274</v>
      </c>
      <c r="Y82" s="156">
        <v>1173</v>
      </c>
      <c r="Z82" s="156">
        <f t="shared" si="421"/>
        <v>939</v>
      </c>
      <c r="AA82" s="157">
        <f t="shared" si="422"/>
        <v>946</v>
      </c>
      <c r="AB82" s="157">
        <f t="shared" si="423"/>
        <v>0</v>
      </c>
      <c r="AC82" s="157">
        <f t="shared" si="424"/>
        <v>0</v>
      </c>
      <c r="AD82" s="157">
        <f t="shared" si="425"/>
        <v>0</v>
      </c>
      <c r="AE82" s="157">
        <f t="shared" si="426"/>
        <v>0</v>
      </c>
      <c r="AI82" s="156"/>
      <c r="AJ82" s="156"/>
      <c r="AK82" s="156"/>
      <c r="AL82" s="156"/>
      <c r="AM82" s="156"/>
      <c r="AN82" s="156"/>
      <c r="AO82" s="156"/>
      <c r="AP82" s="156"/>
      <c r="AQ82" s="156"/>
      <c r="AR82" s="156"/>
      <c r="AS82" s="156"/>
      <c r="AT82" s="156"/>
      <c r="AU82" s="156"/>
      <c r="AV82" s="156"/>
      <c r="AW82" s="156"/>
      <c r="AX82" s="156"/>
      <c r="AY82" s="156"/>
      <c r="AZ82" s="156"/>
      <c r="BA82" s="156"/>
      <c r="BB82" s="156"/>
      <c r="BC82" s="156"/>
      <c r="BD82" s="156"/>
      <c r="BE82" s="156"/>
      <c r="BF82" s="156"/>
      <c r="BG82" s="156"/>
      <c r="BH82" s="156"/>
      <c r="BI82" s="156"/>
      <c r="BJ82" s="156"/>
      <c r="BK82" s="156"/>
      <c r="BL82" s="156"/>
      <c r="BM82" s="156"/>
      <c r="BN82" s="156"/>
      <c r="BO82" s="156"/>
      <c r="BP82" s="156"/>
      <c r="BQ82" s="156"/>
      <c r="BR82" s="156"/>
      <c r="BS82" s="156">
        <v>370</v>
      </c>
      <c r="BT82" s="156">
        <v>380</v>
      </c>
      <c r="BU82" s="156">
        <v>437</v>
      </c>
      <c r="BV82" s="156">
        <v>291</v>
      </c>
      <c r="BW82" s="156">
        <v>302</v>
      </c>
      <c r="BX82" s="156">
        <v>315</v>
      </c>
      <c r="BY82" s="156">
        <v>325</v>
      </c>
      <c r="BZ82" s="156">
        <v>332</v>
      </c>
      <c r="CA82" s="156">
        <v>357</v>
      </c>
      <c r="CB82" s="156">
        <v>295</v>
      </c>
      <c r="CC82" s="156">
        <v>277</v>
      </c>
      <c r="CD82" s="156">
        <v>244</v>
      </c>
      <c r="CE82" s="156">
        <v>237</v>
      </c>
      <c r="CF82" s="156">
        <v>241</v>
      </c>
      <c r="CG82" s="156">
        <v>234</v>
      </c>
      <c r="CH82" s="156">
        <v>227</v>
      </c>
      <c r="CI82" s="156">
        <v>243</v>
      </c>
      <c r="CJ82" s="156">
        <v>236</v>
      </c>
      <c r="CK82" s="156">
        <v>238</v>
      </c>
      <c r="CL82" s="156">
        <v>229</v>
      </c>
      <c r="CM82" s="228"/>
      <c r="CN82" s="228"/>
      <c r="CO82" s="228"/>
      <c r="CP82" s="228"/>
      <c r="CQ82" s="228"/>
      <c r="CR82" s="228"/>
      <c r="CS82" s="228"/>
      <c r="CT82" s="228"/>
      <c r="CU82" s="228"/>
      <c r="CV82" s="228"/>
      <c r="CW82" s="228"/>
      <c r="CX82" s="228"/>
      <c r="CY82" s="228"/>
      <c r="CZ82" s="228"/>
      <c r="DA82" s="228"/>
      <c r="DB82" s="228"/>
      <c r="DE82" s="159"/>
    </row>
    <row r="83" spans="1:110" s="158" customFormat="1" x14ac:dyDescent="0.2">
      <c r="A83" s="192" t="s">
        <v>615</v>
      </c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>
        <v>2928</v>
      </c>
      <c r="X83" s="156">
        <v>3138</v>
      </c>
      <c r="Y83" s="156">
        <v>3907</v>
      </c>
      <c r="Z83" s="156">
        <f t="shared" si="421"/>
        <v>4411</v>
      </c>
      <c r="AA83" s="157">
        <f t="shared" si="422"/>
        <v>4527</v>
      </c>
      <c r="AB83" s="157">
        <f t="shared" si="423"/>
        <v>5672</v>
      </c>
      <c r="AC83" s="157">
        <f t="shared" si="424"/>
        <v>5672</v>
      </c>
      <c r="AD83" s="157">
        <f t="shared" si="425"/>
        <v>5672</v>
      </c>
      <c r="AE83" s="157">
        <f t="shared" si="426"/>
        <v>5672</v>
      </c>
      <c r="AI83" s="156"/>
      <c r="AJ83" s="156"/>
      <c r="AK83" s="156"/>
      <c r="AL83" s="156"/>
      <c r="AM83" s="156"/>
      <c r="AN83" s="156"/>
      <c r="AO83" s="156"/>
      <c r="AP83" s="156"/>
      <c r="AQ83" s="156"/>
      <c r="AR83" s="156"/>
      <c r="AS83" s="156"/>
      <c r="AT83" s="156"/>
      <c r="AU83" s="156"/>
      <c r="AV83" s="156"/>
      <c r="AW83" s="156"/>
      <c r="AX83" s="156"/>
      <c r="AY83" s="156"/>
      <c r="AZ83" s="156"/>
      <c r="BA83" s="156"/>
      <c r="BB83" s="156"/>
      <c r="BC83" s="156"/>
      <c r="BD83" s="156"/>
      <c r="BE83" s="156"/>
      <c r="BF83" s="156"/>
      <c r="BG83" s="156"/>
      <c r="BH83" s="156"/>
      <c r="BI83" s="156"/>
      <c r="BJ83" s="156"/>
      <c r="BK83" s="156"/>
      <c r="BL83" s="156"/>
      <c r="BM83" s="156"/>
      <c r="BN83" s="156"/>
      <c r="BO83" s="156"/>
      <c r="BP83" s="156"/>
      <c r="BQ83" s="156"/>
      <c r="BR83" s="156"/>
      <c r="BS83" s="156">
        <v>543</v>
      </c>
      <c r="BT83" s="156">
        <v>593</v>
      </c>
      <c r="BU83" s="156">
        <v>647</v>
      </c>
      <c r="BV83" s="156">
        <v>1145</v>
      </c>
      <c r="BW83" s="156">
        <v>433</v>
      </c>
      <c r="BX83" s="156">
        <v>846</v>
      </c>
      <c r="BY83" s="156">
        <v>802</v>
      </c>
      <c r="BZ83" s="156">
        <v>1057</v>
      </c>
      <c r="CA83" s="156">
        <v>873</v>
      </c>
      <c r="CB83" s="156">
        <v>855</v>
      </c>
      <c r="CC83" s="156">
        <v>943</v>
      </c>
      <c r="CD83" s="156">
        <v>1236</v>
      </c>
      <c r="CE83" s="156">
        <v>894</v>
      </c>
      <c r="CF83" s="156">
        <v>1152</v>
      </c>
      <c r="CG83" s="156">
        <v>1101</v>
      </c>
      <c r="CH83" s="156">
        <v>1264</v>
      </c>
      <c r="CI83" s="156">
        <v>969</v>
      </c>
      <c r="CJ83" s="156">
        <v>961</v>
      </c>
      <c r="CK83" s="156">
        <v>1179</v>
      </c>
      <c r="CL83" s="156">
        <v>1418</v>
      </c>
      <c r="CM83" s="228">
        <f t="shared" ref="CM83:DB83" si="428">+CL83</f>
        <v>1418</v>
      </c>
      <c r="CN83" s="228">
        <f t="shared" si="428"/>
        <v>1418</v>
      </c>
      <c r="CO83" s="228">
        <f t="shared" si="428"/>
        <v>1418</v>
      </c>
      <c r="CP83" s="228">
        <f t="shared" si="428"/>
        <v>1418</v>
      </c>
      <c r="CQ83" s="228">
        <f t="shared" si="428"/>
        <v>1418</v>
      </c>
      <c r="CR83" s="228">
        <f t="shared" si="428"/>
        <v>1418</v>
      </c>
      <c r="CS83" s="228">
        <f t="shared" si="428"/>
        <v>1418</v>
      </c>
      <c r="CT83" s="228">
        <f t="shared" si="428"/>
        <v>1418</v>
      </c>
      <c r="CU83" s="228">
        <f t="shared" si="428"/>
        <v>1418</v>
      </c>
      <c r="CV83" s="228">
        <f t="shared" si="428"/>
        <v>1418</v>
      </c>
      <c r="CW83" s="228">
        <f t="shared" si="428"/>
        <v>1418</v>
      </c>
      <c r="CX83" s="228">
        <f t="shared" si="428"/>
        <v>1418</v>
      </c>
      <c r="CY83" s="228">
        <f t="shared" si="428"/>
        <v>1418</v>
      </c>
      <c r="CZ83" s="228">
        <f t="shared" si="428"/>
        <v>1418</v>
      </c>
      <c r="DA83" s="228">
        <f t="shared" si="428"/>
        <v>1418</v>
      </c>
      <c r="DB83" s="228">
        <f t="shared" si="428"/>
        <v>1418</v>
      </c>
      <c r="DE83" s="159"/>
      <c r="DF83" s="158">
        <v>1179</v>
      </c>
    </row>
    <row r="84" spans="1:110" s="109" customFormat="1" x14ac:dyDescent="0.2">
      <c r="A84" s="191" t="s">
        <v>531</v>
      </c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>
        <f t="shared" ref="W84" si="429">+SUM(W79:W83)</f>
        <v>7344</v>
      </c>
      <c r="X84" s="107">
        <f t="shared" ref="X84" si="430">+SUM(X79:X83)</f>
        <v>7699</v>
      </c>
      <c r="Y84" s="107">
        <f t="shared" ref="Y84" si="431">+SUM(Y79:Y83)</f>
        <v>8494</v>
      </c>
      <c r="Z84" s="107">
        <f t="shared" ref="Z84" si="432">+SUM(Z79:Z83)</f>
        <v>9227</v>
      </c>
      <c r="AA84" s="108">
        <f t="shared" ref="AA84" si="433">SUM(CI84:CL84)</f>
        <v>10094</v>
      </c>
      <c r="AB84" s="108">
        <f t="shared" ref="AB84" si="434">+SUM(CM84:CP84)</f>
        <v>11016</v>
      </c>
      <c r="AC84" s="108">
        <f t="shared" ref="AC84" si="435">+SUM(CQ84:CT84)</f>
        <v>11016</v>
      </c>
      <c r="AD84" s="108">
        <f t="shared" ref="AD84" si="436">+SUM(CU84:CX84)</f>
        <v>11016</v>
      </c>
      <c r="AE84" s="108">
        <f t="shared" ref="AE84" si="437">+SUM(CY84:DB84)</f>
        <v>11016</v>
      </c>
      <c r="AI84" s="107"/>
      <c r="AJ84" s="107"/>
      <c r="AK84" s="107"/>
      <c r="AL84" s="107"/>
      <c r="AM84" s="107"/>
      <c r="AN84" s="107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  <c r="BE84" s="107"/>
      <c r="BF84" s="107"/>
      <c r="BG84" s="107"/>
      <c r="BH84" s="107"/>
      <c r="BI84" s="107"/>
      <c r="BJ84" s="107"/>
      <c r="BK84" s="107"/>
      <c r="BL84" s="107"/>
      <c r="BM84" s="107"/>
      <c r="BN84" s="107"/>
      <c r="BO84" s="107"/>
      <c r="BP84" s="107"/>
      <c r="BQ84" s="107"/>
      <c r="BR84" s="107"/>
      <c r="BS84" s="107">
        <f t="shared" ref="BS84:CI84" si="438">+SUM(BS79:BS83)</f>
        <v>1547</v>
      </c>
      <c r="BT84" s="107">
        <f t="shared" si="438"/>
        <v>1664</v>
      </c>
      <c r="BU84" s="107">
        <f t="shared" si="438"/>
        <v>1872</v>
      </c>
      <c r="BV84" s="107">
        <f t="shared" si="438"/>
        <v>2261</v>
      </c>
      <c r="BW84" s="107">
        <f t="shared" si="438"/>
        <v>1395</v>
      </c>
      <c r="BX84" s="107">
        <f t="shared" si="438"/>
        <v>1959</v>
      </c>
      <c r="BY84" s="107">
        <f t="shared" si="438"/>
        <v>2072</v>
      </c>
      <c r="BZ84" s="107">
        <f t="shared" si="438"/>
        <v>2273</v>
      </c>
      <c r="CA84" s="107">
        <f t="shared" si="438"/>
        <v>2068</v>
      </c>
      <c r="CB84" s="107">
        <f t="shared" si="438"/>
        <v>1999</v>
      </c>
      <c r="CC84" s="107">
        <f t="shared" si="438"/>
        <v>2082</v>
      </c>
      <c r="CD84" s="107">
        <f t="shared" si="438"/>
        <v>2345</v>
      </c>
      <c r="CE84" s="107">
        <f t="shared" si="438"/>
        <v>2098</v>
      </c>
      <c r="CF84" s="107">
        <f t="shared" si="438"/>
        <v>2328</v>
      </c>
      <c r="CG84" s="107">
        <f t="shared" si="438"/>
        <v>2174</v>
      </c>
      <c r="CH84" s="107">
        <f t="shared" si="438"/>
        <v>2627</v>
      </c>
      <c r="CI84" s="107">
        <f t="shared" si="438"/>
        <v>2316</v>
      </c>
      <c r="CJ84" s="107">
        <f>+SUM(CJ79:CJ83)</f>
        <v>2411</v>
      </c>
      <c r="CK84" s="107">
        <f>+SUM(CK79:CK83)</f>
        <v>2613</v>
      </c>
      <c r="CL84" s="107">
        <f>+SUM(CL79:CL83)</f>
        <v>2754</v>
      </c>
      <c r="CM84" s="108">
        <f t="shared" ref="CM84:DB84" si="439">+CL84</f>
        <v>2754</v>
      </c>
      <c r="CN84" s="108">
        <f t="shared" si="439"/>
        <v>2754</v>
      </c>
      <c r="CO84" s="108">
        <f t="shared" si="439"/>
        <v>2754</v>
      </c>
      <c r="CP84" s="108">
        <f t="shared" si="439"/>
        <v>2754</v>
      </c>
      <c r="CQ84" s="108">
        <f t="shared" si="439"/>
        <v>2754</v>
      </c>
      <c r="CR84" s="108">
        <f t="shared" si="439"/>
        <v>2754</v>
      </c>
      <c r="CS84" s="108">
        <f t="shared" si="439"/>
        <v>2754</v>
      </c>
      <c r="CT84" s="108">
        <f t="shared" si="439"/>
        <v>2754</v>
      </c>
      <c r="CU84" s="108">
        <f t="shared" si="439"/>
        <v>2754</v>
      </c>
      <c r="CV84" s="108">
        <f t="shared" si="439"/>
        <v>2754</v>
      </c>
      <c r="CW84" s="108">
        <f t="shared" si="439"/>
        <v>2754</v>
      </c>
      <c r="CX84" s="108">
        <f t="shared" si="439"/>
        <v>2754</v>
      </c>
      <c r="CY84" s="108">
        <f t="shared" si="439"/>
        <v>2754</v>
      </c>
      <c r="CZ84" s="108">
        <f t="shared" si="439"/>
        <v>2754</v>
      </c>
      <c r="DA84" s="108">
        <f t="shared" si="439"/>
        <v>2754</v>
      </c>
      <c r="DB84" s="108">
        <f t="shared" si="439"/>
        <v>2754</v>
      </c>
      <c r="DE84" s="117"/>
      <c r="DF84" s="109">
        <v>2613</v>
      </c>
    </row>
    <row r="85" spans="1:110" s="158" customFormat="1" x14ac:dyDescent="0.2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7"/>
      <c r="AB85" s="157"/>
      <c r="AC85" s="157"/>
      <c r="AD85" s="157"/>
      <c r="AE85" s="157"/>
      <c r="AI85" s="156"/>
      <c r="AJ85" s="156"/>
      <c r="AK85" s="156"/>
      <c r="AL85" s="156"/>
      <c r="AM85" s="156"/>
      <c r="AN85" s="156"/>
      <c r="AO85" s="156"/>
      <c r="AP85" s="156"/>
      <c r="AQ85" s="156"/>
      <c r="AR85" s="156"/>
      <c r="AS85" s="156"/>
      <c r="AT85" s="156"/>
      <c r="AU85" s="156"/>
      <c r="AV85" s="156"/>
      <c r="AW85" s="156"/>
      <c r="AX85" s="156"/>
      <c r="AY85" s="156"/>
      <c r="AZ85" s="156"/>
      <c r="BA85" s="156"/>
      <c r="BB85" s="156"/>
      <c r="BC85" s="156"/>
      <c r="BD85" s="156"/>
      <c r="BE85" s="156"/>
      <c r="BF85" s="156"/>
      <c r="BG85" s="156"/>
      <c r="BH85" s="156"/>
      <c r="BI85" s="156"/>
      <c r="BJ85" s="156"/>
      <c r="BK85" s="156"/>
      <c r="BL85" s="156"/>
      <c r="BM85" s="156"/>
      <c r="BN85" s="156"/>
      <c r="BO85" s="156"/>
      <c r="BP85" s="156"/>
      <c r="BQ85" s="156"/>
      <c r="BR85" s="156"/>
      <c r="BS85" s="156"/>
      <c r="BT85" s="156"/>
      <c r="BU85" s="156"/>
      <c r="BV85" s="156"/>
      <c r="BW85" s="156"/>
      <c r="BX85" s="156"/>
      <c r="BY85" s="156"/>
      <c r="BZ85" s="156"/>
      <c r="CA85" s="156"/>
      <c r="CB85" s="156"/>
      <c r="CC85" s="156"/>
      <c r="CD85" s="156"/>
      <c r="CE85" s="156"/>
      <c r="CF85" s="156"/>
      <c r="CG85" s="156"/>
      <c r="CH85" s="156"/>
      <c r="CI85" s="156"/>
      <c r="CJ85" s="156"/>
      <c r="CK85" s="156"/>
      <c r="CL85" s="156"/>
      <c r="CM85" s="157"/>
      <c r="CN85" s="157"/>
      <c r="CO85" s="157"/>
      <c r="CP85" s="157"/>
      <c r="CQ85" s="157"/>
      <c r="CR85" s="157"/>
      <c r="CS85" s="157"/>
      <c r="CT85" s="157"/>
      <c r="CU85" s="157"/>
      <c r="CV85" s="157"/>
      <c r="CW85" s="157"/>
      <c r="CX85" s="157"/>
      <c r="CY85" s="157"/>
      <c r="CZ85" s="157"/>
      <c r="DA85" s="157"/>
      <c r="DB85" s="157"/>
      <c r="DE85" s="159"/>
    </row>
    <row r="86" spans="1:110" s="188" customFormat="1" x14ac:dyDescent="0.2">
      <c r="A86" s="186" t="s">
        <v>534</v>
      </c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  <c r="AB86" s="187"/>
      <c r="AC86" s="187"/>
      <c r="AD86" s="187"/>
      <c r="AE86" s="187"/>
      <c r="AI86" s="187"/>
      <c r="AJ86" s="187"/>
      <c r="AK86" s="187"/>
      <c r="AL86" s="187"/>
      <c r="AM86" s="187"/>
      <c r="AN86" s="187"/>
      <c r="AO86" s="187"/>
      <c r="AP86" s="187"/>
      <c r="AQ86" s="187"/>
      <c r="AR86" s="187"/>
      <c r="AS86" s="187"/>
      <c r="AT86" s="187"/>
      <c r="AU86" s="187"/>
      <c r="AV86" s="187"/>
      <c r="AW86" s="187"/>
      <c r="AX86" s="187"/>
      <c r="AY86" s="187"/>
      <c r="AZ86" s="187"/>
      <c r="BA86" s="187"/>
      <c r="BB86" s="187"/>
      <c r="BC86" s="187"/>
      <c r="BD86" s="187"/>
      <c r="BE86" s="187"/>
      <c r="BF86" s="187"/>
      <c r="BG86" s="187"/>
      <c r="BH86" s="187"/>
      <c r="BI86" s="187"/>
      <c r="BJ86" s="187"/>
      <c r="BK86" s="187"/>
      <c r="BL86" s="187"/>
      <c r="BM86" s="187"/>
      <c r="BN86" s="187"/>
      <c r="BO86" s="187"/>
      <c r="BP86" s="187"/>
      <c r="BQ86" s="187"/>
      <c r="BR86" s="187"/>
      <c r="BS86" s="187"/>
      <c r="BT86" s="187"/>
      <c r="BU86" s="187"/>
      <c r="BV86" s="187"/>
      <c r="BW86" s="187"/>
      <c r="BX86" s="187"/>
      <c r="BY86" s="187"/>
      <c r="BZ86" s="187"/>
      <c r="CA86" s="187"/>
      <c r="CB86" s="187"/>
      <c r="CC86" s="187"/>
      <c r="CD86" s="187"/>
      <c r="CE86" s="187"/>
      <c r="CF86" s="187"/>
      <c r="CG86" s="187"/>
      <c r="CH86" s="187"/>
      <c r="CI86" s="187"/>
      <c r="CJ86" s="187"/>
      <c r="CK86" s="187"/>
      <c r="CL86" s="187"/>
      <c r="CM86" s="187"/>
      <c r="CN86" s="187"/>
      <c r="CO86" s="187"/>
      <c r="CP86" s="187"/>
      <c r="CQ86" s="187"/>
      <c r="CR86" s="187"/>
      <c r="CS86" s="187"/>
      <c r="CT86" s="187"/>
      <c r="CU86" s="187"/>
      <c r="CV86" s="187"/>
      <c r="CW86" s="187"/>
      <c r="CX86" s="187"/>
      <c r="CY86" s="187"/>
      <c r="CZ86" s="187"/>
      <c r="DA86" s="187"/>
      <c r="DB86" s="187"/>
      <c r="DE86" s="187"/>
    </row>
    <row r="87" spans="1:110" s="158" customFormat="1" x14ac:dyDescent="0.2">
      <c r="A87" s="192" t="s">
        <v>616</v>
      </c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>
        <v>2</v>
      </c>
      <c r="X87" s="156">
        <v>-38</v>
      </c>
      <c r="Y87" s="156">
        <v>15</v>
      </c>
      <c r="Z87" s="156">
        <f t="shared" ref="Z87" si="440">+SUM(CE87:CH87)</f>
        <v>25</v>
      </c>
      <c r="AA87" s="157">
        <f t="shared" ref="AA87" si="441">SUM(CI87:CL87)</f>
        <v>53</v>
      </c>
      <c r="AB87" s="157">
        <f t="shared" ref="AB87" si="442">+SUM(CM87:CP87)</f>
        <v>132</v>
      </c>
      <c r="AC87" s="157">
        <f t="shared" ref="AC87" si="443">+SUM(CQ87:CT87)</f>
        <v>132</v>
      </c>
      <c r="AD87" s="157">
        <f t="shared" ref="AD87" si="444">+SUM(CU87:CX87)</f>
        <v>132</v>
      </c>
      <c r="AE87" s="157">
        <f t="shared" ref="AE87" si="445">+SUM(CY87:DB87)</f>
        <v>132</v>
      </c>
      <c r="AI87" s="156"/>
      <c r="AJ87" s="156"/>
      <c r="AK87" s="156"/>
      <c r="AL87" s="156"/>
      <c r="AM87" s="156"/>
      <c r="AN87" s="156"/>
      <c r="AO87" s="156"/>
      <c r="AP87" s="156"/>
      <c r="AQ87" s="156"/>
      <c r="AR87" s="156"/>
      <c r="AS87" s="156"/>
      <c r="AT87" s="156"/>
      <c r="AU87" s="156"/>
      <c r="AV87" s="156"/>
      <c r="AW87" s="156"/>
      <c r="AX87" s="156"/>
      <c r="AY87" s="156"/>
      <c r="AZ87" s="156"/>
      <c r="BA87" s="156"/>
      <c r="BB87" s="156"/>
      <c r="BC87" s="156"/>
      <c r="BD87" s="156"/>
      <c r="BE87" s="156"/>
      <c r="BF87" s="156"/>
      <c r="BG87" s="156"/>
      <c r="BH87" s="156"/>
      <c r="BI87" s="156"/>
      <c r="BJ87" s="156"/>
      <c r="BK87" s="156"/>
      <c r="BL87" s="156"/>
      <c r="BM87" s="156"/>
      <c r="BN87" s="156"/>
      <c r="BO87" s="156"/>
      <c r="BP87" s="156"/>
      <c r="BQ87" s="156"/>
      <c r="BR87" s="156"/>
      <c r="BS87" s="156">
        <v>0</v>
      </c>
      <c r="BT87" s="156">
        <v>-3</v>
      </c>
      <c r="BU87" s="156">
        <v>-2</v>
      </c>
      <c r="BV87" s="156">
        <v>7</v>
      </c>
      <c r="BW87" s="156">
        <v>-2</v>
      </c>
      <c r="BX87" s="156">
        <v>-7</v>
      </c>
      <c r="BY87" s="156">
        <v>-2</v>
      </c>
      <c r="BZ87" s="156">
        <v>-27</v>
      </c>
      <c r="CA87" s="156">
        <v>-2</v>
      </c>
      <c r="CB87" s="156">
        <v>0</v>
      </c>
      <c r="CC87" s="156">
        <v>-2</v>
      </c>
      <c r="CD87" s="156">
        <v>19</v>
      </c>
      <c r="CE87" s="156">
        <v>0</v>
      </c>
      <c r="CF87" s="156">
        <v>4</v>
      </c>
      <c r="CG87" s="156">
        <v>1</v>
      </c>
      <c r="CH87" s="156">
        <v>20</v>
      </c>
      <c r="CI87" s="156">
        <v>2</v>
      </c>
      <c r="CJ87" s="156">
        <v>15</v>
      </c>
      <c r="CK87" s="156">
        <v>3</v>
      </c>
      <c r="CL87" s="156">
        <v>33</v>
      </c>
      <c r="CM87" s="157">
        <f t="shared" ref="CM87:DB91" si="446">+CL87</f>
        <v>33</v>
      </c>
      <c r="CN87" s="157">
        <f t="shared" si="446"/>
        <v>33</v>
      </c>
      <c r="CO87" s="157">
        <f t="shared" si="446"/>
        <v>33</v>
      </c>
      <c r="CP87" s="157">
        <f t="shared" si="446"/>
        <v>33</v>
      </c>
      <c r="CQ87" s="157">
        <f t="shared" si="446"/>
        <v>33</v>
      </c>
      <c r="CR87" s="157">
        <f t="shared" si="446"/>
        <v>33</v>
      </c>
      <c r="CS87" s="157">
        <f t="shared" si="446"/>
        <v>33</v>
      </c>
      <c r="CT87" s="157">
        <f t="shared" si="446"/>
        <v>33</v>
      </c>
      <c r="CU87" s="157">
        <f t="shared" si="446"/>
        <v>33</v>
      </c>
      <c r="CV87" s="157">
        <f t="shared" si="446"/>
        <v>33</v>
      </c>
      <c r="CW87" s="157">
        <f t="shared" si="446"/>
        <v>33</v>
      </c>
      <c r="CX87" s="157">
        <f t="shared" si="446"/>
        <v>33</v>
      </c>
      <c r="CY87" s="157">
        <f t="shared" si="446"/>
        <v>33</v>
      </c>
      <c r="CZ87" s="157">
        <f t="shared" si="446"/>
        <v>33</v>
      </c>
      <c r="DA87" s="157">
        <f t="shared" si="446"/>
        <v>33</v>
      </c>
      <c r="DB87" s="157">
        <f t="shared" si="446"/>
        <v>33</v>
      </c>
      <c r="DE87" s="159"/>
      <c r="DF87" s="158">
        <v>3</v>
      </c>
    </row>
    <row r="88" spans="1:110" s="158" customFormat="1" x14ac:dyDescent="0.2">
      <c r="A88" s="192" t="s">
        <v>617</v>
      </c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>
        <v>1389</v>
      </c>
      <c r="X88" s="156">
        <v>1621</v>
      </c>
      <c r="Y88" s="156">
        <v>1719</v>
      </c>
      <c r="Z88" s="156">
        <f t="shared" ref="Z88:Z91" si="447">+SUM(CE88:CH88)</f>
        <v>1719</v>
      </c>
      <c r="AA88" s="157">
        <f t="shared" ref="AA88:AA91" si="448">SUM(CI88:CL88)</f>
        <v>1820</v>
      </c>
      <c r="AB88" s="157">
        <f t="shared" ref="AB88:AB91" si="449">+SUM(CM88:CP88)</f>
        <v>2020</v>
      </c>
      <c r="AC88" s="157">
        <f t="shared" ref="AC88:AC91" si="450">+SUM(CQ88:CT88)</f>
        <v>2020</v>
      </c>
      <c r="AD88" s="157">
        <f t="shared" ref="AD88:AD91" si="451">+SUM(CU88:CX88)</f>
        <v>2020</v>
      </c>
      <c r="AE88" s="157">
        <f t="shared" ref="AE88:AE91" si="452">+SUM(CY88:DB88)</f>
        <v>2020</v>
      </c>
      <c r="AI88" s="156"/>
      <c r="AJ88" s="156"/>
      <c r="AK88" s="156"/>
      <c r="AL88" s="156"/>
      <c r="AM88" s="156"/>
      <c r="AN88" s="156"/>
      <c r="AO88" s="156"/>
      <c r="AP88" s="156"/>
      <c r="AQ88" s="156"/>
      <c r="AR88" s="156"/>
      <c r="AS88" s="156"/>
      <c r="AT88" s="156"/>
      <c r="AU88" s="156"/>
      <c r="AV88" s="156"/>
      <c r="AW88" s="156"/>
      <c r="AX88" s="156"/>
      <c r="AY88" s="156"/>
      <c r="AZ88" s="156"/>
      <c r="BA88" s="156"/>
      <c r="BB88" s="156"/>
      <c r="BC88" s="156"/>
      <c r="BD88" s="156"/>
      <c r="BE88" s="156"/>
      <c r="BF88" s="156"/>
      <c r="BG88" s="156"/>
      <c r="BH88" s="156"/>
      <c r="BI88" s="156"/>
      <c r="BJ88" s="156"/>
      <c r="BK88" s="156"/>
      <c r="BL88" s="156"/>
      <c r="BM88" s="156"/>
      <c r="BN88" s="156"/>
      <c r="BO88" s="156"/>
      <c r="BP88" s="156"/>
      <c r="BQ88" s="156"/>
      <c r="BR88" s="156"/>
      <c r="BS88" s="156">
        <v>295</v>
      </c>
      <c r="BT88" s="156">
        <v>335</v>
      </c>
      <c r="BU88" s="156">
        <v>369</v>
      </c>
      <c r="BV88" s="156">
        <v>390</v>
      </c>
      <c r="BW88" s="156">
        <v>397</v>
      </c>
      <c r="BX88" s="156">
        <v>429</v>
      </c>
      <c r="BY88" s="156">
        <v>380</v>
      </c>
      <c r="BZ88" s="156">
        <v>415</v>
      </c>
      <c r="CA88" s="156">
        <v>430</v>
      </c>
      <c r="CB88" s="156">
        <v>431</v>
      </c>
      <c r="CC88" s="156">
        <v>440</v>
      </c>
      <c r="CD88" s="156">
        <v>418</v>
      </c>
      <c r="CE88" s="156">
        <v>426</v>
      </c>
      <c r="CF88" s="156">
        <v>468</v>
      </c>
      <c r="CG88" s="156">
        <v>406</v>
      </c>
      <c r="CH88" s="156">
        <v>419</v>
      </c>
      <c r="CI88" s="156">
        <v>464</v>
      </c>
      <c r="CJ88" s="156">
        <v>492</v>
      </c>
      <c r="CK88" s="156">
        <v>359</v>
      </c>
      <c r="CL88" s="156">
        <v>505</v>
      </c>
      <c r="CM88" s="157">
        <f t="shared" ref="CM88:CZ88" si="453">+CL88</f>
        <v>505</v>
      </c>
      <c r="CN88" s="157">
        <f t="shared" si="453"/>
        <v>505</v>
      </c>
      <c r="CO88" s="157">
        <f t="shared" si="453"/>
        <v>505</v>
      </c>
      <c r="CP88" s="157">
        <f t="shared" si="453"/>
        <v>505</v>
      </c>
      <c r="CQ88" s="157">
        <f t="shared" si="453"/>
        <v>505</v>
      </c>
      <c r="CR88" s="157">
        <f t="shared" si="453"/>
        <v>505</v>
      </c>
      <c r="CS88" s="157">
        <f t="shared" si="453"/>
        <v>505</v>
      </c>
      <c r="CT88" s="157">
        <f t="shared" si="453"/>
        <v>505</v>
      </c>
      <c r="CU88" s="157">
        <f t="shared" si="453"/>
        <v>505</v>
      </c>
      <c r="CV88" s="157">
        <f t="shared" si="453"/>
        <v>505</v>
      </c>
      <c r="CW88" s="157">
        <f t="shared" si="453"/>
        <v>505</v>
      </c>
      <c r="CX88" s="157">
        <f t="shared" si="453"/>
        <v>505</v>
      </c>
      <c r="CY88" s="157">
        <f t="shared" si="453"/>
        <v>505</v>
      </c>
      <c r="CZ88" s="157">
        <f t="shared" si="453"/>
        <v>505</v>
      </c>
      <c r="DA88" s="157">
        <f t="shared" si="446"/>
        <v>505</v>
      </c>
      <c r="DB88" s="157">
        <f t="shared" si="446"/>
        <v>505</v>
      </c>
      <c r="DE88" s="159"/>
      <c r="DF88" s="158">
        <v>359</v>
      </c>
    </row>
    <row r="89" spans="1:110" s="158" customFormat="1" x14ac:dyDescent="0.2">
      <c r="A89" s="192" t="s">
        <v>618</v>
      </c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>
        <v>365</v>
      </c>
      <c r="X89" s="156">
        <v>450</v>
      </c>
      <c r="Y89" s="156">
        <v>781</v>
      </c>
      <c r="Z89" s="156">
        <f t="shared" si="447"/>
        <v>903</v>
      </c>
      <c r="AA89" s="157">
        <f t="shared" si="448"/>
        <v>1008</v>
      </c>
      <c r="AB89" s="157">
        <f t="shared" si="449"/>
        <v>1100</v>
      </c>
      <c r="AC89" s="157">
        <f t="shared" si="450"/>
        <v>1100</v>
      </c>
      <c r="AD89" s="157">
        <f t="shared" si="451"/>
        <v>1100</v>
      </c>
      <c r="AE89" s="157">
        <f t="shared" si="452"/>
        <v>1100</v>
      </c>
      <c r="AI89" s="156"/>
      <c r="AJ89" s="156"/>
      <c r="AK89" s="156"/>
      <c r="AL89" s="156"/>
      <c r="AM89" s="156"/>
      <c r="AN89" s="156"/>
      <c r="AO89" s="156"/>
      <c r="AP89" s="156"/>
      <c r="AQ89" s="156"/>
      <c r="AR89" s="156"/>
      <c r="AS89" s="156"/>
      <c r="AT89" s="156"/>
      <c r="AU89" s="156"/>
      <c r="AV89" s="156"/>
      <c r="AW89" s="156"/>
      <c r="AX89" s="156"/>
      <c r="AY89" s="156"/>
      <c r="AZ89" s="156"/>
      <c r="BA89" s="156"/>
      <c r="BB89" s="156"/>
      <c r="BC89" s="156"/>
      <c r="BD89" s="156"/>
      <c r="BE89" s="156"/>
      <c r="BF89" s="156"/>
      <c r="BG89" s="156"/>
      <c r="BH89" s="156"/>
      <c r="BI89" s="156"/>
      <c r="BJ89" s="156"/>
      <c r="BK89" s="156"/>
      <c r="BL89" s="156"/>
      <c r="BM89" s="156"/>
      <c r="BN89" s="156"/>
      <c r="BO89" s="156"/>
      <c r="BP89" s="156"/>
      <c r="BQ89" s="156"/>
      <c r="BR89" s="156"/>
      <c r="BS89" s="156">
        <v>62</v>
      </c>
      <c r="BT89" s="156">
        <v>80</v>
      </c>
      <c r="BU89" s="156">
        <v>100</v>
      </c>
      <c r="BV89" s="156">
        <v>123</v>
      </c>
      <c r="BW89" s="156">
        <v>87</v>
      </c>
      <c r="BX89" s="156">
        <v>137</v>
      </c>
      <c r="BY89" s="156">
        <v>141</v>
      </c>
      <c r="BZ89" s="156">
        <v>85</v>
      </c>
      <c r="CA89" s="156">
        <v>179</v>
      </c>
      <c r="CB89" s="156">
        <v>199</v>
      </c>
      <c r="CC89" s="156">
        <v>216</v>
      </c>
      <c r="CD89" s="156">
        <v>187</v>
      </c>
      <c r="CE89" s="156">
        <v>234</v>
      </c>
      <c r="CF89" s="156">
        <v>235</v>
      </c>
      <c r="CG89" s="156">
        <v>210</v>
      </c>
      <c r="CH89" s="156">
        <v>224</v>
      </c>
      <c r="CI89" s="156">
        <v>236</v>
      </c>
      <c r="CJ89" s="156">
        <v>248</v>
      </c>
      <c r="CK89" s="156">
        <v>249</v>
      </c>
      <c r="CL89" s="156">
        <v>275</v>
      </c>
      <c r="CM89" s="157">
        <f t="shared" si="446"/>
        <v>275</v>
      </c>
      <c r="CN89" s="157">
        <f t="shared" si="446"/>
        <v>275</v>
      </c>
      <c r="CO89" s="157">
        <f t="shared" si="446"/>
        <v>275</v>
      </c>
      <c r="CP89" s="157">
        <f t="shared" si="446"/>
        <v>275</v>
      </c>
      <c r="CQ89" s="157">
        <f t="shared" si="446"/>
        <v>275</v>
      </c>
      <c r="CR89" s="157">
        <f t="shared" si="446"/>
        <v>275</v>
      </c>
      <c r="CS89" s="157">
        <f t="shared" si="446"/>
        <v>275</v>
      </c>
      <c r="CT89" s="157">
        <f t="shared" si="446"/>
        <v>275</v>
      </c>
      <c r="CU89" s="157">
        <f t="shared" si="446"/>
        <v>275</v>
      </c>
      <c r="CV89" s="157">
        <f t="shared" si="446"/>
        <v>275</v>
      </c>
      <c r="CW89" s="157">
        <f t="shared" si="446"/>
        <v>275</v>
      </c>
      <c r="CX89" s="157">
        <f t="shared" si="446"/>
        <v>275</v>
      </c>
      <c r="CY89" s="157">
        <f t="shared" si="446"/>
        <v>275</v>
      </c>
      <c r="CZ89" s="157">
        <f t="shared" si="446"/>
        <v>275</v>
      </c>
      <c r="DA89" s="157">
        <f t="shared" si="446"/>
        <v>275</v>
      </c>
      <c r="DB89" s="157">
        <f t="shared" si="446"/>
        <v>275</v>
      </c>
      <c r="DE89" s="159"/>
      <c r="DF89" s="158">
        <v>249</v>
      </c>
    </row>
    <row r="90" spans="1:110" s="158" customFormat="1" x14ac:dyDescent="0.2">
      <c r="A90" s="192" t="s">
        <v>619</v>
      </c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>
        <v>0</v>
      </c>
      <c r="X90" s="156">
        <v>0</v>
      </c>
      <c r="Y90" s="156">
        <v>0</v>
      </c>
      <c r="Z90" s="156">
        <f t="shared" si="447"/>
        <v>0</v>
      </c>
      <c r="AA90" s="157">
        <f t="shared" si="448"/>
        <v>0</v>
      </c>
      <c r="AB90" s="157">
        <f t="shared" si="449"/>
        <v>0</v>
      </c>
      <c r="AC90" s="157">
        <f t="shared" si="450"/>
        <v>0</v>
      </c>
      <c r="AD90" s="157">
        <f t="shared" si="451"/>
        <v>0</v>
      </c>
      <c r="AE90" s="157">
        <f t="shared" si="452"/>
        <v>0</v>
      </c>
      <c r="AI90" s="156"/>
      <c r="AJ90" s="156"/>
      <c r="AK90" s="156"/>
      <c r="AL90" s="156"/>
      <c r="AM90" s="156"/>
      <c r="AN90" s="156"/>
      <c r="AO90" s="156"/>
      <c r="AP90" s="156"/>
      <c r="AQ90" s="156"/>
      <c r="AR90" s="156"/>
      <c r="AS90" s="156"/>
      <c r="AT90" s="156"/>
      <c r="AU90" s="156"/>
      <c r="AV90" s="156"/>
      <c r="AW90" s="156"/>
      <c r="AX90" s="156"/>
      <c r="AY90" s="156"/>
      <c r="AZ90" s="156"/>
      <c r="BA90" s="156"/>
      <c r="BB90" s="156"/>
      <c r="BC90" s="156"/>
      <c r="BD90" s="156"/>
      <c r="BE90" s="156"/>
      <c r="BF90" s="156"/>
      <c r="BG90" s="156"/>
      <c r="BH90" s="156"/>
      <c r="BI90" s="156"/>
      <c r="BJ90" s="156"/>
      <c r="BK90" s="156"/>
      <c r="BL90" s="156"/>
      <c r="BM90" s="156"/>
      <c r="BN90" s="156"/>
      <c r="BO90" s="156"/>
      <c r="BP90" s="156"/>
      <c r="BQ90" s="156"/>
      <c r="BR90" s="156"/>
      <c r="BS90" s="156">
        <v>0</v>
      </c>
      <c r="BT90" s="156">
        <v>0</v>
      </c>
      <c r="BU90" s="156">
        <v>0</v>
      </c>
      <c r="BV90" s="156">
        <v>0</v>
      </c>
      <c r="BW90" s="156">
        <v>0</v>
      </c>
      <c r="BX90" s="156">
        <v>0</v>
      </c>
      <c r="BY90" s="156">
        <v>0</v>
      </c>
      <c r="BZ90" s="156">
        <v>0</v>
      </c>
      <c r="CA90" s="156">
        <v>0</v>
      </c>
      <c r="CB90" s="156">
        <v>0</v>
      </c>
      <c r="CC90" s="156">
        <v>0</v>
      </c>
      <c r="CD90" s="156">
        <v>0</v>
      </c>
      <c r="CE90" s="156">
        <v>0</v>
      </c>
      <c r="CF90" s="156">
        <v>0</v>
      </c>
      <c r="CG90" s="156">
        <v>0</v>
      </c>
      <c r="CH90" s="156">
        <v>0</v>
      </c>
      <c r="CI90" s="156">
        <v>0</v>
      </c>
      <c r="CJ90" s="156">
        <v>0</v>
      </c>
      <c r="CK90" s="156">
        <v>0</v>
      </c>
      <c r="CL90" s="156">
        <v>0</v>
      </c>
      <c r="CM90" s="157">
        <f t="shared" si="446"/>
        <v>0</v>
      </c>
      <c r="CN90" s="157">
        <f t="shared" si="446"/>
        <v>0</v>
      </c>
      <c r="CO90" s="157">
        <f t="shared" si="446"/>
        <v>0</v>
      </c>
      <c r="CP90" s="157">
        <f t="shared" si="446"/>
        <v>0</v>
      </c>
      <c r="CQ90" s="157">
        <f t="shared" si="446"/>
        <v>0</v>
      </c>
      <c r="CR90" s="157">
        <f t="shared" si="446"/>
        <v>0</v>
      </c>
      <c r="CS90" s="157">
        <f t="shared" si="446"/>
        <v>0</v>
      </c>
      <c r="CT90" s="157">
        <f t="shared" si="446"/>
        <v>0</v>
      </c>
      <c r="CU90" s="157">
        <f t="shared" si="446"/>
        <v>0</v>
      </c>
      <c r="CV90" s="157">
        <f t="shared" si="446"/>
        <v>0</v>
      </c>
      <c r="CW90" s="157">
        <f t="shared" si="446"/>
        <v>0</v>
      </c>
      <c r="CX90" s="157">
        <f t="shared" si="446"/>
        <v>0</v>
      </c>
      <c r="CY90" s="157">
        <f t="shared" si="446"/>
        <v>0</v>
      </c>
      <c r="CZ90" s="157">
        <f t="shared" si="446"/>
        <v>0</v>
      </c>
      <c r="DA90" s="157">
        <f t="shared" si="446"/>
        <v>0</v>
      </c>
      <c r="DB90" s="157">
        <f t="shared" si="446"/>
        <v>0</v>
      </c>
      <c r="DE90" s="159"/>
      <c r="DF90" s="158" t="s">
        <v>650</v>
      </c>
    </row>
    <row r="91" spans="1:110" s="158" customFormat="1" x14ac:dyDescent="0.2">
      <c r="A91" s="192" t="s">
        <v>620</v>
      </c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>
        <v>-8</v>
      </c>
      <c r="X91" s="156">
        <v>29</v>
      </c>
      <c r="Y91" s="156">
        <v>-30</v>
      </c>
      <c r="Z91" s="156">
        <f t="shared" si="447"/>
        <v>-11</v>
      </c>
      <c r="AA91" s="157">
        <f t="shared" si="448"/>
        <v>-13</v>
      </c>
      <c r="AB91" s="157">
        <f t="shared" si="449"/>
        <v>-24</v>
      </c>
      <c r="AC91" s="157">
        <f t="shared" si="450"/>
        <v>-24</v>
      </c>
      <c r="AD91" s="157">
        <f t="shared" si="451"/>
        <v>-24</v>
      </c>
      <c r="AE91" s="157">
        <f t="shared" si="452"/>
        <v>-24</v>
      </c>
      <c r="AI91" s="156"/>
      <c r="AJ91" s="156"/>
      <c r="AK91" s="156"/>
      <c r="AL91" s="156"/>
      <c r="AM91" s="156"/>
      <c r="AN91" s="156"/>
      <c r="AO91" s="156"/>
      <c r="AP91" s="156"/>
      <c r="AQ91" s="156"/>
      <c r="AR91" s="156"/>
      <c r="AS91" s="156"/>
      <c r="AT91" s="156"/>
      <c r="AU91" s="156"/>
      <c r="AV91" s="156"/>
      <c r="AW91" s="156"/>
      <c r="AX91" s="156"/>
      <c r="AY91" s="156"/>
      <c r="AZ91" s="156"/>
      <c r="BA91" s="156"/>
      <c r="BB91" s="156"/>
      <c r="BC91" s="156"/>
      <c r="BD91" s="156"/>
      <c r="BE91" s="156"/>
      <c r="BF91" s="156"/>
      <c r="BG91" s="156"/>
      <c r="BH91" s="156"/>
      <c r="BI91" s="156"/>
      <c r="BJ91" s="156"/>
      <c r="BK91" s="156"/>
      <c r="BL91" s="156"/>
      <c r="BM91" s="156"/>
      <c r="BN91" s="156"/>
      <c r="BO91" s="156"/>
      <c r="BP91" s="156"/>
      <c r="BQ91" s="156"/>
      <c r="BR91" s="156"/>
      <c r="BS91" s="156">
        <v>0</v>
      </c>
      <c r="BT91" s="156">
        <v>0</v>
      </c>
      <c r="BU91" s="156">
        <v>-5</v>
      </c>
      <c r="BV91" s="156">
        <v>-3</v>
      </c>
      <c r="BW91" s="156">
        <v>45</v>
      </c>
      <c r="BX91" s="156">
        <v>-3</v>
      </c>
      <c r="BY91" s="156">
        <v>-12</v>
      </c>
      <c r="BZ91" s="156">
        <v>-1</v>
      </c>
      <c r="CA91" s="156">
        <v>-5</v>
      </c>
      <c r="CB91" s="156">
        <v>-8</v>
      </c>
      <c r="CC91" s="156">
        <v>-9</v>
      </c>
      <c r="CD91" s="156">
        <v>-8</v>
      </c>
      <c r="CE91" s="156">
        <v>-1</v>
      </c>
      <c r="CF91" s="156">
        <v>-3</v>
      </c>
      <c r="CG91" s="156">
        <v>-2</v>
      </c>
      <c r="CH91" s="156">
        <v>-5</v>
      </c>
      <c r="CI91" s="156">
        <v>-2</v>
      </c>
      <c r="CJ91" s="156">
        <v>-3</v>
      </c>
      <c r="CK91" s="156">
        <v>-2</v>
      </c>
      <c r="CL91" s="156">
        <v>-6</v>
      </c>
      <c r="CM91" s="157">
        <f t="shared" si="446"/>
        <v>-6</v>
      </c>
      <c r="CN91" s="157">
        <f t="shared" si="446"/>
        <v>-6</v>
      </c>
      <c r="CO91" s="157">
        <f t="shared" si="446"/>
        <v>-6</v>
      </c>
      <c r="CP91" s="157">
        <f t="shared" si="446"/>
        <v>-6</v>
      </c>
      <c r="CQ91" s="157">
        <f t="shared" si="446"/>
        <v>-6</v>
      </c>
      <c r="CR91" s="157">
        <f t="shared" si="446"/>
        <v>-6</v>
      </c>
      <c r="CS91" s="157">
        <f t="shared" si="446"/>
        <v>-6</v>
      </c>
      <c r="CT91" s="157">
        <f t="shared" si="446"/>
        <v>-6</v>
      </c>
      <c r="CU91" s="157">
        <f t="shared" si="446"/>
        <v>-6</v>
      </c>
      <c r="CV91" s="157">
        <f t="shared" si="446"/>
        <v>-6</v>
      </c>
      <c r="CW91" s="157">
        <f t="shared" si="446"/>
        <v>-6</v>
      </c>
      <c r="CX91" s="157">
        <f t="shared" si="446"/>
        <v>-6</v>
      </c>
      <c r="CY91" s="157">
        <f t="shared" si="446"/>
        <v>-6</v>
      </c>
      <c r="CZ91" s="157">
        <f t="shared" si="446"/>
        <v>-6</v>
      </c>
      <c r="DA91" s="157">
        <f t="shared" si="446"/>
        <v>-6</v>
      </c>
      <c r="DB91" s="157">
        <f t="shared" si="446"/>
        <v>-6</v>
      </c>
      <c r="DE91" s="159"/>
      <c r="DF91" s="158">
        <v>-2</v>
      </c>
    </row>
    <row r="92" spans="1:110" s="109" customFormat="1" x14ac:dyDescent="0.2">
      <c r="A92" s="190" t="s">
        <v>621</v>
      </c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>
        <f t="shared" ref="W92" si="454">+SUM(W87:W91)</f>
        <v>1748</v>
      </c>
      <c r="X92" s="107">
        <f t="shared" ref="X92" si="455">+SUM(X87:X91)</f>
        <v>2062</v>
      </c>
      <c r="Y92" s="107">
        <f t="shared" ref="Y92" si="456">+SUM(Y87:Y91)</f>
        <v>2485</v>
      </c>
      <c r="Z92" s="107">
        <f t="shared" ref="Z92" si="457">+SUM(Z87:Z91)</f>
        <v>2636</v>
      </c>
      <c r="AA92" s="108">
        <f t="shared" ref="AA92" si="458">+SUM(AA87:AA91)</f>
        <v>2868</v>
      </c>
      <c r="AB92" s="108">
        <f t="shared" ref="AB92" si="459">+SUM(AB87:AB91)</f>
        <v>3228</v>
      </c>
      <c r="AC92" s="108">
        <f t="shared" ref="AC92" si="460">+SUM(AC87:AC91)</f>
        <v>3228</v>
      </c>
      <c r="AD92" s="108">
        <f t="shared" ref="AD92" si="461">+SUM(AD87:AD91)</f>
        <v>3228</v>
      </c>
      <c r="AE92" s="108">
        <f t="shared" ref="AE92" si="462">+SUM(AE87:AE91)</f>
        <v>3228</v>
      </c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AW92" s="107"/>
      <c r="AX92" s="107"/>
      <c r="AY92" s="107"/>
      <c r="AZ92" s="107"/>
      <c r="BA92" s="107"/>
      <c r="BB92" s="107"/>
      <c r="BC92" s="107"/>
      <c r="BD92" s="107"/>
      <c r="BE92" s="107"/>
      <c r="BF92" s="107"/>
      <c r="BG92" s="107"/>
      <c r="BH92" s="107"/>
      <c r="BI92" s="107"/>
      <c r="BJ92" s="107"/>
      <c r="BK92" s="107"/>
      <c r="BL92" s="107"/>
      <c r="BM92" s="107"/>
      <c r="BN92" s="107"/>
      <c r="BO92" s="107"/>
      <c r="BP92" s="107"/>
      <c r="BQ92" s="107"/>
      <c r="BR92" s="107"/>
      <c r="BS92" s="107">
        <f t="shared" ref="BS92:CI92" si="463">+SUM(BS87:BS91)</f>
        <v>357</v>
      </c>
      <c r="BT92" s="107">
        <f t="shared" si="463"/>
        <v>412</v>
      </c>
      <c r="BU92" s="107">
        <f t="shared" si="463"/>
        <v>462</v>
      </c>
      <c r="BV92" s="107">
        <f t="shared" si="463"/>
        <v>517</v>
      </c>
      <c r="BW92" s="107">
        <f t="shared" si="463"/>
        <v>527</v>
      </c>
      <c r="BX92" s="107">
        <f t="shared" si="463"/>
        <v>556</v>
      </c>
      <c r="BY92" s="107">
        <f t="shared" si="463"/>
        <v>507</v>
      </c>
      <c r="BZ92" s="107">
        <f t="shared" si="463"/>
        <v>472</v>
      </c>
      <c r="CA92" s="107">
        <f t="shared" si="463"/>
        <v>602</v>
      </c>
      <c r="CB92" s="107">
        <f t="shared" si="463"/>
        <v>622</v>
      </c>
      <c r="CC92" s="107">
        <f t="shared" si="463"/>
        <v>645</v>
      </c>
      <c r="CD92" s="107">
        <f t="shared" si="463"/>
        <v>616</v>
      </c>
      <c r="CE92" s="107">
        <f t="shared" si="463"/>
        <v>659</v>
      </c>
      <c r="CF92" s="107">
        <f t="shared" si="463"/>
        <v>704</v>
      </c>
      <c r="CG92" s="107">
        <f t="shared" si="463"/>
        <v>615</v>
      </c>
      <c r="CH92" s="107">
        <f t="shared" si="463"/>
        <v>658</v>
      </c>
      <c r="CI92" s="107">
        <f t="shared" si="463"/>
        <v>700</v>
      </c>
      <c r="CJ92" s="107">
        <f>+SUM(CJ87:CJ91)</f>
        <v>752</v>
      </c>
      <c r="CK92" s="107">
        <f>+SUM(CK87:CK91)</f>
        <v>609</v>
      </c>
      <c r="CL92" s="107">
        <f>+SUM(CL87:CL91)</f>
        <v>807</v>
      </c>
      <c r="CM92" s="108">
        <f t="shared" ref="CM92:DB92" si="464">+SUM(CM87:CM91)</f>
        <v>807</v>
      </c>
      <c r="CN92" s="108">
        <f t="shared" si="464"/>
        <v>807</v>
      </c>
      <c r="CO92" s="108">
        <f t="shared" si="464"/>
        <v>807</v>
      </c>
      <c r="CP92" s="108">
        <f t="shared" si="464"/>
        <v>807</v>
      </c>
      <c r="CQ92" s="108">
        <f t="shared" si="464"/>
        <v>807</v>
      </c>
      <c r="CR92" s="108">
        <f t="shared" si="464"/>
        <v>807</v>
      </c>
      <c r="CS92" s="108">
        <f t="shared" si="464"/>
        <v>807</v>
      </c>
      <c r="CT92" s="108">
        <f t="shared" si="464"/>
        <v>807</v>
      </c>
      <c r="CU92" s="108">
        <f t="shared" si="464"/>
        <v>807</v>
      </c>
      <c r="CV92" s="108">
        <f t="shared" si="464"/>
        <v>807</v>
      </c>
      <c r="CW92" s="108">
        <f t="shared" si="464"/>
        <v>807</v>
      </c>
      <c r="CX92" s="108">
        <f t="shared" si="464"/>
        <v>807</v>
      </c>
      <c r="CY92" s="108">
        <f t="shared" si="464"/>
        <v>807</v>
      </c>
      <c r="CZ92" s="108">
        <f t="shared" si="464"/>
        <v>807</v>
      </c>
      <c r="DA92" s="108">
        <f t="shared" si="464"/>
        <v>807</v>
      </c>
      <c r="DB92" s="108">
        <f t="shared" si="464"/>
        <v>807</v>
      </c>
      <c r="DE92" s="117"/>
      <c r="DF92" s="109">
        <v>609</v>
      </c>
    </row>
    <row r="93" spans="1:110" s="158" customFormat="1" x14ac:dyDescent="0.2">
      <c r="A93" s="190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7"/>
      <c r="AB93" s="157"/>
      <c r="AC93" s="157"/>
      <c r="AD93" s="157"/>
      <c r="AE93" s="157"/>
      <c r="AI93" s="156"/>
      <c r="AJ93" s="156"/>
      <c r="AK93" s="156"/>
      <c r="AL93" s="156"/>
      <c r="AM93" s="156"/>
      <c r="AN93" s="156"/>
      <c r="AO93" s="156"/>
      <c r="AP93" s="156"/>
      <c r="AQ93" s="156"/>
      <c r="AR93" s="156"/>
      <c r="AS93" s="156"/>
      <c r="AT93" s="156"/>
      <c r="AU93" s="156"/>
      <c r="AV93" s="156"/>
      <c r="AW93" s="156"/>
      <c r="AX93" s="156"/>
      <c r="AY93" s="156"/>
      <c r="AZ93" s="156"/>
      <c r="BA93" s="156"/>
      <c r="BB93" s="156"/>
      <c r="BC93" s="156"/>
      <c r="BD93" s="156"/>
      <c r="BE93" s="156"/>
      <c r="BF93" s="156"/>
      <c r="BG93" s="156"/>
      <c r="BH93" s="156"/>
      <c r="BI93" s="156"/>
      <c r="BJ93" s="156"/>
      <c r="BK93" s="156"/>
      <c r="BL93" s="156"/>
      <c r="BM93" s="156"/>
      <c r="BN93" s="156"/>
      <c r="BO93" s="156"/>
      <c r="BP93" s="156"/>
      <c r="BQ93" s="156"/>
      <c r="BR93" s="156"/>
      <c r="BS93" s="156"/>
      <c r="BT93" s="156"/>
      <c r="BU93" s="156"/>
      <c r="BV93" s="156"/>
      <c r="BW93" s="156"/>
      <c r="BX93" s="156"/>
      <c r="BY93" s="156"/>
      <c r="BZ93" s="156"/>
      <c r="CA93" s="156"/>
      <c r="CB93" s="156"/>
      <c r="CC93" s="156"/>
      <c r="CD93" s="156"/>
      <c r="CE93" s="156"/>
      <c r="CF93" s="156"/>
      <c r="CG93" s="156"/>
      <c r="CH93" s="156"/>
      <c r="CI93" s="156"/>
      <c r="CJ93" s="156"/>
      <c r="CK93" s="156"/>
      <c r="CL93" s="156"/>
      <c r="CM93" s="157"/>
      <c r="CN93" s="157"/>
      <c r="CO93" s="157"/>
      <c r="CP93" s="157"/>
      <c r="CQ93" s="157"/>
      <c r="CR93" s="157"/>
      <c r="CS93" s="157"/>
      <c r="CT93" s="157"/>
      <c r="CU93" s="157"/>
      <c r="CV93" s="157"/>
      <c r="CW93" s="157"/>
      <c r="CX93" s="157"/>
      <c r="CY93" s="157"/>
      <c r="CZ93" s="157"/>
      <c r="DA93" s="157"/>
      <c r="DB93" s="157"/>
      <c r="DE93" s="159"/>
    </row>
    <row r="94" spans="1:110" s="158" customFormat="1" x14ac:dyDescent="0.2">
      <c r="A94" s="190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7"/>
      <c r="AB94" s="157"/>
      <c r="AC94" s="157"/>
      <c r="AD94" s="157"/>
      <c r="AE94" s="157"/>
      <c r="AI94" s="156"/>
      <c r="AJ94" s="156"/>
      <c r="AK94" s="156"/>
      <c r="AL94" s="156"/>
      <c r="AM94" s="156"/>
      <c r="AN94" s="156"/>
      <c r="AO94" s="156"/>
      <c r="AP94" s="156"/>
      <c r="AQ94" s="156"/>
      <c r="AR94" s="156"/>
      <c r="AS94" s="156"/>
      <c r="AT94" s="156"/>
      <c r="AU94" s="156"/>
      <c r="AV94" s="156"/>
      <c r="AW94" s="156"/>
      <c r="AX94" s="156"/>
      <c r="AY94" s="156"/>
      <c r="AZ94" s="156"/>
      <c r="BA94" s="156"/>
      <c r="BB94" s="156"/>
      <c r="BC94" s="156"/>
      <c r="BD94" s="156"/>
      <c r="BE94" s="156"/>
      <c r="BF94" s="156"/>
      <c r="BG94" s="156"/>
      <c r="BH94" s="156"/>
      <c r="BI94" s="156"/>
      <c r="BJ94" s="156"/>
      <c r="BK94" s="156"/>
      <c r="BL94" s="156"/>
      <c r="BM94" s="156"/>
      <c r="BN94" s="156"/>
      <c r="BO94" s="156"/>
      <c r="BP94" s="156"/>
      <c r="BQ94" s="156"/>
      <c r="BR94" s="156"/>
      <c r="BS94" s="156"/>
      <c r="BT94" s="156"/>
      <c r="BU94" s="156"/>
      <c r="BV94" s="156"/>
      <c r="BW94" s="156"/>
      <c r="BX94" s="156"/>
      <c r="BY94" s="156"/>
      <c r="BZ94" s="156"/>
      <c r="CA94" s="156"/>
      <c r="CB94" s="156"/>
      <c r="CC94" s="156"/>
      <c r="CD94" s="156"/>
      <c r="CE94" s="156"/>
      <c r="CF94" s="156"/>
      <c r="CG94" s="156"/>
      <c r="CH94" s="156"/>
      <c r="CI94" s="156"/>
      <c r="CJ94" s="156"/>
      <c r="CK94" s="156"/>
      <c r="CL94" s="156"/>
      <c r="CM94" s="157"/>
      <c r="CN94" s="157"/>
      <c r="CO94" s="157"/>
      <c r="CP94" s="157"/>
      <c r="CQ94" s="157"/>
      <c r="CR94" s="157"/>
      <c r="CS94" s="157"/>
      <c r="CT94" s="157"/>
      <c r="CU94" s="157"/>
      <c r="CV94" s="157"/>
      <c r="CW94" s="157"/>
      <c r="CX94" s="157"/>
      <c r="CY94" s="157"/>
      <c r="CZ94" s="157"/>
      <c r="DA94" s="157"/>
      <c r="DB94" s="157"/>
      <c r="DE94" s="159"/>
    </row>
    <row r="95" spans="1:110" s="188" customFormat="1" x14ac:dyDescent="0.2">
      <c r="A95" s="186" t="s">
        <v>532</v>
      </c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  <c r="AB95" s="187"/>
      <c r="AC95" s="187"/>
      <c r="AD95" s="187"/>
      <c r="AE95" s="187"/>
      <c r="AI95" s="187"/>
      <c r="AJ95" s="187"/>
      <c r="AK95" s="187"/>
      <c r="AL95" s="187"/>
      <c r="AM95" s="187"/>
      <c r="AN95" s="187"/>
      <c r="AO95" s="187"/>
      <c r="AP95" s="187"/>
      <c r="AQ95" s="187"/>
      <c r="AR95" s="187"/>
      <c r="AS95" s="187"/>
      <c r="AT95" s="187"/>
      <c r="AU95" s="187"/>
      <c r="AV95" s="187"/>
      <c r="AW95" s="187"/>
      <c r="AX95" s="187"/>
      <c r="AY95" s="187"/>
      <c r="AZ95" s="187"/>
      <c r="BA95" s="187"/>
      <c r="BB95" s="187"/>
      <c r="BC95" s="187"/>
      <c r="BD95" s="187"/>
      <c r="BE95" s="187"/>
      <c r="BF95" s="187"/>
      <c r="BG95" s="187"/>
      <c r="BH95" s="187"/>
      <c r="BI95" s="187"/>
      <c r="BJ95" s="187"/>
      <c r="BK95" s="187"/>
      <c r="BL95" s="187"/>
      <c r="BM95" s="187"/>
      <c r="BN95" s="187"/>
      <c r="BO95" s="187"/>
      <c r="BP95" s="187"/>
      <c r="BQ95" s="187"/>
      <c r="BR95" s="187"/>
      <c r="BS95" s="187"/>
      <c r="BT95" s="187"/>
      <c r="BU95" s="187"/>
      <c r="BV95" s="187"/>
      <c r="BW95" s="187"/>
      <c r="BX95" s="187"/>
      <c r="BY95" s="187"/>
      <c r="BZ95" s="187"/>
      <c r="CA95" s="187"/>
      <c r="CB95" s="187"/>
      <c r="CC95" s="187"/>
      <c r="CD95" s="187"/>
      <c r="CE95" s="187"/>
      <c r="CF95" s="187"/>
      <c r="CG95" s="187"/>
      <c r="CH95" s="187"/>
      <c r="CI95" s="187"/>
      <c r="CJ95" s="187"/>
      <c r="CK95" s="187"/>
      <c r="CL95" s="187"/>
      <c r="CM95" s="187"/>
      <c r="CN95" s="187"/>
      <c r="CO95" s="187"/>
      <c r="CP95" s="187"/>
      <c r="CQ95" s="187"/>
      <c r="CR95" s="187"/>
      <c r="CS95" s="187"/>
      <c r="CT95" s="187"/>
      <c r="CU95" s="187"/>
      <c r="CV95" s="187"/>
      <c r="CW95" s="187"/>
      <c r="CX95" s="187"/>
      <c r="CY95" s="187"/>
      <c r="CZ95" s="187"/>
      <c r="DA95" s="187"/>
      <c r="DB95" s="187"/>
      <c r="DE95" s="187"/>
    </row>
    <row r="96" spans="1:110" s="158" customFormat="1" x14ac:dyDescent="0.2">
      <c r="A96" s="192" t="s">
        <v>622</v>
      </c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>
        <v>-108</v>
      </c>
      <c r="X96" s="156">
        <v>18</v>
      </c>
      <c r="Y96" s="156">
        <v>21</v>
      </c>
      <c r="Z96" s="156">
        <f t="shared" ref="Z96" si="465">+SUM(CE96:CH96)</f>
        <v>15</v>
      </c>
      <c r="AA96" s="157">
        <f t="shared" ref="AA96" si="466">SUM(CI96:CL96)</f>
        <v>161</v>
      </c>
      <c r="AB96" s="157">
        <f t="shared" ref="AB96" si="467">+SUM(CM96:CP96)</f>
        <v>688</v>
      </c>
      <c r="AC96" s="157">
        <f t="shared" ref="AC96" si="468">+SUM(CQ96:CT96)</f>
        <v>688</v>
      </c>
      <c r="AD96" s="157">
        <f t="shared" ref="AD96" si="469">+SUM(CU96:CX96)</f>
        <v>688</v>
      </c>
      <c r="AE96" s="157">
        <f t="shared" ref="AE96" si="470">+SUM(CY96:DB96)</f>
        <v>688</v>
      </c>
      <c r="AI96" s="156"/>
      <c r="AJ96" s="156"/>
      <c r="AK96" s="156"/>
      <c r="AL96" s="156"/>
      <c r="AM96" s="156"/>
      <c r="AN96" s="156"/>
      <c r="AO96" s="156"/>
      <c r="AP96" s="156"/>
      <c r="AQ96" s="156"/>
      <c r="AR96" s="156"/>
      <c r="AS96" s="156"/>
      <c r="AT96" s="156"/>
      <c r="AU96" s="156"/>
      <c r="AV96" s="156"/>
      <c r="AW96" s="156"/>
      <c r="AX96" s="156"/>
      <c r="AY96" s="156"/>
      <c r="AZ96" s="156"/>
      <c r="BA96" s="156"/>
      <c r="BB96" s="156"/>
      <c r="BC96" s="156"/>
      <c r="BD96" s="156"/>
      <c r="BE96" s="156"/>
      <c r="BF96" s="156"/>
      <c r="BG96" s="156"/>
      <c r="BH96" s="156"/>
      <c r="BI96" s="156"/>
      <c r="BJ96" s="156"/>
      <c r="BK96" s="156"/>
      <c r="BL96" s="156"/>
      <c r="BM96" s="156"/>
      <c r="BN96" s="156"/>
      <c r="BO96" s="156"/>
      <c r="BP96" s="156"/>
      <c r="BQ96" s="156"/>
      <c r="BR96" s="156"/>
      <c r="BS96" s="156">
        <v>-20</v>
      </c>
      <c r="BT96" s="156">
        <v>-27</v>
      </c>
      <c r="BU96" s="156">
        <v>-22</v>
      </c>
      <c r="BV96" s="156">
        <v>-39</v>
      </c>
      <c r="BW96" s="156">
        <v>44</v>
      </c>
      <c r="BX96" s="156">
        <v>2</v>
      </c>
      <c r="BY96" s="156">
        <v>-16</v>
      </c>
      <c r="BZ96" s="156">
        <v>-12</v>
      </c>
      <c r="CA96" s="156">
        <v>21</v>
      </c>
      <c r="CB96" s="156">
        <v>10</v>
      </c>
      <c r="CC96" s="156">
        <v>1</v>
      </c>
      <c r="CD96" s="156">
        <v>-11</v>
      </c>
      <c r="CE96" s="156">
        <v>-5</v>
      </c>
      <c r="CF96" s="156">
        <v>14</v>
      </c>
      <c r="CG96" s="156">
        <v>27</v>
      </c>
      <c r="CH96" s="156">
        <v>-21</v>
      </c>
      <c r="CI96" s="156">
        <v>-5</v>
      </c>
      <c r="CJ96" s="156">
        <v>0</v>
      </c>
      <c r="CK96" s="156">
        <v>-6</v>
      </c>
      <c r="CL96" s="156">
        <v>172</v>
      </c>
      <c r="CM96" s="157">
        <f t="shared" ref="CM96:DB100" si="471">+CL96</f>
        <v>172</v>
      </c>
      <c r="CN96" s="157">
        <f t="shared" si="471"/>
        <v>172</v>
      </c>
      <c r="CO96" s="157">
        <f t="shared" si="471"/>
        <v>172</v>
      </c>
      <c r="CP96" s="157">
        <f t="shared" si="471"/>
        <v>172</v>
      </c>
      <c r="CQ96" s="157">
        <f t="shared" si="471"/>
        <v>172</v>
      </c>
      <c r="CR96" s="157">
        <f t="shared" si="471"/>
        <v>172</v>
      </c>
      <c r="CS96" s="157">
        <f t="shared" si="471"/>
        <v>172</v>
      </c>
      <c r="CT96" s="157">
        <f t="shared" si="471"/>
        <v>172</v>
      </c>
      <c r="CU96" s="157">
        <f t="shared" si="471"/>
        <v>172</v>
      </c>
      <c r="CV96" s="157">
        <f t="shared" si="471"/>
        <v>172</v>
      </c>
      <c r="CW96" s="157">
        <f t="shared" si="471"/>
        <v>172</v>
      </c>
      <c r="CX96" s="157">
        <f t="shared" si="471"/>
        <v>172</v>
      </c>
      <c r="CY96" s="157">
        <f t="shared" si="471"/>
        <v>172</v>
      </c>
      <c r="CZ96" s="157">
        <f t="shared" si="471"/>
        <v>172</v>
      </c>
      <c r="DA96" s="157">
        <f t="shared" si="471"/>
        <v>172</v>
      </c>
      <c r="DB96" s="157">
        <f t="shared" si="471"/>
        <v>172</v>
      </c>
      <c r="DE96" s="159"/>
      <c r="DF96" s="158">
        <v>-6</v>
      </c>
    </row>
    <row r="97" spans="1:110" s="158" customFormat="1" x14ac:dyDescent="0.2">
      <c r="A97" s="192" t="s">
        <v>623</v>
      </c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>
        <v>-93</v>
      </c>
      <c r="X97" s="156">
        <v>0</v>
      </c>
      <c r="Y97" s="156">
        <v>0</v>
      </c>
      <c r="Z97" s="156">
        <f t="shared" ref="Z97:Z100" si="472">+SUM(CE97:CH97)</f>
        <v>2</v>
      </c>
      <c r="AA97" s="157">
        <f t="shared" ref="AA97:AA100" si="473">SUM(CI97:CL97)</f>
        <v>44</v>
      </c>
      <c r="AB97" s="157">
        <f t="shared" ref="AB97:AB100" si="474">+SUM(CM97:CP97)</f>
        <v>48</v>
      </c>
      <c r="AC97" s="157">
        <f t="shared" ref="AC97:AC100" si="475">+SUM(CQ97:CT97)</f>
        <v>48</v>
      </c>
      <c r="AD97" s="157">
        <f t="shared" ref="AD97:AD100" si="476">+SUM(CU97:CX97)</f>
        <v>48</v>
      </c>
      <c r="AE97" s="157">
        <f t="shared" ref="AE97:AE100" si="477">+SUM(CY97:DB97)</f>
        <v>48</v>
      </c>
      <c r="AI97" s="156"/>
      <c r="AJ97" s="156"/>
      <c r="AK97" s="156"/>
      <c r="AL97" s="156"/>
      <c r="AM97" s="156"/>
      <c r="AN97" s="156"/>
      <c r="AO97" s="156"/>
      <c r="AP97" s="156"/>
      <c r="AQ97" s="156"/>
      <c r="AR97" s="156"/>
      <c r="AS97" s="156"/>
      <c r="AT97" s="156"/>
      <c r="AU97" s="156"/>
      <c r="AV97" s="156"/>
      <c r="AW97" s="156"/>
      <c r="AX97" s="156"/>
      <c r="AY97" s="156"/>
      <c r="AZ97" s="156"/>
      <c r="BA97" s="156"/>
      <c r="BB97" s="156"/>
      <c r="BC97" s="156"/>
      <c r="BD97" s="156"/>
      <c r="BE97" s="156"/>
      <c r="BF97" s="156"/>
      <c r="BG97" s="156"/>
      <c r="BH97" s="156"/>
      <c r="BI97" s="156"/>
      <c r="BJ97" s="156"/>
      <c r="BK97" s="156"/>
      <c r="BL97" s="156"/>
      <c r="BM97" s="156"/>
      <c r="BN97" s="156"/>
      <c r="BO97" s="156"/>
      <c r="BP97" s="156"/>
      <c r="BQ97" s="156"/>
      <c r="BR97" s="156"/>
      <c r="BS97" s="156">
        <v>0</v>
      </c>
      <c r="BT97" s="156">
        <v>0</v>
      </c>
      <c r="BU97" s="156">
        <v>0</v>
      </c>
      <c r="BV97" s="156">
        <v>-93</v>
      </c>
      <c r="BW97" s="156">
        <v>0</v>
      </c>
      <c r="BX97" s="156">
        <v>0</v>
      </c>
      <c r="BY97" s="156">
        <v>0</v>
      </c>
      <c r="BZ97" s="156">
        <v>0</v>
      </c>
      <c r="CA97" s="156">
        <v>0</v>
      </c>
      <c r="CB97" s="156">
        <v>0</v>
      </c>
      <c r="CC97" s="156">
        <v>0</v>
      </c>
      <c r="CD97" s="156">
        <v>0</v>
      </c>
      <c r="CE97" s="156">
        <v>0</v>
      </c>
      <c r="CF97" s="156">
        <v>0</v>
      </c>
      <c r="CG97" s="156">
        <v>0</v>
      </c>
      <c r="CH97" s="156">
        <v>2</v>
      </c>
      <c r="CI97" s="156">
        <v>12</v>
      </c>
      <c r="CJ97" s="156">
        <v>9</v>
      </c>
      <c r="CK97" s="156">
        <v>11</v>
      </c>
      <c r="CL97" s="156">
        <v>12</v>
      </c>
      <c r="CM97" s="157">
        <f t="shared" ref="CM97:CZ97" si="478">+CL97</f>
        <v>12</v>
      </c>
      <c r="CN97" s="157">
        <f t="shared" si="478"/>
        <v>12</v>
      </c>
      <c r="CO97" s="157">
        <f t="shared" si="478"/>
        <v>12</v>
      </c>
      <c r="CP97" s="157">
        <f t="shared" si="478"/>
        <v>12</v>
      </c>
      <c r="CQ97" s="157">
        <f t="shared" si="478"/>
        <v>12</v>
      </c>
      <c r="CR97" s="157">
        <f t="shared" si="478"/>
        <v>12</v>
      </c>
      <c r="CS97" s="157">
        <f t="shared" si="478"/>
        <v>12</v>
      </c>
      <c r="CT97" s="157">
        <f t="shared" si="478"/>
        <v>12</v>
      </c>
      <c r="CU97" s="157">
        <f t="shared" si="478"/>
        <v>12</v>
      </c>
      <c r="CV97" s="157">
        <f t="shared" si="478"/>
        <v>12</v>
      </c>
      <c r="CW97" s="157">
        <f t="shared" si="478"/>
        <v>12</v>
      </c>
      <c r="CX97" s="157">
        <f t="shared" si="478"/>
        <v>12</v>
      </c>
      <c r="CY97" s="157">
        <f t="shared" si="478"/>
        <v>12</v>
      </c>
      <c r="CZ97" s="157">
        <f t="shared" si="478"/>
        <v>12</v>
      </c>
      <c r="DA97" s="157">
        <f t="shared" si="471"/>
        <v>12</v>
      </c>
      <c r="DB97" s="157">
        <f t="shared" si="471"/>
        <v>12</v>
      </c>
      <c r="DE97" s="159"/>
      <c r="DF97" s="158">
        <v>11</v>
      </c>
    </row>
    <row r="98" spans="1:110" s="158" customFormat="1" x14ac:dyDescent="0.2">
      <c r="A98" s="192" t="s">
        <v>624</v>
      </c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>
        <v>0</v>
      </c>
      <c r="X98" s="156">
        <v>0</v>
      </c>
      <c r="Y98" s="156">
        <v>0</v>
      </c>
      <c r="Z98" s="156">
        <f t="shared" si="472"/>
        <v>0</v>
      </c>
      <c r="AA98" s="157">
        <f t="shared" si="473"/>
        <v>0</v>
      </c>
      <c r="AB98" s="157">
        <f t="shared" si="474"/>
        <v>0</v>
      </c>
      <c r="AC98" s="157">
        <f t="shared" si="475"/>
        <v>0</v>
      </c>
      <c r="AD98" s="157">
        <f t="shared" si="476"/>
        <v>0</v>
      </c>
      <c r="AE98" s="157">
        <f t="shared" si="477"/>
        <v>0</v>
      </c>
      <c r="AI98" s="156"/>
      <c r="AJ98" s="156"/>
      <c r="AK98" s="156"/>
      <c r="AL98" s="156"/>
      <c r="AM98" s="156"/>
      <c r="AN98" s="156"/>
      <c r="AO98" s="156"/>
      <c r="AP98" s="156"/>
      <c r="AQ98" s="156"/>
      <c r="AR98" s="156"/>
      <c r="AS98" s="156"/>
      <c r="AT98" s="156"/>
      <c r="AU98" s="156"/>
      <c r="AV98" s="156"/>
      <c r="AW98" s="156"/>
      <c r="AX98" s="156"/>
      <c r="AY98" s="156"/>
      <c r="AZ98" s="156"/>
      <c r="BA98" s="156"/>
      <c r="BB98" s="156"/>
      <c r="BC98" s="156"/>
      <c r="BD98" s="156"/>
      <c r="BE98" s="156"/>
      <c r="BF98" s="156"/>
      <c r="BG98" s="156"/>
      <c r="BH98" s="156"/>
      <c r="BI98" s="156"/>
      <c r="BJ98" s="156"/>
      <c r="BK98" s="156"/>
      <c r="BL98" s="156"/>
      <c r="BM98" s="156"/>
      <c r="BN98" s="156"/>
      <c r="BO98" s="156"/>
      <c r="BP98" s="156"/>
      <c r="BQ98" s="156"/>
      <c r="BR98" s="156"/>
      <c r="BS98" s="156">
        <v>0</v>
      </c>
      <c r="BT98" s="156">
        <v>0</v>
      </c>
      <c r="BU98" s="156">
        <v>0</v>
      </c>
      <c r="BV98" s="156">
        <v>0</v>
      </c>
      <c r="BW98" s="156">
        <v>0</v>
      </c>
      <c r="BX98" s="156">
        <v>0</v>
      </c>
      <c r="BY98" s="156">
        <v>0</v>
      </c>
      <c r="BZ98" s="156">
        <v>0</v>
      </c>
      <c r="CA98" s="156">
        <v>0</v>
      </c>
      <c r="CB98" s="156">
        <v>0</v>
      </c>
      <c r="CC98" s="156">
        <v>0</v>
      </c>
      <c r="CD98" s="156">
        <v>0</v>
      </c>
      <c r="CE98" s="156">
        <v>0</v>
      </c>
      <c r="CF98" s="156">
        <v>0</v>
      </c>
      <c r="CG98" s="156">
        <v>0</v>
      </c>
      <c r="CH98" s="156">
        <v>0</v>
      </c>
      <c r="CI98" s="156">
        <v>0</v>
      </c>
      <c r="CJ98" s="156">
        <v>0</v>
      </c>
      <c r="CK98" s="156">
        <v>0</v>
      </c>
      <c r="CL98" s="156">
        <v>0</v>
      </c>
      <c r="CM98" s="157">
        <f t="shared" si="471"/>
        <v>0</v>
      </c>
      <c r="CN98" s="157">
        <f t="shared" si="471"/>
        <v>0</v>
      </c>
      <c r="CO98" s="157">
        <f t="shared" si="471"/>
        <v>0</v>
      </c>
      <c r="CP98" s="157">
        <f t="shared" si="471"/>
        <v>0</v>
      </c>
      <c r="CQ98" s="157">
        <f t="shared" si="471"/>
        <v>0</v>
      </c>
      <c r="CR98" s="157">
        <f t="shared" si="471"/>
        <v>0</v>
      </c>
      <c r="CS98" s="157">
        <f t="shared" si="471"/>
        <v>0</v>
      </c>
      <c r="CT98" s="157">
        <f t="shared" si="471"/>
        <v>0</v>
      </c>
      <c r="CU98" s="157">
        <f t="shared" si="471"/>
        <v>0</v>
      </c>
      <c r="CV98" s="157">
        <f t="shared" si="471"/>
        <v>0</v>
      </c>
      <c r="CW98" s="157">
        <f t="shared" si="471"/>
        <v>0</v>
      </c>
      <c r="CX98" s="157">
        <f t="shared" si="471"/>
        <v>0</v>
      </c>
      <c r="CY98" s="157">
        <f t="shared" si="471"/>
        <v>0</v>
      </c>
      <c r="CZ98" s="157">
        <f t="shared" si="471"/>
        <v>0</v>
      </c>
      <c r="DA98" s="157">
        <f t="shared" si="471"/>
        <v>0</v>
      </c>
      <c r="DB98" s="157">
        <f t="shared" si="471"/>
        <v>0</v>
      </c>
      <c r="DE98" s="159"/>
      <c r="DF98" s="158" t="s">
        <v>650</v>
      </c>
    </row>
    <row r="99" spans="1:110" s="158" customFormat="1" x14ac:dyDescent="0.2">
      <c r="A99" s="192" t="s">
        <v>625</v>
      </c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>
        <v>72</v>
      </c>
      <c r="X99" s="156">
        <v>75</v>
      </c>
      <c r="Y99" s="156">
        <v>1</v>
      </c>
      <c r="Z99" s="156">
        <f t="shared" si="472"/>
        <v>-1</v>
      </c>
      <c r="AA99" s="157">
        <f t="shared" si="473"/>
        <v>0</v>
      </c>
      <c r="AB99" s="157">
        <f t="shared" si="474"/>
        <v>0</v>
      </c>
      <c r="AC99" s="157">
        <f t="shared" si="475"/>
        <v>0</v>
      </c>
      <c r="AD99" s="157">
        <f t="shared" si="476"/>
        <v>0</v>
      </c>
      <c r="AE99" s="157">
        <f t="shared" si="477"/>
        <v>0</v>
      </c>
      <c r="AI99" s="156"/>
      <c r="AJ99" s="156"/>
      <c r="AK99" s="156"/>
      <c r="AL99" s="156"/>
      <c r="AM99" s="156"/>
      <c r="AN99" s="156"/>
      <c r="AO99" s="156"/>
      <c r="AP99" s="156"/>
      <c r="AQ99" s="156"/>
      <c r="AR99" s="156"/>
      <c r="AS99" s="156"/>
      <c r="AT99" s="156"/>
      <c r="AU99" s="156"/>
      <c r="AV99" s="156"/>
      <c r="AW99" s="156"/>
      <c r="AX99" s="156"/>
      <c r="AY99" s="156"/>
      <c r="AZ99" s="156"/>
      <c r="BA99" s="156"/>
      <c r="BB99" s="156"/>
      <c r="BC99" s="156"/>
      <c r="BD99" s="156"/>
      <c r="BE99" s="156"/>
      <c r="BF99" s="156"/>
      <c r="BG99" s="156"/>
      <c r="BH99" s="156"/>
      <c r="BI99" s="156"/>
      <c r="BJ99" s="156"/>
      <c r="BK99" s="156"/>
      <c r="BL99" s="156"/>
      <c r="BM99" s="156"/>
      <c r="BN99" s="156"/>
      <c r="BO99" s="156"/>
      <c r="BP99" s="156"/>
      <c r="BQ99" s="156"/>
      <c r="BR99" s="156"/>
      <c r="BS99" s="156">
        <v>45</v>
      </c>
      <c r="BT99" s="156">
        <v>26</v>
      </c>
      <c r="BU99" s="156">
        <v>1</v>
      </c>
      <c r="BV99" s="156">
        <v>0</v>
      </c>
      <c r="BW99" s="156">
        <v>20</v>
      </c>
      <c r="BX99" s="156">
        <v>32</v>
      </c>
      <c r="BY99" s="156">
        <v>23</v>
      </c>
      <c r="BZ99" s="156">
        <v>0</v>
      </c>
      <c r="CA99" s="156">
        <v>0</v>
      </c>
      <c r="CB99" s="156">
        <v>0</v>
      </c>
      <c r="CC99" s="156">
        <v>0</v>
      </c>
      <c r="CD99" s="156">
        <v>1</v>
      </c>
      <c r="CE99" s="156">
        <v>0</v>
      </c>
      <c r="CF99" s="156">
        <v>0</v>
      </c>
      <c r="CG99" s="156">
        <v>0</v>
      </c>
      <c r="CH99" s="156">
        <v>-1</v>
      </c>
      <c r="CI99" s="156">
        <v>0</v>
      </c>
      <c r="CJ99" s="156">
        <v>0</v>
      </c>
      <c r="CK99" s="156">
        <v>0</v>
      </c>
      <c r="CL99" s="156">
        <v>0</v>
      </c>
      <c r="CM99" s="157">
        <f t="shared" si="471"/>
        <v>0</v>
      </c>
      <c r="CN99" s="157">
        <f t="shared" si="471"/>
        <v>0</v>
      </c>
      <c r="CO99" s="157">
        <f t="shared" si="471"/>
        <v>0</v>
      </c>
      <c r="CP99" s="157">
        <f t="shared" si="471"/>
        <v>0</v>
      </c>
      <c r="CQ99" s="157">
        <f t="shared" si="471"/>
        <v>0</v>
      </c>
      <c r="CR99" s="157">
        <f t="shared" si="471"/>
        <v>0</v>
      </c>
      <c r="CS99" s="157">
        <f t="shared" si="471"/>
        <v>0</v>
      </c>
      <c r="CT99" s="157">
        <f t="shared" si="471"/>
        <v>0</v>
      </c>
      <c r="CU99" s="157">
        <f t="shared" si="471"/>
        <v>0</v>
      </c>
      <c r="CV99" s="157">
        <f t="shared" si="471"/>
        <v>0</v>
      </c>
      <c r="CW99" s="157">
        <f t="shared" si="471"/>
        <v>0</v>
      </c>
      <c r="CX99" s="157">
        <f t="shared" si="471"/>
        <v>0</v>
      </c>
      <c r="CY99" s="157">
        <f t="shared" si="471"/>
        <v>0</v>
      </c>
      <c r="CZ99" s="157">
        <f t="shared" si="471"/>
        <v>0</v>
      </c>
      <c r="DA99" s="157">
        <f t="shared" si="471"/>
        <v>0</v>
      </c>
      <c r="DB99" s="157">
        <f t="shared" si="471"/>
        <v>0</v>
      </c>
      <c r="DE99" s="159"/>
      <c r="DF99" s="158" t="s">
        <v>650</v>
      </c>
    </row>
    <row r="100" spans="1:110" s="158" customFormat="1" x14ac:dyDescent="0.2">
      <c r="A100" s="192" t="s">
        <v>626</v>
      </c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>
        <v>0</v>
      </c>
      <c r="X100" s="156">
        <v>0</v>
      </c>
      <c r="Y100" s="156">
        <v>0</v>
      </c>
      <c r="Z100" s="156">
        <f t="shared" si="472"/>
        <v>0</v>
      </c>
      <c r="AA100" s="157">
        <f t="shared" si="473"/>
        <v>0</v>
      </c>
      <c r="AB100" s="157">
        <f t="shared" si="474"/>
        <v>0</v>
      </c>
      <c r="AC100" s="157">
        <f t="shared" si="475"/>
        <v>0</v>
      </c>
      <c r="AD100" s="157">
        <f t="shared" si="476"/>
        <v>0</v>
      </c>
      <c r="AE100" s="157">
        <f t="shared" si="477"/>
        <v>0</v>
      </c>
      <c r="AI100" s="156"/>
      <c r="AJ100" s="156"/>
      <c r="AK100" s="156"/>
      <c r="AL100" s="156"/>
      <c r="AM100" s="156"/>
      <c r="AN100" s="156"/>
      <c r="AO100" s="156"/>
      <c r="AP100" s="156"/>
      <c r="AQ100" s="156"/>
      <c r="AR100" s="156"/>
      <c r="AS100" s="156"/>
      <c r="AT100" s="156"/>
      <c r="AU100" s="156"/>
      <c r="AV100" s="156"/>
      <c r="AW100" s="156"/>
      <c r="AX100" s="156"/>
      <c r="AY100" s="156"/>
      <c r="AZ100" s="156"/>
      <c r="BA100" s="156"/>
      <c r="BB100" s="156"/>
      <c r="BC100" s="156"/>
      <c r="BD100" s="156"/>
      <c r="BE100" s="156"/>
      <c r="BF100" s="156"/>
      <c r="BG100" s="156"/>
      <c r="BH100" s="156"/>
      <c r="BI100" s="156"/>
      <c r="BJ100" s="156"/>
      <c r="BK100" s="156"/>
      <c r="BL100" s="156"/>
      <c r="BM100" s="156"/>
      <c r="BN100" s="156"/>
      <c r="BO100" s="156"/>
      <c r="BP100" s="156"/>
      <c r="BQ100" s="156"/>
      <c r="BR100" s="156"/>
      <c r="BS100" s="156">
        <v>0</v>
      </c>
      <c r="BT100" s="156">
        <v>0</v>
      </c>
      <c r="BU100" s="156">
        <v>0</v>
      </c>
      <c r="BV100" s="156">
        <v>0</v>
      </c>
      <c r="BW100" s="156">
        <v>0</v>
      </c>
      <c r="BX100" s="156">
        <v>0</v>
      </c>
      <c r="BY100" s="156">
        <v>0</v>
      </c>
      <c r="BZ100" s="156">
        <v>0</v>
      </c>
      <c r="CA100" s="156">
        <v>0</v>
      </c>
      <c r="CB100" s="156">
        <v>0</v>
      </c>
      <c r="CC100" s="156">
        <v>0</v>
      </c>
      <c r="CD100" s="156">
        <v>0</v>
      </c>
      <c r="CE100" s="156">
        <v>0</v>
      </c>
      <c r="CF100" s="156">
        <v>0</v>
      </c>
      <c r="CG100" s="156">
        <v>0</v>
      </c>
      <c r="CH100" s="156">
        <v>0</v>
      </c>
      <c r="CI100" s="156">
        <v>0</v>
      </c>
      <c r="CJ100" s="156">
        <v>0</v>
      </c>
      <c r="CK100" s="156">
        <v>0</v>
      </c>
      <c r="CL100" s="156">
        <v>0</v>
      </c>
      <c r="CM100" s="157">
        <f t="shared" si="471"/>
        <v>0</v>
      </c>
      <c r="CN100" s="157">
        <f t="shared" si="471"/>
        <v>0</v>
      </c>
      <c r="CO100" s="157">
        <f t="shared" si="471"/>
        <v>0</v>
      </c>
      <c r="CP100" s="157">
        <f t="shared" si="471"/>
        <v>0</v>
      </c>
      <c r="CQ100" s="157">
        <f t="shared" si="471"/>
        <v>0</v>
      </c>
      <c r="CR100" s="157">
        <f t="shared" si="471"/>
        <v>0</v>
      </c>
      <c r="CS100" s="157">
        <f t="shared" si="471"/>
        <v>0</v>
      </c>
      <c r="CT100" s="157">
        <f t="shared" si="471"/>
        <v>0</v>
      </c>
      <c r="CU100" s="157">
        <f t="shared" si="471"/>
        <v>0</v>
      </c>
      <c r="CV100" s="157">
        <f t="shared" si="471"/>
        <v>0</v>
      </c>
      <c r="CW100" s="157">
        <f t="shared" si="471"/>
        <v>0</v>
      </c>
      <c r="CX100" s="157">
        <f t="shared" si="471"/>
        <v>0</v>
      </c>
      <c r="CY100" s="157">
        <f t="shared" si="471"/>
        <v>0</v>
      </c>
      <c r="CZ100" s="157">
        <f t="shared" si="471"/>
        <v>0</v>
      </c>
      <c r="DA100" s="157">
        <f t="shared" si="471"/>
        <v>0</v>
      </c>
      <c r="DB100" s="157">
        <f t="shared" si="471"/>
        <v>0</v>
      </c>
      <c r="DE100" s="159"/>
      <c r="DF100" s="158" t="s">
        <v>650</v>
      </c>
    </row>
    <row r="101" spans="1:110" s="109" customFormat="1" x14ac:dyDescent="0.2">
      <c r="A101" s="191" t="s">
        <v>627</v>
      </c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>
        <f t="shared" ref="W101" si="479">+SUM(W96:W100)</f>
        <v>-129</v>
      </c>
      <c r="X101" s="107">
        <f t="shared" ref="X101" si="480">+SUM(X96:X100)</f>
        <v>93</v>
      </c>
      <c r="Y101" s="107">
        <f t="shared" ref="Y101" si="481">+SUM(Y96:Y100)</f>
        <v>22</v>
      </c>
      <c r="Z101" s="107">
        <f t="shared" ref="Z101" si="482">+SUM(Z96:Z100)</f>
        <v>16</v>
      </c>
      <c r="AA101" s="108">
        <f t="shared" ref="AA101" si="483">+SUM(AA96:AA100)</f>
        <v>205</v>
      </c>
      <c r="AB101" s="108">
        <f t="shared" ref="AB101" si="484">+SUM(AB96:AB100)</f>
        <v>736</v>
      </c>
      <c r="AC101" s="108">
        <f t="shared" ref="AC101" si="485">+SUM(AC96:AC100)</f>
        <v>736</v>
      </c>
      <c r="AD101" s="108">
        <f t="shared" ref="AD101" si="486">+SUM(AD96:AD100)</f>
        <v>736</v>
      </c>
      <c r="AE101" s="108">
        <f t="shared" ref="AE101" si="487">+SUM(AE96:AE100)</f>
        <v>736</v>
      </c>
      <c r="AI101" s="107"/>
      <c r="AJ101" s="107"/>
      <c r="AK101" s="107"/>
      <c r="AL101" s="107"/>
      <c r="AM101" s="107"/>
      <c r="AN101" s="107"/>
      <c r="AO101" s="107"/>
      <c r="AP101" s="107"/>
      <c r="AQ101" s="107"/>
      <c r="AR101" s="107"/>
      <c r="AS101" s="107"/>
      <c r="AT101" s="107"/>
      <c r="AU101" s="107"/>
      <c r="AV101" s="107"/>
      <c r="AW101" s="107"/>
      <c r="AX101" s="107"/>
      <c r="AY101" s="107"/>
      <c r="AZ101" s="107"/>
      <c r="BA101" s="107"/>
      <c r="BB101" s="107"/>
      <c r="BC101" s="107"/>
      <c r="BD101" s="107"/>
      <c r="BE101" s="107"/>
      <c r="BF101" s="107"/>
      <c r="BG101" s="107"/>
      <c r="BH101" s="107"/>
      <c r="BI101" s="107"/>
      <c r="BJ101" s="107"/>
      <c r="BK101" s="107"/>
      <c r="BL101" s="107"/>
      <c r="BM101" s="107"/>
      <c r="BN101" s="107"/>
      <c r="BO101" s="107"/>
      <c r="BP101" s="107"/>
      <c r="BQ101" s="107"/>
      <c r="BR101" s="107"/>
      <c r="BS101" s="107">
        <f t="shared" ref="BS101:CI101" si="488">+SUM(BS96:BS100)</f>
        <v>25</v>
      </c>
      <c r="BT101" s="107">
        <f t="shared" si="488"/>
        <v>-1</v>
      </c>
      <c r="BU101" s="107">
        <f t="shared" si="488"/>
        <v>-21</v>
      </c>
      <c r="BV101" s="107">
        <f t="shared" si="488"/>
        <v>-132</v>
      </c>
      <c r="BW101" s="107">
        <f t="shared" si="488"/>
        <v>64</v>
      </c>
      <c r="BX101" s="107">
        <f t="shared" si="488"/>
        <v>34</v>
      </c>
      <c r="BY101" s="107">
        <f t="shared" si="488"/>
        <v>7</v>
      </c>
      <c r="BZ101" s="107">
        <f t="shared" si="488"/>
        <v>-12</v>
      </c>
      <c r="CA101" s="107">
        <f t="shared" si="488"/>
        <v>21</v>
      </c>
      <c r="CB101" s="107">
        <f t="shared" si="488"/>
        <v>10</v>
      </c>
      <c r="CC101" s="107">
        <f t="shared" si="488"/>
        <v>1</v>
      </c>
      <c r="CD101" s="107">
        <f t="shared" si="488"/>
        <v>-10</v>
      </c>
      <c r="CE101" s="107">
        <f t="shared" si="488"/>
        <v>-5</v>
      </c>
      <c r="CF101" s="107">
        <f t="shared" si="488"/>
        <v>14</v>
      </c>
      <c r="CG101" s="107">
        <f t="shared" si="488"/>
        <v>27</v>
      </c>
      <c r="CH101" s="107">
        <f t="shared" si="488"/>
        <v>-20</v>
      </c>
      <c r="CI101" s="107">
        <f t="shared" si="488"/>
        <v>7</v>
      </c>
      <c r="CJ101" s="107">
        <f>+SUM(CJ96:CJ100)</f>
        <v>9</v>
      </c>
      <c r="CK101" s="107">
        <f t="shared" ref="CK101:DB101" si="489">+SUM(CK96:CK100)</f>
        <v>5</v>
      </c>
      <c r="CL101" s="107">
        <f t="shared" si="489"/>
        <v>184</v>
      </c>
      <c r="CM101" s="108">
        <f t="shared" si="489"/>
        <v>184</v>
      </c>
      <c r="CN101" s="108">
        <f t="shared" si="489"/>
        <v>184</v>
      </c>
      <c r="CO101" s="108">
        <f t="shared" si="489"/>
        <v>184</v>
      </c>
      <c r="CP101" s="108">
        <f t="shared" si="489"/>
        <v>184</v>
      </c>
      <c r="CQ101" s="108">
        <f t="shared" si="489"/>
        <v>184</v>
      </c>
      <c r="CR101" s="108">
        <f t="shared" si="489"/>
        <v>184</v>
      </c>
      <c r="CS101" s="108">
        <f t="shared" si="489"/>
        <v>184</v>
      </c>
      <c r="CT101" s="108">
        <f t="shared" si="489"/>
        <v>184</v>
      </c>
      <c r="CU101" s="108">
        <f t="shared" si="489"/>
        <v>184</v>
      </c>
      <c r="CV101" s="108">
        <f t="shared" si="489"/>
        <v>184</v>
      </c>
      <c r="CW101" s="108">
        <f t="shared" si="489"/>
        <v>184</v>
      </c>
      <c r="CX101" s="108">
        <f t="shared" si="489"/>
        <v>184</v>
      </c>
      <c r="CY101" s="108">
        <f t="shared" si="489"/>
        <v>184</v>
      </c>
      <c r="CZ101" s="108">
        <f t="shared" si="489"/>
        <v>184</v>
      </c>
      <c r="DA101" s="108">
        <f t="shared" si="489"/>
        <v>184</v>
      </c>
      <c r="DB101" s="108">
        <f t="shared" si="489"/>
        <v>184</v>
      </c>
      <c r="DE101" s="117"/>
      <c r="DF101" s="109">
        <v>5</v>
      </c>
    </row>
    <row r="102" spans="1:110" s="158" customFormat="1" x14ac:dyDescent="0.2">
      <c r="A102" s="190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7"/>
      <c r="AB102" s="157"/>
      <c r="AC102" s="157"/>
      <c r="AD102" s="157"/>
      <c r="AE102" s="157"/>
      <c r="AI102" s="156"/>
      <c r="AJ102" s="156"/>
      <c r="AK102" s="156"/>
      <c r="AL102" s="156"/>
      <c r="AM102" s="156"/>
      <c r="AN102" s="156"/>
      <c r="AO102" s="156"/>
      <c r="AP102" s="156"/>
      <c r="AQ102" s="156"/>
      <c r="AR102" s="156"/>
      <c r="AS102" s="156"/>
      <c r="AT102" s="156"/>
      <c r="AU102" s="156"/>
      <c r="AV102" s="156"/>
      <c r="AW102" s="156"/>
      <c r="AX102" s="156"/>
      <c r="AY102" s="156"/>
      <c r="AZ102" s="156"/>
      <c r="BA102" s="156"/>
      <c r="BB102" s="156"/>
      <c r="BC102" s="156"/>
      <c r="BD102" s="156"/>
      <c r="BE102" s="156"/>
      <c r="BF102" s="156"/>
      <c r="BG102" s="156"/>
      <c r="BH102" s="156"/>
      <c r="BI102" s="156"/>
      <c r="BJ102" s="156"/>
      <c r="BK102" s="156"/>
      <c r="BL102" s="156"/>
      <c r="BM102" s="156"/>
      <c r="BN102" s="156"/>
      <c r="BO102" s="156"/>
      <c r="BP102" s="156"/>
      <c r="BQ102" s="156"/>
      <c r="BR102" s="156"/>
      <c r="BS102" s="156"/>
      <c r="BT102" s="156"/>
      <c r="BU102" s="156"/>
      <c r="BV102" s="156"/>
      <c r="BW102" s="156"/>
      <c r="BX102" s="156"/>
      <c r="BY102" s="156"/>
      <c r="BZ102" s="156"/>
      <c r="CA102" s="156"/>
      <c r="CB102" s="156"/>
      <c r="CC102" s="156"/>
      <c r="CD102" s="156"/>
      <c r="CE102" s="156"/>
      <c r="CF102" s="156"/>
      <c r="CG102" s="156"/>
      <c r="CH102" s="156"/>
      <c r="CI102" s="156"/>
      <c r="CJ102" s="156"/>
      <c r="CK102" s="156"/>
      <c r="CL102" s="156"/>
      <c r="CM102" s="157"/>
      <c r="CN102" s="157"/>
      <c r="CO102" s="157"/>
      <c r="CP102" s="157"/>
      <c r="CQ102" s="157"/>
      <c r="CR102" s="157"/>
      <c r="CS102" s="157"/>
      <c r="CT102" s="157"/>
      <c r="CU102" s="157"/>
      <c r="CV102" s="157"/>
      <c r="CW102" s="157"/>
      <c r="CX102" s="157"/>
      <c r="CY102" s="157"/>
      <c r="CZ102" s="157"/>
      <c r="DA102" s="157"/>
      <c r="DB102" s="157"/>
      <c r="DE102" s="159"/>
    </row>
    <row r="103" spans="1:110" s="188" customFormat="1" x14ac:dyDescent="0.2">
      <c r="A103" s="186" t="s">
        <v>533</v>
      </c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  <c r="AB103" s="187"/>
      <c r="AC103" s="187"/>
      <c r="AD103" s="187"/>
      <c r="AE103" s="187"/>
      <c r="AI103" s="187"/>
      <c r="AJ103" s="187"/>
      <c r="AK103" s="187"/>
      <c r="AL103" s="187"/>
      <c r="AM103" s="187"/>
      <c r="AN103" s="187"/>
      <c r="AO103" s="187"/>
      <c r="AP103" s="187"/>
      <c r="AQ103" s="187"/>
      <c r="AR103" s="187"/>
      <c r="AS103" s="187"/>
      <c r="AT103" s="187"/>
      <c r="AU103" s="187"/>
      <c r="AV103" s="187"/>
      <c r="AW103" s="187"/>
      <c r="AX103" s="187"/>
      <c r="AY103" s="187"/>
      <c r="AZ103" s="187"/>
      <c r="BA103" s="187"/>
      <c r="BB103" s="187"/>
      <c r="BC103" s="187"/>
      <c r="BD103" s="187"/>
      <c r="BE103" s="187"/>
      <c r="BF103" s="187"/>
      <c r="BG103" s="187"/>
      <c r="BH103" s="187"/>
      <c r="BI103" s="187"/>
      <c r="BJ103" s="187"/>
      <c r="BK103" s="187"/>
      <c r="BL103" s="187"/>
      <c r="BM103" s="187"/>
      <c r="BN103" s="187"/>
      <c r="BO103" s="187"/>
      <c r="BP103" s="187"/>
      <c r="BQ103" s="187"/>
      <c r="BR103" s="187"/>
      <c r="BS103" s="187"/>
      <c r="BT103" s="187"/>
      <c r="BU103" s="187"/>
      <c r="BV103" s="187"/>
      <c r="BW103" s="187"/>
      <c r="BX103" s="187"/>
      <c r="BY103" s="187"/>
      <c r="BZ103" s="187"/>
      <c r="CA103" s="187"/>
      <c r="CB103" s="187"/>
      <c r="CC103" s="187"/>
      <c r="CD103" s="187"/>
      <c r="CE103" s="187"/>
      <c r="CF103" s="187"/>
      <c r="CG103" s="187"/>
      <c r="CH103" s="187"/>
      <c r="CI103" s="187"/>
      <c r="CJ103" s="187"/>
      <c r="CK103" s="187"/>
      <c r="CL103" s="187"/>
      <c r="CM103" s="187"/>
      <c r="CN103" s="187"/>
      <c r="CO103" s="187"/>
      <c r="CP103" s="187"/>
      <c r="CQ103" s="187"/>
      <c r="CR103" s="187"/>
      <c r="CS103" s="187"/>
      <c r="CT103" s="187"/>
      <c r="CU103" s="187"/>
      <c r="CV103" s="187"/>
      <c r="CW103" s="187"/>
      <c r="CX103" s="187"/>
      <c r="CY103" s="187"/>
      <c r="CZ103" s="187"/>
      <c r="DA103" s="187"/>
      <c r="DB103" s="187"/>
      <c r="DE103" s="187"/>
    </row>
    <row r="104" spans="1:110" s="158" customFormat="1" x14ac:dyDescent="0.2">
      <c r="A104" s="192" t="s">
        <v>628</v>
      </c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>
        <v>0</v>
      </c>
      <c r="X104" s="156">
        <v>0</v>
      </c>
      <c r="Y104" s="156">
        <v>0</v>
      </c>
      <c r="Z104" s="156">
        <f t="shared" ref="Z104" si="490">+SUM(CE104:CH104)</f>
        <v>0</v>
      </c>
      <c r="AA104" s="157">
        <f t="shared" ref="AA104" si="491">SUM(CI104:CL104)</f>
        <v>0</v>
      </c>
      <c r="AB104" s="157">
        <f t="shared" ref="AB104" si="492">+SUM(CM104:CP104)</f>
        <v>0</v>
      </c>
      <c r="AC104" s="157">
        <f t="shared" ref="AC104" si="493">+SUM(CQ104:CT104)</f>
        <v>0</v>
      </c>
      <c r="AD104" s="157">
        <f t="shared" ref="AD104" si="494">+SUM(CU104:CX104)</f>
        <v>0</v>
      </c>
      <c r="AE104" s="157">
        <f t="shared" ref="AE104" si="495">+SUM(CY104:DB104)</f>
        <v>0</v>
      </c>
      <c r="AI104" s="156"/>
      <c r="AJ104" s="156"/>
      <c r="AK104" s="156"/>
      <c r="AL104" s="156"/>
      <c r="AM104" s="156"/>
      <c r="AN104" s="156"/>
      <c r="AO104" s="156"/>
      <c r="AP104" s="156"/>
      <c r="AQ104" s="156"/>
      <c r="AR104" s="156"/>
      <c r="AS104" s="156"/>
      <c r="AT104" s="156"/>
      <c r="AU104" s="156"/>
      <c r="AV104" s="156"/>
      <c r="AW104" s="156"/>
      <c r="AX104" s="156"/>
      <c r="AY104" s="156"/>
      <c r="AZ104" s="156"/>
      <c r="BA104" s="156"/>
      <c r="BB104" s="156"/>
      <c r="BC104" s="156"/>
      <c r="BD104" s="156"/>
      <c r="BE104" s="156"/>
      <c r="BF104" s="156"/>
      <c r="BG104" s="156"/>
      <c r="BH104" s="156"/>
      <c r="BI104" s="156"/>
      <c r="BJ104" s="156"/>
      <c r="BK104" s="156"/>
      <c r="BL104" s="156"/>
      <c r="BM104" s="156"/>
      <c r="BN104" s="156"/>
      <c r="BO104" s="156"/>
      <c r="BP104" s="156"/>
      <c r="BQ104" s="156"/>
      <c r="BR104" s="156"/>
      <c r="BS104" s="156">
        <v>0</v>
      </c>
      <c r="BT104" s="156">
        <v>0</v>
      </c>
      <c r="BU104" s="156">
        <v>0</v>
      </c>
      <c r="BV104" s="156">
        <v>0</v>
      </c>
      <c r="BW104" s="156">
        <v>0</v>
      </c>
      <c r="BX104" s="156">
        <v>0</v>
      </c>
      <c r="BY104" s="156">
        <v>0</v>
      </c>
      <c r="BZ104" s="156">
        <v>0</v>
      </c>
      <c r="CA104" s="156">
        <v>0</v>
      </c>
      <c r="CB104" s="156">
        <v>0</v>
      </c>
      <c r="CC104" s="156">
        <v>0</v>
      </c>
      <c r="CD104" s="156">
        <v>0</v>
      </c>
      <c r="CE104" s="156">
        <v>0</v>
      </c>
      <c r="CF104" s="156">
        <v>0</v>
      </c>
      <c r="CG104" s="156">
        <v>0</v>
      </c>
      <c r="CH104" s="156">
        <v>0</v>
      </c>
      <c r="CI104" s="156">
        <v>0</v>
      </c>
      <c r="CJ104" s="156">
        <v>0</v>
      </c>
      <c r="CK104" s="156">
        <f>+CJ104</f>
        <v>0</v>
      </c>
      <c r="CL104" s="156">
        <f t="shared" ref="CL104:DB104" si="496">+CK104</f>
        <v>0</v>
      </c>
      <c r="CM104" s="157">
        <f t="shared" si="496"/>
        <v>0</v>
      </c>
      <c r="CN104" s="157">
        <f t="shared" si="496"/>
        <v>0</v>
      </c>
      <c r="CO104" s="157">
        <f t="shared" si="496"/>
        <v>0</v>
      </c>
      <c r="CP104" s="157">
        <f t="shared" si="496"/>
        <v>0</v>
      </c>
      <c r="CQ104" s="157">
        <f t="shared" si="496"/>
        <v>0</v>
      </c>
      <c r="CR104" s="157">
        <f t="shared" si="496"/>
        <v>0</v>
      </c>
      <c r="CS104" s="157">
        <f t="shared" si="496"/>
        <v>0</v>
      </c>
      <c r="CT104" s="157">
        <f t="shared" si="496"/>
        <v>0</v>
      </c>
      <c r="CU104" s="157">
        <f t="shared" si="496"/>
        <v>0</v>
      </c>
      <c r="CV104" s="157">
        <f t="shared" si="496"/>
        <v>0</v>
      </c>
      <c r="CW104" s="157">
        <f t="shared" si="496"/>
        <v>0</v>
      </c>
      <c r="CX104" s="157">
        <f t="shared" si="496"/>
        <v>0</v>
      </c>
      <c r="CY104" s="157">
        <f t="shared" si="496"/>
        <v>0</v>
      </c>
      <c r="CZ104" s="157">
        <f t="shared" si="496"/>
        <v>0</v>
      </c>
      <c r="DA104" s="157">
        <f t="shared" si="496"/>
        <v>0</v>
      </c>
      <c r="DB104" s="157">
        <f t="shared" si="496"/>
        <v>0</v>
      </c>
      <c r="DE104" s="159"/>
      <c r="DF104" s="158" t="s">
        <v>650</v>
      </c>
    </row>
    <row r="105" spans="1:110" s="158" customFormat="1" x14ac:dyDescent="0.2">
      <c r="A105" s="192" t="s">
        <v>629</v>
      </c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7"/>
      <c r="AB105" s="157"/>
      <c r="AC105" s="157"/>
      <c r="AD105" s="157"/>
      <c r="AE105" s="157"/>
      <c r="AI105" s="156"/>
      <c r="AJ105" s="156"/>
      <c r="AK105" s="156"/>
      <c r="AL105" s="156"/>
      <c r="AM105" s="156"/>
      <c r="AN105" s="156"/>
      <c r="AO105" s="156"/>
      <c r="AP105" s="156"/>
      <c r="AQ105" s="156"/>
      <c r="AR105" s="156"/>
      <c r="AS105" s="156"/>
      <c r="AT105" s="156"/>
      <c r="AU105" s="156"/>
      <c r="AV105" s="156"/>
      <c r="AW105" s="156"/>
      <c r="AX105" s="156"/>
      <c r="AY105" s="156"/>
      <c r="AZ105" s="156"/>
      <c r="BA105" s="156"/>
      <c r="BB105" s="156"/>
      <c r="BC105" s="156"/>
      <c r="BD105" s="156"/>
      <c r="BE105" s="156"/>
      <c r="BF105" s="156"/>
      <c r="BG105" s="156"/>
      <c r="BH105" s="156"/>
      <c r="BI105" s="156"/>
      <c r="BJ105" s="156"/>
      <c r="BK105" s="156"/>
      <c r="BL105" s="156"/>
      <c r="BM105" s="156"/>
      <c r="BN105" s="156"/>
      <c r="BO105" s="156"/>
      <c r="BP105" s="156"/>
      <c r="BQ105" s="156"/>
      <c r="BR105" s="156"/>
      <c r="BS105" s="156"/>
      <c r="BT105" s="156"/>
      <c r="BU105" s="156"/>
      <c r="BV105" s="156"/>
      <c r="BW105" s="156"/>
      <c r="BX105" s="156"/>
      <c r="BY105" s="156"/>
      <c r="BZ105" s="156"/>
      <c r="CA105" s="156"/>
      <c r="CB105" s="156"/>
      <c r="CC105" s="156"/>
      <c r="CD105" s="156"/>
      <c r="CE105" s="156"/>
      <c r="CF105" s="156"/>
      <c r="CG105" s="156"/>
      <c r="CH105" s="156"/>
      <c r="CI105" s="156"/>
      <c r="CJ105" s="156"/>
      <c r="CK105" s="156">
        <v>468</v>
      </c>
      <c r="CL105" s="156">
        <v>-47</v>
      </c>
      <c r="CM105" s="157">
        <v>0</v>
      </c>
      <c r="CN105" s="157">
        <f t="shared" ref="CN105" si="497">+CM105</f>
        <v>0</v>
      </c>
      <c r="CO105" s="157">
        <f t="shared" ref="CO105" si="498">+CN105</f>
        <v>0</v>
      </c>
      <c r="CP105" s="157">
        <f t="shared" ref="CP105" si="499">+CO105</f>
        <v>0</v>
      </c>
      <c r="CQ105" s="157">
        <f t="shared" ref="CQ105" si="500">+CP105</f>
        <v>0</v>
      </c>
      <c r="CR105" s="157">
        <f t="shared" ref="CR105" si="501">+CQ105</f>
        <v>0</v>
      </c>
      <c r="CS105" s="157">
        <f t="shared" ref="CS105" si="502">+CR105</f>
        <v>0</v>
      </c>
      <c r="CT105" s="157">
        <f t="shared" ref="CT105" si="503">+CS105</f>
        <v>0</v>
      </c>
      <c r="CU105" s="157">
        <f t="shared" ref="CU105" si="504">+CT105</f>
        <v>0</v>
      </c>
      <c r="CV105" s="157">
        <f t="shared" ref="CV105" si="505">+CU105</f>
        <v>0</v>
      </c>
      <c r="CW105" s="157">
        <f t="shared" ref="CW105" si="506">+CV105</f>
        <v>0</v>
      </c>
      <c r="CX105" s="157">
        <f t="shared" ref="CX105" si="507">+CW105</f>
        <v>0</v>
      </c>
      <c r="CY105" s="157">
        <f t="shared" ref="CY105" si="508">+CX105</f>
        <v>0</v>
      </c>
      <c r="CZ105" s="157">
        <f t="shared" ref="CZ105" si="509">+CY105</f>
        <v>0</v>
      </c>
      <c r="DA105" s="157">
        <f t="shared" ref="DA105" si="510">+CZ105</f>
        <v>0</v>
      </c>
      <c r="DB105" s="157">
        <f t="shared" ref="DB105" si="511">+DA105</f>
        <v>0</v>
      </c>
      <c r="DE105" s="159"/>
      <c r="DF105" s="158" t="s">
        <v>650</v>
      </c>
    </row>
    <row r="106" spans="1:110" s="158" customFormat="1" x14ac:dyDescent="0.2">
      <c r="A106" s="192" t="s">
        <v>630</v>
      </c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>
        <v>0</v>
      </c>
      <c r="X106" s="156">
        <v>0</v>
      </c>
      <c r="Y106" s="156">
        <v>0</v>
      </c>
      <c r="Z106" s="156">
        <f>+SUM(CE106:CH106)</f>
        <v>0</v>
      </c>
      <c r="AA106" s="157">
        <f>SUM(CI106:CL106)</f>
        <v>21</v>
      </c>
      <c r="AB106" s="157">
        <f>+SUM(CM106:CP106)</f>
        <v>0</v>
      </c>
      <c r="AC106" s="157">
        <f>+SUM(CQ106:CT106)</f>
        <v>0</v>
      </c>
      <c r="AD106" s="157">
        <f>+SUM(CU106:CX106)</f>
        <v>0</v>
      </c>
      <c r="AE106" s="157">
        <f>+SUM(CY106:DB106)</f>
        <v>0</v>
      </c>
      <c r="AI106" s="156"/>
      <c r="AJ106" s="156"/>
      <c r="AK106" s="156"/>
      <c r="AL106" s="156"/>
      <c r="AM106" s="156"/>
      <c r="AN106" s="156"/>
      <c r="AO106" s="156"/>
      <c r="AP106" s="156"/>
      <c r="AQ106" s="156"/>
      <c r="AR106" s="156"/>
      <c r="AS106" s="156"/>
      <c r="AT106" s="156"/>
      <c r="AU106" s="156"/>
      <c r="AV106" s="156"/>
      <c r="AW106" s="156"/>
      <c r="AX106" s="156"/>
      <c r="AY106" s="156"/>
      <c r="AZ106" s="156"/>
      <c r="BA106" s="156"/>
      <c r="BB106" s="156"/>
      <c r="BC106" s="156"/>
      <c r="BD106" s="156"/>
      <c r="BE106" s="156"/>
      <c r="BF106" s="156"/>
      <c r="BG106" s="156"/>
      <c r="BH106" s="156"/>
      <c r="BI106" s="156"/>
      <c r="BJ106" s="156"/>
      <c r="BK106" s="156"/>
      <c r="BL106" s="156"/>
      <c r="BM106" s="156"/>
      <c r="BN106" s="156"/>
      <c r="BO106" s="156"/>
      <c r="BP106" s="156"/>
      <c r="BQ106" s="156"/>
      <c r="BR106" s="156"/>
      <c r="BS106" s="156">
        <v>0</v>
      </c>
      <c r="BT106" s="156">
        <v>0</v>
      </c>
      <c r="BU106" s="156">
        <v>0</v>
      </c>
      <c r="BV106" s="156">
        <v>0</v>
      </c>
      <c r="BW106" s="156">
        <v>0</v>
      </c>
      <c r="BX106" s="156">
        <v>0</v>
      </c>
      <c r="BY106" s="156">
        <v>0</v>
      </c>
      <c r="BZ106" s="156">
        <v>0</v>
      </c>
      <c r="CA106" s="156">
        <v>0</v>
      </c>
      <c r="CB106" s="156">
        <v>0</v>
      </c>
      <c r="CC106" s="156">
        <v>0</v>
      </c>
      <c r="CD106" s="156">
        <v>0</v>
      </c>
      <c r="CE106" s="156">
        <v>0</v>
      </c>
      <c r="CF106" s="156">
        <v>0</v>
      </c>
      <c r="CG106" s="156">
        <v>0</v>
      </c>
      <c r="CH106" s="156">
        <v>0</v>
      </c>
      <c r="CI106" s="156">
        <v>0</v>
      </c>
      <c r="CJ106" s="156">
        <v>0</v>
      </c>
      <c r="CK106" s="156">
        <v>21</v>
      </c>
      <c r="CL106" s="156">
        <v>0</v>
      </c>
      <c r="CM106" s="157">
        <f t="shared" ref="CM106:DB106" si="512">+CL106</f>
        <v>0</v>
      </c>
      <c r="CN106" s="157">
        <f t="shared" si="512"/>
        <v>0</v>
      </c>
      <c r="CO106" s="157">
        <f t="shared" si="512"/>
        <v>0</v>
      </c>
      <c r="CP106" s="157">
        <f t="shared" si="512"/>
        <v>0</v>
      </c>
      <c r="CQ106" s="157">
        <f t="shared" si="512"/>
        <v>0</v>
      </c>
      <c r="CR106" s="157">
        <f t="shared" si="512"/>
        <v>0</v>
      </c>
      <c r="CS106" s="157">
        <f t="shared" si="512"/>
        <v>0</v>
      </c>
      <c r="CT106" s="157">
        <f t="shared" si="512"/>
        <v>0</v>
      </c>
      <c r="CU106" s="157">
        <f t="shared" si="512"/>
        <v>0</v>
      </c>
      <c r="CV106" s="157">
        <f t="shared" si="512"/>
        <v>0</v>
      </c>
      <c r="CW106" s="157">
        <f t="shared" si="512"/>
        <v>0</v>
      </c>
      <c r="CX106" s="157">
        <f t="shared" si="512"/>
        <v>0</v>
      </c>
      <c r="CY106" s="157">
        <f t="shared" si="512"/>
        <v>0</v>
      </c>
      <c r="CZ106" s="157">
        <f t="shared" si="512"/>
        <v>0</v>
      </c>
      <c r="DA106" s="157">
        <f t="shared" si="512"/>
        <v>0</v>
      </c>
      <c r="DB106" s="157">
        <f t="shared" si="512"/>
        <v>0</v>
      </c>
      <c r="DE106" s="159"/>
      <c r="DF106" s="158" t="s">
        <v>650</v>
      </c>
    </row>
    <row r="107" spans="1:110" s="158" customFormat="1" x14ac:dyDescent="0.2">
      <c r="A107" s="192" t="s">
        <v>631</v>
      </c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>
        <v>0</v>
      </c>
      <c r="X107" s="156">
        <v>0</v>
      </c>
      <c r="Y107" s="156">
        <v>0</v>
      </c>
      <c r="Z107" s="156">
        <f t="shared" ref="Z107:Z108" si="513">+SUM(CE107:CH107)</f>
        <v>0</v>
      </c>
      <c r="AA107" s="157">
        <f t="shared" ref="AA107:AA108" si="514">SUM(CI107:CL107)</f>
        <v>0</v>
      </c>
      <c r="AB107" s="157">
        <f t="shared" ref="AB107:AB108" si="515">+SUM(CM107:CP107)</f>
        <v>0</v>
      </c>
      <c r="AC107" s="157">
        <f t="shared" ref="AC107:AC108" si="516">+SUM(CQ107:CT107)</f>
        <v>0</v>
      </c>
      <c r="AD107" s="157">
        <f t="shared" ref="AD107:AD108" si="517">+SUM(CU107:CX107)</f>
        <v>0</v>
      </c>
      <c r="AE107" s="157">
        <f t="shared" ref="AE107:AE108" si="518">+SUM(CY107:DB107)</f>
        <v>0</v>
      </c>
      <c r="AI107" s="156"/>
      <c r="AJ107" s="156"/>
      <c r="AK107" s="156"/>
      <c r="AL107" s="156"/>
      <c r="AM107" s="156"/>
      <c r="AN107" s="156"/>
      <c r="AO107" s="156"/>
      <c r="AP107" s="156"/>
      <c r="AQ107" s="156"/>
      <c r="AR107" s="156"/>
      <c r="AS107" s="156"/>
      <c r="AT107" s="156"/>
      <c r="AU107" s="156"/>
      <c r="AV107" s="156"/>
      <c r="AW107" s="156"/>
      <c r="AX107" s="156"/>
      <c r="AY107" s="156"/>
      <c r="AZ107" s="156"/>
      <c r="BA107" s="156"/>
      <c r="BB107" s="156"/>
      <c r="BC107" s="156"/>
      <c r="BD107" s="156"/>
      <c r="BE107" s="156"/>
      <c r="BF107" s="156"/>
      <c r="BG107" s="156"/>
      <c r="BH107" s="156"/>
      <c r="BI107" s="156"/>
      <c r="BJ107" s="156"/>
      <c r="BK107" s="156"/>
      <c r="BL107" s="156"/>
      <c r="BM107" s="156"/>
      <c r="BN107" s="156"/>
      <c r="BO107" s="156"/>
      <c r="BP107" s="156"/>
      <c r="BQ107" s="156"/>
      <c r="BR107" s="156"/>
      <c r="BS107" s="156">
        <v>0</v>
      </c>
      <c r="BT107" s="156">
        <v>0</v>
      </c>
      <c r="BU107" s="156">
        <v>0</v>
      </c>
      <c r="BV107" s="156">
        <v>0</v>
      </c>
      <c r="BW107" s="156">
        <v>0</v>
      </c>
      <c r="BX107" s="156">
        <v>0</v>
      </c>
      <c r="BY107" s="156">
        <v>0</v>
      </c>
      <c r="BZ107" s="156">
        <v>0</v>
      </c>
      <c r="CA107" s="156">
        <v>0</v>
      </c>
      <c r="CB107" s="156">
        <v>0</v>
      </c>
      <c r="CC107" s="156">
        <v>0</v>
      </c>
      <c r="CD107" s="156">
        <v>0</v>
      </c>
      <c r="CE107" s="156">
        <v>0</v>
      </c>
      <c r="CF107" s="156">
        <v>0</v>
      </c>
      <c r="CG107" s="156">
        <v>0</v>
      </c>
      <c r="CH107" s="156">
        <v>0</v>
      </c>
      <c r="CI107" s="156">
        <v>0</v>
      </c>
      <c r="CJ107" s="156">
        <v>0</v>
      </c>
      <c r="CK107" s="156">
        <v>0</v>
      </c>
      <c r="CL107" s="156">
        <v>0</v>
      </c>
      <c r="CM107" s="157">
        <f t="shared" ref="CM107:DB107" si="519">+CL107</f>
        <v>0</v>
      </c>
      <c r="CN107" s="157">
        <f t="shared" si="519"/>
        <v>0</v>
      </c>
      <c r="CO107" s="157">
        <f t="shared" si="519"/>
        <v>0</v>
      </c>
      <c r="CP107" s="157">
        <f t="shared" si="519"/>
        <v>0</v>
      </c>
      <c r="CQ107" s="157">
        <f t="shared" si="519"/>
        <v>0</v>
      </c>
      <c r="CR107" s="157">
        <f t="shared" si="519"/>
        <v>0</v>
      </c>
      <c r="CS107" s="157">
        <f t="shared" si="519"/>
        <v>0</v>
      </c>
      <c r="CT107" s="157">
        <f t="shared" si="519"/>
        <v>0</v>
      </c>
      <c r="CU107" s="157">
        <f t="shared" si="519"/>
        <v>0</v>
      </c>
      <c r="CV107" s="157">
        <f t="shared" si="519"/>
        <v>0</v>
      </c>
      <c r="CW107" s="157">
        <f t="shared" si="519"/>
        <v>0</v>
      </c>
      <c r="CX107" s="157">
        <f t="shared" si="519"/>
        <v>0</v>
      </c>
      <c r="CY107" s="157">
        <f t="shared" si="519"/>
        <v>0</v>
      </c>
      <c r="CZ107" s="157">
        <f t="shared" si="519"/>
        <v>0</v>
      </c>
      <c r="DA107" s="157">
        <f t="shared" si="519"/>
        <v>0</v>
      </c>
      <c r="DB107" s="157">
        <f t="shared" si="519"/>
        <v>0</v>
      </c>
      <c r="DE107" s="159"/>
      <c r="DF107" s="158" t="s">
        <v>650</v>
      </c>
    </row>
    <row r="108" spans="1:110" s="158" customFormat="1" x14ac:dyDescent="0.2">
      <c r="A108" s="192" t="s">
        <v>632</v>
      </c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>
        <v>-97</v>
      </c>
      <c r="X108" s="156">
        <v>-136</v>
      </c>
      <c r="Y108" s="156">
        <v>-94</v>
      </c>
      <c r="Z108" s="156">
        <f t="shared" si="513"/>
        <v>-475</v>
      </c>
      <c r="AA108" s="157">
        <f t="shared" si="514"/>
        <v>850</v>
      </c>
      <c r="AB108" s="157">
        <f t="shared" si="515"/>
        <v>0</v>
      </c>
      <c r="AC108" s="157">
        <f t="shared" si="516"/>
        <v>0</v>
      </c>
      <c r="AD108" s="157">
        <f t="shared" si="517"/>
        <v>0</v>
      </c>
      <c r="AE108" s="157">
        <f t="shared" si="518"/>
        <v>0</v>
      </c>
      <c r="AI108" s="156"/>
      <c r="AJ108" s="156"/>
      <c r="AK108" s="156"/>
      <c r="AL108" s="156"/>
      <c r="AM108" s="156"/>
      <c r="AN108" s="156"/>
      <c r="AO108" s="156"/>
      <c r="AP108" s="156"/>
      <c r="AQ108" s="156"/>
      <c r="AR108" s="156"/>
      <c r="AS108" s="156"/>
      <c r="AT108" s="156"/>
      <c r="AU108" s="156"/>
      <c r="AV108" s="156"/>
      <c r="AW108" s="156"/>
      <c r="AX108" s="156"/>
      <c r="AY108" s="156"/>
      <c r="AZ108" s="156"/>
      <c r="BA108" s="156"/>
      <c r="BB108" s="156"/>
      <c r="BC108" s="156"/>
      <c r="BD108" s="156"/>
      <c r="BE108" s="156"/>
      <c r="BF108" s="156"/>
      <c r="BG108" s="156"/>
      <c r="BH108" s="156"/>
      <c r="BI108" s="156"/>
      <c r="BJ108" s="156"/>
      <c r="BK108" s="156"/>
      <c r="BL108" s="156"/>
      <c r="BM108" s="156"/>
      <c r="BN108" s="156"/>
      <c r="BO108" s="156"/>
      <c r="BP108" s="156"/>
      <c r="BQ108" s="156"/>
      <c r="BR108" s="156"/>
      <c r="BS108" s="156">
        <v>0</v>
      </c>
      <c r="BT108" s="156">
        <v>-97</v>
      </c>
      <c r="BU108" s="156">
        <v>0</v>
      </c>
      <c r="BV108" s="156">
        <v>0</v>
      </c>
      <c r="BW108" s="156">
        <v>0</v>
      </c>
      <c r="BX108" s="156">
        <v>0</v>
      </c>
      <c r="BY108" s="156">
        <v>-136</v>
      </c>
      <c r="BZ108" s="156">
        <v>0</v>
      </c>
      <c r="CA108" s="156">
        <v>0</v>
      </c>
      <c r="CB108" s="156">
        <v>0</v>
      </c>
      <c r="CC108" s="156">
        <v>0</v>
      </c>
      <c r="CD108" s="156">
        <v>-94</v>
      </c>
      <c r="CE108" s="156">
        <v>0</v>
      </c>
      <c r="CF108" s="156">
        <v>0</v>
      </c>
      <c r="CG108" s="156">
        <v>0</v>
      </c>
      <c r="CH108" s="156">
        <v>-475</v>
      </c>
      <c r="CI108" s="156">
        <v>0</v>
      </c>
      <c r="CJ108" s="156">
        <v>0</v>
      </c>
      <c r="CK108" s="156">
        <v>854</v>
      </c>
      <c r="CL108" s="156">
        <v>-4</v>
      </c>
      <c r="CM108" s="157">
        <v>0</v>
      </c>
      <c r="CN108" s="157">
        <f t="shared" ref="CN108:DB108" si="520">+CM108</f>
        <v>0</v>
      </c>
      <c r="CO108" s="157">
        <f t="shared" si="520"/>
        <v>0</v>
      </c>
      <c r="CP108" s="157">
        <f t="shared" si="520"/>
        <v>0</v>
      </c>
      <c r="CQ108" s="157">
        <f t="shared" si="520"/>
        <v>0</v>
      </c>
      <c r="CR108" s="157">
        <f t="shared" si="520"/>
        <v>0</v>
      </c>
      <c r="CS108" s="157">
        <f t="shared" si="520"/>
        <v>0</v>
      </c>
      <c r="CT108" s="157">
        <f t="shared" si="520"/>
        <v>0</v>
      </c>
      <c r="CU108" s="157">
        <f t="shared" si="520"/>
        <v>0</v>
      </c>
      <c r="CV108" s="157">
        <f t="shared" si="520"/>
        <v>0</v>
      </c>
      <c r="CW108" s="157">
        <f t="shared" si="520"/>
        <v>0</v>
      </c>
      <c r="CX108" s="157">
        <f t="shared" si="520"/>
        <v>0</v>
      </c>
      <c r="CY108" s="157">
        <f t="shared" si="520"/>
        <v>0</v>
      </c>
      <c r="CZ108" s="157">
        <f t="shared" si="520"/>
        <v>0</v>
      </c>
      <c r="DA108" s="157">
        <f t="shared" si="520"/>
        <v>0</v>
      </c>
      <c r="DB108" s="157">
        <f t="shared" si="520"/>
        <v>0</v>
      </c>
      <c r="DE108" s="159"/>
      <c r="DF108" s="158" t="s">
        <v>650</v>
      </c>
    </row>
    <row r="109" spans="1:110" s="109" customFormat="1" x14ac:dyDescent="0.2">
      <c r="A109" s="190" t="s">
        <v>633</v>
      </c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>
        <f t="shared" ref="W109:AE109" si="521">+SUM(W103:W108)</f>
        <v>-97</v>
      </c>
      <c r="X109" s="107">
        <f t="shared" si="521"/>
        <v>-136</v>
      </c>
      <c r="Y109" s="107">
        <f t="shared" si="521"/>
        <v>-94</v>
      </c>
      <c r="Z109" s="107">
        <f t="shared" si="521"/>
        <v>-475</v>
      </c>
      <c r="AA109" s="108">
        <f t="shared" si="521"/>
        <v>871</v>
      </c>
      <c r="AB109" s="108">
        <f t="shared" si="521"/>
        <v>0</v>
      </c>
      <c r="AC109" s="108">
        <f t="shared" si="521"/>
        <v>0</v>
      </c>
      <c r="AD109" s="108">
        <f t="shared" si="521"/>
        <v>0</v>
      </c>
      <c r="AE109" s="108">
        <f t="shared" si="521"/>
        <v>0</v>
      </c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7"/>
      <c r="AT109" s="107"/>
      <c r="AU109" s="107"/>
      <c r="AV109" s="107"/>
      <c r="AW109" s="107"/>
      <c r="AX109" s="107"/>
      <c r="AY109" s="107"/>
      <c r="AZ109" s="107"/>
      <c r="BA109" s="107"/>
      <c r="BB109" s="107"/>
      <c r="BC109" s="107"/>
      <c r="BD109" s="107"/>
      <c r="BE109" s="107"/>
      <c r="BF109" s="107"/>
      <c r="BG109" s="107"/>
      <c r="BH109" s="107"/>
      <c r="BI109" s="107"/>
      <c r="BJ109" s="107"/>
      <c r="BK109" s="107"/>
      <c r="BL109" s="107"/>
      <c r="BM109" s="107"/>
      <c r="BN109" s="107"/>
      <c r="BO109" s="107"/>
      <c r="BP109" s="107"/>
      <c r="BQ109" s="107"/>
      <c r="BR109" s="107"/>
      <c r="BS109" s="107">
        <f t="shared" ref="BS109:DB109" si="522">+SUM(BS104:BS108)</f>
        <v>0</v>
      </c>
      <c r="BT109" s="107">
        <f t="shared" si="522"/>
        <v>-97</v>
      </c>
      <c r="BU109" s="107">
        <f t="shared" si="522"/>
        <v>0</v>
      </c>
      <c r="BV109" s="107">
        <f t="shared" si="522"/>
        <v>0</v>
      </c>
      <c r="BW109" s="107">
        <f t="shared" si="522"/>
        <v>0</v>
      </c>
      <c r="BX109" s="107">
        <f t="shared" si="522"/>
        <v>0</v>
      </c>
      <c r="BY109" s="107">
        <f t="shared" si="522"/>
        <v>-136</v>
      </c>
      <c r="BZ109" s="107">
        <f t="shared" si="522"/>
        <v>0</v>
      </c>
      <c r="CA109" s="107">
        <f t="shared" si="522"/>
        <v>0</v>
      </c>
      <c r="CB109" s="107">
        <f t="shared" si="522"/>
        <v>0</v>
      </c>
      <c r="CC109" s="107">
        <f t="shared" si="522"/>
        <v>0</v>
      </c>
      <c r="CD109" s="107">
        <f t="shared" si="522"/>
        <v>-94</v>
      </c>
      <c r="CE109" s="107">
        <f t="shared" si="522"/>
        <v>0</v>
      </c>
      <c r="CF109" s="107">
        <f t="shared" si="522"/>
        <v>0</v>
      </c>
      <c r="CG109" s="107">
        <f t="shared" si="522"/>
        <v>0</v>
      </c>
      <c r="CH109" s="107">
        <f t="shared" si="522"/>
        <v>-475</v>
      </c>
      <c r="CI109" s="107">
        <f t="shared" si="522"/>
        <v>0</v>
      </c>
      <c r="CJ109" s="107">
        <f t="shared" si="522"/>
        <v>0</v>
      </c>
      <c r="CK109" s="107">
        <f t="shared" si="522"/>
        <v>1343</v>
      </c>
      <c r="CL109" s="107">
        <f t="shared" si="522"/>
        <v>-51</v>
      </c>
      <c r="CM109" s="108">
        <f t="shared" si="522"/>
        <v>0</v>
      </c>
      <c r="CN109" s="108">
        <f t="shared" si="522"/>
        <v>0</v>
      </c>
      <c r="CO109" s="108">
        <f t="shared" si="522"/>
        <v>0</v>
      </c>
      <c r="CP109" s="108">
        <f t="shared" si="522"/>
        <v>0</v>
      </c>
      <c r="CQ109" s="108">
        <f t="shared" si="522"/>
        <v>0</v>
      </c>
      <c r="CR109" s="108">
        <f t="shared" si="522"/>
        <v>0</v>
      </c>
      <c r="CS109" s="108">
        <f t="shared" si="522"/>
        <v>0</v>
      </c>
      <c r="CT109" s="108">
        <f t="shared" si="522"/>
        <v>0</v>
      </c>
      <c r="CU109" s="108">
        <f t="shared" si="522"/>
        <v>0</v>
      </c>
      <c r="CV109" s="108">
        <f t="shared" si="522"/>
        <v>0</v>
      </c>
      <c r="CW109" s="108">
        <f t="shared" si="522"/>
        <v>0</v>
      </c>
      <c r="CX109" s="108">
        <f t="shared" si="522"/>
        <v>0</v>
      </c>
      <c r="CY109" s="108">
        <f t="shared" si="522"/>
        <v>0</v>
      </c>
      <c r="CZ109" s="108">
        <f t="shared" si="522"/>
        <v>0</v>
      </c>
      <c r="DA109" s="108">
        <f t="shared" si="522"/>
        <v>0</v>
      </c>
      <c r="DB109" s="108">
        <f t="shared" si="522"/>
        <v>0</v>
      </c>
      <c r="DE109" s="117"/>
      <c r="DF109" s="109" t="s">
        <v>650</v>
      </c>
    </row>
    <row r="110" spans="1:110" s="158" customFormat="1" x14ac:dyDescent="0.2">
      <c r="A110" s="190"/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  <c r="AA110" s="157"/>
      <c r="AB110" s="157"/>
      <c r="AC110" s="157"/>
      <c r="AD110" s="157"/>
      <c r="AE110" s="157"/>
      <c r="AI110" s="156"/>
      <c r="AJ110" s="156"/>
      <c r="AK110" s="156"/>
      <c r="AL110" s="156"/>
      <c r="AM110" s="156"/>
      <c r="AN110" s="156"/>
      <c r="AO110" s="156"/>
      <c r="AP110" s="156"/>
      <c r="AQ110" s="156"/>
      <c r="AR110" s="156"/>
      <c r="AS110" s="156"/>
      <c r="AT110" s="156"/>
      <c r="AU110" s="156"/>
      <c r="AV110" s="156"/>
      <c r="AW110" s="156"/>
      <c r="AX110" s="156"/>
      <c r="AY110" s="156"/>
      <c r="AZ110" s="156"/>
      <c r="BA110" s="156"/>
      <c r="BB110" s="156"/>
      <c r="BC110" s="156"/>
      <c r="BD110" s="156"/>
      <c r="BE110" s="156"/>
      <c r="BF110" s="156"/>
      <c r="BG110" s="156"/>
      <c r="BH110" s="156"/>
      <c r="BI110" s="156"/>
      <c r="BJ110" s="156"/>
      <c r="BK110" s="156"/>
      <c r="BL110" s="156"/>
      <c r="BM110" s="156"/>
      <c r="BN110" s="156"/>
      <c r="BO110" s="156"/>
      <c r="BP110" s="156"/>
      <c r="BQ110" s="156"/>
      <c r="BR110" s="156"/>
      <c r="BS110" s="156"/>
      <c r="BT110" s="156"/>
      <c r="BU110" s="156"/>
      <c r="BV110" s="156"/>
      <c r="BW110" s="156"/>
      <c r="BX110" s="156"/>
      <c r="BY110" s="156"/>
      <c r="BZ110" s="156"/>
      <c r="CA110" s="156"/>
      <c r="CB110" s="156"/>
      <c r="CC110" s="156"/>
      <c r="CD110" s="156"/>
      <c r="CE110" s="156"/>
      <c r="CF110" s="156"/>
      <c r="CG110" s="156"/>
      <c r="CH110" s="156"/>
      <c r="CI110" s="156"/>
      <c r="CJ110" s="156"/>
      <c r="CK110" s="156"/>
      <c r="CL110" s="156"/>
      <c r="CM110" s="157"/>
      <c r="CN110" s="157"/>
      <c r="CO110" s="157"/>
      <c r="CP110" s="157"/>
      <c r="CQ110" s="157"/>
      <c r="CR110" s="157"/>
      <c r="CS110" s="157"/>
      <c r="CT110" s="157"/>
      <c r="CU110" s="157"/>
      <c r="CV110" s="157"/>
      <c r="CW110" s="157"/>
      <c r="CX110" s="157"/>
      <c r="CY110" s="157"/>
      <c r="CZ110" s="157"/>
      <c r="DA110" s="157"/>
      <c r="DB110" s="157"/>
      <c r="DE110" s="159"/>
    </row>
    <row r="111" spans="1:110" s="188" customFormat="1" x14ac:dyDescent="0.2">
      <c r="A111" s="186" t="s">
        <v>535</v>
      </c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  <c r="AB111" s="187"/>
      <c r="AC111" s="187"/>
      <c r="AD111" s="187"/>
      <c r="AE111" s="187"/>
      <c r="AI111" s="187"/>
      <c r="AJ111" s="187"/>
      <c r="AK111" s="187"/>
      <c r="AL111" s="187"/>
      <c r="AM111" s="187"/>
      <c r="AN111" s="187"/>
      <c r="AO111" s="187"/>
      <c r="AP111" s="187"/>
      <c r="AQ111" s="187"/>
      <c r="AR111" s="187"/>
      <c r="AS111" s="187"/>
      <c r="AT111" s="187"/>
      <c r="AU111" s="187"/>
      <c r="AV111" s="187"/>
      <c r="AW111" s="187"/>
      <c r="AX111" s="187"/>
      <c r="AY111" s="187"/>
      <c r="AZ111" s="187"/>
      <c r="BA111" s="187"/>
      <c r="BB111" s="187"/>
      <c r="BC111" s="187"/>
      <c r="BD111" s="187"/>
      <c r="BE111" s="187"/>
      <c r="BF111" s="187"/>
      <c r="BG111" s="187"/>
      <c r="BH111" s="187"/>
      <c r="BI111" s="187"/>
      <c r="BJ111" s="187"/>
      <c r="BK111" s="187"/>
      <c r="BL111" s="187"/>
      <c r="BM111" s="187"/>
      <c r="BN111" s="187"/>
      <c r="BO111" s="187"/>
      <c r="BP111" s="187"/>
      <c r="BQ111" s="187"/>
      <c r="BR111" s="187"/>
      <c r="BS111" s="187"/>
      <c r="BT111" s="187"/>
      <c r="BU111" s="187"/>
      <c r="BV111" s="187"/>
      <c r="BW111" s="187"/>
      <c r="BX111" s="187"/>
      <c r="BY111" s="187"/>
      <c r="BZ111" s="187"/>
      <c r="CA111" s="187"/>
      <c r="CB111" s="187"/>
      <c r="CC111" s="187"/>
      <c r="CD111" s="187"/>
      <c r="CE111" s="187"/>
      <c r="CF111" s="187"/>
      <c r="CG111" s="187"/>
      <c r="CH111" s="187"/>
      <c r="CI111" s="187"/>
      <c r="CJ111" s="187"/>
      <c r="CK111" s="187"/>
      <c r="CL111" s="187"/>
      <c r="CM111" s="187"/>
      <c r="CN111" s="187"/>
      <c r="CO111" s="187"/>
      <c r="CP111" s="187"/>
      <c r="CQ111" s="187"/>
      <c r="CR111" s="187"/>
      <c r="CS111" s="187"/>
      <c r="CT111" s="187"/>
      <c r="CU111" s="187"/>
      <c r="CV111" s="187"/>
      <c r="CW111" s="187"/>
      <c r="CX111" s="187"/>
      <c r="CY111" s="187"/>
      <c r="CZ111" s="187"/>
      <c r="DA111" s="187"/>
      <c r="DB111" s="187"/>
      <c r="DE111" s="187"/>
    </row>
    <row r="112" spans="1:110" s="158" customFormat="1" x14ac:dyDescent="0.2">
      <c r="A112" s="192" t="s">
        <v>634</v>
      </c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>
        <f>+W49-W70-W79-W87-W96-W104</f>
        <v>8175</v>
      </c>
      <c r="X112" s="156">
        <f>+X49-X70-X79-X87-X96-X104</f>
        <v>8887</v>
      </c>
      <c r="Y112" s="156">
        <f>+Y49-Y70-Y79-Y87-Y96-Y104</f>
        <v>10526</v>
      </c>
      <c r="Z112" s="156">
        <f t="shared" ref="Z112" si="523">+SUM(CE112:CH112)</f>
        <v>12783</v>
      </c>
      <c r="AA112" s="157">
        <f t="shared" ref="AA112" si="524">SUM(CI112:CL112)</f>
        <v>14241</v>
      </c>
      <c r="AB112" s="157">
        <f t="shared" ref="AB112" si="525">+SUM(CM112:CP112)</f>
        <v>17304.436037504242</v>
      </c>
      <c r="AC112" s="157">
        <f t="shared" ref="AC112" si="526">+SUM(CQ112:CT112)</f>
        <v>18799.270786419816</v>
      </c>
      <c r="AD112" s="157">
        <f t="shared" ref="AD112" si="527">+SUM(CU112:CX112)</f>
        <v>19630.734427613963</v>
      </c>
      <c r="AE112" s="157">
        <f t="shared" ref="AE112" si="528">+SUM(CY112:DB112)</f>
        <v>20106.208104324924</v>
      </c>
      <c r="AI112" s="156"/>
      <c r="AJ112" s="156"/>
      <c r="AK112" s="156"/>
      <c r="AL112" s="156"/>
      <c r="AM112" s="156"/>
      <c r="AN112" s="156"/>
      <c r="AO112" s="156"/>
      <c r="AP112" s="156"/>
      <c r="AQ112" s="156"/>
      <c r="AR112" s="156"/>
      <c r="AS112" s="156"/>
      <c r="AT112" s="156"/>
      <c r="AU112" s="156"/>
      <c r="AV112" s="156"/>
      <c r="AW112" s="156"/>
      <c r="AX112" s="156"/>
      <c r="AY112" s="156"/>
      <c r="AZ112" s="156"/>
      <c r="BA112" s="156"/>
      <c r="BB112" s="156"/>
      <c r="BC112" s="156"/>
      <c r="BD112" s="156"/>
      <c r="BE112" s="156"/>
      <c r="BF112" s="156"/>
      <c r="BG112" s="156"/>
      <c r="BH112" s="156"/>
      <c r="BI112" s="156"/>
      <c r="BJ112" s="156"/>
      <c r="BK112" s="156"/>
      <c r="BL112" s="156"/>
      <c r="BM112" s="156"/>
      <c r="BN112" s="156"/>
      <c r="BO112" s="156"/>
      <c r="BP112" s="156"/>
      <c r="BQ112" s="156"/>
      <c r="BR112" s="156"/>
      <c r="BS112" s="156">
        <f t="shared" ref="BS112:DB112" si="529">+BS49-BS70-BS79-BS87-BS96-BS104</f>
        <v>1108</v>
      </c>
      <c r="BT112" s="156">
        <f t="shared" si="529"/>
        <v>1611</v>
      </c>
      <c r="BU112" s="156">
        <f t="shared" si="529"/>
        <v>1820</v>
      </c>
      <c r="BV112" s="156">
        <f t="shared" si="529"/>
        <v>3636</v>
      </c>
      <c r="BW112" s="156">
        <f t="shared" si="529"/>
        <v>1355</v>
      </c>
      <c r="BX112" s="156">
        <f t="shared" si="529"/>
        <v>1855</v>
      </c>
      <c r="BY112" s="156">
        <f t="shared" si="529"/>
        <v>2210</v>
      </c>
      <c r="BZ112" s="156">
        <f t="shared" si="529"/>
        <v>3467</v>
      </c>
      <c r="CA112" s="156">
        <f t="shared" si="529"/>
        <v>1921</v>
      </c>
      <c r="CB112" s="156">
        <f t="shared" si="529"/>
        <v>2025</v>
      </c>
      <c r="CC112" s="156">
        <f t="shared" si="529"/>
        <v>2430</v>
      </c>
      <c r="CD112" s="156">
        <f t="shared" si="529"/>
        <v>4150</v>
      </c>
      <c r="CE112" s="156">
        <f t="shared" si="529"/>
        <v>2287</v>
      </c>
      <c r="CF112" s="156">
        <f t="shared" si="529"/>
        <v>2780</v>
      </c>
      <c r="CG112" s="156">
        <f t="shared" si="529"/>
        <v>2982</v>
      </c>
      <c r="CH112" s="156">
        <f t="shared" si="529"/>
        <v>4734</v>
      </c>
      <c r="CI112" s="156">
        <f t="shared" si="529"/>
        <v>2781</v>
      </c>
      <c r="CJ112" s="156">
        <f t="shared" si="529"/>
        <v>2997</v>
      </c>
      <c r="CK112" s="156">
        <f t="shared" si="529"/>
        <v>3486</v>
      </c>
      <c r="CL112" s="156">
        <f t="shared" ref="CL112" si="530">+CL49-CL70-CL79-CL87-CL96-CL104</f>
        <v>4977</v>
      </c>
      <c r="CM112" s="157">
        <f t="shared" si="529"/>
        <v>3833.2656407256991</v>
      </c>
      <c r="CN112" s="157">
        <f t="shared" si="529"/>
        <v>4016.9005456341229</v>
      </c>
      <c r="CO112" s="157">
        <f t="shared" si="529"/>
        <v>4269.9775058919204</v>
      </c>
      <c r="CP112" s="157">
        <f t="shared" si="529"/>
        <v>5184.2923452524992</v>
      </c>
      <c r="CQ112" s="157">
        <f t="shared" si="529"/>
        <v>4300.4669895755378</v>
      </c>
      <c r="CR112" s="157">
        <f t="shared" si="529"/>
        <v>4449.6685768179259</v>
      </c>
      <c r="CS112" s="157">
        <f t="shared" si="529"/>
        <v>4652.5844590787501</v>
      </c>
      <c r="CT112" s="157">
        <f t="shared" si="529"/>
        <v>5396.5507609476062</v>
      </c>
      <c r="CU112" s="157">
        <f t="shared" si="529"/>
        <v>4546.0414545096173</v>
      </c>
      <c r="CV112" s="157">
        <f t="shared" si="529"/>
        <v>4688.3988357637136</v>
      </c>
      <c r="CW112" s="157">
        <f t="shared" si="529"/>
        <v>4847.6176667174723</v>
      </c>
      <c r="CX112" s="157">
        <f t="shared" si="529"/>
        <v>5548.676470623157</v>
      </c>
      <c r="CY112" s="157">
        <f t="shared" si="529"/>
        <v>4668.7875426910641</v>
      </c>
      <c r="CZ112" s="157">
        <f t="shared" si="529"/>
        <v>4822.7180343171176</v>
      </c>
      <c r="DA112" s="157">
        <f t="shared" si="529"/>
        <v>4960.5248835565199</v>
      </c>
      <c r="DB112" s="157">
        <f t="shared" si="529"/>
        <v>5654.1776437602211</v>
      </c>
      <c r="DE112" s="159"/>
      <c r="DF112" s="158">
        <v>4057.31</v>
      </c>
    </row>
    <row r="113" spans="1:110" s="158" customFormat="1" x14ac:dyDescent="0.2">
      <c r="A113" s="192" t="s">
        <v>635</v>
      </c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>
        <f>+W55-W71-W80-W88-W97-W107</f>
        <v>3292</v>
      </c>
      <c r="X113" s="156">
        <f>+X55-X71-X80-X88-X97-X107</f>
        <v>3614</v>
      </c>
      <c r="Y113" s="156">
        <f>+Y55-Y71-Y80-Y88-Y97-Y107</f>
        <v>3744</v>
      </c>
      <c r="Z113" s="156">
        <f t="shared" ref="Z113:Z117" si="531">+SUM(CE113:CH113)</f>
        <v>3571</v>
      </c>
      <c r="AA113" s="157">
        <f t="shared" ref="AA113:AA117" si="532">SUM(CI113:CL113)</f>
        <v>3614</v>
      </c>
      <c r="AB113" s="157">
        <f t="shared" ref="AB113:AB117" si="533">+SUM(CM113:CP113)</f>
        <v>8168.0088186454877</v>
      </c>
      <c r="AC113" s="157">
        <f t="shared" ref="AC113:AC117" si="534">+SUM(CQ113:CT113)</f>
        <v>12019.469540297992</v>
      </c>
      <c r="AD113" s="157">
        <f t="shared" ref="AD113:AD117" si="535">+SUM(CU113:CX113)</f>
        <v>17607.108956102697</v>
      </c>
      <c r="AE113" s="157">
        <f t="shared" ref="AE113:AE117" si="536">+SUM(CY113:DB113)</f>
        <v>24631.007340370143</v>
      </c>
      <c r="AI113" s="156"/>
      <c r="AJ113" s="156"/>
      <c r="AK113" s="156"/>
      <c r="AL113" s="156"/>
      <c r="AM113" s="156"/>
      <c r="AN113" s="156"/>
      <c r="AO113" s="156"/>
      <c r="AP113" s="156"/>
      <c r="AQ113" s="156"/>
      <c r="AR113" s="156"/>
      <c r="AS113" s="156"/>
      <c r="AT113" s="156"/>
      <c r="AU113" s="156"/>
      <c r="AV113" s="156"/>
      <c r="AW113" s="156"/>
      <c r="AX113" s="156"/>
      <c r="AY113" s="156"/>
      <c r="AZ113" s="156"/>
      <c r="BA113" s="156"/>
      <c r="BB113" s="156"/>
      <c r="BC113" s="156"/>
      <c r="BD113" s="156"/>
      <c r="BE113" s="156"/>
      <c r="BF113" s="156"/>
      <c r="BG113" s="156"/>
      <c r="BH113" s="156"/>
      <c r="BI113" s="156"/>
      <c r="BJ113" s="156"/>
      <c r="BK113" s="156"/>
      <c r="BL113" s="156"/>
      <c r="BM113" s="156"/>
      <c r="BN113" s="156"/>
      <c r="BO113" s="156"/>
      <c r="BP113" s="156"/>
      <c r="BQ113" s="156"/>
      <c r="BR113" s="156"/>
      <c r="BS113" s="156">
        <f t="shared" ref="BS113:CJ113" si="537">+BS55-BS71-BS80-BS88-BS97-BS105</f>
        <v>679</v>
      </c>
      <c r="BT113" s="156">
        <f t="shared" si="537"/>
        <v>778</v>
      </c>
      <c r="BU113" s="156">
        <f t="shared" si="537"/>
        <v>853</v>
      </c>
      <c r="BV113" s="156">
        <f t="shared" si="537"/>
        <v>982</v>
      </c>
      <c r="BW113" s="156">
        <f t="shared" si="537"/>
        <v>882</v>
      </c>
      <c r="BX113" s="156">
        <f t="shared" si="537"/>
        <v>966</v>
      </c>
      <c r="BY113" s="156">
        <f t="shared" si="537"/>
        <v>826</v>
      </c>
      <c r="BZ113" s="156">
        <f t="shared" si="537"/>
        <v>940</v>
      </c>
      <c r="CA113" s="156">
        <f t="shared" si="537"/>
        <v>936</v>
      </c>
      <c r="CB113" s="156">
        <f t="shared" si="537"/>
        <v>944</v>
      </c>
      <c r="CC113" s="156">
        <f t="shared" si="537"/>
        <v>966</v>
      </c>
      <c r="CD113" s="156">
        <f t="shared" si="537"/>
        <v>898</v>
      </c>
      <c r="CE113" s="156">
        <f t="shared" si="537"/>
        <v>900</v>
      </c>
      <c r="CF113" s="156">
        <f t="shared" si="537"/>
        <v>986</v>
      </c>
      <c r="CG113" s="156">
        <f t="shared" si="537"/>
        <v>842</v>
      </c>
      <c r="CH113" s="156">
        <f t="shared" si="537"/>
        <v>843</v>
      </c>
      <c r="CI113" s="156">
        <f t="shared" si="537"/>
        <v>898</v>
      </c>
      <c r="CJ113" s="156">
        <f t="shared" si="537"/>
        <v>1016</v>
      </c>
      <c r="CK113" s="156">
        <f t="shared" ref="CK113:CL116" si="538">+CK55-CK71-CK80-CK88-CK97-CK105</f>
        <v>686</v>
      </c>
      <c r="CL113" s="156">
        <f t="shared" si="538"/>
        <v>1014</v>
      </c>
      <c r="CM113" s="157">
        <f t="shared" ref="CM113:DB113" si="539">+CM55-CM71-CM80-CM88-CM97-CM105-CM72-CM73-CM81-CM82-CM89-CM90-CM98-CM106-CM99-CM107</f>
        <v>1728.3112565366619</v>
      </c>
      <c r="CN113" s="157">
        <f t="shared" si="539"/>
        <v>1958.5270066584799</v>
      </c>
      <c r="CO113" s="157">
        <f t="shared" si="539"/>
        <v>2066.1477947573753</v>
      </c>
      <c r="CP113" s="157">
        <f t="shared" si="539"/>
        <v>2415.0227606929702</v>
      </c>
      <c r="CQ113" s="157">
        <f t="shared" si="539"/>
        <v>2244.7885836334635</v>
      </c>
      <c r="CR113" s="157">
        <f t="shared" si="539"/>
        <v>2655.7079163040244</v>
      </c>
      <c r="CS113" s="157">
        <f t="shared" si="539"/>
        <v>3022.7263577355789</v>
      </c>
      <c r="CT113" s="157">
        <f t="shared" si="539"/>
        <v>4096.2466826249247</v>
      </c>
      <c r="CU113" s="157">
        <f t="shared" si="539"/>
        <v>3344.6791200523048</v>
      </c>
      <c r="CV113" s="157">
        <f t="shared" si="539"/>
        <v>3909.3783755968025</v>
      </c>
      <c r="CW113" s="157">
        <f t="shared" si="539"/>
        <v>4463.5147856456197</v>
      </c>
      <c r="CX113" s="157">
        <f t="shared" si="539"/>
        <v>5889.5366748079678</v>
      </c>
      <c r="CY113" s="157">
        <f t="shared" si="539"/>
        <v>4855.4171544820474</v>
      </c>
      <c r="CZ113" s="157">
        <f t="shared" si="539"/>
        <v>5540.5059792926822</v>
      </c>
      <c r="DA113" s="157">
        <f t="shared" si="539"/>
        <v>6238.0455970051471</v>
      </c>
      <c r="DB113" s="157">
        <f t="shared" si="539"/>
        <v>7997.038609590265</v>
      </c>
      <c r="DE113" s="159"/>
      <c r="DF113" s="158">
        <v>-2541.4299999999998</v>
      </c>
    </row>
    <row r="114" spans="1:110" s="158" customFormat="1" x14ac:dyDescent="0.2">
      <c r="A114" s="192" t="s">
        <v>636</v>
      </c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>
        <f>+W56-W72-W81-W89-W98-W106</f>
        <v>680</v>
      </c>
      <c r="X114" s="156">
        <f>+X56-X72-X81-X89-X98-X106</f>
        <v>938</v>
      </c>
      <c r="Y114" s="156">
        <f>+Y56-Y72-Y81-Y89-Y98-Y106</f>
        <v>1536</v>
      </c>
      <c r="Z114" s="156">
        <f t="shared" si="531"/>
        <v>1742</v>
      </c>
      <c r="AA114" s="157">
        <f t="shared" si="532"/>
        <v>1976</v>
      </c>
      <c r="AB114" s="157">
        <f t="shared" si="533"/>
        <v>0</v>
      </c>
      <c r="AC114" s="157">
        <f t="shared" si="534"/>
        <v>0</v>
      </c>
      <c r="AD114" s="157">
        <f t="shared" si="535"/>
        <v>0</v>
      </c>
      <c r="AE114" s="157">
        <f t="shared" si="536"/>
        <v>0</v>
      </c>
      <c r="AI114" s="156"/>
      <c r="AJ114" s="156"/>
      <c r="AK114" s="156"/>
      <c r="AL114" s="156"/>
      <c r="AM114" s="156"/>
      <c r="AN114" s="156"/>
      <c r="AO114" s="156"/>
      <c r="AP114" s="156"/>
      <c r="AQ114" s="156"/>
      <c r="AR114" s="156"/>
      <c r="AS114" s="156"/>
      <c r="AT114" s="156"/>
      <c r="AU114" s="156"/>
      <c r="AV114" s="156"/>
      <c r="AW114" s="156"/>
      <c r="AX114" s="156"/>
      <c r="AY114" s="156"/>
      <c r="AZ114" s="156"/>
      <c r="BA114" s="156"/>
      <c r="BB114" s="156"/>
      <c r="BC114" s="156"/>
      <c r="BD114" s="156"/>
      <c r="BE114" s="156"/>
      <c r="BF114" s="156"/>
      <c r="BG114" s="156"/>
      <c r="BH114" s="156"/>
      <c r="BI114" s="156"/>
      <c r="BJ114" s="156"/>
      <c r="BK114" s="156"/>
      <c r="BL114" s="156"/>
      <c r="BM114" s="156"/>
      <c r="BN114" s="156"/>
      <c r="BO114" s="156"/>
      <c r="BP114" s="156"/>
      <c r="BQ114" s="156"/>
      <c r="BR114" s="156"/>
      <c r="BS114" s="156">
        <f t="shared" ref="BS114:CJ114" si="540">+BS56-BS72-BS81-BS89-BS98-BS106</f>
        <v>111</v>
      </c>
      <c r="BT114" s="156">
        <f t="shared" si="540"/>
        <v>143</v>
      </c>
      <c r="BU114" s="156">
        <f t="shared" si="540"/>
        <v>208</v>
      </c>
      <c r="BV114" s="156">
        <f t="shared" si="540"/>
        <v>218</v>
      </c>
      <c r="BW114" s="156">
        <f t="shared" si="540"/>
        <v>172</v>
      </c>
      <c r="BX114" s="156">
        <f t="shared" si="540"/>
        <v>272</v>
      </c>
      <c r="BY114" s="156">
        <f t="shared" si="540"/>
        <v>163</v>
      </c>
      <c r="BZ114" s="156">
        <f t="shared" si="540"/>
        <v>331</v>
      </c>
      <c r="CA114" s="156">
        <f t="shared" si="540"/>
        <v>352</v>
      </c>
      <c r="CB114" s="156">
        <f t="shared" si="540"/>
        <v>395</v>
      </c>
      <c r="CC114" s="156">
        <f t="shared" si="540"/>
        <v>423</v>
      </c>
      <c r="CD114" s="156">
        <f t="shared" si="540"/>
        <v>366</v>
      </c>
      <c r="CE114" s="156">
        <f t="shared" si="540"/>
        <v>452</v>
      </c>
      <c r="CF114" s="156">
        <f t="shared" si="540"/>
        <v>462</v>
      </c>
      <c r="CG114" s="156">
        <f t="shared" si="540"/>
        <v>416</v>
      </c>
      <c r="CH114" s="156">
        <f t="shared" si="540"/>
        <v>412</v>
      </c>
      <c r="CI114" s="156">
        <f t="shared" si="540"/>
        <v>465</v>
      </c>
      <c r="CJ114" s="156">
        <f t="shared" si="540"/>
        <v>487</v>
      </c>
      <c r="CK114" s="156">
        <f t="shared" si="538"/>
        <v>489</v>
      </c>
      <c r="CL114" s="156">
        <f t="shared" si="538"/>
        <v>535</v>
      </c>
      <c r="CM114" s="157"/>
      <c r="CN114" s="157"/>
      <c r="CO114" s="157"/>
      <c r="CP114" s="157"/>
      <c r="CQ114" s="157"/>
      <c r="CR114" s="157"/>
      <c r="CS114" s="157"/>
      <c r="CT114" s="157"/>
      <c r="CU114" s="157"/>
      <c r="CV114" s="157"/>
      <c r="CW114" s="157"/>
      <c r="CX114" s="157"/>
      <c r="CY114" s="157"/>
      <c r="CZ114" s="157"/>
      <c r="DA114" s="157"/>
      <c r="DB114" s="157"/>
      <c r="DE114" s="159"/>
    </row>
    <row r="115" spans="1:110" s="158" customFormat="1" x14ac:dyDescent="0.2">
      <c r="A115" s="192" t="s">
        <v>637</v>
      </c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>
        <f>+W57-W73-W82-W90-W99</f>
        <v>-1780</v>
      </c>
      <c r="X115" s="156">
        <f>+X57-X73-X82-X90-X99</f>
        <v>-958</v>
      </c>
      <c r="Y115" s="156">
        <f>+Y57-Y73-Y82-Y90-Y99</f>
        <v>-159</v>
      </c>
      <c r="Z115" s="156">
        <f t="shared" si="531"/>
        <v>-192</v>
      </c>
      <c r="AA115" s="157">
        <f t="shared" si="532"/>
        <v>-397</v>
      </c>
      <c r="AB115" s="157">
        <f t="shared" si="533"/>
        <v>0</v>
      </c>
      <c r="AC115" s="157">
        <f t="shared" si="534"/>
        <v>0</v>
      </c>
      <c r="AD115" s="157">
        <f t="shared" si="535"/>
        <v>0</v>
      </c>
      <c r="AE115" s="157">
        <f t="shared" si="536"/>
        <v>0</v>
      </c>
      <c r="AI115" s="156"/>
      <c r="AJ115" s="156"/>
      <c r="AK115" s="156"/>
      <c r="AL115" s="156"/>
      <c r="AM115" s="156"/>
      <c r="AN115" s="156"/>
      <c r="AO115" s="156"/>
      <c r="AP115" s="156"/>
      <c r="AQ115" s="156"/>
      <c r="AR115" s="156"/>
      <c r="AS115" s="156"/>
      <c r="AT115" s="156"/>
      <c r="AU115" s="156"/>
      <c r="AV115" s="156"/>
      <c r="AW115" s="156"/>
      <c r="AX115" s="156"/>
      <c r="AY115" s="156"/>
      <c r="AZ115" s="156"/>
      <c r="BA115" s="156"/>
      <c r="BB115" s="156"/>
      <c r="BC115" s="156"/>
      <c r="BD115" s="156"/>
      <c r="BE115" s="156"/>
      <c r="BF115" s="156"/>
      <c r="BG115" s="156"/>
      <c r="BH115" s="156"/>
      <c r="BI115" s="156"/>
      <c r="BJ115" s="156"/>
      <c r="BK115" s="156"/>
      <c r="BL115" s="156"/>
      <c r="BM115" s="156"/>
      <c r="BN115" s="156"/>
      <c r="BO115" s="156"/>
      <c r="BP115" s="156"/>
      <c r="BQ115" s="156"/>
      <c r="BR115" s="156"/>
      <c r="BS115" s="156">
        <f t="shared" ref="BS115:CJ115" si="541">+BS57-BS73-BS82-BS90-BS99-BS107</f>
        <v>-506</v>
      </c>
      <c r="BT115" s="156">
        <f t="shared" si="541"/>
        <v>-441</v>
      </c>
      <c r="BU115" s="156">
        <f t="shared" si="541"/>
        <v>-486</v>
      </c>
      <c r="BV115" s="156">
        <f t="shared" si="541"/>
        <v>-347</v>
      </c>
      <c r="BW115" s="156">
        <f t="shared" si="541"/>
        <v>-343</v>
      </c>
      <c r="BX115" s="156">
        <f t="shared" si="541"/>
        <v>-359</v>
      </c>
      <c r="BY115" s="156">
        <f t="shared" si="541"/>
        <v>-354</v>
      </c>
      <c r="BZ115" s="156">
        <f t="shared" si="541"/>
        <v>98</v>
      </c>
      <c r="CA115" s="156">
        <f t="shared" si="541"/>
        <v>-234</v>
      </c>
      <c r="CB115" s="156">
        <f t="shared" si="541"/>
        <v>339</v>
      </c>
      <c r="CC115" s="156">
        <f t="shared" si="541"/>
        <v>-158</v>
      </c>
      <c r="CD115" s="156">
        <f t="shared" si="541"/>
        <v>-106</v>
      </c>
      <c r="CE115" s="156">
        <f t="shared" si="541"/>
        <v>-90</v>
      </c>
      <c r="CF115" s="156">
        <f t="shared" si="541"/>
        <v>-116</v>
      </c>
      <c r="CG115" s="156">
        <f t="shared" si="541"/>
        <v>-85</v>
      </c>
      <c r="CH115" s="156">
        <f t="shared" si="541"/>
        <v>99</v>
      </c>
      <c r="CI115" s="156">
        <f t="shared" si="541"/>
        <v>-100</v>
      </c>
      <c r="CJ115" s="156">
        <f t="shared" si="541"/>
        <v>-149</v>
      </c>
      <c r="CK115" s="156">
        <f t="shared" si="538"/>
        <v>-80</v>
      </c>
      <c r="CL115" s="156">
        <f t="shared" si="538"/>
        <v>-68</v>
      </c>
      <c r="CM115" s="157"/>
      <c r="CN115" s="157"/>
      <c r="CO115" s="157"/>
      <c r="CP115" s="157"/>
      <c r="CQ115" s="157"/>
      <c r="CR115" s="157"/>
      <c r="CS115" s="157"/>
      <c r="CT115" s="157"/>
      <c r="CU115" s="157"/>
      <c r="CV115" s="157"/>
      <c r="CW115" s="157"/>
      <c r="CX115" s="157"/>
      <c r="CY115" s="157"/>
      <c r="CZ115" s="157"/>
      <c r="DA115" s="157"/>
      <c r="DB115" s="157"/>
      <c r="DE115" s="159"/>
    </row>
    <row r="116" spans="1:110" s="158" customFormat="1" x14ac:dyDescent="0.2">
      <c r="A116" s="192" t="s">
        <v>639</v>
      </c>
      <c r="B116" s="1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>
        <f>+W58-W74-W83-W91-W100-W109</f>
        <v>-1813</v>
      </c>
      <c r="X116" s="192">
        <f>+X58-X74-X83-X91-X100-X109</f>
        <v>-2022</v>
      </c>
      <c r="Y116" s="192">
        <f>+Y58-Y74-Y83-Y91-Y100-Y109</f>
        <v>-2584</v>
      </c>
      <c r="Z116" s="156">
        <f t="shared" si="531"/>
        <v>-2869</v>
      </c>
      <c r="AA116" s="157">
        <f t="shared" si="532"/>
        <v>-3345</v>
      </c>
      <c r="AB116" s="157">
        <f t="shared" si="533"/>
        <v>-5636</v>
      </c>
      <c r="AC116" s="157">
        <f t="shared" si="534"/>
        <v>-5636</v>
      </c>
      <c r="AD116" s="157">
        <f t="shared" si="535"/>
        <v>-5636</v>
      </c>
      <c r="AE116" s="157">
        <f t="shared" si="536"/>
        <v>-5636</v>
      </c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  <c r="AQ116" s="192"/>
      <c r="AR116" s="192"/>
      <c r="AS116" s="192"/>
      <c r="AT116" s="192"/>
      <c r="AU116" s="192"/>
      <c r="AV116" s="192"/>
      <c r="AW116" s="192"/>
      <c r="AX116" s="192"/>
      <c r="AY116" s="192"/>
      <c r="AZ116" s="192"/>
      <c r="BA116" s="192"/>
      <c r="BB116" s="192"/>
      <c r="BC116" s="192"/>
      <c r="BD116" s="192"/>
      <c r="BE116" s="192"/>
      <c r="BF116" s="192"/>
      <c r="BG116" s="192"/>
      <c r="BH116" s="192"/>
      <c r="BI116" s="192"/>
      <c r="BJ116" s="192"/>
      <c r="BK116" s="192"/>
      <c r="BL116" s="192"/>
      <c r="BM116" s="192"/>
      <c r="BN116" s="192"/>
      <c r="BO116" s="192"/>
      <c r="BP116" s="192"/>
      <c r="BQ116" s="192"/>
      <c r="BR116" s="192"/>
      <c r="BS116" s="156">
        <f t="shared" ref="BS116:CJ116" si="542">+BS58-BS74-BS83-BS91-BS100-BS108</f>
        <v>-269</v>
      </c>
      <c r="BT116" s="156">
        <f t="shared" si="542"/>
        <v>-311</v>
      </c>
      <c r="BU116" s="156">
        <f t="shared" si="542"/>
        <v>-363</v>
      </c>
      <c r="BV116" s="156">
        <f t="shared" si="542"/>
        <v>-870</v>
      </c>
      <c r="BW116" s="156">
        <f t="shared" si="542"/>
        <v>-367</v>
      </c>
      <c r="BX116" s="156">
        <f t="shared" si="542"/>
        <v>-510</v>
      </c>
      <c r="BY116" s="156">
        <f t="shared" si="542"/>
        <v>-295</v>
      </c>
      <c r="BZ116" s="156">
        <f t="shared" si="542"/>
        <v>-850</v>
      </c>
      <c r="CA116" s="156">
        <f t="shared" si="542"/>
        <v>-483</v>
      </c>
      <c r="CB116" s="156">
        <f t="shared" si="542"/>
        <v>-479</v>
      </c>
      <c r="CC116" s="156">
        <f t="shared" si="542"/>
        <v>-711</v>
      </c>
      <c r="CD116" s="156">
        <f t="shared" si="542"/>
        <v>-911</v>
      </c>
      <c r="CE116" s="156">
        <f t="shared" si="542"/>
        <v>-763</v>
      </c>
      <c r="CF116" s="156">
        <f t="shared" si="542"/>
        <v>-717</v>
      </c>
      <c r="CG116" s="156">
        <f t="shared" si="542"/>
        <v>-796</v>
      </c>
      <c r="CH116" s="156">
        <f t="shared" si="542"/>
        <v>-593</v>
      </c>
      <c r="CI116" s="156">
        <f t="shared" si="542"/>
        <v>-426</v>
      </c>
      <c r="CJ116" s="156">
        <f t="shared" si="542"/>
        <v>-424</v>
      </c>
      <c r="CK116" s="156">
        <f t="shared" si="538"/>
        <v>-1366</v>
      </c>
      <c r="CL116" s="156">
        <f t="shared" si="538"/>
        <v>-1129</v>
      </c>
      <c r="CM116" s="157">
        <f t="shared" ref="CM116:DB116" si="543">+CM58-CM74-CM83-CM91-CM100-CM108</f>
        <v>-1409</v>
      </c>
      <c r="CN116" s="157">
        <f t="shared" si="543"/>
        <v>-1409</v>
      </c>
      <c r="CO116" s="157">
        <f t="shared" si="543"/>
        <v>-1409</v>
      </c>
      <c r="CP116" s="157">
        <f t="shared" si="543"/>
        <v>-1409</v>
      </c>
      <c r="CQ116" s="157">
        <f t="shared" si="543"/>
        <v>-1409</v>
      </c>
      <c r="CR116" s="157">
        <f t="shared" si="543"/>
        <v>-1409</v>
      </c>
      <c r="CS116" s="157">
        <f t="shared" si="543"/>
        <v>-1409</v>
      </c>
      <c r="CT116" s="157">
        <f t="shared" si="543"/>
        <v>-1409</v>
      </c>
      <c r="CU116" s="157">
        <f t="shared" si="543"/>
        <v>-1409</v>
      </c>
      <c r="CV116" s="157">
        <f t="shared" si="543"/>
        <v>-1409</v>
      </c>
      <c r="CW116" s="157">
        <f t="shared" si="543"/>
        <v>-1409</v>
      </c>
      <c r="CX116" s="157">
        <f t="shared" si="543"/>
        <v>-1409</v>
      </c>
      <c r="CY116" s="157">
        <f t="shared" si="543"/>
        <v>-1409</v>
      </c>
      <c r="CZ116" s="157">
        <f t="shared" si="543"/>
        <v>-1409</v>
      </c>
      <c r="DA116" s="157">
        <f t="shared" si="543"/>
        <v>-1409</v>
      </c>
      <c r="DB116" s="157">
        <f t="shared" si="543"/>
        <v>-1409</v>
      </c>
      <c r="DE116" s="159"/>
      <c r="DF116" s="158">
        <v>-1130</v>
      </c>
    </row>
    <row r="117" spans="1:110" s="158" customFormat="1" x14ac:dyDescent="0.2">
      <c r="A117" s="192" t="s">
        <v>638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56">
        <f t="shared" si="531"/>
        <v>0</v>
      </c>
      <c r="AA117" s="157">
        <f t="shared" si="532"/>
        <v>0</v>
      </c>
      <c r="AB117" s="157">
        <f t="shared" si="533"/>
        <v>0</v>
      </c>
      <c r="AC117" s="157">
        <f t="shared" si="534"/>
        <v>0</v>
      </c>
      <c r="AD117" s="157">
        <f t="shared" si="535"/>
        <v>0</v>
      </c>
      <c r="AE117" s="157">
        <f t="shared" si="536"/>
        <v>0</v>
      </c>
      <c r="AF117" s="192"/>
      <c r="AG117" s="192"/>
      <c r="AH117" s="192"/>
      <c r="AI117" s="192"/>
      <c r="AJ117" s="192"/>
      <c r="AK117" s="192"/>
      <c r="AL117" s="192"/>
      <c r="AM117" s="192"/>
      <c r="AN117" s="192"/>
      <c r="AO117" s="192"/>
      <c r="AP117" s="192"/>
      <c r="AQ117" s="192"/>
      <c r="AR117" s="192"/>
      <c r="AS117" s="192"/>
      <c r="AT117" s="192"/>
      <c r="AU117" s="192"/>
      <c r="AV117" s="192"/>
      <c r="AW117" s="192"/>
      <c r="AX117" s="192"/>
      <c r="AY117" s="192"/>
      <c r="AZ117" s="192"/>
      <c r="BA117" s="192"/>
      <c r="BB117" s="192"/>
      <c r="BC117" s="192"/>
      <c r="BD117" s="192"/>
      <c r="BE117" s="192"/>
      <c r="BF117" s="192"/>
      <c r="BG117" s="192"/>
      <c r="BH117" s="192"/>
      <c r="BI117" s="192"/>
      <c r="BJ117" s="192"/>
      <c r="BK117" s="192"/>
      <c r="BL117" s="192"/>
      <c r="BM117" s="192"/>
      <c r="BN117" s="192"/>
      <c r="BO117" s="192"/>
      <c r="BP117" s="192"/>
      <c r="BQ117" s="192"/>
      <c r="BR117" s="192"/>
      <c r="BS117" s="192"/>
      <c r="BT117" s="192"/>
      <c r="BU117" s="192"/>
      <c r="BV117" s="192"/>
      <c r="BW117" s="192"/>
      <c r="BX117" s="192"/>
      <c r="BY117" s="192"/>
      <c r="BZ117" s="192"/>
      <c r="CA117" s="192"/>
      <c r="CB117" s="192"/>
      <c r="CC117" s="192"/>
      <c r="CD117" s="192"/>
      <c r="CE117" s="192"/>
      <c r="CF117" s="192"/>
      <c r="CG117" s="192"/>
      <c r="CH117" s="192"/>
      <c r="CI117" s="192"/>
      <c r="CJ117" s="156"/>
      <c r="CK117" s="156"/>
      <c r="CL117" s="156"/>
      <c r="CM117" s="157"/>
      <c r="CN117" s="157"/>
      <c r="CO117" s="157"/>
      <c r="CP117" s="157"/>
      <c r="CQ117" s="157"/>
      <c r="CR117" s="157"/>
      <c r="CS117" s="157"/>
      <c r="CT117" s="157"/>
      <c r="CU117" s="157"/>
      <c r="CV117" s="157"/>
      <c r="CW117" s="157"/>
      <c r="CX117" s="157"/>
      <c r="CY117" s="157"/>
      <c r="CZ117" s="157"/>
      <c r="DA117" s="157"/>
      <c r="DB117" s="157"/>
      <c r="DE117" s="159"/>
    </row>
    <row r="118" spans="1:110" s="199" customFormat="1" x14ac:dyDescent="0.2">
      <c r="A118" s="196" t="s">
        <v>536</v>
      </c>
      <c r="B118" s="197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>
        <f t="shared" ref="W118" si="544">+SUM(W112:W117)</f>
        <v>8554</v>
      </c>
      <c r="X118" s="197">
        <f t="shared" ref="X118" si="545">+SUM(X112:X117)</f>
        <v>10459</v>
      </c>
      <c r="Y118" s="197">
        <f t="shared" ref="Y118" si="546">+SUM(Y112:Y117)</f>
        <v>13063</v>
      </c>
      <c r="Z118" s="197">
        <f t="shared" ref="Z118" si="547">+SUM(Z112:Z117)</f>
        <v>15035</v>
      </c>
      <c r="AA118" s="198">
        <f t="shared" ref="AA118" si="548">SUM(CI118:CL118)</f>
        <v>16089</v>
      </c>
      <c r="AB118" s="198">
        <f t="shared" ref="AB118" si="549">+SUM(CM118:CP118)</f>
        <v>21824.269733898411</v>
      </c>
      <c r="AC118" s="198">
        <f t="shared" ref="AC118" si="550">+SUM(CQ118:CT118)</f>
        <v>26291.501913159424</v>
      </c>
      <c r="AD118" s="198">
        <f t="shared" ref="AD118" si="551">+SUM(CU118:CX118)</f>
        <v>31573.906871991421</v>
      </c>
      <c r="AE118" s="198">
        <f t="shared" ref="AE118" si="552">+SUM(CY118:DB118)</f>
        <v>37618.105634851381</v>
      </c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  <c r="AS118" s="197"/>
      <c r="AT118" s="197"/>
      <c r="AU118" s="197"/>
      <c r="AV118" s="197"/>
      <c r="AW118" s="197"/>
      <c r="AX118" s="197"/>
      <c r="AY118" s="197"/>
      <c r="AZ118" s="197"/>
      <c r="BA118" s="197"/>
      <c r="BB118" s="197"/>
      <c r="BC118" s="197"/>
      <c r="BD118" s="197"/>
      <c r="BE118" s="197"/>
      <c r="BF118" s="197"/>
      <c r="BG118" s="197"/>
      <c r="BH118" s="197"/>
      <c r="BI118" s="197"/>
      <c r="BJ118" s="197"/>
      <c r="BK118" s="197"/>
      <c r="BL118" s="197"/>
      <c r="BM118" s="197"/>
      <c r="BN118" s="197"/>
      <c r="BO118" s="197"/>
      <c r="BP118" s="197"/>
      <c r="BQ118" s="197"/>
      <c r="BR118" s="197"/>
      <c r="BS118" s="197">
        <f t="shared" ref="BS118:CI118" si="553">+SUM(BS112:BS117)</f>
        <v>1123</v>
      </c>
      <c r="BT118" s="197">
        <f t="shared" si="553"/>
        <v>1780</v>
      </c>
      <c r="BU118" s="197">
        <f t="shared" si="553"/>
        <v>2032</v>
      </c>
      <c r="BV118" s="197">
        <f t="shared" si="553"/>
        <v>3619</v>
      </c>
      <c r="BW118" s="197">
        <f t="shared" si="553"/>
        <v>1699</v>
      </c>
      <c r="BX118" s="197">
        <f t="shared" si="553"/>
        <v>2224</v>
      </c>
      <c r="BY118" s="197">
        <f t="shared" si="553"/>
        <v>2550</v>
      </c>
      <c r="BZ118" s="197">
        <f t="shared" si="553"/>
        <v>3986</v>
      </c>
      <c r="CA118" s="197">
        <f t="shared" si="553"/>
        <v>2492</v>
      </c>
      <c r="CB118" s="197">
        <f t="shared" si="553"/>
        <v>3224</v>
      </c>
      <c r="CC118" s="197">
        <f t="shared" si="553"/>
        <v>2950</v>
      </c>
      <c r="CD118" s="197">
        <f t="shared" si="553"/>
        <v>4397</v>
      </c>
      <c r="CE118" s="197">
        <f t="shared" si="553"/>
        <v>2786</v>
      </c>
      <c r="CF118" s="197">
        <f t="shared" si="553"/>
        <v>3395</v>
      </c>
      <c r="CG118" s="197">
        <f t="shared" si="553"/>
        <v>3359</v>
      </c>
      <c r="CH118" s="197">
        <f t="shared" si="553"/>
        <v>5495</v>
      </c>
      <c r="CI118" s="197">
        <f t="shared" si="553"/>
        <v>3618</v>
      </c>
      <c r="CJ118" s="197">
        <f>+SUM(CJ112:CJ117)</f>
        <v>3927</v>
      </c>
      <c r="CK118" s="197">
        <f>+SUM(CK112:CK117)</f>
        <v>3215</v>
      </c>
      <c r="CL118" s="197">
        <f>+SUM(CL112:CL117)</f>
        <v>5329</v>
      </c>
      <c r="CM118" s="198">
        <f t="shared" ref="CM118:DB118" si="554">+CM210</f>
        <v>4698.7906584553384</v>
      </c>
      <c r="CN118" s="198">
        <f t="shared" si="554"/>
        <v>5199.2162679292906</v>
      </c>
      <c r="CO118" s="198">
        <f t="shared" si="554"/>
        <v>5479.9896578039506</v>
      </c>
      <c r="CP118" s="198">
        <f t="shared" si="554"/>
        <v>6446.2731497098321</v>
      </c>
      <c r="CQ118" s="198">
        <f t="shared" si="554"/>
        <v>5519.0159360411772</v>
      </c>
      <c r="CR118" s="198">
        <f t="shared" si="554"/>
        <v>6182.6032873389322</v>
      </c>
      <c r="CS118" s="198">
        <f t="shared" si="554"/>
        <v>6609.868271540623</v>
      </c>
      <c r="CT118" s="198">
        <f t="shared" si="554"/>
        <v>7980.0144182386939</v>
      </c>
      <c r="CU118" s="198">
        <f t="shared" si="554"/>
        <v>6648.6357074559201</v>
      </c>
      <c r="CV118" s="198">
        <f t="shared" si="554"/>
        <v>7433.930031403168</v>
      </c>
      <c r="CW118" s="198">
        <f t="shared" si="554"/>
        <v>7953.0178335137971</v>
      </c>
      <c r="CX118" s="198">
        <f t="shared" si="554"/>
        <v>9538.3232996185379</v>
      </c>
      <c r="CY118" s="198">
        <f t="shared" si="554"/>
        <v>7945.4506648203151</v>
      </c>
      <c r="CZ118" s="198">
        <f t="shared" si="554"/>
        <v>8872.5785302219465</v>
      </c>
      <c r="DA118" s="198">
        <f t="shared" si="554"/>
        <v>9484.2038504128341</v>
      </c>
      <c r="DB118" s="198">
        <f t="shared" si="554"/>
        <v>11315.872589396286</v>
      </c>
      <c r="DE118" s="200"/>
      <c r="DF118" s="199">
        <v>5487.3</v>
      </c>
    </row>
    <row r="119" spans="1:110" s="158" customFormat="1" x14ac:dyDescent="0.2">
      <c r="A119" s="192" t="s">
        <v>640</v>
      </c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>
        <f t="shared" ref="W119:AE119" si="555">+W118-W210</f>
        <v>-115.33000000003085</v>
      </c>
      <c r="X119" s="156">
        <f t="shared" si="555"/>
        <v>-11.720000000012078</v>
      </c>
      <c r="Y119" s="156">
        <f t="shared" si="555"/>
        <v>3.8899999999703141</v>
      </c>
      <c r="Z119" s="156">
        <f t="shared" si="555"/>
        <v>-2.1100000000024011</v>
      </c>
      <c r="AA119" s="157">
        <f t="shared" si="555"/>
        <v>5.0100000000657019</v>
      </c>
      <c r="AB119" s="157">
        <f t="shared" si="555"/>
        <v>0</v>
      </c>
      <c r="AC119" s="157">
        <f t="shared" si="555"/>
        <v>-5.0931703299283981E-11</v>
      </c>
      <c r="AD119" s="157">
        <f t="shared" si="555"/>
        <v>0</v>
      </c>
      <c r="AE119" s="157">
        <f t="shared" si="555"/>
        <v>0</v>
      </c>
      <c r="AI119" s="156"/>
      <c r="AJ119" s="156"/>
      <c r="AK119" s="156"/>
      <c r="AL119" s="156"/>
      <c r="AM119" s="156"/>
      <c r="AN119" s="156"/>
      <c r="AO119" s="156"/>
      <c r="AP119" s="156"/>
      <c r="AQ119" s="156"/>
      <c r="AR119" s="156"/>
      <c r="AS119" s="156"/>
      <c r="AT119" s="156"/>
      <c r="AU119" s="156"/>
      <c r="AV119" s="156"/>
      <c r="AW119" s="156"/>
      <c r="AX119" s="156"/>
      <c r="AY119" s="156"/>
      <c r="AZ119" s="156"/>
      <c r="BA119" s="156"/>
      <c r="BB119" s="156"/>
      <c r="BC119" s="156"/>
      <c r="BD119" s="156"/>
      <c r="BE119" s="156"/>
      <c r="BF119" s="156"/>
      <c r="BG119" s="156"/>
      <c r="BH119" s="156"/>
      <c r="BI119" s="156"/>
      <c r="BJ119" s="156"/>
      <c r="BK119" s="156"/>
      <c r="BL119" s="156"/>
      <c r="BM119" s="156"/>
      <c r="BN119" s="156"/>
      <c r="BO119" s="156"/>
      <c r="BP119" s="156"/>
      <c r="BQ119" s="156"/>
      <c r="BR119" s="156"/>
      <c r="BS119" s="156">
        <f t="shared" ref="BS119:DB119" si="556">+BS118-BS210</f>
        <v>-51.439999999998918</v>
      </c>
      <c r="BT119" s="156">
        <f t="shared" si="556"/>
        <v>-39.449999999997544</v>
      </c>
      <c r="BU119" s="156">
        <f t="shared" si="556"/>
        <v>-22.740000000001601</v>
      </c>
      <c r="BV119" s="156">
        <f t="shared" si="556"/>
        <v>-1.6899999999955071</v>
      </c>
      <c r="BW119" s="156">
        <f t="shared" si="556"/>
        <v>-3.0699999999965257</v>
      </c>
      <c r="BX119" s="156">
        <f t="shared" si="556"/>
        <v>-4.9699999999961619</v>
      </c>
      <c r="BY119" s="156">
        <f t="shared" si="556"/>
        <v>-2.9200000000082582</v>
      </c>
      <c r="BZ119" s="156">
        <f t="shared" si="556"/>
        <v>-0.77999999999792635</v>
      </c>
      <c r="CA119" s="156">
        <f t="shared" si="556"/>
        <v>-0.99999999999317879</v>
      </c>
      <c r="CB119" s="156">
        <f t="shared" si="556"/>
        <v>1.3699999999985266</v>
      </c>
      <c r="CC119" s="156">
        <f t="shared" si="556"/>
        <v>2.6400000000053296</v>
      </c>
      <c r="CD119" s="156">
        <f t="shared" si="556"/>
        <v>0.87999999999919964</v>
      </c>
      <c r="CE119" s="156">
        <f t="shared" si="556"/>
        <v>0.27999999999292413</v>
      </c>
      <c r="CF119" s="156">
        <f t="shared" si="556"/>
        <v>-0.29000000000405635</v>
      </c>
      <c r="CG119" s="156">
        <f t="shared" si="556"/>
        <v>0.16000000000394721</v>
      </c>
      <c r="CH119" s="156">
        <f t="shared" si="556"/>
        <v>-2.2600000000020373</v>
      </c>
      <c r="CI119" s="156">
        <f t="shared" si="556"/>
        <v>0.81000000000585715</v>
      </c>
      <c r="CJ119" s="156">
        <f t="shared" si="556"/>
        <v>0.91000000000167347</v>
      </c>
      <c r="CK119" s="156">
        <f t="shared" si="556"/>
        <v>-0.10999999999785359</v>
      </c>
      <c r="CL119" s="156">
        <f t="shared" ref="CL119" si="557">+CL118-CL210</f>
        <v>3.4000000000050932</v>
      </c>
      <c r="CM119" s="157">
        <f t="shared" si="556"/>
        <v>0</v>
      </c>
      <c r="CN119" s="157">
        <f t="shared" si="556"/>
        <v>0</v>
      </c>
      <c r="CO119" s="157">
        <f t="shared" si="556"/>
        <v>0</v>
      </c>
      <c r="CP119" s="157">
        <f t="shared" si="556"/>
        <v>0</v>
      </c>
      <c r="CQ119" s="157">
        <f t="shared" si="556"/>
        <v>0</v>
      </c>
      <c r="CR119" s="157">
        <f t="shared" si="556"/>
        <v>0</v>
      </c>
      <c r="CS119" s="157">
        <f t="shared" si="556"/>
        <v>0</v>
      </c>
      <c r="CT119" s="157">
        <f t="shared" si="556"/>
        <v>0</v>
      </c>
      <c r="CU119" s="157">
        <f t="shared" si="556"/>
        <v>0</v>
      </c>
      <c r="CV119" s="157">
        <f t="shared" si="556"/>
        <v>0</v>
      </c>
      <c r="CW119" s="157">
        <f t="shared" si="556"/>
        <v>0</v>
      </c>
      <c r="CX119" s="157">
        <f t="shared" si="556"/>
        <v>0</v>
      </c>
      <c r="CY119" s="157">
        <f t="shared" si="556"/>
        <v>0</v>
      </c>
      <c r="CZ119" s="157">
        <f t="shared" si="556"/>
        <v>0</v>
      </c>
      <c r="DA119" s="157">
        <f t="shared" si="556"/>
        <v>0</v>
      </c>
      <c r="DB119" s="157">
        <f t="shared" si="556"/>
        <v>0</v>
      </c>
      <c r="DE119" s="159"/>
      <c r="DF119" s="158" t="s">
        <v>650</v>
      </c>
    </row>
    <row r="120" spans="1:110" s="158" customFormat="1" x14ac:dyDescent="0.2">
      <c r="A120" s="190"/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7"/>
      <c r="AB120" s="157"/>
      <c r="AC120" s="157"/>
      <c r="AD120" s="157"/>
      <c r="AE120" s="157"/>
      <c r="AI120" s="156"/>
      <c r="AJ120" s="156"/>
      <c r="AK120" s="156"/>
      <c r="AL120" s="156"/>
      <c r="AM120" s="156"/>
      <c r="AN120" s="156"/>
      <c r="AO120" s="156"/>
      <c r="AP120" s="156"/>
      <c r="AQ120" s="156"/>
      <c r="AR120" s="156"/>
      <c r="AS120" s="156"/>
      <c r="AT120" s="156"/>
      <c r="AU120" s="156"/>
      <c r="AV120" s="156"/>
      <c r="AW120" s="156"/>
      <c r="AX120" s="156"/>
      <c r="AY120" s="156"/>
      <c r="AZ120" s="156"/>
      <c r="BA120" s="156"/>
      <c r="BB120" s="156"/>
      <c r="BC120" s="156"/>
      <c r="BD120" s="156"/>
      <c r="BE120" s="156"/>
      <c r="BF120" s="156"/>
      <c r="BG120" s="156"/>
      <c r="BH120" s="156"/>
      <c r="BI120" s="156"/>
      <c r="BJ120" s="156"/>
      <c r="BK120" s="156"/>
      <c r="BL120" s="156"/>
      <c r="BM120" s="156"/>
      <c r="BN120" s="156"/>
      <c r="BO120" s="156"/>
      <c r="BP120" s="156"/>
      <c r="BQ120" s="156"/>
      <c r="BR120" s="156"/>
      <c r="BS120" s="156"/>
      <c r="BT120" s="156"/>
      <c r="BU120" s="156"/>
      <c r="BV120" s="156"/>
      <c r="BW120" s="156"/>
      <c r="BX120" s="156"/>
      <c r="BY120" s="156"/>
      <c r="BZ120" s="156"/>
      <c r="CA120" s="156"/>
      <c r="CB120" s="156"/>
      <c r="CC120" s="156"/>
      <c r="CD120" s="156"/>
      <c r="CE120" s="156"/>
      <c r="CF120" s="156"/>
      <c r="CG120" s="156"/>
      <c r="CH120" s="156"/>
      <c r="CI120" s="156"/>
      <c r="CJ120" s="156"/>
      <c r="CK120" s="156"/>
      <c r="CL120" s="156"/>
      <c r="CM120" s="157"/>
      <c r="CN120" s="157"/>
      <c r="CO120" s="157"/>
      <c r="CP120" s="157"/>
      <c r="CQ120" s="157"/>
      <c r="CR120" s="157"/>
      <c r="CS120" s="157"/>
      <c r="CT120" s="157"/>
      <c r="CU120" s="157"/>
      <c r="CV120" s="157"/>
      <c r="CW120" s="157"/>
      <c r="CX120" s="157"/>
      <c r="CY120" s="157"/>
      <c r="CZ120" s="157"/>
      <c r="DA120" s="157"/>
      <c r="DB120" s="157"/>
      <c r="DE120" s="159"/>
    </row>
    <row r="121" spans="1:110" s="109" customFormat="1" x14ac:dyDescent="0.2">
      <c r="A121" s="191" t="s">
        <v>543</v>
      </c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>
        <f t="shared" ref="W121:AE121" si="558">+W227</f>
        <v>137.565</v>
      </c>
      <c r="X121" s="107">
        <f t="shared" si="558"/>
        <v>137.565</v>
      </c>
      <c r="Y121" s="107">
        <f t="shared" si="558"/>
        <v>137.565</v>
      </c>
      <c r="Z121" s="107">
        <f t="shared" si="558"/>
        <v>137.565</v>
      </c>
      <c r="AA121" s="108">
        <f t="shared" si="558"/>
        <v>137.565</v>
      </c>
      <c r="AB121" s="108">
        <f t="shared" si="558"/>
        <v>137.565</v>
      </c>
      <c r="AC121" s="108">
        <f t="shared" si="558"/>
        <v>137.565</v>
      </c>
      <c r="AD121" s="108">
        <f t="shared" si="558"/>
        <v>137.565</v>
      </c>
      <c r="AE121" s="108">
        <f t="shared" si="558"/>
        <v>137.565</v>
      </c>
      <c r="AI121" s="107"/>
      <c r="AJ121" s="107"/>
      <c r="AK121" s="107"/>
      <c r="AL121" s="107"/>
      <c r="AM121" s="107"/>
      <c r="AN121" s="107"/>
      <c r="AO121" s="107"/>
      <c r="AP121" s="107"/>
      <c r="AQ121" s="107"/>
      <c r="AR121" s="107"/>
      <c r="AS121" s="107"/>
      <c r="AT121" s="107"/>
      <c r="AU121" s="107"/>
      <c r="AV121" s="107"/>
      <c r="AW121" s="107"/>
      <c r="AX121" s="107"/>
      <c r="AY121" s="107"/>
      <c r="AZ121" s="107"/>
      <c r="BA121" s="107"/>
      <c r="BB121" s="107"/>
      <c r="BC121" s="107"/>
      <c r="BD121" s="107"/>
      <c r="BE121" s="107"/>
      <c r="BF121" s="107"/>
      <c r="BG121" s="107"/>
      <c r="BH121" s="107"/>
      <c r="BI121" s="107"/>
      <c r="BJ121" s="107"/>
      <c r="BK121" s="107"/>
      <c r="BL121" s="107"/>
      <c r="BM121" s="107"/>
      <c r="BN121" s="107"/>
      <c r="BO121" s="107"/>
      <c r="BP121" s="107"/>
      <c r="BQ121" s="107"/>
      <c r="BR121" s="107"/>
      <c r="BS121" s="107">
        <f t="shared" ref="BS121:CI121" si="559">+BS227</f>
        <v>137.55500000000001</v>
      </c>
      <c r="BT121" s="107">
        <f t="shared" si="559"/>
        <v>137.55500000000001</v>
      </c>
      <c r="BU121" s="107">
        <f t="shared" si="559"/>
        <v>137.55500000000001</v>
      </c>
      <c r="BV121" s="107">
        <f t="shared" si="559"/>
        <v>137.55500000000001</v>
      </c>
      <c r="BW121" s="107">
        <f t="shared" si="559"/>
        <v>137.55500000000001</v>
      </c>
      <c r="BX121" s="107">
        <f t="shared" si="559"/>
        <v>137.55500000000001</v>
      </c>
      <c r="BY121" s="107">
        <f t="shared" si="559"/>
        <v>137.55500000000001</v>
      </c>
      <c r="BZ121" s="107">
        <f t="shared" si="559"/>
        <v>137.55500000000001</v>
      </c>
      <c r="CA121" s="107">
        <f t="shared" si="559"/>
        <v>137.55500000000001</v>
      </c>
      <c r="CB121" s="107">
        <f t="shared" si="559"/>
        <v>137.55500000000001</v>
      </c>
      <c r="CC121" s="107">
        <f t="shared" si="559"/>
        <v>137.55500000000001</v>
      </c>
      <c r="CD121" s="107">
        <f t="shared" si="559"/>
        <v>137.55500000000001</v>
      </c>
      <c r="CE121" s="107">
        <f t="shared" si="559"/>
        <v>137.55500000000001</v>
      </c>
      <c r="CF121" s="107">
        <f t="shared" si="559"/>
        <v>137.55500000000001</v>
      </c>
      <c r="CG121" s="107">
        <f t="shared" si="559"/>
        <v>137.55500000000001</v>
      </c>
      <c r="CH121" s="107">
        <f t="shared" si="559"/>
        <v>137.55500000000001</v>
      </c>
      <c r="CI121" s="107">
        <f t="shared" si="559"/>
        <v>137.55500000000001</v>
      </c>
      <c r="CJ121" s="107">
        <f>+CJ227</f>
        <v>137.55500000000001</v>
      </c>
      <c r="CK121" s="107">
        <f t="shared" ref="CK121:CL121" si="560">+CK227</f>
        <v>137.56</v>
      </c>
      <c r="CL121" s="107">
        <f t="shared" si="560"/>
        <v>137.565</v>
      </c>
      <c r="CM121" s="108">
        <f t="shared" ref="CM121:DB121" si="561">+CM227</f>
        <v>137.565</v>
      </c>
      <c r="CN121" s="108">
        <f t="shared" si="561"/>
        <v>137.565</v>
      </c>
      <c r="CO121" s="108">
        <f t="shared" si="561"/>
        <v>137.565</v>
      </c>
      <c r="CP121" s="108">
        <f t="shared" si="561"/>
        <v>137.565</v>
      </c>
      <c r="CQ121" s="108">
        <f t="shared" si="561"/>
        <v>137.565</v>
      </c>
      <c r="CR121" s="108">
        <f t="shared" si="561"/>
        <v>137.565</v>
      </c>
      <c r="CS121" s="108">
        <f t="shared" si="561"/>
        <v>137.565</v>
      </c>
      <c r="CT121" s="108">
        <f t="shared" si="561"/>
        <v>137.565</v>
      </c>
      <c r="CU121" s="108">
        <f t="shared" si="561"/>
        <v>137.565</v>
      </c>
      <c r="CV121" s="108">
        <f t="shared" si="561"/>
        <v>137.565</v>
      </c>
      <c r="CW121" s="108">
        <f t="shared" si="561"/>
        <v>137.565</v>
      </c>
      <c r="CX121" s="108">
        <f t="shared" si="561"/>
        <v>137.565</v>
      </c>
      <c r="CY121" s="108">
        <f t="shared" si="561"/>
        <v>137.565</v>
      </c>
      <c r="CZ121" s="108">
        <f t="shared" si="561"/>
        <v>137.565</v>
      </c>
      <c r="DA121" s="108">
        <f t="shared" si="561"/>
        <v>137.565</v>
      </c>
      <c r="DB121" s="108">
        <f t="shared" si="561"/>
        <v>137.565</v>
      </c>
      <c r="DE121" s="117"/>
      <c r="DF121" s="109">
        <v>137.56</v>
      </c>
    </row>
    <row r="122" spans="1:110" s="244" customFormat="1" x14ac:dyDescent="0.2">
      <c r="A122" s="201" t="s">
        <v>537</v>
      </c>
      <c r="B122" s="243"/>
      <c r="C122" s="243"/>
      <c r="D122" s="243"/>
      <c r="E122" s="243"/>
      <c r="F122" s="243"/>
      <c r="G122" s="243"/>
      <c r="H122" s="243"/>
      <c r="I122" s="243"/>
      <c r="J122" s="243"/>
      <c r="K122" s="243"/>
      <c r="L122" s="243"/>
      <c r="M122" s="243"/>
      <c r="N122" s="243"/>
      <c r="O122" s="243"/>
      <c r="P122" s="243"/>
      <c r="Q122" s="243"/>
      <c r="R122" s="243"/>
      <c r="S122" s="243"/>
      <c r="T122" s="243"/>
      <c r="U122" s="243"/>
      <c r="V122" s="243"/>
      <c r="W122" s="243">
        <f t="shared" ref="W122" si="562">+(W112+W115+W116)/W121</f>
        <v>33.307890815250971</v>
      </c>
      <c r="X122" s="243">
        <f t="shared" ref="X122" si="563">+(X112+X115+X116)/X121</f>
        <v>42.939701232144806</v>
      </c>
      <c r="Y122" s="243">
        <f t="shared" ref="Y122" si="564">+(Y112+Y115+Y116)/Y121</f>
        <v>56.576890924290339</v>
      </c>
      <c r="Z122" s="243">
        <f t="shared" ref="Z122" si="565">+(Z112+Z115+Z116)/Z121</f>
        <v>70.67204594191837</v>
      </c>
      <c r="AA122" s="73">
        <f t="shared" ref="AA122" si="566">+(AA112+AA115+AA116)/AA121</f>
        <v>76.320284956202528</v>
      </c>
      <c r="AB122" s="73">
        <f t="shared" ref="AB122" si="567">+(AB112+AB115+AB116)/AB121</f>
        <v>84.821255679164338</v>
      </c>
      <c r="AC122" s="73">
        <f t="shared" ref="AC122" si="568">+(AC112+AC115+AC116)/AC121</f>
        <v>95.687644287571814</v>
      </c>
      <c r="AD122" s="73">
        <f t="shared" ref="AD122" si="569">+(AD112+AD115+AD116)/AD121</f>
        <v>101.73179535211692</v>
      </c>
      <c r="AE122" s="73">
        <f t="shared" ref="AE122" si="570">+(AE112+AE115+AE116)/AE121</f>
        <v>105.18815181423271</v>
      </c>
      <c r="AI122" s="243"/>
      <c r="AJ122" s="243"/>
      <c r="AK122" s="243"/>
      <c r="AL122" s="243"/>
      <c r="AM122" s="243"/>
      <c r="AN122" s="243"/>
      <c r="AO122" s="243"/>
      <c r="AP122" s="243"/>
      <c r="AQ122" s="243"/>
      <c r="AR122" s="243"/>
      <c r="AS122" s="243"/>
      <c r="AT122" s="243"/>
      <c r="AU122" s="243"/>
      <c r="AV122" s="243"/>
      <c r="AW122" s="243"/>
      <c r="AX122" s="243"/>
      <c r="AY122" s="243"/>
      <c r="AZ122" s="243"/>
      <c r="BA122" s="243"/>
      <c r="BB122" s="243"/>
      <c r="BC122" s="243"/>
      <c r="BD122" s="243"/>
      <c r="BE122" s="243"/>
      <c r="BF122" s="243"/>
      <c r="BG122" s="243"/>
      <c r="BH122" s="243"/>
      <c r="BI122" s="243"/>
      <c r="BJ122" s="243"/>
      <c r="BK122" s="243"/>
      <c r="BL122" s="243"/>
      <c r="BM122" s="243"/>
      <c r="BN122" s="243"/>
      <c r="BO122" s="243"/>
      <c r="BP122" s="243"/>
      <c r="BQ122" s="243"/>
      <c r="BR122" s="243"/>
      <c r="BS122" s="243">
        <f t="shared" ref="BS122:CI122" si="571">+(BS112+BS115+BS116)/BS121</f>
        <v>2.420849841881429</v>
      </c>
      <c r="BT122" s="243">
        <f t="shared" si="571"/>
        <v>6.2447748173457889</v>
      </c>
      <c r="BU122" s="243">
        <f t="shared" si="571"/>
        <v>7.058994583984588</v>
      </c>
      <c r="BV122" s="243">
        <f t="shared" si="571"/>
        <v>17.585692995529062</v>
      </c>
      <c r="BW122" s="243">
        <f t="shared" si="571"/>
        <v>4.6890334775180831</v>
      </c>
      <c r="BX122" s="243">
        <f t="shared" si="571"/>
        <v>7.1680418741594272</v>
      </c>
      <c r="BY122" s="243">
        <f t="shared" si="571"/>
        <v>11.34818799752826</v>
      </c>
      <c r="BZ122" s="243">
        <f t="shared" si="571"/>
        <v>19.737559521645885</v>
      </c>
      <c r="CA122" s="243">
        <f t="shared" si="571"/>
        <v>8.7528624913670896</v>
      </c>
      <c r="CB122" s="243">
        <f t="shared" si="571"/>
        <v>13.703609465304787</v>
      </c>
      <c r="CC122" s="243">
        <f t="shared" si="571"/>
        <v>11.34818799752826</v>
      </c>
      <c r="CD122" s="243">
        <f t="shared" si="571"/>
        <v>22.776344007851403</v>
      </c>
      <c r="CE122" s="243">
        <f t="shared" si="571"/>
        <v>10.424920940714623</v>
      </c>
      <c r="CF122" s="243">
        <f t="shared" si="571"/>
        <v>14.154338264694122</v>
      </c>
      <c r="CG122" s="243">
        <f t="shared" si="571"/>
        <v>15.27389044382247</v>
      </c>
      <c r="CH122" s="243">
        <f t="shared" si="571"/>
        <v>30.824034022754532</v>
      </c>
      <c r="CI122" s="243">
        <f t="shared" si="571"/>
        <v>16.393442622950818</v>
      </c>
      <c r="CJ122" s="243">
        <f>+(CJ112+CJ115+CJ116)/CJ121</f>
        <v>17.622042092254006</v>
      </c>
      <c r="CK122" s="243">
        <f t="shared" ref="CK122:CL122" si="572">+(CK112+CK115+CK116)/CK121</f>
        <v>14.829892410584472</v>
      </c>
      <c r="CL122" s="243">
        <f t="shared" si="572"/>
        <v>27.47791952894995</v>
      </c>
      <c r="CM122" s="73">
        <f t="shared" ref="CM122:DB122" si="573">+(CM112+CM115+CM116)/CM121</f>
        <v>17.622692114460069</v>
      </c>
      <c r="CN122" s="73">
        <f t="shared" si="573"/>
        <v>18.957587654084417</v>
      </c>
      <c r="CO122" s="73">
        <f t="shared" si="573"/>
        <v>20.797277693395269</v>
      </c>
      <c r="CP122" s="73">
        <f t="shared" si="573"/>
        <v>27.443698217224579</v>
      </c>
      <c r="CQ122" s="73">
        <f t="shared" si="573"/>
        <v>21.018914619093067</v>
      </c>
      <c r="CR122" s="73">
        <f t="shared" si="573"/>
        <v>22.103504356616334</v>
      </c>
      <c r="CS122" s="73">
        <f t="shared" si="573"/>
        <v>23.578558929078984</v>
      </c>
      <c r="CT122" s="73">
        <f t="shared" si="573"/>
        <v>28.986666382783458</v>
      </c>
      <c r="CU122" s="73">
        <f t="shared" si="573"/>
        <v>22.804066837564914</v>
      </c>
      <c r="CV122" s="73">
        <f t="shared" si="573"/>
        <v>23.838904050912031</v>
      </c>
      <c r="CW122" s="73">
        <f t="shared" si="573"/>
        <v>24.996312046795857</v>
      </c>
      <c r="CX122" s="73">
        <f t="shared" si="573"/>
        <v>30.092512416844087</v>
      </c>
      <c r="CY122" s="73">
        <f t="shared" si="573"/>
        <v>23.696343857020786</v>
      </c>
      <c r="CZ122" s="73">
        <f t="shared" si="573"/>
        <v>24.815309376055811</v>
      </c>
      <c r="DA122" s="73">
        <f t="shared" si="573"/>
        <v>25.817067448526295</v>
      </c>
      <c r="DB122" s="73">
        <f t="shared" si="573"/>
        <v>30.859431132629819</v>
      </c>
      <c r="DE122" s="142"/>
      <c r="DF122" s="244">
        <v>21.28</v>
      </c>
    </row>
    <row r="123" spans="1:110" s="244" customFormat="1" x14ac:dyDescent="0.2">
      <c r="A123" s="201" t="s">
        <v>33</v>
      </c>
      <c r="B123" s="243"/>
      <c r="C123" s="243"/>
      <c r="D123" s="243"/>
      <c r="E123" s="243"/>
      <c r="F123" s="243"/>
      <c r="G123" s="243"/>
      <c r="H123" s="243"/>
      <c r="I123" s="243"/>
      <c r="J123" s="243"/>
      <c r="K123" s="243"/>
      <c r="L123" s="243"/>
      <c r="M123" s="243"/>
      <c r="N123" s="243"/>
      <c r="O123" s="243"/>
      <c r="P123" s="243"/>
      <c r="Q123" s="243"/>
      <c r="R123" s="243"/>
      <c r="S123" s="243"/>
      <c r="T123" s="243"/>
      <c r="U123" s="243"/>
      <c r="V123" s="243"/>
      <c r="W123" s="243">
        <f>+W122</f>
        <v>33.307890815250971</v>
      </c>
      <c r="X123" s="243">
        <f t="shared" ref="X123:AE123" si="574">+X122</f>
        <v>42.939701232144806</v>
      </c>
      <c r="Y123" s="243">
        <f t="shared" si="574"/>
        <v>56.576890924290339</v>
      </c>
      <c r="Z123" s="243">
        <f t="shared" si="574"/>
        <v>70.67204594191837</v>
      </c>
      <c r="AA123" s="73">
        <f t="shared" si="574"/>
        <v>76.320284956202528</v>
      </c>
      <c r="AB123" s="73">
        <f t="shared" si="574"/>
        <v>84.821255679164338</v>
      </c>
      <c r="AC123" s="73">
        <f t="shared" si="574"/>
        <v>95.687644287571814</v>
      </c>
      <c r="AD123" s="73">
        <f t="shared" si="574"/>
        <v>101.73179535211692</v>
      </c>
      <c r="AE123" s="73">
        <f t="shared" si="574"/>
        <v>105.18815181423271</v>
      </c>
      <c r="AI123" s="243"/>
      <c r="AJ123" s="243"/>
      <c r="AK123" s="243"/>
      <c r="AL123" s="243"/>
      <c r="AM123" s="243"/>
      <c r="AN123" s="243"/>
      <c r="AO123" s="243"/>
      <c r="AP123" s="243"/>
      <c r="AQ123" s="243"/>
      <c r="AR123" s="243"/>
      <c r="AS123" s="243"/>
      <c r="AT123" s="243"/>
      <c r="AU123" s="243"/>
      <c r="AV123" s="243"/>
      <c r="AW123" s="243"/>
      <c r="AX123" s="243"/>
      <c r="AY123" s="243"/>
      <c r="AZ123" s="243"/>
      <c r="BA123" s="243"/>
      <c r="BB123" s="243"/>
      <c r="BC123" s="243"/>
      <c r="BD123" s="243"/>
      <c r="BE123" s="243"/>
      <c r="BF123" s="243"/>
      <c r="BG123" s="243"/>
      <c r="BH123" s="243"/>
      <c r="BI123" s="243"/>
      <c r="BJ123" s="243"/>
      <c r="BK123" s="243"/>
      <c r="BL123" s="243"/>
      <c r="BM123" s="243"/>
      <c r="BN123" s="243"/>
      <c r="BO123" s="243"/>
      <c r="BP123" s="243"/>
      <c r="BQ123" s="243"/>
      <c r="BR123" s="243"/>
      <c r="BS123" s="243"/>
      <c r="BT123" s="243"/>
      <c r="BU123" s="243"/>
      <c r="BV123" s="243">
        <f t="shared" ref="BV123:CI123" si="575">+SUM(BS122:BV122)</f>
        <v>33.310312238740863</v>
      </c>
      <c r="BW123" s="243">
        <f t="shared" si="575"/>
        <v>35.578495874377523</v>
      </c>
      <c r="BX123" s="243">
        <f t="shared" si="575"/>
        <v>36.501762931191159</v>
      </c>
      <c r="BY123" s="243">
        <f t="shared" si="575"/>
        <v>40.790956344734838</v>
      </c>
      <c r="BZ123" s="243">
        <f t="shared" si="575"/>
        <v>42.942822870851657</v>
      </c>
      <c r="CA123" s="243">
        <f t="shared" si="575"/>
        <v>47.006651884700666</v>
      </c>
      <c r="CB123" s="243">
        <f t="shared" si="575"/>
        <v>53.542219475846018</v>
      </c>
      <c r="CC123" s="243">
        <f t="shared" si="575"/>
        <v>53.542219475846025</v>
      </c>
      <c r="CD123" s="243">
        <f t="shared" si="575"/>
        <v>56.58100396205154</v>
      </c>
      <c r="CE123" s="243">
        <f t="shared" si="575"/>
        <v>58.253062411399071</v>
      </c>
      <c r="CF123" s="243">
        <f t="shared" si="575"/>
        <v>58.70379121078841</v>
      </c>
      <c r="CG123" s="243">
        <f t="shared" si="575"/>
        <v>62.62949365708262</v>
      </c>
      <c r="CH123" s="243">
        <f t="shared" si="575"/>
        <v>70.677183671985745</v>
      </c>
      <c r="CI123" s="243">
        <f t="shared" si="575"/>
        <v>76.645705354221946</v>
      </c>
      <c r="CJ123" s="243">
        <f>+SUM(CG122:CJ122)</f>
        <v>80.113409181781819</v>
      </c>
      <c r="CK123" s="243">
        <f t="shared" ref="CK123:CL123" si="576">+SUM(CH122:CK122)</f>
        <v>79.66941114854383</v>
      </c>
      <c r="CL123" s="243">
        <f t="shared" si="576"/>
        <v>76.323296654739238</v>
      </c>
      <c r="CM123" s="73">
        <f t="shared" ref="CM123:DB123" si="577">+SUM(CJ122:CM122)</f>
        <v>77.552546146248488</v>
      </c>
      <c r="CN123" s="73">
        <f t="shared" si="577"/>
        <v>78.888091708078917</v>
      </c>
      <c r="CO123" s="73">
        <f t="shared" si="577"/>
        <v>84.855476990889713</v>
      </c>
      <c r="CP123" s="73">
        <f t="shared" si="577"/>
        <v>84.821255679164338</v>
      </c>
      <c r="CQ123" s="73">
        <f t="shared" si="577"/>
        <v>88.21747818379734</v>
      </c>
      <c r="CR123" s="73">
        <f t="shared" si="577"/>
        <v>91.363394886329246</v>
      </c>
      <c r="CS123" s="73">
        <f t="shared" si="577"/>
        <v>94.144676122012953</v>
      </c>
      <c r="CT123" s="73">
        <f t="shared" si="577"/>
        <v>95.687644287571842</v>
      </c>
      <c r="CU123" s="73">
        <f t="shared" si="577"/>
        <v>97.472796506043693</v>
      </c>
      <c r="CV123" s="73">
        <f t="shared" si="577"/>
        <v>99.208196200339387</v>
      </c>
      <c r="CW123" s="73">
        <f t="shared" si="577"/>
        <v>100.62594931805626</v>
      </c>
      <c r="CX123" s="73">
        <f t="shared" si="577"/>
        <v>101.73179535211689</v>
      </c>
      <c r="CY123" s="73">
        <f t="shared" si="577"/>
        <v>102.62407237157277</v>
      </c>
      <c r="CZ123" s="73">
        <f t="shared" si="577"/>
        <v>103.60047769671654</v>
      </c>
      <c r="DA123" s="73">
        <f t="shared" si="577"/>
        <v>104.42123309844698</v>
      </c>
      <c r="DB123" s="73">
        <f t="shared" si="577"/>
        <v>105.18815181423273</v>
      </c>
      <c r="DE123" s="142"/>
      <c r="DF123" s="244">
        <v>70.13</v>
      </c>
    </row>
    <row r="124" spans="1:110" s="246" customFormat="1" x14ac:dyDescent="0.2">
      <c r="A124" s="231" t="s">
        <v>538</v>
      </c>
      <c r="B124" s="245"/>
      <c r="C124" s="245"/>
      <c r="D124" s="245"/>
      <c r="E124" s="245"/>
      <c r="F124" s="245"/>
      <c r="G124" s="245"/>
      <c r="H124" s="245"/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7">
        <f t="shared" ref="X124:Y124" si="578">+X123/W123-1</f>
        <v>0.28917503273679634</v>
      </c>
      <c r="Y124" s="247">
        <f t="shared" si="578"/>
        <v>0.3175893008295243</v>
      </c>
      <c r="Z124" s="247">
        <f>+Z123/Y123-1</f>
        <v>0.24913272517024287</v>
      </c>
      <c r="AA124" s="248">
        <f t="shared" ref="AA124:AE124" si="579">+AA123/Z123-1</f>
        <v>7.9921826784612238E-2</v>
      </c>
      <c r="AB124" s="248">
        <f t="shared" si="579"/>
        <v>0.11138546885458056</v>
      </c>
      <c r="AC124" s="248">
        <f t="shared" si="579"/>
        <v>0.12810926366746433</v>
      </c>
      <c r="AD124" s="248">
        <f t="shared" si="579"/>
        <v>6.3165428614592178E-2</v>
      </c>
      <c r="AE124" s="248">
        <f t="shared" si="579"/>
        <v>3.3975183964389366E-2</v>
      </c>
      <c r="AI124" s="245"/>
      <c r="AJ124" s="245"/>
      <c r="AK124" s="245"/>
      <c r="AL124" s="245"/>
      <c r="AM124" s="245"/>
      <c r="AN124" s="245"/>
      <c r="AO124" s="245"/>
      <c r="AP124" s="245"/>
      <c r="AQ124" s="245"/>
      <c r="AR124" s="245"/>
      <c r="AS124" s="245"/>
      <c r="AT124" s="245"/>
      <c r="AU124" s="245"/>
      <c r="AV124" s="245"/>
      <c r="AW124" s="245"/>
      <c r="AX124" s="245"/>
      <c r="AY124" s="245"/>
      <c r="AZ124" s="245"/>
      <c r="BA124" s="245"/>
      <c r="BB124" s="245"/>
      <c r="BC124" s="245"/>
      <c r="BD124" s="245"/>
      <c r="BE124" s="245"/>
      <c r="BF124" s="245"/>
      <c r="BG124" s="245"/>
      <c r="BH124" s="245"/>
      <c r="BI124" s="245"/>
      <c r="BJ124" s="245"/>
      <c r="BK124" s="245"/>
      <c r="BL124" s="245"/>
      <c r="BM124" s="245"/>
      <c r="BN124" s="245"/>
      <c r="BO124" s="245"/>
      <c r="BP124" s="245"/>
      <c r="BQ124" s="245"/>
      <c r="BR124" s="245"/>
      <c r="BS124" s="245"/>
      <c r="BT124" s="245"/>
      <c r="BU124" s="245"/>
      <c r="BV124" s="245"/>
      <c r="BW124" s="245"/>
      <c r="BX124" s="245"/>
      <c r="BY124" s="245"/>
      <c r="BZ124" s="247">
        <f t="shared" ref="BZ124:CI124" si="580">+BZ123/BV123-1</f>
        <v>0.28917503273679634</v>
      </c>
      <c r="CA124" s="247">
        <f t="shared" si="580"/>
        <v>0.32120964446260714</v>
      </c>
      <c r="CB124" s="247">
        <f t="shared" si="580"/>
        <v>0.4668392750448116</v>
      </c>
      <c r="CC124" s="247">
        <f t="shared" si="580"/>
        <v>0.31260024950989118</v>
      </c>
      <c r="CD124" s="247">
        <f t="shared" si="580"/>
        <v>0.3175893008295243</v>
      </c>
      <c r="CE124" s="247">
        <f t="shared" si="580"/>
        <v>0.23925146922363116</v>
      </c>
      <c r="CF124" s="247">
        <f t="shared" si="580"/>
        <v>9.6401900882552738E-2</v>
      </c>
      <c r="CG124" s="247">
        <f t="shared" si="580"/>
        <v>0.16972165648336723</v>
      </c>
      <c r="CH124" s="247">
        <f t="shared" si="580"/>
        <v>0.24913272517024287</v>
      </c>
      <c r="CI124" s="247">
        <f t="shared" si="580"/>
        <v>0.31573692749282434</v>
      </c>
      <c r="CJ124" s="247">
        <f>+CJ123/CF123-1</f>
        <v>0.36470588235294099</v>
      </c>
      <c r="CK124" s="247">
        <f t="shared" ref="CK124:CL124" si="581">+CK123/CG123-1</f>
        <v>0.27207496814137522</v>
      </c>
      <c r="CL124" s="247">
        <f t="shared" si="581"/>
        <v>7.9885936159499682E-2</v>
      </c>
      <c r="CM124" s="248">
        <f t="shared" ref="CM124:DB124" si="582">+CM123/CI123-1</f>
        <v>1.1831593014057784E-2</v>
      </c>
      <c r="CN124" s="248">
        <f t="shared" si="582"/>
        <v>-1.5294786306279784E-2</v>
      </c>
      <c r="CO124" s="248">
        <f t="shared" si="582"/>
        <v>6.5094818294520129E-2</v>
      </c>
      <c r="CP124" s="248">
        <f t="shared" si="582"/>
        <v>0.11134161385699826</v>
      </c>
      <c r="CQ124" s="248">
        <f t="shared" si="582"/>
        <v>0.13751878651974803</v>
      </c>
      <c r="CR124" s="248">
        <f t="shared" si="582"/>
        <v>0.15813924393575784</v>
      </c>
      <c r="CS124" s="248">
        <f t="shared" si="582"/>
        <v>0.10947082569720923</v>
      </c>
      <c r="CT124" s="248">
        <f t="shared" si="582"/>
        <v>0.12810926366746478</v>
      </c>
      <c r="CU124" s="248">
        <f t="shared" si="582"/>
        <v>0.10491479140860616</v>
      </c>
      <c r="CV124" s="248">
        <f t="shared" si="582"/>
        <v>8.5863723910110101E-2</v>
      </c>
      <c r="CW124" s="248">
        <f t="shared" si="582"/>
        <v>6.8843756896497021E-2</v>
      </c>
      <c r="CX124" s="248">
        <f t="shared" si="582"/>
        <v>6.3165428614591512E-2</v>
      </c>
      <c r="CY124" s="248">
        <f t="shared" si="582"/>
        <v>5.2848343847502921E-2</v>
      </c>
      <c r="CZ124" s="248">
        <f t="shared" si="582"/>
        <v>4.427337321512681E-2</v>
      </c>
      <c r="DA124" s="248">
        <f t="shared" si="582"/>
        <v>3.7716750064088034E-2</v>
      </c>
      <c r="DB124" s="248">
        <f t="shared" si="582"/>
        <v>3.397518396438981E-2</v>
      </c>
      <c r="DE124" s="249"/>
      <c r="DF124" s="246">
        <v>-0.01</v>
      </c>
    </row>
    <row r="125" spans="1:110" s="158" customFormat="1" x14ac:dyDescent="0.2">
      <c r="A125" s="201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7"/>
      <c r="AB125" s="157"/>
      <c r="AC125" s="157"/>
      <c r="AD125" s="157"/>
      <c r="AE125" s="157"/>
      <c r="AI125" s="156"/>
      <c r="AJ125" s="156"/>
      <c r="AK125" s="156"/>
      <c r="AL125" s="156"/>
      <c r="AM125" s="156"/>
      <c r="AN125" s="156"/>
      <c r="AO125" s="156"/>
      <c r="AP125" s="156"/>
      <c r="AQ125" s="156"/>
      <c r="AR125" s="156"/>
      <c r="AS125" s="156"/>
      <c r="AT125" s="156"/>
      <c r="AU125" s="156"/>
      <c r="AV125" s="156"/>
      <c r="AW125" s="156"/>
      <c r="AX125" s="156"/>
      <c r="AY125" s="156"/>
      <c r="AZ125" s="156"/>
      <c r="BA125" s="156"/>
      <c r="BB125" s="156"/>
      <c r="BC125" s="156"/>
      <c r="BD125" s="156"/>
      <c r="BE125" s="156"/>
      <c r="BF125" s="156"/>
      <c r="BG125" s="156"/>
      <c r="BH125" s="156"/>
      <c r="BI125" s="156"/>
      <c r="BJ125" s="156"/>
      <c r="BK125" s="156"/>
      <c r="BL125" s="156"/>
      <c r="BM125" s="156"/>
      <c r="BN125" s="156"/>
      <c r="BO125" s="156"/>
      <c r="BP125" s="156"/>
      <c r="BQ125" s="156"/>
      <c r="BR125" s="156"/>
      <c r="BS125" s="156"/>
      <c r="BT125" s="156"/>
      <c r="BU125" s="156"/>
      <c r="BV125" s="156"/>
      <c r="BW125" s="156"/>
      <c r="BX125" s="156"/>
      <c r="BY125" s="156"/>
      <c r="BZ125" s="279"/>
      <c r="CA125" s="279"/>
      <c r="CB125" s="279"/>
      <c r="CC125" s="279"/>
      <c r="CD125" s="279"/>
      <c r="CE125" s="279"/>
      <c r="CF125" s="279"/>
      <c r="CG125" s="279"/>
      <c r="CH125" s="279"/>
      <c r="CI125" s="279"/>
      <c r="CJ125" s="279"/>
      <c r="CK125" s="279"/>
      <c r="CL125" s="279">
        <v>82</v>
      </c>
      <c r="CM125" s="280"/>
      <c r="CN125" s="280"/>
      <c r="CO125" s="280"/>
      <c r="CP125" s="280">
        <v>93</v>
      </c>
      <c r="CQ125" s="280"/>
      <c r="CR125" s="280"/>
      <c r="CS125" s="280"/>
      <c r="CT125" s="280">
        <v>101</v>
      </c>
      <c r="CU125" s="280"/>
      <c r="CV125" s="280"/>
      <c r="CW125" s="280"/>
      <c r="CX125" s="280"/>
      <c r="CY125" s="280"/>
      <c r="CZ125" s="280"/>
      <c r="DA125" s="280"/>
      <c r="DB125" s="280"/>
      <c r="DE125" s="159"/>
      <c r="DF125" s="158">
        <v>82</v>
      </c>
    </row>
    <row r="126" spans="1:110" s="235" customFormat="1" x14ac:dyDescent="0.2">
      <c r="A126" s="232" t="s">
        <v>539</v>
      </c>
      <c r="B126" s="233"/>
      <c r="C126" s="233"/>
      <c r="D126" s="233"/>
      <c r="E126" s="233"/>
      <c r="F126" s="233"/>
      <c r="G126" s="233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  <c r="AA126" s="234"/>
      <c r="AB126" s="234"/>
      <c r="AC126" s="234"/>
      <c r="AD126" s="234"/>
      <c r="AE126" s="234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33"/>
      <c r="AW126" s="233"/>
      <c r="AX126" s="233"/>
      <c r="AY126" s="233"/>
      <c r="AZ126" s="233"/>
      <c r="BA126" s="233"/>
      <c r="BB126" s="233"/>
      <c r="BC126" s="233"/>
      <c r="BD126" s="233"/>
      <c r="BE126" s="233"/>
      <c r="BF126" s="233"/>
      <c r="BG126" s="233"/>
      <c r="BH126" s="233"/>
      <c r="BI126" s="233"/>
      <c r="BJ126" s="233"/>
      <c r="BK126" s="233"/>
      <c r="BL126" s="233"/>
      <c r="BM126" s="233"/>
      <c r="BN126" s="233"/>
      <c r="BO126" s="233"/>
      <c r="BP126" s="233"/>
      <c r="BQ126" s="233"/>
      <c r="BR126" s="233"/>
      <c r="BS126" s="233"/>
      <c r="BT126" s="233"/>
      <c r="BU126" s="233"/>
      <c r="BV126" s="233"/>
      <c r="BW126" s="233"/>
      <c r="BX126" s="233"/>
      <c r="BY126" s="233"/>
      <c r="BZ126" s="233"/>
      <c r="CA126" s="233"/>
      <c r="CB126" s="233"/>
      <c r="CC126" s="233"/>
      <c r="CD126" s="233"/>
      <c r="CE126" s="233"/>
      <c r="CF126" s="233"/>
      <c r="CG126" s="233"/>
      <c r="CH126" s="233"/>
      <c r="CI126" s="233"/>
      <c r="CJ126" s="233"/>
      <c r="CK126" s="233"/>
      <c r="CL126" s="233"/>
      <c r="CM126" s="234"/>
      <c r="CN126" s="234"/>
      <c r="CO126" s="234"/>
      <c r="CP126" s="234"/>
      <c r="CQ126" s="234"/>
      <c r="CR126" s="234"/>
      <c r="CS126" s="234"/>
      <c r="CT126" s="234"/>
      <c r="CU126" s="234"/>
      <c r="CV126" s="234"/>
      <c r="CW126" s="234"/>
      <c r="CX126" s="234"/>
      <c r="CY126" s="234"/>
      <c r="CZ126" s="234"/>
      <c r="DA126" s="234"/>
      <c r="DB126" s="234"/>
      <c r="DE126" s="236"/>
    </row>
    <row r="127" spans="1:110" s="158" customFormat="1" x14ac:dyDescent="0.2">
      <c r="A127" s="192" t="s">
        <v>540</v>
      </c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233"/>
      <c r="U127" s="233"/>
      <c r="V127" s="233"/>
      <c r="W127" s="192">
        <f>+MIN(BS127:BV127)</f>
        <v>30502.720000000001</v>
      </c>
      <c r="X127" s="192">
        <f>+MIN(BW127:BZ127)</f>
        <v>31970.03</v>
      </c>
      <c r="Y127" s="192">
        <f>+MIN(CA127:CD127)</f>
        <v>41545.4</v>
      </c>
      <c r="Z127" s="156">
        <f>+MIN(CE127:CH127)</f>
        <v>48116</v>
      </c>
      <c r="AA127" s="157">
        <f>+MIN(CI127:CL127)</f>
        <v>32296.61</v>
      </c>
      <c r="AB127" s="157">
        <f>+MIN(CM127:CP127)</f>
        <v>32296.61</v>
      </c>
      <c r="AC127" s="157">
        <f>+MIN(CQ127:CT127)</f>
        <v>32296.61</v>
      </c>
      <c r="AD127" s="157">
        <f>+MIN(CU127:CX127)</f>
        <v>32296.61</v>
      </c>
      <c r="AE127" s="157">
        <f>+MIN(CY127:DB127)</f>
        <v>32296.61</v>
      </c>
      <c r="AI127" s="156"/>
      <c r="AJ127" s="156"/>
      <c r="AK127" s="156"/>
      <c r="AL127" s="156"/>
      <c r="AM127" s="156"/>
      <c r="AN127" s="156"/>
      <c r="AO127" s="156"/>
      <c r="AP127" s="156"/>
      <c r="AQ127" s="156"/>
      <c r="AR127" s="156"/>
      <c r="AS127" s="156"/>
      <c r="AT127" s="156"/>
      <c r="AU127" s="156"/>
      <c r="AV127" s="156"/>
      <c r="AW127" s="156"/>
      <c r="AX127" s="156"/>
      <c r="AY127" s="156"/>
      <c r="AZ127" s="156"/>
      <c r="BA127" s="156"/>
      <c r="BB127" s="156">
        <v>7958.29</v>
      </c>
      <c r="BC127" s="156">
        <v>7315.61</v>
      </c>
      <c r="BD127" s="156">
        <v>7983.81</v>
      </c>
      <c r="BE127" s="156">
        <v>10443.19</v>
      </c>
      <c r="BF127" s="156">
        <v>12700.45</v>
      </c>
      <c r="BG127" s="156">
        <v>12452.99</v>
      </c>
      <c r="BH127" s="156">
        <v>17854.900000000001</v>
      </c>
      <c r="BI127" s="156">
        <v>17792.39</v>
      </c>
      <c r="BJ127" s="156">
        <v>16341.53</v>
      </c>
      <c r="BK127" s="156">
        <v>18175.68</v>
      </c>
      <c r="BL127" s="156">
        <v>15841.53</v>
      </c>
      <c r="BM127" s="156">
        <v>15292.66</v>
      </c>
      <c r="BN127" s="156">
        <v>12148.42</v>
      </c>
      <c r="BO127" s="156">
        <v>13424.2</v>
      </c>
      <c r="BP127" s="156">
        <v>16946.150000000001</v>
      </c>
      <c r="BQ127" s="156">
        <v>24557.16</v>
      </c>
      <c r="BR127" s="156">
        <v>27887.57</v>
      </c>
      <c r="BS127" s="156">
        <v>30502.720000000001</v>
      </c>
      <c r="BT127" s="156">
        <v>49394.07</v>
      </c>
      <c r="BU127" s="156">
        <v>59061.83</v>
      </c>
      <c r="BV127" s="156">
        <v>53843.040000000001</v>
      </c>
      <c r="BW127" s="156">
        <v>31970.03</v>
      </c>
      <c r="BX127" s="156">
        <v>38031.279999999999</v>
      </c>
      <c r="BY127" s="156">
        <v>38906.129999999997</v>
      </c>
      <c r="BZ127" s="156">
        <v>35658.589999999997</v>
      </c>
      <c r="CA127" s="156">
        <v>41545.4</v>
      </c>
      <c r="CB127" s="156">
        <v>48360.05</v>
      </c>
      <c r="CC127" s="156">
        <v>55580.98</v>
      </c>
      <c r="CD127" s="156">
        <v>57955.75</v>
      </c>
      <c r="CE127" s="156">
        <v>51946.84</v>
      </c>
      <c r="CF127" s="156">
        <v>56570.69</v>
      </c>
      <c r="CG127" s="156">
        <v>50130.400000000001</v>
      </c>
      <c r="CH127" s="156">
        <v>48116</v>
      </c>
      <c r="CI127" s="156">
        <v>46598</v>
      </c>
      <c r="CJ127" s="156">
        <v>43341</v>
      </c>
      <c r="CK127" s="156">
        <f>10.6*4024</f>
        <v>42654.400000000001</v>
      </c>
      <c r="CL127" s="156">
        <v>32296.61</v>
      </c>
      <c r="CM127" s="157">
        <f t="shared" ref="CM127:DB129" si="583">+CL127</f>
        <v>32296.61</v>
      </c>
      <c r="CN127" s="157">
        <f t="shared" si="583"/>
        <v>32296.61</v>
      </c>
      <c r="CO127" s="157">
        <f t="shared" si="583"/>
        <v>32296.61</v>
      </c>
      <c r="CP127" s="157">
        <f t="shared" si="583"/>
        <v>32296.61</v>
      </c>
      <c r="CQ127" s="157">
        <f t="shared" si="583"/>
        <v>32296.61</v>
      </c>
      <c r="CR127" s="157">
        <f t="shared" si="583"/>
        <v>32296.61</v>
      </c>
      <c r="CS127" s="157">
        <f t="shared" si="583"/>
        <v>32296.61</v>
      </c>
      <c r="CT127" s="157">
        <f t="shared" si="583"/>
        <v>32296.61</v>
      </c>
      <c r="CU127" s="157">
        <f t="shared" si="583"/>
        <v>32296.61</v>
      </c>
      <c r="CV127" s="157">
        <f t="shared" si="583"/>
        <v>32296.61</v>
      </c>
      <c r="CW127" s="157">
        <f t="shared" si="583"/>
        <v>32296.61</v>
      </c>
      <c r="CX127" s="157">
        <f t="shared" si="583"/>
        <v>32296.61</v>
      </c>
      <c r="CY127" s="157">
        <f t="shared" si="583"/>
        <v>32296.61</v>
      </c>
      <c r="CZ127" s="157">
        <f t="shared" si="583"/>
        <v>32296.61</v>
      </c>
      <c r="DA127" s="157">
        <f t="shared" si="583"/>
        <v>32296.61</v>
      </c>
      <c r="DB127" s="157">
        <f t="shared" si="583"/>
        <v>32296.61</v>
      </c>
      <c r="DE127" s="159"/>
      <c r="DF127" s="158">
        <v>42654.400000000001</v>
      </c>
    </row>
    <row r="128" spans="1:110" s="158" customFormat="1" x14ac:dyDescent="0.2">
      <c r="A128" s="192" t="s">
        <v>541</v>
      </c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92">
        <f t="shared" ref="W128:W129" si="584">+MIN(BS128:BV128)</f>
        <v>19222.27</v>
      </c>
      <c r="X128" s="192">
        <f t="shared" ref="X128:X129" si="585">+MIN(BW128:BZ128)</f>
        <v>16730.349999999999</v>
      </c>
      <c r="Y128" s="192">
        <f t="shared" ref="Y128:Y129" si="586">+MIN(CA128:CD128)</f>
        <v>31669.21</v>
      </c>
      <c r="Z128" s="156">
        <f t="shared" ref="Z128:Z129" si="587">+MIN(CE128:CH128)</f>
        <v>33822.29</v>
      </c>
      <c r="AA128" s="157">
        <f t="shared" ref="AA128:AA129" si="588">+MIN(CI128:CL128)</f>
        <v>51477</v>
      </c>
      <c r="AB128" s="157">
        <f t="shared" ref="AB128:AB129" si="589">+MIN(CM128:CP128)</f>
        <v>59855.159999999996</v>
      </c>
      <c r="AC128" s="157">
        <f t="shared" ref="AC128:AC129" si="590">+MIN(CQ128:CT128)</f>
        <v>59855.159999999996</v>
      </c>
      <c r="AD128" s="157">
        <f t="shared" ref="AD128:AD129" si="591">+MIN(CU128:CX128)</f>
        <v>59855.159999999996</v>
      </c>
      <c r="AE128" s="157">
        <f t="shared" ref="AE128:AE129" si="592">+MIN(CY128:DB128)</f>
        <v>59855.159999999996</v>
      </c>
      <c r="AI128" s="156"/>
      <c r="AJ128" s="156"/>
      <c r="AK128" s="156"/>
      <c r="AL128" s="156"/>
      <c r="AM128" s="156"/>
      <c r="AN128" s="156"/>
      <c r="AO128" s="156"/>
      <c r="AP128" s="156"/>
      <c r="AQ128" s="156"/>
      <c r="AR128" s="156"/>
      <c r="AS128" s="156"/>
      <c r="AT128" s="156"/>
      <c r="AU128" s="156"/>
      <c r="AV128" s="156"/>
      <c r="AW128" s="156"/>
      <c r="AX128" s="156"/>
      <c r="AY128" s="156"/>
      <c r="AZ128" s="156"/>
      <c r="BA128" s="156"/>
      <c r="BB128" s="156">
        <v>21674.39</v>
      </c>
      <c r="BC128" s="156">
        <v>26170.86</v>
      </c>
      <c r="BD128" s="156">
        <v>35523.39</v>
      </c>
      <c r="BE128" s="156">
        <v>31694.36</v>
      </c>
      <c r="BF128" s="156">
        <v>31342.11</v>
      </c>
      <c r="BG128" s="156">
        <v>30225.71</v>
      </c>
      <c r="BH128" s="156">
        <v>25861.79</v>
      </c>
      <c r="BI128" s="156">
        <v>30549.19</v>
      </c>
      <c r="BJ128" s="156">
        <v>30471.89</v>
      </c>
      <c r="BK128" s="156">
        <v>23014.65</v>
      </c>
      <c r="BL128" s="156">
        <v>16954.07</v>
      </c>
      <c r="BM128" s="156">
        <v>23726.02</v>
      </c>
      <c r="BN128" s="156">
        <v>10304.84</v>
      </c>
      <c r="BO128" s="156">
        <v>13181.9</v>
      </c>
      <c r="BP128" s="156">
        <v>12470.6</v>
      </c>
      <c r="BQ128" s="156">
        <v>18795.36</v>
      </c>
      <c r="BR128" s="156">
        <v>23644.94</v>
      </c>
      <c r="BS128" s="156">
        <v>22951.7</v>
      </c>
      <c r="BT128" s="156">
        <v>22478.55</v>
      </c>
      <c r="BU128" s="156">
        <v>19222.27</v>
      </c>
      <c r="BV128" s="156">
        <v>19928.36</v>
      </c>
      <c r="BW128" s="156">
        <v>16730.349999999999</v>
      </c>
      <c r="BX128" s="156">
        <v>18471.09</v>
      </c>
      <c r="BY128" s="156">
        <v>21608.65</v>
      </c>
      <c r="BZ128" s="156">
        <v>20340.740000000002</v>
      </c>
      <c r="CA128" s="156">
        <v>31669.21</v>
      </c>
      <c r="CB128" s="156">
        <v>33037.24</v>
      </c>
      <c r="CC128" s="156">
        <v>41069.919999999998</v>
      </c>
      <c r="CD128" s="156">
        <v>39362.589999999997</v>
      </c>
      <c r="CE128" s="156">
        <v>45090.99</v>
      </c>
      <c r="CF128" s="156">
        <v>46326.7</v>
      </c>
      <c r="CG128" s="156">
        <v>33822.29</v>
      </c>
      <c r="CH128" s="156">
        <v>38621</v>
      </c>
      <c r="CI128" s="156">
        <v>51477</v>
      </c>
      <c r="CJ128" s="156">
        <v>66782</v>
      </c>
      <c r="CK128" s="156">
        <f>250*246.9</f>
        <v>61725</v>
      </c>
      <c r="CL128" s="156">
        <f>239*250.44</f>
        <v>59855.159999999996</v>
      </c>
      <c r="CM128" s="157">
        <f t="shared" ref="CM128:CZ128" si="593">+CL128</f>
        <v>59855.159999999996</v>
      </c>
      <c r="CN128" s="157">
        <f t="shared" si="593"/>
        <v>59855.159999999996</v>
      </c>
      <c r="CO128" s="157">
        <f t="shared" si="593"/>
        <v>59855.159999999996</v>
      </c>
      <c r="CP128" s="157">
        <f t="shared" si="593"/>
        <v>59855.159999999996</v>
      </c>
      <c r="CQ128" s="157">
        <f t="shared" si="593"/>
        <v>59855.159999999996</v>
      </c>
      <c r="CR128" s="157">
        <f t="shared" si="593"/>
        <v>59855.159999999996</v>
      </c>
      <c r="CS128" s="157">
        <f t="shared" si="593"/>
        <v>59855.159999999996</v>
      </c>
      <c r="CT128" s="157">
        <f t="shared" si="593"/>
        <v>59855.159999999996</v>
      </c>
      <c r="CU128" s="157">
        <f t="shared" si="593"/>
        <v>59855.159999999996</v>
      </c>
      <c r="CV128" s="157">
        <f t="shared" si="593"/>
        <v>59855.159999999996</v>
      </c>
      <c r="CW128" s="157">
        <f t="shared" si="593"/>
        <v>59855.159999999996</v>
      </c>
      <c r="CX128" s="157">
        <f t="shared" si="593"/>
        <v>59855.159999999996</v>
      </c>
      <c r="CY128" s="157">
        <f t="shared" si="593"/>
        <v>59855.159999999996</v>
      </c>
      <c r="CZ128" s="157">
        <f t="shared" si="593"/>
        <v>59855.159999999996</v>
      </c>
      <c r="DA128" s="157">
        <f t="shared" si="583"/>
        <v>59855.159999999996</v>
      </c>
      <c r="DB128" s="157">
        <f t="shared" si="583"/>
        <v>59855.159999999996</v>
      </c>
      <c r="DE128" s="159"/>
      <c r="DF128" s="158">
        <v>61725</v>
      </c>
    </row>
    <row r="129" spans="1:110" s="158" customFormat="1" x14ac:dyDescent="0.2">
      <c r="A129" s="192" t="s">
        <v>542</v>
      </c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92">
        <f t="shared" si="584"/>
        <v>71098.720000000001</v>
      </c>
      <c r="X129" s="192">
        <f t="shared" si="585"/>
        <v>69718.23</v>
      </c>
      <c r="Y129" s="192">
        <f t="shared" si="586"/>
        <v>146190.68</v>
      </c>
      <c r="Z129" s="156">
        <f t="shared" si="587"/>
        <v>136588</v>
      </c>
      <c r="AA129" s="157">
        <f t="shared" si="588"/>
        <v>118434.04</v>
      </c>
      <c r="AB129" s="157">
        <f t="shared" si="589"/>
        <v>118434.04</v>
      </c>
      <c r="AC129" s="157">
        <f t="shared" si="590"/>
        <v>118434.04</v>
      </c>
      <c r="AD129" s="157">
        <f t="shared" si="591"/>
        <v>118434.04</v>
      </c>
      <c r="AE129" s="157">
        <f t="shared" si="592"/>
        <v>118434.04</v>
      </c>
      <c r="AI129" s="156"/>
      <c r="AJ129" s="156"/>
      <c r="AK129" s="156"/>
      <c r="AL129" s="156"/>
      <c r="AM129" s="156"/>
      <c r="AN129" s="156"/>
      <c r="AO129" s="156"/>
      <c r="AP129" s="156"/>
      <c r="AQ129" s="156"/>
      <c r="AR129" s="156"/>
      <c r="AS129" s="156"/>
      <c r="AT129" s="156"/>
      <c r="AU129" s="156"/>
      <c r="AV129" s="156"/>
      <c r="AW129" s="156"/>
      <c r="AX129" s="156"/>
      <c r="AY129" s="156"/>
      <c r="AZ129" s="156"/>
      <c r="BA129" s="156"/>
      <c r="BB129" s="156">
        <v>12131.02</v>
      </c>
      <c r="BC129" s="156">
        <v>13482.39</v>
      </c>
      <c r="BD129" s="156">
        <v>13639.89</v>
      </c>
      <c r="BE129" s="156">
        <v>19181.82</v>
      </c>
      <c r="BF129" s="156">
        <v>23067.68</v>
      </c>
      <c r="BG129" s="156">
        <v>28749.69</v>
      </c>
      <c r="BH129" s="156">
        <v>33089.74</v>
      </c>
      <c r="BI129" s="156">
        <v>29920.53</v>
      </c>
      <c r="BJ129" s="156">
        <v>29222.57</v>
      </c>
      <c r="BK129" s="156">
        <v>31741.95</v>
      </c>
      <c r="BL129" s="156">
        <v>26287.87</v>
      </c>
      <c r="BM129" s="156">
        <v>30431.83</v>
      </c>
      <c r="BN129" s="156">
        <v>24911.45</v>
      </c>
      <c r="BO129" s="156">
        <v>34154.620000000003</v>
      </c>
      <c r="BP129" s="156">
        <v>44386.36</v>
      </c>
      <c r="BQ129" s="156">
        <v>63888.99</v>
      </c>
      <c r="BR129" s="156">
        <v>70739.05</v>
      </c>
      <c r="BS129" s="156">
        <v>71098.720000000001</v>
      </c>
      <c r="BT129" s="156">
        <v>101039.4</v>
      </c>
      <c r="BU129" s="156">
        <v>128405.89</v>
      </c>
      <c r="BV129" s="156">
        <v>107913.84</v>
      </c>
      <c r="BW129" s="156">
        <v>69718.23</v>
      </c>
      <c r="BX129" s="156">
        <v>78215.97</v>
      </c>
      <c r="BY129" s="156">
        <v>129093.83</v>
      </c>
      <c r="BZ129" s="156">
        <v>140752.48000000001</v>
      </c>
      <c r="CA129" s="156">
        <v>153808.45000000001</v>
      </c>
      <c r="CB129" s="156">
        <v>154175.51</v>
      </c>
      <c r="CC129" s="156">
        <v>186174.6</v>
      </c>
      <c r="CD129" s="156">
        <v>146190.68</v>
      </c>
      <c r="CE129" s="156">
        <v>159562.46</v>
      </c>
      <c r="CF129" s="156">
        <v>184916.5</v>
      </c>
      <c r="CG129" s="156">
        <v>165491.76999999999</v>
      </c>
      <c r="CH129" s="156">
        <v>136588</v>
      </c>
      <c r="CI129" s="156">
        <v>157549</v>
      </c>
      <c r="CJ129" s="156">
        <v>167199</v>
      </c>
      <c r="CK129" s="156">
        <f>5021*29.6</f>
        <v>148621.6</v>
      </c>
      <c r="CL129" s="156">
        <v>118434.04</v>
      </c>
      <c r="CM129" s="157">
        <f t="shared" si="583"/>
        <v>118434.04</v>
      </c>
      <c r="CN129" s="157">
        <f t="shared" si="583"/>
        <v>118434.04</v>
      </c>
      <c r="CO129" s="157">
        <f t="shared" si="583"/>
        <v>118434.04</v>
      </c>
      <c r="CP129" s="157">
        <f t="shared" si="583"/>
        <v>118434.04</v>
      </c>
      <c r="CQ129" s="157">
        <f t="shared" si="583"/>
        <v>118434.04</v>
      </c>
      <c r="CR129" s="157">
        <f t="shared" si="583"/>
        <v>118434.04</v>
      </c>
      <c r="CS129" s="157">
        <f t="shared" si="583"/>
        <v>118434.04</v>
      </c>
      <c r="CT129" s="157">
        <f t="shared" si="583"/>
        <v>118434.04</v>
      </c>
      <c r="CU129" s="157">
        <f t="shared" si="583"/>
        <v>118434.04</v>
      </c>
      <c r="CV129" s="157">
        <f t="shared" si="583"/>
        <v>118434.04</v>
      </c>
      <c r="CW129" s="157">
        <f t="shared" si="583"/>
        <v>118434.04</v>
      </c>
      <c r="CX129" s="157">
        <f t="shared" si="583"/>
        <v>118434.04</v>
      </c>
      <c r="CY129" s="157">
        <f t="shared" si="583"/>
        <v>118434.04</v>
      </c>
      <c r="CZ129" s="157">
        <f t="shared" si="583"/>
        <v>118434.04</v>
      </c>
      <c r="DA129" s="157">
        <f t="shared" si="583"/>
        <v>118434.04</v>
      </c>
      <c r="DB129" s="157">
        <f t="shared" si="583"/>
        <v>118434.04</v>
      </c>
      <c r="DE129" s="159"/>
      <c r="DF129" s="158">
        <v>148621.6</v>
      </c>
    </row>
    <row r="130" spans="1:110" s="158" customFormat="1" x14ac:dyDescent="0.2">
      <c r="A130" s="190"/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7"/>
      <c r="AB130" s="157"/>
      <c r="AC130" s="157"/>
      <c r="AD130" s="157"/>
      <c r="AE130" s="157"/>
      <c r="AI130" s="156"/>
      <c r="AJ130" s="156"/>
      <c r="AK130" s="156"/>
      <c r="AL130" s="156"/>
      <c r="AM130" s="156"/>
      <c r="AN130" s="156"/>
      <c r="AO130" s="156"/>
      <c r="AP130" s="156"/>
      <c r="AQ130" s="156"/>
      <c r="AR130" s="156"/>
      <c r="AS130" s="156"/>
      <c r="AT130" s="156"/>
      <c r="AU130" s="156"/>
      <c r="AV130" s="156"/>
      <c r="AW130" s="156"/>
      <c r="AX130" s="156"/>
      <c r="AY130" s="156"/>
      <c r="AZ130" s="156"/>
      <c r="BA130" s="156"/>
      <c r="BB130" s="156"/>
      <c r="BC130" s="156"/>
      <c r="BD130" s="156"/>
      <c r="BE130" s="156"/>
      <c r="BF130" s="156"/>
      <c r="BG130" s="156"/>
      <c r="BH130" s="156"/>
      <c r="BI130" s="156"/>
      <c r="BJ130" s="156"/>
      <c r="BK130" s="156"/>
      <c r="BL130" s="156"/>
      <c r="BM130" s="156"/>
      <c r="BN130" s="156"/>
      <c r="BO130" s="156"/>
      <c r="BP130" s="156"/>
      <c r="BQ130" s="156"/>
      <c r="BR130" s="156"/>
      <c r="BS130" s="156"/>
      <c r="BT130" s="156"/>
      <c r="BU130" s="156"/>
      <c r="BV130" s="156"/>
      <c r="BW130" s="156"/>
      <c r="BX130" s="156"/>
      <c r="BY130" s="156"/>
      <c r="BZ130" s="156"/>
      <c r="CA130" s="156"/>
      <c r="CB130" s="156"/>
      <c r="CC130" s="156"/>
      <c r="CD130" s="156"/>
      <c r="CE130" s="156"/>
      <c r="CF130" s="156"/>
      <c r="CG130" s="156"/>
      <c r="CH130" s="156"/>
      <c r="CI130" s="156"/>
      <c r="CJ130" s="156"/>
      <c r="CK130" s="156"/>
      <c r="CL130" s="156"/>
      <c r="CM130" s="157"/>
      <c r="CN130" s="157"/>
      <c r="CO130" s="157"/>
      <c r="CP130" s="157"/>
      <c r="CQ130" s="157"/>
      <c r="CR130" s="157"/>
      <c r="CS130" s="157"/>
      <c r="CT130" s="157"/>
      <c r="CU130" s="157"/>
      <c r="CV130" s="157"/>
      <c r="CW130" s="157"/>
      <c r="CX130" s="157"/>
      <c r="CY130" s="157"/>
      <c r="CZ130" s="157"/>
      <c r="DA130" s="157"/>
      <c r="DB130" s="157"/>
      <c r="DE130" s="159"/>
    </row>
    <row r="131" spans="1:110" s="158" customFormat="1" x14ac:dyDescent="0.2">
      <c r="A131" s="190" t="s">
        <v>550</v>
      </c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7"/>
      <c r="AB131" s="157"/>
      <c r="AC131" s="157"/>
      <c r="AD131" s="157"/>
      <c r="AE131" s="157"/>
      <c r="AI131" s="156"/>
      <c r="AJ131" s="156"/>
      <c r="AK131" s="156"/>
      <c r="AL131" s="156"/>
      <c r="AM131" s="156"/>
      <c r="AN131" s="156"/>
      <c r="AO131" s="156"/>
      <c r="AP131" s="156"/>
      <c r="AQ131" s="156"/>
      <c r="AR131" s="156"/>
      <c r="AS131" s="156"/>
      <c r="AT131" s="156"/>
      <c r="AU131" s="156"/>
      <c r="AV131" s="156"/>
      <c r="AW131" s="156"/>
      <c r="AX131" s="156"/>
      <c r="AY131" s="156"/>
      <c r="AZ131" s="156"/>
      <c r="BA131" s="156"/>
      <c r="BB131" s="156"/>
      <c r="BC131" s="156"/>
      <c r="BD131" s="156"/>
      <c r="BE131" s="156"/>
      <c r="BF131" s="156"/>
      <c r="BG131" s="156"/>
      <c r="BH131" s="156"/>
      <c r="BI131" s="156"/>
      <c r="BJ131" s="156"/>
      <c r="BK131" s="156"/>
      <c r="BL131" s="156"/>
      <c r="BM131" s="156"/>
      <c r="BN131" s="156"/>
      <c r="BO131" s="156"/>
      <c r="BP131" s="156"/>
      <c r="BQ131" s="156"/>
      <c r="BR131" s="156"/>
      <c r="BS131" s="156"/>
      <c r="BT131" s="156"/>
      <c r="BU131" s="156"/>
      <c r="BV131" s="156"/>
      <c r="BW131" s="156"/>
      <c r="BX131" s="156"/>
      <c r="BY131" s="156"/>
      <c r="BZ131" s="156"/>
      <c r="CA131" s="156"/>
      <c r="CB131" s="156"/>
      <c r="CC131" s="156"/>
      <c r="CD131" s="156"/>
      <c r="CE131" s="156"/>
      <c r="CF131" s="156"/>
      <c r="CG131" s="156"/>
      <c r="CH131" s="156"/>
      <c r="CI131" s="156"/>
      <c r="CJ131" s="156"/>
      <c r="CK131" s="156"/>
      <c r="CL131" s="156"/>
      <c r="CM131" s="157"/>
      <c r="CN131" s="157"/>
      <c r="CO131" s="157"/>
      <c r="CP131" s="157"/>
      <c r="CQ131" s="157"/>
      <c r="CR131" s="157"/>
      <c r="CS131" s="157"/>
      <c r="CT131" s="157"/>
      <c r="CU131" s="157"/>
      <c r="CV131" s="157"/>
      <c r="CW131" s="157"/>
      <c r="CX131" s="157"/>
      <c r="CY131" s="157"/>
      <c r="CZ131" s="157"/>
      <c r="DA131" s="157"/>
      <c r="DB131" s="157"/>
      <c r="DE131" s="159"/>
    </row>
    <row r="132" spans="1:110" s="262" customFormat="1" x14ac:dyDescent="0.2">
      <c r="A132" s="259" t="s">
        <v>540</v>
      </c>
      <c r="B132" s="257"/>
      <c r="C132" s="257"/>
      <c r="D132" s="257"/>
      <c r="E132" s="257"/>
      <c r="F132" s="257"/>
      <c r="G132" s="257"/>
      <c r="H132" s="257"/>
      <c r="I132" s="257"/>
      <c r="J132" s="257"/>
      <c r="K132" s="257"/>
      <c r="L132" s="257"/>
      <c r="M132" s="257"/>
      <c r="N132" s="257"/>
      <c r="O132" s="257"/>
      <c r="P132" s="257"/>
      <c r="Q132" s="257"/>
      <c r="R132" s="257"/>
      <c r="S132" s="260">
        <v>0.8881</v>
      </c>
      <c r="T132" s="260">
        <v>0.78879999999999995</v>
      </c>
      <c r="U132" s="260">
        <v>0.74620000000000009</v>
      </c>
      <c r="V132" s="260">
        <v>0.74239999999999995</v>
      </c>
      <c r="W132" s="260">
        <v>0.7390000000000001</v>
      </c>
      <c r="X132" s="260">
        <v>0.73849999999999993</v>
      </c>
      <c r="Y132" s="260">
        <v>0.73739999999999994</v>
      </c>
      <c r="Z132" s="260">
        <f>+CH132</f>
        <v>0.73660000000000003</v>
      </c>
      <c r="AA132" s="261">
        <f>+CL132</f>
        <v>0.73660000000000003</v>
      </c>
      <c r="AB132" s="261">
        <f>+CP132</f>
        <v>0.73660000000000003</v>
      </c>
      <c r="AC132" s="261">
        <f>+CT132</f>
        <v>0.73660000000000003</v>
      </c>
      <c r="AD132" s="261">
        <f>+CX132</f>
        <v>0.73660000000000003</v>
      </c>
      <c r="AE132" s="261">
        <f>+DB132</f>
        <v>0.73660000000000003</v>
      </c>
      <c r="AI132" s="257"/>
      <c r="AJ132" s="257"/>
      <c r="AK132" s="257"/>
      <c r="AL132" s="257"/>
      <c r="AM132" s="257"/>
      <c r="AN132" s="257"/>
      <c r="AO132" s="257"/>
      <c r="AP132" s="257"/>
      <c r="AQ132" s="257"/>
      <c r="AR132" s="257"/>
      <c r="AS132" s="257"/>
      <c r="AT132" s="257"/>
      <c r="AU132" s="257"/>
      <c r="AV132" s="257"/>
      <c r="AW132" s="257"/>
      <c r="AX132" s="257"/>
      <c r="AY132" s="257"/>
      <c r="AZ132" s="260">
        <v>0.89769999999999994</v>
      </c>
      <c r="BA132" s="260">
        <v>0.89769999999999994</v>
      </c>
      <c r="BB132" s="260">
        <v>0.89769999999999994</v>
      </c>
      <c r="BC132" s="260">
        <v>0.89769999999999994</v>
      </c>
      <c r="BD132" s="260">
        <v>0.89510000000000001</v>
      </c>
      <c r="BE132" s="260">
        <v>0.89280000000000004</v>
      </c>
      <c r="BF132" s="260">
        <v>0.8881</v>
      </c>
      <c r="BG132" s="260">
        <v>0.871</v>
      </c>
      <c r="BH132" s="260">
        <v>0.80659999999999998</v>
      </c>
      <c r="BI132" s="260">
        <v>0.80409999999999993</v>
      </c>
      <c r="BJ132" s="260">
        <v>0.78879999999999995</v>
      </c>
      <c r="BK132" s="260">
        <v>0.74970000000000003</v>
      </c>
      <c r="BL132" s="260">
        <v>0.74970000000000003</v>
      </c>
      <c r="BM132" s="260">
        <v>0.74739999999999995</v>
      </c>
      <c r="BN132" s="260">
        <v>0.74620000000000009</v>
      </c>
      <c r="BO132" s="260">
        <v>0.746</v>
      </c>
      <c r="BP132" s="260">
        <v>0.74360000000000004</v>
      </c>
      <c r="BQ132" s="260">
        <v>0.74269999999999992</v>
      </c>
      <c r="BR132" s="260">
        <v>0.74239999999999995</v>
      </c>
      <c r="BS132" s="260">
        <v>0.74230000000000007</v>
      </c>
      <c r="BT132" s="260">
        <v>0.74150000000000005</v>
      </c>
      <c r="BU132" s="260">
        <v>0.73930000000000007</v>
      </c>
      <c r="BV132" s="260">
        <v>0.7390000000000001</v>
      </c>
      <c r="BW132" s="260">
        <v>0.7387999999999999</v>
      </c>
      <c r="BX132" s="260">
        <v>0.73870000000000002</v>
      </c>
      <c r="BY132" s="260">
        <v>0.73849999999999993</v>
      </c>
      <c r="BZ132" s="260">
        <v>0.73849999999999993</v>
      </c>
      <c r="CA132" s="260">
        <v>0.73799999999999999</v>
      </c>
      <c r="CB132" s="260">
        <v>0.73769999999999991</v>
      </c>
      <c r="CC132" s="260">
        <v>0.73750000000000004</v>
      </c>
      <c r="CD132" s="260">
        <v>0.73739999999999994</v>
      </c>
      <c r="CE132" s="260">
        <v>0.7369</v>
      </c>
      <c r="CF132" s="260">
        <v>0.7369</v>
      </c>
      <c r="CG132" s="260">
        <v>0.73659999999999992</v>
      </c>
      <c r="CH132" s="260">
        <v>0.73660000000000003</v>
      </c>
      <c r="CI132" s="260">
        <v>0.73660000000000003</v>
      </c>
      <c r="CJ132" s="260">
        <v>0.73660000000000003</v>
      </c>
      <c r="CK132" s="260">
        <v>0.73660000000000003</v>
      </c>
      <c r="CL132" s="260">
        <f t="shared" ref="CL132:DB134" si="594">+CK132</f>
        <v>0.73660000000000003</v>
      </c>
      <c r="CM132" s="261">
        <f t="shared" si="594"/>
        <v>0.73660000000000003</v>
      </c>
      <c r="CN132" s="261">
        <f t="shared" si="594"/>
        <v>0.73660000000000003</v>
      </c>
      <c r="CO132" s="261">
        <f t="shared" si="594"/>
        <v>0.73660000000000003</v>
      </c>
      <c r="CP132" s="261">
        <f t="shared" si="594"/>
        <v>0.73660000000000003</v>
      </c>
      <c r="CQ132" s="261">
        <f t="shared" si="594"/>
        <v>0.73660000000000003</v>
      </c>
      <c r="CR132" s="261">
        <f t="shared" si="594"/>
        <v>0.73660000000000003</v>
      </c>
      <c r="CS132" s="261">
        <f t="shared" si="594"/>
        <v>0.73660000000000003</v>
      </c>
      <c r="CT132" s="261">
        <f t="shared" si="594"/>
        <v>0.73660000000000003</v>
      </c>
      <c r="CU132" s="261">
        <f t="shared" si="594"/>
        <v>0.73660000000000003</v>
      </c>
      <c r="CV132" s="261">
        <f t="shared" si="594"/>
        <v>0.73660000000000003</v>
      </c>
      <c r="CW132" s="261">
        <f t="shared" si="594"/>
        <v>0.73660000000000003</v>
      </c>
      <c r="CX132" s="261">
        <f t="shared" si="594"/>
        <v>0.73660000000000003</v>
      </c>
      <c r="CY132" s="261">
        <f t="shared" si="594"/>
        <v>0.73660000000000003</v>
      </c>
      <c r="CZ132" s="261">
        <f t="shared" si="594"/>
        <v>0.73660000000000003</v>
      </c>
      <c r="DA132" s="261">
        <f t="shared" si="594"/>
        <v>0.73660000000000003</v>
      </c>
      <c r="DB132" s="261">
        <f t="shared" si="594"/>
        <v>0.73660000000000003</v>
      </c>
      <c r="DE132" s="263"/>
      <c r="DF132" s="262">
        <v>0.73699999999999999</v>
      </c>
    </row>
    <row r="133" spans="1:110" s="265" customFormat="1" x14ac:dyDescent="0.2">
      <c r="A133" s="264" t="s">
        <v>541</v>
      </c>
      <c r="B133" s="258"/>
      <c r="C133" s="258"/>
      <c r="D133" s="258"/>
      <c r="E133" s="258"/>
      <c r="F133" s="258"/>
      <c r="G133" s="258"/>
      <c r="H133" s="258"/>
      <c r="I133" s="258"/>
      <c r="J133" s="258"/>
      <c r="K133" s="258"/>
      <c r="L133" s="258"/>
      <c r="M133" s="258"/>
      <c r="N133" s="258"/>
      <c r="O133" s="258"/>
      <c r="P133" s="258"/>
      <c r="Q133" s="258"/>
      <c r="R133" s="258"/>
      <c r="S133" s="266">
        <v>0.6401</v>
      </c>
      <c r="T133" s="266">
        <v>0.6391</v>
      </c>
      <c r="U133" s="266">
        <v>0.63719999999999999</v>
      </c>
      <c r="V133" s="266">
        <v>0.63619999999999999</v>
      </c>
      <c r="W133" s="266">
        <v>0.66260000000000008</v>
      </c>
      <c r="X133" s="266">
        <v>0.66110000000000002</v>
      </c>
      <c r="Y133" s="266">
        <v>0.65859999999999996</v>
      </c>
      <c r="Z133" s="260">
        <f t="shared" ref="Z133:Z134" si="595">+CH133</f>
        <v>0.66249999999999998</v>
      </c>
      <c r="AA133" s="261">
        <f t="shared" ref="AA133:AA134" si="596">+CL133</f>
        <v>0.66239999999999999</v>
      </c>
      <c r="AB133" s="261">
        <f t="shared" ref="AB133:AB134" si="597">+CP133</f>
        <v>0.66239999999999999</v>
      </c>
      <c r="AC133" s="261">
        <f t="shared" ref="AC133:AC134" si="598">+CT133</f>
        <v>0.66239999999999999</v>
      </c>
      <c r="AD133" s="261">
        <f t="shared" ref="AD133:AD134" si="599">+CX133</f>
        <v>0.66239999999999999</v>
      </c>
      <c r="AE133" s="261">
        <f t="shared" ref="AE133:AE134" si="600">+DB133</f>
        <v>0.66239999999999999</v>
      </c>
      <c r="AI133" s="258"/>
      <c r="AJ133" s="258"/>
      <c r="AK133" s="258"/>
      <c r="AL133" s="258"/>
      <c r="AM133" s="258"/>
      <c r="AN133" s="258"/>
      <c r="AO133" s="258"/>
      <c r="AP133" s="258"/>
      <c r="AQ133" s="258"/>
      <c r="AR133" s="258"/>
      <c r="AS133" s="258"/>
      <c r="AT133" s="258"/>
      <c r="AU133" s="258"/>
      <c r="AV133" s="258"/>
      <c r="AW133" s="258"/>
      <c r="AX133" s="258"/>
      <c r="AY133" s="258"/>
      <c r="AZ133" s="266">
        <v>0.66680000000000006</v>
      </c>
      <c r="BA133" s="266">
        <v>0.66650000000000009</v>
      </c>
      <c r="BB133" s="266">
        <v>0.66620000000000001</v>
      </c>
      <c r="BC133" s="266">
        <v>0.64230000000000009</v>
      </c>
      <c r="BD133" s="266">
        <v>0.64209999999999989</v>
      </c>
      <c r="BE133" s="266">
        <v>0.64139999999999997</v>
      </c>
      <c r="BF133" s="266">
        <v>0.6401</v>
      </c>
      <c r="BG133" s="266">
        <v>0.6401</v>
      </c>
      <c r="BH133" s="266">
        <v>0.63969999999999994</v>
      </c>
      <c r="BI133" s="266">
        <v>0.63960000000000006</v>
      </c>
      <c r="BJ133" s="266">
        <v>0.6391</v>
      </c>
      <c r="BK133" s="266">
        <v>0.63890000000000002</v>
      </c>
      <c r="BL133" s="266">
        <v>0.63859999999999995</v>
      </c>
      <c r="BM133" s="266">
        <v>0.63859999999999995</v>
      </c>
      <c r="BN133" s="266">
        <v>0.63719999999999999</v>
      </c>
      <c r="BO133" s="266">
        <v>0.63719999999999999</v>
      </c>
      <c r="BP133" s="266">
        <v>0.63670000000000004</v>
      </c>
      <c r="BQ133" s="266">
        <v>0.63649999999999995</v>
      </c>
      <c r="BR133" s="266">
        <v>0.63619999999999999</v>
      </c>
      <c r="BS133" s="266">
        <v>0.63590000000000002</v>
      </c>
      <c r="BT133" s="266">
        <v>0.63529999999999998</v>
      </c>
      <c r="BU133" s="266">
        <v>0.63500000000000001</v>
      </c>
      <c r="BV133" s="266">
        <v>0.66260000000000008</v>
      </c>
      <c r="BW133" s="266">
        <v>0.6623</v>
      </c>
      <c r="BX133" s="266">
        <v>0.66200000000000003</v>
      </c>
      <c r="BY133" s="266">
        <v>0.66150000000000009</v>
      </c>
      <c r="BZ133" s="266">
        <v>0.66110000000000002</v>
      </c>
      <c r="CA133" s="266">
        <v>0.66099999999999992</v>
      </c>
      <c r="CB133" s="266">
        <v>0.66020000000000001</v>
      </c>
      <c r="CC133" s="266">
        <v>0.65900000000000003</v>
      </c>
      <c r="CD133" s="266">
        <v>0.65859999999999996</v>
      </c>
      <c r="CE133" s="266">
        <v>0.66370000000000007</v>
      </c>
      <c r="CF133" s="266">
        <v>0.66290000000000004</v>
      </c>
      <c r="CG133" s="266">
        <v>0.66249999999999998</v>
      </c>
      <c r="CH133" s="266">
        <v>0.66249999999999998</v>
      </c>
      <c r="CI133" s="266">
        <v>0.66239999999999999</v>
      </c>
      <c r="CJ133" s="266">
        <v>0.66239999999999999</v>
      </c>
      <c r="CK133" s="266">
        <v>0.66239999999999999</v>
      </c>
      <c r="CL133" s="266">
        <f t="shared" ref="CL133:CZ133" si="601">+CK133</f>
        <v>0.66239999999999999</v>
      </c>
      <c r="CM133" s="267">
        <f t="shared" si="601"/>
        <v>0.66239999999999999</v>
      </c>
      <c r="CN133" s="267">
        <f t="shared" si="601"/>
        <v>0.66239999999999999</v>
      </c>
      <c r="CO133" s="267">
        <f t="shared" si="601"/>
        <v>0.66239999999999999</v>
      </c>
      <c r="CP133" s="267">
        <f t="shared" si="601"/>
        <v>0.66239999999999999</v>
      </c>
      <c r="CQ133" s="267">
        <f t="shared" si="601"/>
        <v>0.66239999999999999</v>
      </c>
      <c r="CR133" s="267">
        <f t="shared" si="601"/>
        <v>0.66239999999999999</v>
      </c>
      <c r="CS133" s="267">
        <f t="shared" si="601"/>
        <v>0.66239999999999999</v>
      </c>
      <c r="CT133" s="267">
        <f t="shared" si="601"/>
        <v>0.66239999999999999</v>
      </c>
      <c r="CU133" s="267">
        <f t="shared" si="601"/>
        <v>0.66239999999999999</v>
      </c>
      <c r="CV133" s="267">
        <f t="shared" si="601"/>
        <v>0.66239999999999999</v>
      </c>
      <c r="CW133" s="267">
        <f t="shared" si="601"/>
        <v>0.66239999999999999</v>
      </c>
      <c r="CX133" s="267">
        <f t="shared" si="601"/>
        <v>0.66239999999999999</v>
      </c>
      <c r="CY133" s="267">
        <f t="shared" si="601"/>
        <v>0.66239999999999999</v>
      </c>
      <c r="CZ133" s="267">
        <f t="shared" si="601"/>
        <v>0.66239999999999999</v>
      </c>
      <c r="DA133" s="267">
        <f t="shared" si="594"/>
        <v>0.66239999999999999</v>
      </c>
      <c r="DB133" s="267">
        <f t="shared" si="594"/>
        <v>0.66239999999999999</v>
      </c>
      <c r="DE133" s="268"/>
      <c r="DF133" s="265">
        <v>0.66200000000000003</v>
      </c>
    </row>
    <row r="134" spans="1:110" s="265" customFormat="1" x14ac:dyDescent="0.2">
      <c r="A134" s="264" t="s">
        <v>542</v>
      </c>
      <c r="B134" s="258"/>
      <c r="C134" s="258"/>
      <c r="D134" s="258"/>
      <c r="E134" s="258"/>
      <c r="F134" s="258"/>
      <c r="G134" s="258"/>
      <c r="H134" s="258"/>
      <c r="I134" s="258"/>
      <c r="J134" s="258"/>
      <c r="K134" s="258"/>
      <c r="L134" s="258"/>
      <c r="M134" s="258"/>
      <c r="N134" s="258"/>
      <c r="O134" s="258"/>
      <c r="P134" s="258"/>
      <c r="Q134" s="258"/>
      <c r="R134" s="258"/>
      <c r="S134" s="266">
        <v>0.82959999999999989</v>
      </c>
      <c r="T134" s="266">
        <v>0.748</v>
      </c>
      <c r="U134" s="266">
        <v>0.74529999999999996</v>
      </c>
      <c r="V134" s="266">
        <v>0.74269999999999992</v>
      </c>
      <c r="W134" s="266">
        <v>0.74049999999999994</v>
      </c>
      <c r="X134" s="266">
        <v>0.68680000000000008</v>
      </c>
      <c r="Y134" s="266">
        <v>0.68599999999999994</v>
      </c>
      <c r="Z134" s="260">
        <f t="shared" si="595"/>
        <v>0.68569999999999998</v>
      </c>
      <c r="AA134" s="261">
        <f t="shared" si="596"/>
        <v>0.68579999999999997</v>
      </c>
      <c r="AB134" s="261">
        <f t="shared" si="597"/>
        <v>0.68579999999999997</v>
      </c>
      <c r="AC134" s="261">
        <f t="shared" si="598"/>
        <v>0.68579999999999997</v>
      </c>
      <c r="AD134" s="261">
        <f t="shared" si="599"/>
        <v>0.68579999999999997</v>
      </c>
      <c r="AE134" s="261">
        <f t="shared" si="600"/>
        <v>0.68579999999999997</v>
      </c>
      <c r="AI134" s="258"/>
      <c r="AJ134" s="258"/>
      <c r="AK134" s="258"/>
      <c r="AL134" s="258"/>
      <c r="AM134" s="258"/>
      <c r="AN134" s="258"/>
      <c r="AO134" s="258"/>
      <c r="AP134" s="258"/>
      <c r="AQ134" s="258"/>
      <c r="AR134" s="258"/>
      <c r="AS134" s="258"/>
      <c r="AT134" s="258"/>
      <c r="AU134" s="258"/>
      <c r="AV134" s="258"/>
      <c r="AW134" s="258"/>
      <c r="AX134" s="258"/>
      <c r="AY134" s="258"/>
      <c r="AZ134" s="266">
        <v>0.84640000000000004</v>
      </c>
      <c r="BA134" s="266">
        <v>0.84299999999999997</v>
      </c>
      <c r="BB134" s="266">
        <v>0.84279999999999999</v>
      </c>
      <c r="BC134" s="266">
        <v>0.84260000000000002</v>
      </c>
      <c r="BD134" s="266">
        <v>0.84030000000000005</v>
      </c>
      <c r="BE134" s="266">
        <v>0.8368000000000001</v>
      </c>
      <c r="BF134" s="266">
        <v>0.82959999999999989</v>
      </c>
      <c r="BG134" s="266">
        <v>0.81540000000000001</v>
      </c>
      <c r="BH134" s="266">
        <v>0.75</v>
      </c>
      <c r="BI134" s="266">
        <v>0.74840000000000007</v>
      </c>
      <c r="BJ134" s="266">
        <v>0.748</v>
      </c>
      <c r="BK134" s="266">
        <v>0.74790000000000001</v>
      </c>
      <c r="BL134" s="266">
        <v>0.74620000000000009</v>
      </c>
      <c r="BM134" s="266">
        <v>0.74580000000000002</v>
      </c>
      <c r="BN134" s="266">
        <v>0.74529999999999996</v>
      </c>
      <c r="BO134" s="266">
        <v>0.7451000000000001</v>
      </c>
      <c r="BP134" s="266">
        <v>0.74360000000000004</v>
      </c>
      <c r="BQ134" s="266">
        <v>0.74309999999999998</v>
      </c>
      <c r="BR134" s="266">
        <v>0.74269999999999992</v>
      </c>
      <c r="BS134" s="266">
        <v>0.74250000000000005</v>
      </c>
      <c r="BT134" s="266">
        <v>0.7409</v>
      </c>
      <c r="BU134" s="266">
        <v>0.74069999999999991</v>
      </c>
      <c r="BV134" s="266">
        <v>0.74049999999999994</v>
      </c>
      <c r="BW134" s="266">
        <v>0.74029999999999996</v>
      </c>
      <c r="BX134" s="266">
        <v>0.74</v>
      </c>
      <c r="BY134" s="266">
        <v>0.68689999999999996</v>
      </c>
      <c r="BZ134" s="266">
        <v>0.68680000000000008</v>
      </c>
      <c r="CA134" s="266">
        <v>0.68659999999999999</v>
      </c>
      <c r="CB134" s="266">
        <v>0.68659999999999999</v>
      </c>
      <c r="CC134" s="266">
        <v>0.68640000000000001</v>
      </c>
      <c r="CD134" s="266">
        <v>0.68599999999999994</v>
      </c>
      <c r="CE134" s="266">
        <v>0.68599999999999994</v>
      </c>
      <c r="CF134" s="266">
        <v>0.68599999999999994</v>
      </c>
      <c r="CG134" s="266">
        <v>0.68569999999999998</v>
      </c>
      <c r="CH134" s="266">
        <v>0.68569999999999998</v>
      </c>
      <c r="CI134" s="266">
        <v>0.68579999999999997</v>
      </c>
      <c r="CJ134" s="266">
        <v>0.68579999999999997</v>
      </c>
      <c r="CK134" s="266">
        <v>0.68579999999999997</v>
      </c>
      <c r="CL134" s="266">
        <f t="shared" si="594"/>
        <v>0.68579999999999997</v>
      </c>
      <c r="CM134" s="267">
        <f t="shared" si="594"/>
        <v>0.68579999999999997</v>
      </c>
      <c r="CN134" s="267">
        <f t="shared" si="594"/>
        <v>0.68579999999999997</v>
      </c>
      <c r="CO134" s="267">
        <f t="shared" si="594"/>
        <v>0.68579999999999997</v>
      </c>
      <c r="CP134" s="267">
        <f t="shared" si="594"/>
        <v>0.68579999999999997</v>
      </c>
      <c r="CQ134" s="267">
        <f t="shared" si="594"/>
        <v>0.68579999999999997</v>
      </c>
      <c r="CR134" s="267">
        <f t="shared" si="594"/>
        <v>0.68579999999999997</v>
      </c>
      <c r="CS134" s="267">
        <f t="shared" si="594"/>
        <v>0.68579999999999997</v>
      </c>
      <c r="CT134" s="267">
        <f t="shared" si="594"/>
        <v>0.68579999999999997</v>
      </c>
      <c r="CU134" s="267">
        <f t="shared" si="594"/>
        <v>0.68579999999999997</v>
      </c>
      <c r="CV134" s="267">
        <f t="shared" si="594"/>
        <v>0.68579999999999997</v>
      </c>
      <c r="CW134" s="267">
        <f t="shared" si="594"/>
        <v>0.68579999999999997</v>
      </c>
      <c r="CX134" s="267">
        <f t="shared" si="594"/>
        <v>0.68579999999999997</v>
      </c>
      <c r="CY134" s="267">
        <f t="shared" si="594"/>
        <v>0.68579999999999997</v>
      </c>
      <c r="CZ134" s="267">
        <f t="shared" si="594"/>
        <v>0.68579999999999997</v>
      </c>
      <c r="DA134" s="267">
        <f t="shared" si="594"/>
        <v>0.68579999999999997</v>
      </c>
      <c r="DB134" s="267">
        <f t="shared" si="594"/>
        <v>0.68579999999999997</v>
      </c>
      <c r="DE134" s="268"/>
      <c r="DF134" s="265">
        <v>0.68600000000000005</v>
      </c>
    </row>
    <row r="135" spans="1:110" s="158" customFormat="1" x14ac:dyDescent="0.2">
      <c r="A135" s="190"/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7"/>
      <c r="AB135" s="157"/>
      <c r="AC135" s="157"/>
      <c r="AD135" s="157"/>
      <c r="AE135" s="157"/>
      <c r="AI135" s="156"/>
      <c r="AJ135" s="156"/>
      <c r="AK135" s="156"/>
      <c r="AL135" s="156"/>
      <c r="AM135" s="156"/>
      <c r="AN135" s="156"/>
      <c r="AO135" s="156"/>
      <c r="AP135" s="156"/>
      <c r="AQ135" s="156"/>
      <c r="AR135" s="156"/>
      <c r="AS135" s="156"/>
      <c r="AT135" s="156"/>
      <c r="AU135" s="156"/>
      <c r="AV135" s="156"/>
      <c r="AW135" s="156"/>
      <c r="AX135" s="156"/>
      <c r="AY135" s="156"/>
      <c r="AZ135" s="156"/>
      <c r="BA135" s="156"/>
      <c r="BB135" s="156"/>
      <c r="BC135" s="156"/>
      <c r="BD135" s="156"/>
      <c r="BE135" s="156"/>
      <c r="BF135" s="156"/>
      <c r="BG135" s="156"/>
      <c r="BH135" s="156"/>
      <c r="BI135" s="156"/>
      <c r="BJ135" s="156"/>
      <c r="BK135" s="156"/>
      <c r="BL135" s="156"/>
      <c r="BM135" s="156"/>
      <c r="BN135" s="156"/>
      <c r="BO135" s="156"/>
      <c r="BP135" s="156"/>
      <c r="BQ135" s="156"/>
      <c r="BR135" s="156"/>
      <c r="BS135" s="156"/>
      <c r="BT135" s="156"/>
      <c r="BU135" s="156"/>
      <c r="BV135" s="156"/>
      <c r="BW135" s="156"/>
      <c r="BX135" s="156"/>
      <c r="BY135" s="156"/>
      <c r="BZ135" s="156"/>
      <c r="CA135" s="156"/>
      <c r="CB135" s="156"/>
      <c r="CC135" s="156"/>
      <c r="CD135" s="156"/>
      <c r="CE135" s="156"/>
      <c r="CF135" s="156"/>
      <c r="CG135" s="156"/>
      <c r="CH135" s="156"/>
      <c r="CI135" s="156"/>
      <c r="CJ135" s="156"/>
      <c r="CK135" s="156"/>
      <c r="CL135" s="156"/>
      <c r="CM135" s="157"/>
      <c r="CN135" s="157"/>
      <c r="CO135" s="157"/>
      <c r="CP135" s="157"/>
      <c r="CQ135" s="157"/>
      <c r="CR135" s="157"/>
      <c r="CS135" s="157"/>
      <c r="CT135" s="157"/>
      <c r="CU135" s="157"/>
      <c r="CV135" s="157"/>
      <c r="CW135" s="157"/>
      <c r="CX135" s="157"/>
      <c r="CY135" s="157"/>
      <c r="CZ135" s="157"/>
      <c r="DA135" s="157"/>
      <c r="DB135" s="157"/>
      <c r="DE135" s="159"/>
    </row>
    <row r="136" spans="1:110" s="241" customFormat="1" x14ac:dyDescent="0.2">
      <c r="A136" s="232" t="s">
        <v>544</v>
      </c>
      <c r="B136" s="239"/>
      <c r="C136" s="239"/>
      <c r="D136" s="239"/>
      <c r="E136" s="239"/>
      <c r="F136" s="239"/>
      <c r="G136" s="239"/>
      <c r="H136" s="239"/>
      <c r="I136" s="239"/>
      <c r="J136" s="239"/>
      <c r="K136" s="239"/>
      <c r="L136" s="239"/>
      <c r="M136" s="239"/>
      <c r="N136" s="239"/>
      <c r="O136" s="239"/>
      <c r="P136" s="239"/>
      <c r="Q136" s="239"/>
      <c r="R136" s="239"/>
      <c r="S136" s="239"/>
      <c r="T136" s="239"/>
      <c r="U136" s="239"/>
      <c r="V136" s="239"/>
      <c r="W136" s="239"/>
      <c r="X136" s="239"/>
      <c r="Y136" s="239"/>
      <c r="Z136" s="239"/>
      <c r="AA136" s="240"/>
      <c r="AB136" s="240"/>
      <c r="AC136" s="240"/>
      <c r="AD136" s="240"/>
      <c r="AE136" s="240"/>
      <c r="AI136" s="239"/>
      <c r="AJ136" s="239"/>
      <c r="AK136" s="239"/>
      <c r="AL136" s="239"/>
      <c r="AM136" s="239"/>
      <c r="AN136" s="239"/>
      <c r="AO136" s="239"/>
      <c r="AP136" s="239"/>
      <c r="AQ136" s="239"/>
      <c r="AR136" s="239"/>
      <c r="AS136" s="239"/>
      <c r="AT136" s="239"/>
      <c r="AU136" s="239"/>
      <c r="AV136" s="239"/>
      <c r="AW136" s="239"/>
      <c r="AX136" s="239"/>
      <c r="AY136" s="239"/>
      <c r="AZ136" s="239"/>
      <c r="BA136" s="239"/>
      <c r="BB136" s="239"/>
      <c r="BC136" s="239"/>
      <c r="BD136" s="239"/>
      <c r="BE136" s="239"/>
      <c r="BF136" s="239"/>
      <c r="BG136" s="239"/>
      <c r="BH136" s="239"/>
      <c r="BI136" s="239"/>
      <c r="BJ136" s="239"/>
      <c r="BK136" s="239"/>
      <c r="BL136" s="239"/>
      <c r="BM136" s="239"/>
      <c r="BN136" s="239"/>
      <c r="BO136" s="239"/>
      <c r="BP136" s="239"/>
      <c r="BQ136" s="239"/>
      <c r="BR136" s="239"/>
      <c r="BS136" s="239"/>
      <c r="BT136" s="239"/>
      <c r="BU136" s="239"/>
      <c r="BV136" s="239"/>
      <c r="BW136" s="239"/>
      <c r="BX136" s="239"/>
      <c r="BY136" s="239"/>
      <c r="BZ136" s="239"/>
      <c r="CA136" s="239"/>
      <c r="CB136" s="239"/>
      <c r="CC136" s="239"/>
      <c r="CD136" s="239"/>
      <c r="CE136" s="239"/>
      <c r="CF136" s="239"/>
      <c r="CG136" s="239"/>
      <c r="CH136" s="239"/>
      <c r="CI136" s="239"/>
      <c r="CJ136" s="239"/>
      <c r="CK136" s="239"/>
      <c r="CL136" s="239"/>
      <c r="CM136" s="240"/>
      <c r="CN136" s="240"/>
      <c r="CO136" s="240"/>
      <c r="CP136" s="240"/>
      <c r="CQ136" s="240"/>
      <c r="CR136" s="240"/>
      <c r="CS136" s="240"/>
      <c r="CT136" s="240"/>
      <c r="CU136" s="240"/>
      <c r="CV136" s="240"/>
      <c r="CW136" s="240"/>
      <c r="CX136" s="240"/>
      <c r="CY136" s="240"/>
      <c r="CZ136" s="240"/>
      <c r="DA136" s="240"/>
      <c r="DB136" s="240"/>
      <c r="DE136" s="242"/>
    </row>
    <row r="137" spans="1:110" s="158" customFormat="1" x14ac:dyDescent="0.2">
      <c r="A137" s="192" t="s">
        <v>540</v>
      </c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 t="e">
        <f t="shared" ref="S137:AE137" si="602">(S132*S127)/S121*65%</f>
        <v>#DIV/0!</v>
      </c>
      <c r="T137" s="156" t="e">
        <f t="shared" si="602"/>
        <v>#DIV/0!</v>
      </c>
      <c r="U137" s="156" t="e">
        <f t="shared" si="602"/>
        <v>#DIV/0!</v>
      </c>
      <c r="V137" s="156" t="e">
        <f t="shared" si="602"/>
        <v>#DIV/0!</v>
      </c>
      <c r="W137" s="156">
        <f t="shared" si="602"/>
        <v>106.50951587976594</v>
      </c>
      <c r="X137" s="156">
        <f t="shared" si="602"/>
        <v>111.557544802457</v>
      </c>
      <c r="Y137" s="156">
        <f t="shared" si="602"/>
        <v>144.75430286773525</v>
      </c>
      <c r="Z137" s="156">
        <f t="shared" si="602"/>
        <v>167.46599527496096</v>
      </c>
      <c r="AA137" s="157">
        <f t="shared" si="602"/>
        <v>112.40718134627268</v>
      </c>
      <c r="AB137" s="157">
        <f t="shared" si="602"/>
        <v>112.40718134627268</v>
      </c>
      <c r="AC137" s="157">
        <f t="shared" si="602"/>
        <v>112.40718134627268</v>
      </c>
      <c r="AD137" s="157">
        <f t="shared" si="602"/>
        <v>112.40718134627268</v>
      </c>
      <c r="AE137" s="157">
        <f t="shared" si="602"/>
        <v>112.40718134627268</v>
      </c>
      <c r="AI137" s="156"/>
      <c r="AJ137" s="156"/>
      <c r="AK137" s="156"/>
      <c r="AL137" s="156"/>
      <c r="AM137" s="156"/>
      <c r="AN137" s="156"/>
      <c r="AO137" s="156"/>
      <c r="AP137" s="156"/>
      <c r="AQ137" s="156"/>
      <c r="AR137" s="156"/>
      <c r="AS137" s="156"/>
      <c r="AT137" s="156"/>
      <c r="AU137" s="156"/>
      <c r="AV137" s="156"/>
      <c r="AW137" s="156"/>
      <c r="AX137" s="156"/>
      <c r="AY137" s="156"/>
      <c r="AZ137" s="156"/>
      <c r="BA137" s="156"/>
      <c r="BB137" s="156"/>
      <c r="BC137" s="156"/>
      <c r="BD137" s="156"/>
      <c r="BE137" s="156"/>
      <c r="BF137" s="156"/>
      <c r="BG137" s="156"/>
      <c r="BH137" s="156"/>
      <c r="BI137" s="156"/>
      <c r="BJ137" s="156"/>
      <c r="BK137" s="156"/>
      <c r="BL137" s="156"/>
      <c r="BM137" s="156"/>
      <c r="BN137" s="156"/>
      <c r="BO137" s="156"/>
      <c r="BP137" s="156"/>
      <c r="BQ137" s="156"/>
      <c r="BR137" s="156"/>
      <c r="BS137" s="156">
        <f t="shared" ref="BS137:DB137" si="603">(BS132*BS127)/BS121*65%</f>
        <v>106.99291110028716</v>
      </c>
      <c r="BT137" s="156">
        <f t="shared" si="603"/>
        <v>173.07045827668935</v>
      </c>
      <c r="BU137" s="156">
        <f t="shared" si="603"/>
        <v>206.33104647122968</v>
      </c>
      <c r="BV137" s="156">
        <f t="shared" si="603"/>
        <v>188.02300362763989</v>
      </c>
      <c r="BW137" s="156">
        <f t="shared" si="603"/>
        <v>111.61097602122786</v>
      </c>
      <c r="BX137" s="156">
        <f t="shared" si="603"/>
        <v>132.75351131111194</v>
      </c>
      <c r="BY137" s="156">
        <f t="shared" si="603"/>
        <v>135.77052853949326</v>
      </c>
      <c r="BZ137" s="156">
        <f t="shared" si="603"/>
        <v>124.43760433826468</v>
      </c>
      <c r="CA137" s="156">
        <f t="shared" si="603"/>
        <v>144.88261698956779</v>
      </c>
      <c r="CB137" s="156">
        <f t="shared" si="603"/>
        <v>168.57901039765915</v>
      </c>
      <c r="CC137" s="156">
        <f t="shared" si="603"/>
        <v>193.69802833412092</v>
      </c>
      <c r="CD137" s="156">
        <f t="shared" si="603"/>
        <v>201.94664339718656</v>
      </c>
      <c r="CE137" s="156">
        <f t="shared" si="603"/>
        <v>180.88587952019191</v>
      </c>
      <c r="CF137" s="156">
        <f t="shared" si="603"/>
        <v>196.98674675329869</v>
      </c>
      <c r="CG137" s="156">
        <f t="shared" si="603"/>
        <v>174.48972568063678</v>
      </c>
      <c r="CH137" s="156">
        <f t="shared" si="603"/>
        <v>167.47816975028172</v>
      </c>
      <c r="CI137" s="156">
        <f t="shared" si="603"/>
        <v>162.19444164152523</v>
      </c>
      <c r="CJ137" s="192">
        <f t="shared" si="603"/>
        <v>150.8577470102868</v>
      </c>
      <c r="CK137" s="192">
        <f t="shared" ref="CK137:CL137" si="604">(CK132*CK127)/CK121*65%</f>
        <v>148.46249037510907</v>
      </c>
      <c r="CL137" s="192">
        <f t="shared" si="604"/>
        <v>112.40718134627268</v>
      </c>
      <c r="CM137" s="157">
        <f t="shared" si="603"/>
        <v>112.40718134627268</v>
      </c>
      <c r="CN137" s="157">
        <f t="shared" si="603"/>
        <v>112.40718134627268</v>
      </c>
      <c r="CO137" s="157">
        <f t="shared" si="603"/>
        <v>112.40718134627268</v>
      </c>
      <c r="CP137" s="157">
        <f t="shared" si="603"/>
        <v>112.40718134627268</v>
      </c>
      <c r="CQ137" s="157">
        <f t="shared" si="603"/>
        <v>112.40718134627268</v>
      </c>
      <c r="CR137" s="157">
        <f t="shared" si="603"/>
        <v>112.40718134627268</v>
      </c>
      <c r="CS137" s="157">
        <f t="shared" si="603"/>
        <v>112.40718134627268</v>
      </c>
      <c r="CT137" s="157">
        <f t="shared" si="603"/>
        <v>112.40718134627268</v>
      </c>
      <c r="CU137" s="157">
        <f t="shared" si="603"/>
        <v>112.40718134627268</v>
      </c>
      <c r="CV137" s="157">
        <f t="shared" si="603"/>
        <v>112.40718134627268</v>
      </c>
      <c r="CW137" s="157">
        <f t="shared" si="603"/>
        <v>112.40718134627268</v>
      </c>
      <c r="CX137" s="157">
        <f t="shared" si="603"/>
        <v>112.40718134627268</v>
      </c>
      <c r="CY137" s="157">
        <f t="shared" si="603"/>
        <v>112.40718134627268</v>
      </c>
      <c r="CZ137" s="157">
        <f t="shared" si="603"/>
        <v>112.40718134627268</v>
      </c>
      <c r="DA137" s="157">
        <f t="shared" si="603"/>
        <v>112.40718134627268</v>
      </c>
      <c r="DB137" s="157">
        <f t="shared" si="603"/>
        <v>112.40718134627268</v>
      </c>
      <c r="DE137" s="159"/>
      <c r="DF137" s="158">
        <v>148.46</v>
      </c>
    </row>
    <row r="138" spans="1:110" s="158" customFormat="1" x14ac:dyDescent="0.2">
      <c r="A138" s="192" t="s">
        <v>541</v>
      </c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 t="e">
        <f t="shared" ref="S138:AE138" si="605">(S133*S128)/S121*65%</f>
        <v>#DIV/0!</v>
      </c>
      <c r="T138" s="156" t="e">
        <f t="shared" si="605"/>
        <v>#DIV/0!</v>
      </c>
      <c r="U138" s="156" t="e">
        <f t="shared" si="605"/>
        <v>#DIV/0!</v>
      </c>
      <c r="V138" s="156" t="e">
        <f t="shared" si="605"/>
        <v>#DIV/0!</v>
      </c>
      <c r="W138" s="156">
        <f t="shared" si="605"/>
        <v>60.181292234943491</v>
      </c>
      <c r="X138" s="156">
        <f t="shared" si="605"/>
        <v>52.260984627267106</v>
      </c>
      <c r="Y138" s="156">
        <f t="shared" si="605"/>
        <v>98.551754508050735</v>
      </c>
      <c r="Z138" s="156">
        <f t="shared" si="605"/>
        <v>105.87521267219132</v>
      </c>
      <c r="AA138" s="157">
        <f t="shared" si="605"/>
        <v>161.11610598626106</v>
      </c>
      <c r="AB138" s="157">
        <f t="shared" si="605"/>
        <v>187.33862312070659</v>
      </c>
      <c r="AC138" s="157">
        <f t="shared" si="605"/>
        <v>187.33862312070659</v>
      </c>
      <c r="AD138" s="157">
        <f t="shared" si="605"/>
        <v>187.33862312070659</v>
      </c>
      <c r="AE138" s="157">
        <f t="shared" si="605"/>
        <v>187.33862312070659</v>
      </c>
      <c r="AI138" s="156"/>
      <c r="AJ138" s="156"/>
      <c r="AK138" s="156"/>
      <c r="AL138" s="156"/>
      <c r="AM138" s="156"/>
      <c r="AN138" s="156"/>
      <c r="AO138" s="156"/>
      <c r="AP138" s="156"/>
      <c r="AQ138" s="156"/>
      <c r="AR138" s="156"/>
      <c r="AS138" s="156"/>
      <c r="AT138" s="156"/>
      <c r="AU138" s="156"/>
      <c r="AV138" s="156"/>
      <c r="AW138" s="156"/>
      <c r="AX138" s="156"/>
      <c r="AY138" s="156"/>
      <c r="AZ138" s="156"/>
      <c r="BA138" s="156"/>
      <c r="BB138" s="156"/>
      <c r="BC138" s="156"/>
      <c r="BD138" s="156"/>
      <c r="BE138" s="156"/>
      <c r="BF138" s="156"/>
      <c r="BG138" s="156"/>
      <c r="BH138" s="156"/>
      <c r="BI138" s="156"/>
      <c r="BJ138" s="156"/>
      <c r="BK138" s="156"/>
      <c r="BL138" s="156"/>
      <c r="BM138" s="156"/>
      <c r="BN138" s="156"/>
      <c r="BO138" s="156"/>
      <c r="BP138" s="156"/>
      <c r="BQ138" s="156"/>
      <c r="BR138" s="156"/>
      <c r="BS138" s="156">
        <f t="shared" ref="BS138:DB138" si="606">(BS133*BS128)/BS121*65%</f>
        <v>68.966892657482475</v>
      </c>
      <c r="BT138" s="156">
        <f t="shared" si="606"/>
        <v>67.481406199338437</v>
      </c>
      <c r="BU138" s="156">
        <f t="shared" si="606"/>
        <v>57.678688106575557</v>
      </c>
      <c r="BV138" s="156">
        <f t="shared" si="606"/>
        <v>62.396462276180451</v>
      </c>
      <c r="BW138" s="156">
        <f t="shared" si="606"/>
        <v>52.359652671658608</v>
      </c>
      <c r="BX138" s="156">
        <f t="shared" si="606"/>
        <v>57.781324030387843</v>
      </c>
      <c r="BY138" s="156">
        <f t="shared" si="606"/>
        <v>67.545194894769381</v>
      </c>
      <c r="BZ138" s="156">
        <f t="shared" si="606"/>
        <v>63.543463262694935</v>
      </c>
      <c r="CA138" s="156">
        <f t="shared" si="606"/>
        <v>98.918076961942475</v>
      </c>
      <c r="CB138" s="156">
        <f t="shared" si="606"/>
        <v>103.06619752971538</v>
      </c>
      <c r="CC138" s="156">
        <f t="shared" si="606"/>
        <v>127.89284454945295</v>
      </c>
      <c r="CD138" s="156">
        <f t="shared" si="606"/>
        <v>122.50177131401983</v>
      </c>
      <c r="CE138" s="156">
        <f t="shared" si="606"/>
        <v>141.4160048049871</v>
      </c>
      <c r="CF138" s="156">
        <f t="shared" si="606"/>
        <v>145.11635440005816</v>
      </c>
      <c r="CG138" s="156">
        <f t="shared" si="606"/>
        <v>105.88290960888371</v>
      </c>
      <c r="CH138" s="156">
        <f t="shared" si="606"/>
        <v>120.90558776489404</v>
      </c>
      <c r="CI138" s="156">
        <f t="shared" si="606"/>
        <v>161.12781883610194</v>
      </c>
      <c r="CJ138" s="192">
        <f t="shared" si="606"/>
        <v>209.03389858602014</v>
      </c>
      <c r="CK138" s="192">
        <f t="shared" ref="CK138:CL138" si="607">(CK133*CK128)/CK121*65%</f>
        <v>193.19799360279151</v>
      </c>
      <c r="CL138" s="192">
        <f t="shared" si="607"/>
        <v>187.33862312070659</v>
      </c>
      <c r="CM138" s="157">
        <f t="shared" si="606"/>
        <v>187.33862312070659</v>
      </c>
      <c r="CN138" s="157">
        <f t="shared" si="606"/>
        <v>187.33862312070659</v>
      </c>
      <c r="CO138" s="157">
        <f t="shared" si="606"/>
        <v>187.33862312070659</v>
      </c>
      <c r="CP138" s="157">
        <f t="shared" si="606"/>
        <v>187.33862312070659</v>
      </c>
      <c r="CQ138" s="157">
        <f t="shared" si="606"/>
        <v>187.33862312070659</v>
      </c>
      <c r="CR138" s="157">
        <f t="shared" si="606"/>
        <v>187.33862312070659</v>
      </c>
      <c r="CS138" s="157">
        <f t="shared" si="606"/>
        <v>187.33862312070659</v>
      </c>
      <c r="CT138" s="157">
        <f t="shared" si="606"/>
        <v>187.33862312070659</v>
      </c>
      <c r="CU138" s="157">
        <f t="shared" si="606"/>
        <v>187.33862312070659</v>
      </c>
      <c r="CV138" s="157">
        <f t="shared" si="606"/>
        <v>187.33862312070659</v>
      </c>
      <c r="CW138" s="157">
        <f t="shared" si="606"/>
        <v>187.33862312070659</v>
      </c>
      <c r="CX138" s="157">
        <f t="shared" si="606"/>
        <v>187.33862312070659</v>
      </c>
      <c r="CY138" s="157">
        <f t="shared" si="606"/>
        <v>187.33862312070659</v>
      </c>
      <c r="CZ138" s="157">
        <f t="shared" si="606"/>
        <v>187.33862312070659</v>
      </c>
      <c r="DA138" s="157">
        <f t="shared" si="606"/>
        <v>187.33862312070659</v>
      </c>
      <c r="DB138" s="157">
        <f t="shared" si="606"/>
        <v>187.33862312070659</v>
      </c>
      <c r="DE138" s="159"/>
      <c r="DF138" s="158">
        <v>193.2</v>
      </c>
    </row>
    <row r="139" spans="1:110" s="158" customFormat="1" x14ac:dyDescent="0.2">
      <c r="A139" s="192" t="s">
        <v>542</v>
      </c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 t="e">
        <f t="shared" ref="S139:AE139" si="608">(S134*S129)/S121*65%</f>
        <v>#DIV/0!</v>
      </c>
      <c r="T139" s="156" t="e">
        <f t="shared" si="608"/>
        <v>#DIV/0!</v>
      </c>
      <c r="U139" s="156" t="e">
        <f t="shared" si="608"/>
        <v>#DIV/0!</v>
      </c>
      <c r="V139" s="156" t="e">
        <f t="shared" si="608"/>
        <v>#DIV/0!</v>
      </c>
      <c r="W139" s="156">
        <f t="shared" si="608"/>
        <v>248.76670231526913</v>
      </c>
      <c r="X139" s="156">
        <f t="shared" si="608"/>
        <v>226.24659060516848</v>
      </c>
      <c r="Y139" s="156">
        <f t="shared" si="608"/>
        <v>473.85907906807688</v>
      </c>
      <c r="Z139" s="156">
        <f t="shared" si="608"/>
        <v>442.53955977174434</v>
      </c>
      <c r="AA139" s="157">
        <f t="shared" si="608"/>
        <v>383.77742893032382</v>
      </c>
      <c r="AB139" s="157">
        <f t="shared" si="608"/>
        <v>383.77742893032382</v>
      </c>
      <c r="AC139" s="157">
        <f t="shared" si="608"/>
        <v>383.77742893032382</v>
      </c>
      <c r="AD139" s="157">
        <f t="shared" si="608"/>
        <v>383.77742893032382</v>
      </c>
      <c r="AE139" s="157">
        <f t="shared" si="608"/>
        <v>383.77742893032382</v>
      </c>
      <c r="AI139" s="156"/>
      <c r="AJ139" s="156"/>
      <c r="AK139" s="156"/>
      <c r="AL139" s="156"/>
      <c r="AM139" s="156"/>
      <c r="AN139" s="156"/>
      <c r="AO139" s="156"/>
      <c r="AP139" s="156"/>
      <c r="AQ139" s="156"/>
      <c r="AR139" s="156"/>
      <c r="AS139" s="156"/>
      <c r="AT139" s="156"/>
      <c r="AU139" s="156"/>
      <c r="AV139" s="156"/>
      <c r="AW139" s="156"/>
      <c r="AX139" s="156"/>
      <c r="AY139" s="156"/>
      <c r="AZ139" s="156"/>
      <c r="BA139" s="156"/>
      <c r="BB139" s="156"/>
      <c r="BC139" s="156"/>
      <c r="BD139" s="156"/>
      <c r="BE139" s="156"/>
      <c r="BF139" s="156"/>
      <c r="BG139" s="156"/>
      <c r="BH139" s="156"/>
      <c r="BI139" s="156"/>
      <c r="BJ139" s="156"/>
      <c r="BK139" s="156"/>
      <c r="BL139" s="156"/>
      <c r="BM139" s="156"/>
      <c r="BN139" s="156"/>
      <c r="BO139" s="156"/>
      <c r="BP139" s="156"/>
      <c r="BQ139" s="156"/>
      <c r="BR139" s="156"/>
      <c r="BS139" s="156">
        <f t="shared" ref="BS139:DB139" si="609">(BS134*BS129)/BS121*65%</f>
        <v>249.45672451019595</v>
      </c>
      <c r="BT139" s="156">
        <f t="shared" si="609"/>
        <v>353.74257169132341</v>
      </c>
      <c r="BU139" s="156">
        <f t="shared" si="609"/>
        <v>449.43228359528905</v>
      </c>
      <c r="BV139" s="156">
        <f t="shared" si="609"/>
        <v>377.60625959070916</v>
      </c>
      <c r="BW139" s="156">
        <f t="shared" si="609"/>
        <v>243.88836236305474</v>
      </c>
      <c r="BX139" s="156">
        <f t="shared" si="609"/>
        <v>273.50428243248155</v>
      </c>
      <c r="BY139" s="156">
        <f t="shared" si="609"/>
        <v>419.02118198211616</v>
      </c>
      <c r="BZ139" s="156">
        <f t="shared" si="609"/>
        <v>456.79707841663344</v>
      </c>
      <c r="CA139" s="156">
        <f t="shared" si="609"/>
        <v>499.02346807095347</v>
      </c>
      <c r="CB139" s="156">
        <f t="shared" si="609"/>
        <v>500.21437503471338</v>
      </c>
      <c r="CC139" s="156">
        <f t="shared" si="609"/>
        <v>603.85779896041583</v>
      </c>
      <c r="CD139" s="156">
        <f t="shared" si="609"/>
        <v>473.89352776707494</v>
      </c>
      <c r="CE139" s="156">
        <f t="shared" si="609"/>
        <v>517.23965623932236</v>
      </c>
      <c r="CF139" s="156">
        <f t="shared" si="609"/>
        <v>599.42762785794764</v>
      </c>
      <c r="CG139" s="156">
        <f t="shared" si="609"/>
        <v>536.22557775326231</v>
      </c>
      <c r="CH139" s="156">
        <f t="shared" si="609"/>
        <v>442.57173159826976</v>
      </c>
      <c r="CI139" s="156">
        <f t="shared" si="609"/>
        <v>510.56390338410091</v>
      </c>
      <c r="CJ139" s="192">
        <f t="shared" si="609"/>
        <v>541.83634349896397</v>
      </c>
      <c r="CK139" s="192">
        <f t="shared" ref="CK139:CL139" si="610">(CK134*CK129)/CK121*65%</f>
        <v>481.61566321605113</v>
      </c>
      <c r="CL139" s="192">
        <f t="shared" si="610"/>
        <v>383.77742893032382</v>
      </c>
      <c r="CM139" s="157">
        <f t="shared" si="609"/>
        <v>383.77742893032382</v>
      </c>
      <c r="CN139" s="157">
        <f t="shared" si="609"/>
        <v>383.77742893032382</v>
      </c>
      <c r="CO139" s="157">
        <f t="shared" si="609"/>
        <v>383.77742893032382</v>
      </c>
      <c r="CP139" s="157">
        <f t="shared" si="609"/>
        <v>383.77742893032382</v>
      </c>
      <c r="CQ139" s="157">
        <f t="shared" si="609"/>
        <v>383.77742893032382</v>
      </c>
      <c r="CR139" s="157">
        <f t="shared" si="609"/>
        <v>383.77742893032382</v>
      </c>
      <c r="CS139" s="157">
        <f t="shared" si="609"/>
        <v>383.77742893032382</v>
      </c>
      <c r="CT139" s="157">
        <f t="shared" si="609"/>
        <v>383.77742893032382</v>
      </c>
      <c r="CU139" s="157">
        <f t="shared" si="609"/>
        <v>383.77742893032382</v>
      </c>
      <c r="CV139" s="157">
        <f t="shared" si="609"/>
        <v>383.77742893032382</v>
      </c>
      <c r="CW139" s="157">
        <f t="shared" si="609"/>
        <v>383.77742893032382</v>
      </c>
      <c r="CX139" s="157">
        <f t="shared" si="609"/>
        <v>383.77742893032382</v>
      </c>
      <c r="CY139" s="157">
        <f t="shared" si="609"/>
        <v>383.77742893032382</v>
      </c>
      <c r="CZ139" s="157">
        <f t="shared" si="609"/>
        <v>383.77742893032382</v>
      </c>
      <c r="DA139" s="157">
        <f t="shared" si="609"/>
        <v>383.77742893032382</v>
      </c>
      <c r="DB139" s="157">
        <f t="shared" si="609"/>
        <v>383.77742893032382</v>
      </c>
      <c r="DE139" s="159"/>
      <c r="DF139" s="158">
        <v>481.62</v>
      </c>
    </row>
    <row r="140" spans="1:110" s="199" customFormat="1" x14ac:dyDescent="0.2">
      <c r="A140" s="250" t="s">
        <v>523</v>
      </c>
      <c r="B140" s="197"/>
      <c r="C140" s="197"/>
      <c r="D140" s="197"/>
      <c r="E140" s="197"/>
      <c r="F140" s="197"/>
      <c r="G140" s="197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 t="e">
        <f t="shared" ref="S140" si="611">+SUM(S137:S139)</f>
        <v>#DIV/0!</v>
      </c>
      <c r="T140" s="197" t="e">
        <f t="shared" ref="T140" si="612">+SUM(T137:T139)</f>
        <v>#DIV/0!</v>
      </c>
      <c r="U140" s="197" t="e">
        <f t="shared" ref="U140" si="613">+SUM(U137:U139)</f>
        <v>#DIV/0!</v>
      </c>
      <c r="V140" s="197" t="e">
        <f t="shared" ref="V140" si="614">+SUM(V137:V139)</f>
        <v>#DIV/0!</v>
      </c>
      <c r="W140" s="197">
        <f t="shared" ref="W140" si="615">+SUM(W137:W139)</f>
        <v>415.45751042997858</v>
      </c>
      <c r="X140" s="197">
        <f t="shared" ref="X140" si="616">+SUM(X137:X139)</f>
        <v>390.06512003489257</v>
      </c>
      <c r="Y140" s="197">
        <f t="shared" ref="Y140" si="617">+SUM(Y137:Y139)</f>
        <v>717.16513644386282</v>
      </c>
      <c r="Z140" s="197">
        <f t="shared" ref="Z140" si="618">+SUM(Z137:Z139)</f>
        <v>715.88076771889655</v>
      </c>
      <c r="AA140" s="198">
        <f t="shared" ref="AA140" si="619">+SUM(AA137:AA139)</f>
        <v>657.30071626285758</v>
      </c>
      <c r="AB140" s="198">
        <f t="shared" ref="AB140" si="620">+SUM(AB137:AB139)</f>
        <v>683.5232333973031</v>
      </c>
      <c r="AC140" s="198">
        <f t="shared" ref="AC140" si="621">+SUM(AC137:AC139)</f>
        <v>683.5232333973031</v>
      </c>
      <c r="AD140" s="198">
        <f t="shared" ref="AD140" si="622">+SUM(AD137:AD139)</f>
        <v>683.5232333973031</v>
      </c>
      <c r="AE140" s="198">
        <f t="shared" ref="AE140" si="623">+SUM(AE137:AE139)</f>
        <v>683.5232333973031</v>
      </c>
      <c r="AI140" s="197"/>
      <c r="AJ140" s="197"/>
      <c r="AK140" s="197"/>
      <c r="AL140" s="197"/>
      <c r="AM140" s="197"/>
      <c r="AN140" s="197"/>
      <c r="AO140" s="197"/>
      <c r="AP140" s="197"/>
      <c r="AQ140" s="197"/>
      <c r="AR140" s="197"/>
      <c r="AS140" s="197"/>
      <c r="AT140" s="197"/>
      <c r="AU140" s="197"/>
      <c r="AV140" s="197"/>
      <c r="AW140" s="197"/>
      <c r="AX140" s="197"/>
      <c r="AY140" s="197"/>
      <c r="AZ140" s="197"/>
      <c r="BA140" s="197"/>
      <c r="BB140" s="197"/>
      <c r="BC140" s="197"/>
      <c r="BD140" s="197"/>
      <c r="BE140" s="197"/>
      <c r="BF140" s="197"/>
      <c r="BG140" s="197"/>
      <c r="BH140" s="197"/>
      <c r="BI140" s="197"/>
      <c r="BJ140" s="197"/>
      <c r="BK140" s="197"/>
      <c r="BL140" s="197"/>
      <c r="BM140" s="197"/>
      <c r="BN140" s="197"/>
      <c r="BO140" s="197"/>
      <c r="BP140" s="197"/>
      <c r="BQ140" s="197"/>
      <c r="BR140" s="197"/>
      <c r="BS140" s="197">
        <f t="shared" ref="BS140:CI140" si="624">+SUM(BS137:BS139)</f>
        <v>425.41652826796559</v>
      </c>
      <c r="BT140" s="197">
        <f t="shared" si="624"/>
        <v>594.29443616735125</v>
      </c>
      <c r="BU140" s="197">
        <f t="shared" si="624"/>
        <v>713.44201817309431</v>
      </c>
      <c r="BV140" s="197">
        <f t="shared" si="624"/>
        <v>628.02572549452952</v>
      </c>
      <c r="BW140" s="197">
        <f t="shared" si="624"/>
        <v>407.8589910559412</v>
      </c>
      <c r="BX140" s="197">
        <f t="shared" si="624"/>
        <v>464.03911777398133</v>
      </c>
      <c r="BY140" s="197">
        <f t="shared" si="624"/>
        <v>622.33690541637884</v>
      </c>
      <c r="BZ140" s="197">
        <f t="shared" si="624"/>
        <v>644.77814601759303</v>
      </c>
      <c r="CA140" s="197">
        <f t="shared" si="624"/>
        <v>742.82416202246372</v>
      </c>
      <c r="CB140" s="197">
        <f t="shared" si="624"/>
        <v>771.85958296208787</v>
      </c>
      <c r="CC140" s="197">
        <f t="shared" si="624"/>
        <v>925.4486718439897</v>
      </c>
      <c r="CD140" s="197">
        <f t="shared" si="624"/>
        <v>798.34194247828134</v>
      </c>
      <c r="CE140" s="197">
        <f t="shared" si="624"/>
        <v>839.54154056450136</v>
      </c>
      <c r="CF140" s="197">
        <f t="shared" si="624"/>
        <v>941.53072901130452</v>
      </c>
      <c r="CG140" s="197">
        <f t="shared" si="624"/>
        <v>816.59821304278285</v>
      </c>
      <c r="CH140" s="197">
        <f t="shared" si="624"/>
        <v>730.95548911344554</v>
      </c>
      <c r="CI140" s="197">
        <f t="shared" si="624"/>
        <v>833.88616386172816</v>
      </c>
      <c r="CJ140" s="197">
        <f>+SUM(CJ137:CJ139)</f>
        <v>901.72798909527091</v>
      </c>
      <c r="CK140" s="197">
        <f>+SUM(CK137:CK139)</f>
        <v>823.27614719395172</v>
      </c>
      <c r="CL140" s="197">
        <f>+SUM(CL137:CL139)</f>
        <v>683.5232333973031</v>
      </c>
      <c r="CM140" s="198">
        <f t="shared" ref="CM140:DB140" si="625">+SUM(CM137:CM139)</f>
        <v>683.5232333973031</v>
      </c>
      <c r="CN140" s="198">
        <f t="shared" si="625"/>
        <v>683.5232333973031</v>
      </c>
      <c r="CO140" s="198">
        <f t="shared" si="625"/>
        <v>683.5232333973031</v>
      </c>
      <c r="CP140" s="198">
        <f t="shared" si="625"/>
        <v>683.5232333973031</v>
      </c>
      <c r="CQ140" s="198">
        <f t="shared" si="625"/>
        <v>683.5232333973031</v>
      </c>
      <c r="CR140" s="198">
        <f t="shared" si="625"/>
        <v>683.5232333973031</v>
      </c>
      <c r="CS140" s="198">
        <f t="shared" si="625"/>
        <v>683.5232333973031</v>
      </c>
      <c r="CT140" s="198">
        <f t="shared" si="625"/>
        <v>683.5232333973031</v>
      </c>
      <c r="CU140" s="198">
        <f t="shared" si="625"/>
        <v>683.5232333973031</v>
      </c>
      <c r="CV140" s="198">
        <f t="shared" si="625"/>
        <v>683.5232333973031</v>
      </c>
      <c r="CW140" s="198">
        <f t="shared" si="625"/>
        <v>683.5232333973031</v>
      </c>
      <c r="CX140" s="198">
        <f t="shared" si="625"/>
        <v>683.5232333973031</v>
      </c>
      <c r="CY140" s="198">
        <f t="shared" si="625"/>
        <v>683.5232333973031</v>
      </c>
      <c r="CZ140" s="198">
        <f t="shared" si="625"/>
        <v>683.5232333973031</v>
      </c>
      <c r="DA140" s="198">
        <f t="shared" si="625"/>
        <v>683.5232333973031</v>
      </c>
      <c r="DB140" s="198">
        <f t="shared" si="625"/>
        <v>683.5232333973031</v>
      </c>
      <c r="DE140" s="200"/>
      <c r="DF140" s="199">
        <v>823.28</v>
      </c>
    </row>
    <row r="141" spans="1:110" s="158" customFormat="1" x14ac:dyDescent="0.2">
      <c r="A141" s="237"/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7"/>
      <c r="AB141" s="157"/>
      <c r="AC141" s="157"/>
      <c r="AD141" s="157"/>
      <c r="AE141" s="157"/>
      <c r="AI141" s="156"/>
      <c r="AJ141" s="156"/>
      <c r="AK141" s="156"/>
      <c r="AL141" s="156"/>
      <c r="AM141" s="156"/>
      <c r="AN141" s="156"/>
      <c r="AO141" s="156"/>
      <c r="AP141" s="156"/>
      <c r="AQ141" s="156"/>
      <c r="AR141" s="156"/>
      <c r="AS141" s="156"/>
      <c r="AT141" s="156"/>
      <c r="AU141" s="156"/>
      <c r="AV141" s="156"/>
      <c r="AW141" s="156"/>
      <c r="AX141" s="156"/>
      <c r="AY141" s="156"/>
      <c r="AZ141" s="156"/>
      <c r="BA141" s="156"/>
      <c r="BB141" s="156"/>
      <c r="BC141" s="156"/>
      <c r="BD141" s="156"/>
      <c r="BE141" s="156"/>
      <c r="BF141" s="156"/>
      <c r="BG141" s="156"/>
      <c r="BH141" s="156"/>
      <c r="BI141" s="156"/>
      <c r="BJ141" s="156"/>
      <c r="BK141" s="156"/>
      <c r="BL141" s="156"/>
      <c r="BM141" s="156"/>
      <c r="BN141" s="156"/>
      <c r="BO141" s="156"/>
      <c r="BP141" s="156"/>
      <c r="BQ141" s="156"/>
      <c r="BR141" s="156"/>
      <c r="BS141" s="156"/>
      <c r="BT141" s="156"/>
      <c r="BU141" s="156"/>
      <c r="BV141" s="156"/>
      <c r="BW141" s="156"/>
      <c r="BX141" s="156"/>
      <c r="BY141" s="156"/>
      <c r="BZ141" s="156"/>
      <c r="CA141" s="156"/>
      <c r="CB141" s="156"/>
      <c r="CC141" s="156"/>
      <c r="CD141" s="156"/>
      <c r="CE141" s="156"/>
      <c r="CF141" s="156"/>
      <c r="CG141" s="156"/>
      <c r="CH141" s="156"/>
      <c r="CI141" s="156"/>
      <c r="CJ141" s="156"/>
      <c r="CK141" s="156"/>
      <c r="CL141" s="156"/>
      <c r="CM141" s="157"/>
      <c r="CN141" s="157"/>
      <c r="CO141" s="157"/>
      <c r="CP141" s="157"/>
      <c r="CQ141" s="157"/>
      <c r="CR141" s="157"/>
      <c r="CS141" s="157"/>
      <c r="CT141" s="157"/>
      <c r="CU141" s="157"/>
      <c r="CV141" s="157"/>
      <c r="CW141" s="157"/>
      <c r="CX141" s="157"/>
      <c r="CY141" s="157"/>
      <c r="CZ141" s="157"/>
      <c r="DA141" s="157"/>
      <c r="DB141" s="157"/>
      <c r="DE141" s="159"/>
    </row>
    <row r="142" spans="1:110" s="158" customFormat="1" x14ac:dyDescent="0.2">
      <c r="A142" s="238" t="s">
        <v>545</v>
      </c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7"/>
      <c r="AB142" s="157"/>
      <c r="AC142" s="157"/>
      <c r="AD142" s="157"/>
      <c r="AE142" s="157"/>
      <c r="AI142" s="156"/>
      <c r="AJ142" s="156"/>
      <c r="AK142" s="156"/>
      <c r="AL142" s="156"/>
      <c r="AM142" s="156"/>
      <c r="AN142" s="156"/>
      <c r="AO142" s="156"/>
      <c r="AP142" s="156"/>
      <c r="AQ142" s="156"/>
      <c r="AR142" s="156"/>
      <c r="AS142" s="156"/>
      <c r="AT142" s="156"/>
      <c r="AU142" s="156"/>
      <c r="AV142" s="156"/>
      <c r="AW142" s="156"/>
      <c r="AX142" s="156"/>
      <c r="AY142" s="156"/>
      <c r="AZ142" s="156"/>
      <c r="BA142" s="156"/>
      <c r="BB142" s="156"/>
      <c r="BC142" s="156"/>
      <c r="BD142" s="156"/>
      <c r="BE142" s="156"/>
      <c r="BF142" s="156"/>
      <c r="BG142" s="156"/>
      <c r="BH142" s="156"/>
      <c r="BI142" s="156"/>
      <c r="BJ142" s="156"/>
      <c r="BK142" s="156"/>
      <c r="BL142" s="156"/>
      <c r="BM142" s="156"/>
      <c r="BN142" s="156"/>
      <c r="BO142" s="156"/>
      <c r="BP142" s="156"/>
      <c r="BQ142" s="156"/>
      <c r="BR142" s="156"/>
      <c r="BS142" s="252">
        <f t="shared" ref="BS142:DB142" si="626">+BS33</f>
        <v>6.0963618485742277E-2</v>
      </c>
      <c r="BT142" s="252">
        <f t="shared" si="626"/>
        <v>0.1057209769153562</v>
      </c>
      <c r="BU142" s="252">
        <f t="shared" si="626"/>
        <v>2.8088190878888586E-2</v>
      </c>
      <c r="BV142" s="252">
        <f t="shared" si="626"/>
        <v>9.2241905925473322E-2</v>
      </c>
      <c r="BW142" s="252">
        <f t="shared" si="626"/>
        <v>0.12264442384924323</v>
      </c>
      <c r="BX142" s="252">
        <f t="shared" si="626"/>
        <v>0.12677760968229945</v>
      </c>
      <c r="BY142" s="252">
        <f t="shared" si="626"/>
        <v>0.13572267920094006</v>
      </c>
      <c r="BZ142" s="252">
        <f t="shared" si="626"/>
        <v>0.11717002237136476</v>
      </c>
      <c r="CA142" s="252">
        <f t="shared" si="626"/>
        <v>0.13538800220143088</v>
      </c>
      <c r="CB142" s="252">
        <f t="shared" si="626"/>
        <v>0.21025778732545652</v>
      </c>
      <c r="CC142" s="252">
        <f t="shared" si="626"/>
        <v>0.21523021210553539</v>
      </c>
      <c r="CD142" s="252">
        <f t="shared" si="626"/>
        <v>0.19101376720901131</v>
      </c>
      <c r="CE142" s="252">
        <f t="shared" si="626"/>
        <v>0.18977217644207456</v>
      </c>
      <c r="CF142" s="252">
        <f t="shared" si="626"/>
        <v>0.13244508542267575</v>
      </c>
      <c r="CG142" s="252">
        <f t="shared" si="626"/>
        <v>0.20096507509450667</v>
      </c>
      <c r="CH142" s="252">
        <f t="shared" si="626"/>
        <v>0.2171581093293542</v>
      </c>
      <c r="CI142" s="252">
        <f t="shared" si="626"/>
        <v>0.24823996740680387</v>
      </c>
      <c r="CJ142" s="252">
        <f t="shared" si="626"/>
        <v>0.30691447570793495</v>
      </c>
      <c r="CK142" s="252">
        <f t="shared" si="626"/>
        <v>0.29941707445460386</v>
      </c>
      <c r="CL142" s="252">
        <f t="shared" si="626"/>
        <v>0.27833013316388544</v>
      </c>
      <c r="CM142" s="229">
        <f t="shared" si="626"/>
        <v>0.24147158636622268</v>
      </c>
      <c r="CN142" s="229">
        <f t="shared" si="626"/>
        <v>0.19970404072437908</v>
      </c>
      <c r="CO142" s="229">
        <f t="shared" si="626"/>
        <v>0.15724130203624931</v>
      </c>
      <c r="CP142" s="229">
        <f t="shared" si="626"/>
        <v>0.13898046038486567</v>
      </c>
      <c r="CQ142" s="229">
        <f t="shared" si="626"/>
        <v>0.12343935928027894</v>
      </c>
      <c r="CR142" s="229">
        <f t="shared" si="626"/>
        <v>0.10659121504585145</v>
      </c>
      <c r="CS142" s="229">
        <f t="shared" si="626"/>
        <v>9.1207559596329979E-2</v>
      </c>
      <c r="CT142" s="229">
        <f t="shared" si="626"/>
        <v>8.3150074899397186E-2</v>
      </c>
      <c r="CU142" s="229">
        <f t="shared" si="626"/>
        <v>7.547681405390283E-2</v>
      </c>
      <c r="CV142" s="229">
        <f t="shared" si="626"/>
        <v>6.6967410565300645E-2</v>
      </c>
      <c r="CW142" s="229">
        <f t="shared" si="626"/>
        <v>5.9060138059840561E-2</v>
      </c>
      <c r="CX142" s="229">
        <f t="shared" si="626"/>
        <v>5.4624299669356891E-2</v>
      </c>
      <c r="CY142" s="229">
        <f t="shared" si="626"/>
        <v>5.0737116509119273E-2</v>
      </c>
      <c r="CZ142" s="229">
        <f t="shared" si="626"/>
        <v>4.6413779668647903E-2</v>
      </c>
      <c r="DA142" s="229">
        <f t="shared" si="626"/>
        <v>4.2419990821461528E-2</v>
      </c>
      <c r="DB142" s="229">
        <f t="shared" si="626"/>
        <v>3.9910557088417953E-2</v>
      </c>
      <c r="DE142" s="159"/>
      <c r="DF142" s="284">
        <v>0.31</v>
      </c>
    </row>
    <row r="143" spans="1:110" s="158" customFormat="1" x14ac:dyDescent="0.2">
      <c r="A143" s="238"/>
      <c r="B143" s="156"/>
      <c r="C143" s="156"/>
      <c r="D143" s="156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7"/>
      <c r="AB143" s="157"/>
      <c r="AC143" s="157"/>
      <c r="AD143" s="157"/>
      <c r="AE143" s="157"/>
      <c r="AI143" s="156"/>
      <c r="AJ143" s="156"/>
      <c r="AK143" s="156"/>
      <c r="AL143" s="156"/>
      <c r="AM143" s="156"/>
      <c r="AN143" s="156"/>
      <c r="AO143" s="156"/>
      <c r="AP143" s="156"/>
      <c r="AQ143" s="156"/>
      <c r="AR143" s="156"/>
      <c r="AS143" s="156"/>
      <c r="AT143" s="156"/>
      <c r="AU143" s="156"/>
      <c r="AV143" s="156"/>
      <c r="AW143" s="156"/>
      <c r="AX143" s="156"/>
      <c r="AY143" s="156"/>
      <c r="AZ143" s="156"/>
      <c r="BA143" s="156"/>
      <c r="BB143" s="156"/>
      <c r="BC143" s="156"/>
      <c r="BD143" s="156"/>
      <c r="BE143" s="156"/>
      <c r="BF143" s="156"/>
      <c r="BG143" s="156"/>
      <c r="BH143" s="156"/>
      <c r="BI143" s="156"/>
      <c r="BJ143" s="156"/>
      <c r="BK143" s="156"/>
      <c r="BL143" s="156"/>
      <c r="BM143" s="156"/>
      <c r="BN143" s="156"/>
      <c r="BO143" s="156"/>
      <c r="BP143" s="156"/>
      <c r="BQ143" s="156"/>
      <c r="BR143" s="156"/>
      <c r="BS143" s="156"/>
      <c r="BT143" s="156"/>
      <c r="BU143" s="156"/>
      <c r="BV143" s="156"/>
      <c r="BW143" s="156"/>
      <c r="BX143" s="156"/>
      <c r="BY143" s="156"/>
      <c r="BZ143" s="156"/>
      <c r="CA143" s="156"/>
      <c r="CB143" s="156"/>
      <c r="CC143" s="156"/>
      <c r="CD143" s="156"/>
      <c r="CE143" s="156"/>
      <c r="CF143" s="156"/>
      <c r="CG143" s="156"/>
      <c r="CH143" s="156"/>
      <c r="CI143" s="156"/>
      <c r="CJ143" s="156"/>
      <c r="CK143" s="156"/>
      <c r="CL143" s="156"/>
      <c r="CM143" s="157"/>
      <c r="CN143" s="157"/>
      <c r="CO143" s="157"/>
      <c r="CP143" s="157"/>
      <c r="CQ143" s="157"/>
      <c r="CR143" s="157"/>
      <c r="CS143" s="157"/>
      <c r="CT143" s="157"/>
      <c r="CU143" s="157"/>
      <c r="CV143" s="157"/>
      <c r="CW143" s="157"/>
      <c r="CX143" s="157"/>
      <c r="CY143" s="157"/>
      <c r="CZ143" s="157"/>
      <c r="DA143" s="157"/>
      <c r="DB143" s="157"/>
      <c r="DE143" s="159"/>
    </row>
    <row r="144" spans="1:110" s="194" customFormat="1" x14ac:dyDescent="0.2">
      <c r="A144" s="253" t="s">
        <v>36</v>
      </c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  <c r="AB144" s="193"/>
      <c r="AC144" s="193"/>
      <c r="AD144" s="193"/>
      <c r="AE144" s="193"/>
      <c r="DE144" s="193"/>
    </row>
    <row r="145" spans="1:110" s="194" customFormat="1" x14ac:dyDescent="0.2">
      <c r="A145" s="253" t="s">
        <v>641</v>
      </c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>
        <f t="shared" ref="T145:Y145" si="627">+T239</f>
        <v>1384.05</v>
      </c>
      <c r="U145" s="193">
        <f t="shared" si="627"/>
        <v>806.85</v>
      </c>
      <c r="V145" s="193">
        <f t="shared" si="627"/>
        <v>1418.35</v>
      </c>
      <c r="W145" s="193">
        <f t="shared" si="627"/>
        <v>1767.45</v>
      </c>
      <c r="X145" s="193">
        <f t="shared" si="627"/>
        <v>2164.75</v>
      </c>
      <c r="Y145" s="193">
        <f t="shared" si="627"/>
        <v>3774.1</v>
      </c>
      <c r="Z145" s="193">
        <f>+Z239</f>
        <v>3491</v>
      </c>
      <c r="AA145" s="193">
        <f t="shared" ref="AA145:AE145" si="628">+AA239</f>
        <v>3504.3</v>
      </c>
      <c r="AB145" s="193">
        <f t="shared" si="628"/>
        <v>3950</v>
      </c>
      <c r="AC145" s="193">
        <f t="shared" si="628"/>
        <v>3950</v>
      </c>
      <c r="AD145" s="193">
        <f t="shared" si="628"/>
        <v>3950</v>
      </c>
      <c r="AE145" s="193">
        <f t="shared" si="628"/>
        <v>3950</v>
      </c>
      <c r="AI145" s="193">
        <f t="shared" ref="AI145:CJ147" si="629">+AI239</f>
        <v>0</v>
      </c>
      <c r="AJ145" s="193">
        <f t="shared" si="629"/>
        <v>709.66666666666697</v>
      </c>
      <c r="AK145" s="193">
        <f t="shared" si="629"/>
        <v>713.71111111111099</v>
      </c>
      <c r="AL145" s="193">
        <f t="shared" si="629"/>
        <v>606.62222222222204</v>
      </c>
      <c r="AM145" s="193">
        <f t="shared" si="629"/>
        <v>624.06666666666695</v>
      </c>
      <c r="AN145" s="193">
        <f t="shared" si="629"/>
        <v>525.73333333333301</v>
      </c>
      <c r="AO145" s="193">
        <f t="shared" si="629"/>
        <v>713.26666666666699</v>
      </c>
      <c r="AP145" s="193">
        <f t="shared" si="629"/>
        <v>848.43333333333305</v>
      </c>
      <c r="AQ145" s="193">
        <f t="shared" si="629"/>
        <v>1134.4000000000001</v>
      </c>
      <c r="AR145" s="193">
        <f t="shared" si="629"/>
        <v>971.63333333333298</v>
      </c>
      <c r="AS145" s="193">
        <f t="shared" si="629"/>
        <v>997.66666666666697</v>
      </c>
      <c r="AT145" s="193">
        <f t="shared" si="629"/>
        <v>1146</v>
      </c>
      <c r="AU145" s="193">
        <f t="shared" si="629"/>
        <v>1188.5</v>
      </c>
      <c r="AV145" s="193">
        <f t="shared" si="629"/>
        <v>977.8</v>
      </c>
      <c r="AW145" s="193">
        <f t="shared" si="629"/>
        <v>850.43333333333305</v>
      </c>
      <c r="AX145" s="193">
        <f t="shared" si="629"/>
        <v>810.8</v>
      </c>
      <c r="AY145" s="193">
        <f t="shared" si="629"/>
        <v>997.46666666666704</v>
      </c>
      <c r="AZ145" s="193">
        <f t="shared" si="629"/>
        <v>954.43333333333305</v>
      </c>
      <c r="BA145" s="193">
        <f t="shared" si="629"/>
        <v>899.6</v>
      </c>
      <c r="BB145" s="193">
        <f t="shared" si="629"/>
        <v>1051.7333333333299</v>
      </c>
      <c r="BC145" s="193">
        <f t="shared" si="629"/>
        <v>1125.2</v>
      </c>
      <c r="BD145" s="193">
        <f t="shared" si="629"/>
        <v>1141.2</v>
      </c>
      <c r="BE145" s="193">
        <f t="shared" si="629"/>
        <v>1256.95</v>
      </c>
      <c r="BF145" s="193">
        <f t="shared" si="629"/>
        <v>1311.9</v>
      </c>
      <c r="BG145" s="193">
        <f t="shared" si="629"/>
        <v>1271.3</v>
      </c>
      <c r="BH145" s="193">
        <f t="shared" si="629"/>
        <v>1266.6500000000001</v>
      </c>
      <c r="BI145" s="193">
        <f t="shared" si="629"/>
        <v>1438.5</v>
      </c>
      <c r="BJ145" s="193">
        <f t="shared" si="629"/>
        <v>1384.05</v>
      </c>
      <c r="BK145" s="193">
        <f t="shared" si="629"/>
        <v>1553.05</v>
      </c>
      <c r="BL145" s="193">
        <f t="shared" si="629"/>
        <v>1476.6</v>
      </c>
      <c r="BM145" s="193">
        <f t="shared" si="629"/>
        <v>1298.95</v>
      </c>
      <c r="BN145" s="193">
        <f t="shared" si="629"/>
        <v>806.85</v>
      </c>
      <c r="BO145" s="193">
        <f t="shared" si="629"/>
        <v>944.05</v>
      </c>
      <c r="BP145" s="193">
        <f t="shared" si="629"/>
        <v>902.45</v>
      </c>
      <c r="BQ145" s="193">
        <f t="shared" si="629"/>
        <v>1287.55</v>
      </c>
      <c r="BR145" s="193">
        <f t="shared" si="629"/>
        <v>1418.35</v>
      </c>
      <c r="BS145" s="193">
        <f t="shared" si="629"/>
        <v>1501.25</v>
      </c>
      <c r="BT145" s="193">
        <f t="shared" si="629"/>
        <v>1703.15</v>
      </c>
      <c r="BU145" s="193">
        <f t="shared" si="629"/>
        <v>1895</v>
      </c>
      <c r="BV145" s="193">
        <f t="shared" si="629"/>
        <v>1767.45</v>
      </c>
      <c r="BW145" s="193">
        <f t="shared" si="629"/>
        <v>1557.05</v>
      </c>
      <c r="BX145" s="193">
        <f t="shared" si="629"/>
        <v>1848.7</v>
      </c>
      <c r="BY145" s="193">
        <f t="shared" si="629"/>
        <v>2086.3000000000002</v>
      </c>
      <c r="BZ145" s="193">
        <f t="shared" si="629"/>
        <v>2164.75</v>
      </c>
      <c r="CA145" s="193">
        <f t="shared" si="629"/>
        <v>2474.5</v>
      </c>
      <c r="CB145" s="193">
        <f t="shared" si="629"/>
        <v>3021.95</v>
      </c>
      <c r="CC145" s="193">
        <f t="shared" si="629"/>
        <v>3527.05</v>
      </c>
      <c r="CD145" s="193">
        <f t="shared" si="629"/>
        <v>3774.1</v>
      </c>
      <c r="CE145" s="193">
        <f t="shared" si="629"/>
        <v>3549.4</v>
      </c>
      <c r="CF145" s="193">
        <f t="shared" si="629"/>
        <v>3675.5</v>
      </c>
      <c r="CG145" s="193">
        <f t="shared" si="629"/>
        <v>3608</v>
      </c>
      <c r="CH145" s="193">
        <f t="shared" si="629"/>
        <v>3491</v>
      </c>
      <c r="CI145" s="193">
        <f t="shared" si="629"/>
        <v>3668.55</v>
      </c>
      <c r="CJ145" s="193">
        <f t="shared" si="629"/>
        <v>3658.8</v>
      </c>
      <c r="CK145" s="193">
        <f>+CK239</f>
        <v>4083.1</v>
      </c>
      <c r="CL145" s="193">
        <f>+CL239</f>
        <v>3504.3</v>
      </c>
      <c r="CM145" s="193">
        <f>+CL145</f>
        <v>3504.3</v>
      </c>
      <c r="CN145" s="193">
        <f t="shared" ref="CN145:DB145" si="630">+CM145</f>
        <v>3504.3</v>
      </c>
      <c r="CO145" s="193">
        <f t="shared" si="630"/>
        <v>3504.3</v>
      </c>
      <c r="CP145" s="193">
        <f t="shared" si="630"/>
        <v>3504.3</v>
      </c>
      <c r="CQ145" s="193">
        <f t="shared" si="630"/>
        <v>3504.3</v>
      </c>
      <c r="CR145" s="193">
        <f t="shared" si="630"/>
        <v>3504.3</v>
      </c>
      <c r="CS145" s="193">
        <f t="shared" si="630"/>
        <v>3504.3</v>
      </c>
      <c r="CT145" s="193">
        <f t="shared" si="630"/>
        <v>3504.3</v>
      </c>
      <c r="CU145" s="193">
        <f t="shared" si="630"/>
        <v>3504.3</v>
      </c>
      <c r="CV145" s="193">
        <f t="shared" si="630"/>
        <v>3504.3</v>
      </c>
      <c r="CW145" s="193">
        <f t="shared" si="630"/>
        <v>3504.3</v>
      </c>
      <c r="CX145" s="193">
        <f t="shared" si="630"/>
        <v>3504.3</v>
      </c>
      <c r="CY145" s="193">
        <f t="shared" si="630"/>
        <v>3504.3</v>
      </c>
      <c r="CZ145" s="193">
        <f t="shared" si="630"/>
        <v>3504.3</v>
      </c>
      <c r="DA145" s="193">
        <f t="shared" si="630"/>
        <v>3504.3</v>
      </c>
      <c r="DB145" s="193">
        <f t="shared" si="630"/>
        <v>3504.3</v>
      </c>
      <c r="DE145" s="193"/>
      <c r="DF145" s="194">
        <v>3504.3</v>
      </c>
    </row>
    <row r="146" spans="1:110" s="194" customFormat="1" x14ac:dyDescent="0.2">
      <c r="A146" s="253" t="s">
        <v>642</v>
      </c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>
        <f t="shared" ref="T146:Y146" si="631">+T240</f>
        <v>1459.1</v>
      </c>
      <c r="U146" s="193">
        <f t="shared" si="631"/>
        <v>1606.7</v>
      </c>
      <c r="V146" s="193">
        <f t="shared" si="631"/>
        <v>1593</v>
      </c>
      <c r="W146" s="193">
        <f t="shared" si="631"/>
        <v>2078.1999999999998</v>
      </c>
      <c r="X146" s="193">
        <f t="shared" si="631"/>
        <v>2297.3000000000002</v>
      </c>
      <c r="Y146" s="193">
        <f t="shared" si="631"/>
        <v>3812</v>
      </c>
      <c r="Z146" s="193">
        <f t="shared" ref="Z146:AE147" si="632">+Z240</f>
        <v>3963</v>
      </c>
      <c r="AA146" s="193">
        <f t="shared" si="632"/>
        <v>4440</v>
      </c>
      <c r="AB146" s="193">
        <f t="shared" si="632"/>
        <v>4795.8239053404968</v>
      </c>
      <c r="AC146" s="193">
        <f t="shared" si="632"/>
        <v>5546.5712706653776</v>
      </c>
      <c r="AD146" s="193">
        <f t="shared" si="632"/>
        <v>6460.4356867172519</v>
      </c>
      <c r="AE146" s="193">
        <f t="shared" si="632"/>
        <v>7533.1028087560553</v>
      </c>
      <c r="AI146" s="193">
        <f t="shared" si="629"/>
        <v>0</v>
      </c>
      <c r="AJ146" s="193">
        <f t="shared" si="629"/>
        <v>719.555555555556</v>
      </c>
      <c r="AK146" s="193">
        <f t="shared" si="629"/>
        <v>764.22222222222194</v>
      </c>
      <c r="AL146" s="193">
        <f t="shared" si="629"/>
        <v>738.22222222222194</v>
      </c>
      <c r="AM146" s="193">
        <f t="shared" si="629"/>
        <v>734.26666666666699</v>
      </c>
      <c r="AN146" s="193">
        <f t="shared" si="629"/>
        <v>673.2</v>
      </c>
      <c r="AO146" s="193">
        <f t="shared" si="629"/>
        <v>768.26666666666699</v>
      </c>
      <c r="AP146" s="193">
        <f t="shared" si="629"/>
        <v>867.33333333333303</v>
      </c>
      <c r="AQ146" s="193">
        <f t="shared" si="629"/>
        <v>1183.13333333333</v>
      </c>
      <c r="AR146" s="193">
        <f t="shared" si="629"/>
        <v>1175.3333333333301</v>
      </c>
      <c r="AS146" s="193">
        <f t="shared" si="629"/>
        <v>1128.4000000000001</v>
      </c>
      <c r="AT146" s="193">
        <f t="shared" si="629"/>
        <v>1261.9666666666701</v>
      </c>
      <c r="AU146" s="193">
        <f t="shared" si="629"/>
        <v>1213.3333333333301</v>
      </c>
      <c r="AV146" s="193">
        <f t="shared" si="629"/>
        <v>1257.5</v>
      </c>
      <c r="AW146" s="193">
        <f t="shared" si="629"/>
        <v>1073.5999999999999</v>
      </c>
      <c r="AX146" s="193">
        <f t="shared" si="629"/>
        <v>860.83333333333303</v>
      </c>
      <c r="AY146" s="193">
        <f t="shared" si="629"/>
        <v>1010</v>
      </c>
      <c r="AZ146" s="193">
        <f t="shared" si="629"/>
        <v>1076.6666666666699</v>
      </c>
      <c r="BA146" s="193">
        <f t="shared" si="629"/>
        <v>1013.33333333333</v>
      </c>
      <c r="BB146" s="193">
        <f t="shared" si="629"/>
        <v>1062</v>
      </c>
      <c r="BC146" s="193">
        <f t="shared" si="629"/>
        <v>1222.6666666666699</v>
      </c>
      <c r="BD146" s="193">
        <f t="shared" si="629"/>
        <v>1249.95</v>
      </c>
      <c r="BE146" s="193">
        <f t="shared" si="629"/>
        <v>1275</v>
      </c>
      <c r="BF146" s="193">
        <f t="shared" si="629"/>
        <v>1469.6</v>
      </c>
      <c r="BG146" s="193">
        <f t="shared" si="629"/>
        <v>1424.5</v>
      </c>
      <c r="BH146" s="193">
        <f t="shared" si="629"/>
        <v>1389</v>
      </c>
      <c r="BI146" s="193">
        <f t="shared" si="629"/>
        <v>1459.1</v>
      </c>
      <c r="BJ146" s="193">
        <f t="shared" si="629"/>
        <v>1449</v>
      </c>
      <c r="BK146" s="193">
        <f t="shared" si="629"/>
        <v>1606.7</v>
      </c>
      <c r="BL146" s="193">
        <f t="shared" si="629"/>
        <v>1591.6</v>
      </c>
      <c r="BM146" s="193">
        <f t="shared" si="629"/>
        <v>1495.95</v>
      </c>
      <c r="BN146" s="193">
        <f t="shared" si="629"/>
        <v>1383.85</v>
      </c>
      <c r="BO146" s="193">
        <f t="shared" si="629"/>
        <v>995</v>
      </c>
      <c r="BP146" s="193">
        <f t="shared" si="629"/>
        <v>1024.95</v>
      </c>
      <c r="BQ146" s="193">
        <f t="shared" si="629"/>
        <v>1338.4</v>
      </c>
      <c r="BR146" s="193">
        <f t="shared" si="629"/>
        <v>1593</v>
      </c>
      <c r="BS146" s="193">
        <f t="shared" si="629"/>
        <v>1582.65</v>
      </c>
      <c r="BT146" s="193">
        <f t="shared" si="629"/>
        <v>1810</v>
      </c>
      <c r="BU146" s="193">
        <f t="shared" si="629"/>
        <v>1982.95</v>
      </c>
      <c r="BV146" s="193">
        <f t="shared" si="629"/>
        <v>2078.1999999999998</v>
      </c>
      <c r="BW146" s="193">
        <f t="shared" si="629"/>
        <v>1860</v>
      </c>
      <c r="BX146" s="193">
        <f t="shared" si="629"/>
        <v>1995</v>
      </c>
      <c r="BY146" s="193">
        <f t="shared" si="629"/>
        <v>2210.5</v>
      </c>
      <c r="BZ146" s="193">
        <f t="shared" si="629"/>
        <v>2297.3000000000002</v>
      </c>
      <c r="CA146" s="193">
        <f t="shared" si="629"/>
        <v>2482.9499999999998</v>
      </c>
      <c r="CB146" s="193">
        <f t="shared" si="629"/>
        <v>3057</v>
      </c>
      <c r="CC146" s="193">
        <f t="shared" si="629"/>
        <v>3559.75</v>
      </c>
      <c r="CD146" s="193">
        <f t="shared" si="629"/>
        <v>3812</v>
      </c>
      <c r="CE146" s="193">
        <f t="shared" si="629"/>
        <v>3948.6</v>
      </c>
      <c r="CF146" s="193">
        <f t="shared" si="629"/>
        <v>3838</v>
      </c>
      <c r="CG146" s="193">
        <f t="shared" si="629"/>
        <v>3963</v>
      </c>
      <c r="CH146" s="193">
        <f t="shared" si="629"/>
        <v>3724</v>
      </c>
      <c r="CI146" s="193">
        <f t="shared" si="629"/>
        <v>3730</v>
      </c>
      <c r="CJ146" s="193">
        <f t="shared" si="629"/>
        <v>3794.7</v>
      </c>
      <c r="CK146" s="193">
        <f t="shared" ref="CK146:CL147" si="633">+CK240</f>
        <v>4139</v>
      </c>
      <c r="CL146" s="193">
        <f t="shared" si="633"/>
        <v>4440</v>
      </c>
      <c r="CM146" s="193">
        <f t="shared" ref="CM146:DB146" si="634">+CM140+CM154</f>
        <v>4500.5011491589703</v>
      </c>
      <c r="CN146" s="193">
        <f t="shared" si="634"/>
        <v>4566.2339737832826</v>
      </c>
      <c r="CO146" s="193">
        <f t="shared" si="634"/>
        <v>4859.9364886739786</v>
      </c>
      <c r="CP146" s="193">
        <f t="shared" si="634"/>
        <v>4858.2521856098629</v>
      </c>
      <c r="CQ146" s="193">
        <f t="shared" si="634"/>
        <v>5025.4073203071912</v>
      </c>
      <c r="CR146" s="193">
        <f t="shared" si="634"/>
        <v>5180.2429146891682</v>
      </c>
      <c r="CS146" s="193">
        <f t="shared" si="634"/>
        <v>5317.131896181887</v>
      </c>
      <c r="CT146" s="193">
        <f t="shared" si="634"/>
        <v>5393.07363768906</v>
      </c>
      <c r="CU146" s="193">
        <f t="shared" si="634"/>
        <v>5480.9351836056885</v>
      </c>
      <c r="CV146" s="193">
        <f t="shared" si="634"/>
        <v>5566.3480119047708</v>
      </c>
      <c r="CW146" s="193">
        <f t="shared" si="634"/>
        <v>5636.1269245161311</v>
      </c>
      <c r="CX146" s="193">
        <f t="shared" si="634"/>
        <v>5690.5544075581711</v>
      </c>
      <c r="CY146" s="193">
        <f t="shared" si="634"/>
        <v>5734.4704599284196</v>
      </c>
      <c r="CZ146" s="193">
        <f t="shared" si="634"/>
        <v>5782.5271356677003</v>
      </c>
      <c r="DA146" s="193">
        <f t="shared" si="634"/>
        <v>5822.9230401005389</v>
      </c>
      <c r="DB146" s="193">
        <f t="shared" si="634"/>
        <v>5860.6692128157229</v>
      </c>
      <c r="DE146" s="193"/>
      <c r="DF146" s="194">
        <v>3741.8</v>
      </c>
    </row>
    <row r="147" spans="1:110" s="194" customFormat="1" x14ac:dyDescent="0.2">
      <c r="A147" s="253" t="s">
        <v>643</v>
      </c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>
        <f t="shared" ref="T147:Y147" si="635">+T241</f>
        <v>1183.4000000000001</v>
      </c>
      <c r="U147" s="193">
        <f t="shared" si="635"/>
        <v>661.05</v>
      </c>
      <c r="V147" s="193">
        <f t="shared" si="635"/>
        <v>763</v>
      </c>
      <c r="W147" s="193">
        <f t="shared" si="635"/>
        <v>1306.4000000000001</v>
      </c>
      <c r="X147" s="193">
        <f t="shared" si="635"/>
        <v>1456.8</v>
      </c>
      <c r="Y147" s="193">
        <f t="shared" si="635"/>
        <v>2155.5500000000002</v>
      </c>
      <c r="Z147" s="193">
        <f t="shared" si="632"/>
        <v>3141.3</v>
      </c>
      <c r="AA147" s="193">
        <f t="shared" si="632"/>
        <v>2967.65</v>
      </c>
      <c r="AB147" s="193">
        <f t="shared" si="632"/>
        <v>3493.095607821384</v>
      </c>
      <c r="AC147" s="193">
        <f t="shared" si="632"/>
        <v>3809.7109522330525</v>
      </c>
      <c r="AD147" s="193">
        <f t="shared" si="632"/>
        <v>4490.2278798627831</v>
      </c>
      <c r="AE147" s="193">
        <f t="shared" si="632"/>
        <v>5255.1630507076961</v>
      </c>
      <c r="AI147" s="193">
        <f t="shared" si="629"/>
        <v>0</v>
      </c>
      <c r="AJ147" s="193">
        <f t="shared" si="629"/>
        <v>581.33333333333303</v>
      </c>
      <c r="AK147" s="193">
        <f t="shared" si="629"/>
        <v>683.2</v>
      </c>
      <c r="AL147" s="193">
        <f t="shared" si="629"/>
        <v>591.555555555556</v>
      </c>
      <c r="AM147" s="193">
        <f t="shared" si="629"/>
        <v>583.64444444444496</v>
      </c>
      <c r="AN147" s="193">
        <f t="shared" si="629"/>
        <v>452.066666666667</v>
      </c>
      <c r="AO147" s="193">
        <f t="shared" si="629"/>
        <v>518.06666666666695</v>
      </c>
      <c r="AP147" s="193">
        <f t="shared" si="629"/>
        <v>634.4</v>
      </c>
      <c r="AQ147" s="193">
        <f t="shared" si="629"/>
        <v>828.3</v>
      </c>
      <c r="AR147" s="193">
        <f t="shared" si="629"/>
        <v>956.9</v>
      </c>
      <c r="AS147" s="193">
        <f t="shared" si="629"/>
        <v>933.33333333333303</v>
      </c>
      <c r="AT147" s="193">
        <f t="shared" si="629"/>
        <v>991.03333333333296</v>
      </c>
      <c r="AU147" s="193">
        <f t="shared" si="629"/>
        <v>1030.2333333333299</v>
      </c>
      <c r="AV147" s="193">
        <f t="shared" si="629"/>
        <v>942.1</v>
      </c>
      <c r="AW147" s="193">
        <f t="shared" si="629"/>
        <v>843.66666666666697</v>
      </c>
      <c r="AX147" s="193">
        <f t="shared" si="629"/>
        <v>677.73333333333301</v>
      </c>
      <c r="AY147" s="193">
        <f t="shared" si="629"/>
        <v>784.66666666666697</v>
      </c>
      <c r="AZ147" s="193">
        <f t="shared" si="629"/>
        <v>941.7</v>
      </c>
      <c r="BA147" s="193">
        <f t="shared" si="629"/>
        <v>863.53333333333296</v>
      </c>
      <c r="BB147" s="193">
        <f t="shared" si="629"/>
        <v>900</v>
      </c>
      <c r="BC147" s="193">
        <f t="shared" si="629"/>
        <v>1052</v>
      </c>
      <c r="BD147" s="193">
        <f t="shared" si="629"/>
        <v>1114</v>
      </c>
      <c r="BE147" s="193">
        <f t="shared" si="629"/>
        <v>1124.5</v>
      </c>
      <c r="BF147" s="193">
        <f t="shared" si="629"/>
        <v>1243.1500000000001</v>
      </c>
      <c r="BG147" s="193">
        <f t="shared" si="629"/>
        <v>1205.5999999999999</v>
      </c>
      <c r="BH147" s="193">
        <f t="shared" si="629"/>
        <v>1226.05</v>
      </c>
      <c r="BI147" s="193">
        <f t="shared" si="629"/>
        <v>1183.4000000000001</v>
      </c>
      <c r="BJ147" s="193">
        <f t="shared" si="629"/>
        <v>1202.3</v>
      </c>
      <c r="BK147" s="193">
        <f t="shared" si="629"/>
        <v>1284.9000000000001</v>
      </c>
      <c r="BL147" s="193">
        <f t="shared" si="629"/>
        <v>1274.0999999999999</v>
      </c>
      <c r="BM147" s="193">
        <f t="shared" si="629"/>
        <v>1255.5999999999999</v>
      </c>
      <c r="BN147" s="193">
        <f t="shared" si="629"/>
        <v>661.05</v>
      </c>
      <c r="BO147" s="193">
        <f t="shared" si="629"/>
        <v>763</v>
      </c>
      <c r="BP147" s="193">
        <f t="shared" si="629"/>
        <v>842.5</v>
      </c>
      <c r="BQ147" s="193">
        <f t="shared" si="629"/>
        <v>876.25</v>
      </c>
      <c r="BR147" s="193">
        <f t="shared" si="629"/>
        <v>1281</v>
      </c>
      <c r="BS147" s="193">
        <f t="shared" si="629"/>
        <v>1306.4000000000001</v>
      </c>
      <c r="BT147" s="193">
        <f t="shared" si="629"/>
        <v>1475.85</v>
      </c>
      <c r="BU147" s="193">
        <f t="shared" si="629"/>
        <v>1684.4</v>
      </c>
      <c r="BV147" s="193">
        <f t="shared" si="629"/>
        <v>1595</v>
      </c>
      <c r="BW147" s="193">
        <f t="shared" si="629"/>
        <v>1456.8</v>
      </c>
      <c r="BX147" s="193">
        <f t="shared" si="629"/>
        <v>1535</v>
      </c>
      <c r="BY147" s="193">
        <f t="shared" si="629"/>
        <v>1814</v>
      </c>
      <c r="BZ147" s="193">
        <f t="shared" si="629"/>
        <v>2058.1</v>
      </c>
      <c r="CA147" s="193">
        <f t="shared" si="629"/>
        <v>2155.5500000000002</v>
      </c>
      <c r="CB147" s="193">
        <f t="shared" si="629"/>
        <v>2419.9499999999998</v>
      </c>
      <c r="CC147" s="193">
        <f t="shared" si="629"/>
        <v>2856.85</v>
      </c>
      <c r="CD147" s="193">
        <f t="shared" si="629"/>
        <v>3264</v>
      </c>
      <c r="CE147" s="193">
        <f t="shared" si="629"/>
        <v>3175.5</v>
      </c>
      <c r="CF147" s="193">
        <f t="shared" si="629"/>
        <v>3401.05</v>
      </c>
      <c r="CG147" s="193">
        <f t="shared" si="629"/>
        <v>3262.95</v>
      </c>
      <c r="CH147" s="193">
        <f t="shared" si="629"/>
        <v>3141.3</v>
      </c>
      <c r="CI147" s="193">
        <f t="shared" si="629"/>
        <v>2967.65</v>
      </c>
      <c r="CJ147" s="193">
        <f t="shared" si="629"/>
        <v>3405.3</v>
      </c>
      <c r="CK147" s="193">
        <f t="shared" si="633"/>
        <v>3614.8</v>
      </c>
      <c r="CL147" s="193">
        <f t="shared" si="633"/>
        <v>3288.65</v>
      </c>
      <c r="CM147" s="193">
        <f t="shared" ref="CM147:DB147" si="636">+CM140+CM155</f>
        <v>3330.6077100770408</v>
      </c>
      <c r="CN147" s="193">
        <f t="shared" si="636"/>
        <v>3376.1936011959856</v>
      </c>
      <c r="CO147" s="193">
        <f t="shared" si="636"/>
        <v>3579.8770872121272</v>
      </c>
      <c r="CP147" s="193">
        <f t="shared" si="636"/>
        <v>3578.7090184956082</v>
      </c>
      <c r="CQ147" s="193">
        <f t="shared" si="636"/>
        <v>3694.6315551253006</v>
      </c>
      <c r="CR147" s="193">
        <f t="shared" si="636"/>
        <v>3802.0104573278886</v>
      </c>
      <c r="CS147" s="193">
        <f t="shared" si="636"/>
        <v>3896.9433351005305</v>
      </c>
      <c r="CT147" s="193">
        <f t="shared" si="636"/>
        <v>3949.6091376050626</v>
      </c>
      <c r="CU147" s="193">
        <f t="shared" si="636"/>
        <v>4010.5413566081111</v>
      </c>
      <c r="CV147" s="193">
        <f t="shared" si="636"/>
        <v>4069.77538334067</v>
      </c>
      <c r="CW147" s="193">
        <f t="shared" si="636"/>
        <v>4118.1672473885046</v>
      </c>
      <c r="CX147" s="193">
        <f t="shared" si="636"/>
        <v>4155.9128536364215</v>
      </c>
      <c r="CY147" s="193">
        <f t="shared" si="636"/>
        <v>4186.3687543704291</v>
      </c>
      <c r="CZ147" s="193">
        <f t="shared" si="636"/>
        <v>4219.6961885756382</v>
      </c>
      <c r="DA147" s="193">
        <f t="shared" si="636"/>
        <v>4247.7108572233265</v>
      </c>
      <c r="DB147" s="193">
        <f t="shared" si="636"/>
        <v>4273.8879297800831</v>
      </c>
      <c r="DE147" s="193"/>
      <c r="DF147" s="194">
        <v>3280.4</v>
      </c>
    </row>
    <row r="148" spans="1:110" s="194" customFormat="1" x14ac:dyDescent="0.2">
      <c r="A148" s="253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  <c r="AB148" s="193"/>
      <c r="AC148" s="193"/>
      <c r="AD148" s="193"/>
      <c r="AE148" s="193"/>
      <c r="AI148" s="193"/>
      <c r="AJ148" s="193"/>
      <c r="AK148" s="193"/>
      <c r="AL148" s="193"/>
      <c r="AM148" s="193"/>
      <c r="AN148" s="193"/>
      <c r="AO148" s="193"/>
      <c r="AP148" s="193"/>
      <c r="AQ148" s="193"/>
      <c r="AR148" s="193"/>
      <c r="AS148" s="193"/>
      <c r="AT148" s="193"/>
      <c r="AU148" s="193"/>
      <c r="AV148" s="193"/>
      <c r="AW148" s="193"/>
      <c r="AX148" s="193"/>
      <c r="AY148" s="193"/>
      <c r="AZ148" s="193"/>
      <c r="BA148" s="193"/>
      <c r="BB148" s="193"/>
      <c r="BC148" s="193"/>
      <c r="BD148" s="193"/>
      <c r="BE148" s="193"/>
      <c r="BF148" s="193"/>
      <c r="BG148" s="193"/>
      <c r="BH148" s="193"/>
      <c r="BI148" s="193"/>
      <c r="BJ148" s="193"/>
      <c r="BK148" s="193"/>
      <c r="BL148" s="193"/>
      <c r="BM148" s="193"/>
      <c r="BN148" s="193"/>
      <c r="BO148" s="193"/>
      <c r="BP148" s="193"/>
      <c r="BQ148" s="193"/>
      <c r="BR148" s="193"/>
      <c r="BS148" s="193"/>
      <c r="BT148" s="193"/>
      <c r="BU148" s="193"/>
      <c r="BV148" s="193"/>
      <c r="BW148" s="193"/>
      <c r="BX148" s="193"/>
      <c r="BY148" s="193"/>
      <c r="BZ148" s="193"/>
      <c r="CA148" s="193"/>
      <c r="CB148" s="193"/>
      <c r="CC148" s="193"/>
      <c r="CD148" s="193"/>
      <c r="CE148" s="193"/>
      <c r="CF148" s="193"/>
      <c r="CG148" s="193"/>
      <c r="CH148" s="193"/>
      <c r="CI148" s="193"/>
      <c r="CJ148" s="193"/>
      <c r="CK148" s="193"/>
      <c r="CL148" s="193"/>
      <c r="CM148" s="193"/>
      <c r="CN148" s="193"/>
      <c r="CO148" s="193"/>
      <c r="CP148" s="193"/>
      <c r="CQ148" s="193"/>
      <c r="CR148" s="193"/>
      <c r="CS148" s="193"/>
      <c r="CT148" s="193"/>
      <c r="CU148" s="193"/>
      <c r="CV148" s="193"/>
      <c r="CW148" s="193"/>
      <c r="CX148" s="193"/>
      <c r="CY148" s="193"/>
      <c r="CZ148" s="193"/>
      <c r="DA148" s="193"/>
      <c r="DB148" s="193"/>
      <c r="DE148" s="193"/>
    </row>
    <row r="149" spans="1:110" s="255" customFormat="1" x14ac:dyDescent="0.2">
      <c r="A149" s="254" t="s">
        <v>546</v>
      </c>
      <c r="AA149" s="255">
        <f>+AA146/AA145-1</f>
        <v>0.26701481037582386</v>
      </c>
      <c r="AB149" s="255">
        <f t="shared" ref="AB149:AE149" si="637">+AB146/AB145-1</f>
        <v>0.21413263426341689</v>
      </c>
      <c r="AC149" s="255">
        <f t="shared" si="637"/>
        <v>0.40419525839629822</v>
      </c>
      <c r="AD149" s="255">
        <f t="shared" si="637"/>
        <v>0.63555333840943096</v>
      </c>
      <c r="AE149" s="255">
        <f t="shared" si="637"/>
        <v>0.90711463512811519</v>
      </c>
      <c r="CM149" s="255">
        <f t="shared" ref="CM149:DB149" si="638">+CM146/CM145-1</f>
        <v>0.28427964191392574</v>
      </c>
      <c r="CN149" s="255">
        <f t="shared" si="638"/>
        <v>0.30303740369925025</v>
      </c>
      <c r="CO149" s="255">
        <f t="shared" si="638"/>
        <v>0.38684943888193879</v>
      </c>
      <c r="CP149" s="255">
        <f t="shared" si="638"/>
        <v>0.38636879993432705</v>
      </c>
      <c r="CQ149" s="255">
        <f t="shared" si="638"/>
        <v>0.43406880698204797</v>
      </c>
      <c r="CR149" s="255">
        <f t="shared" si="638"/>
        <v>0.47825326447198235</v>
      </c>
      <c r="CS149" s="255">
        <f t="shared" si="638"/>
        <v>0.5173164101766079</v>
      </c>
      <c r="CT149" s="255">
        <f t="shared" si="638"/>
        <v>0.53898742621609452</v>
      </c>
      <c r="CU149" s="255">
        <f t="shared" si="638"/>
        <v>0.56405992169782504</v>
      </c>
      <c r="CV149" s="255">
        <f t="shared" si="638"/>
        <v>0.58843364206967741</v>
      </c>
      <c r="CW149" s="255">
        <f t="shared" si="638"/>
        <v>0.60834601047745074</v>
      </c>
      <c r="CX149" s="255">
        <f t="shared" si="638"/>
        <v>0.62387763820396969</v>
      </c>
      <c r="CY149" s="255">
        <f t="shared" si="638"/>
        <v>0.63640968522341668</v>
      </c>
      <c r="CZ149" s="255">
        <f t="shared" si="638"/>
        <v>0.65012331583132155</v>
      </c>
      <c r="DA149" s="255">
        <f t="shared" si="638"/>
        <v>0.66165084042477496</v>
      </c>
      <c r="DB149" s="255">
        <f t="shared" si="638"/>
        <v>0.67242222778178884</v>
      </c>
      <c r="DF149" s="255">
        <v>7.0000000000000007E-2</v>
      </c>
    </row>
    <row r="150" spans="1:110" s="255" customFormat="1" x14ac:dyDescent="0.2">
      <c r="A150" s="254" t="s">
        <v>547</v>
      </c>
      <c r="AA150" s="255">
        <f>+AA147/AA145-1</f>
        <v>-0.15314042747481671</v>
      </c>
      <c r="AB150" s="255">
        <f t="shared" ref="AB150:AE150" si="639">+AB147/AB145-1</f>
        <v>-0.1156719980199028</v>
      </c>
      <c r="AC150" s="255">
        <f t="shared" si="639"/>
        <v>-3.5516214624543685E-2</v>
      </c>
      <c r="AD150" s="255">
        <f t="shared" si="639"/>
        <v>0.13676655186399578</v>
      </c>
      <c r="AE150" s="255">
        <f t="shared" si="639"/>
        <v>0.33042102549561925</v>
      </c>
      <c r="CM150" s="255">
        <f t="shared" ref="CM150:DB150" si="640">+CM147/CM145-1</f>
        <v>-4.956547382443266E-2</v>
      </c>
      <c r="CN150" s="255">
        <f t="shared" si="640"/>
        <v>-3.6556915447882532E-2</v>
      </c>
      <c r="CO150" s="255">
        <f t="shared" si="640"/>
        <v>2.1566956942078885E-2</v>
      </c>
      <c r="CP150" s="255">
        <f t="shared" si="640"/>
        <v>2.1233632535915259E-2</v>
      </c>
      <c r="CQ150" s="255">
        <f t="shared" si="640"/>
        <v>5.4313716041805904E-2</v>
      </c>
      <c r="CR150" s="255">
        <f t="shared" si="640"/>
        <v>8.4955756450043829E-2</v>
      </c>
      <c r="CS150" s="255">
        <f t="shared" si="640"/>
        <v>0.11204615332606527</v>
      </c>
      <c r="CT150" s="255">
        <f t="shared" si="640"/>
        <v>0.1270750613831757</v>
      </c>
      <c r="CU150" s="255">
        <f t="shared" si="640"/>
        <v>0.14446290460523104</v>
      </c>
      <c r="CV150" s="255">
        <f t="shared" si="640"/>
        <v>0.16136614540440886</v>
      </c>
      <c r="CW150" s="255">
        <f t="shared" si="640"/>
        <v>0.17517542658690877</v>
      </c>
      <c r="CX150" s="255">
        <f t="shared" si="640"/>
        <v>0.18594665229472973</v>
      </c>
      <c r="CY150" s="255">
        <f t="shared" si="640"/>
        <v>0.19463766069412691</v>
      </c>
      <c r="CZ150" s="255">
        <f t="shared" si="640"/>
        <v>0.2041481004981418</v>
      </c>
      <c r="DA150" s="255">
        <f t="shared" si="640"/>
        <v>0.21214246988651841</v>
      </c>
      <c r="DB150" s="255">
        <f t="shared" si="640"/>
        <v>0.2196124560625754</v>
      </c>
      <c r="DF150" s="255">
        <v>-0.06</v>
      </c>
    </row>
    <row r="151" spans="1:110" s="194" customFormat="1" x14ac:dyDescent="0.2">
      <c r="A151" s="253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  <c r="AB151" s="193"/>
      <c r="AC151" s="193"/>
      <c r="AD151" s="193"/>
      <c r="AE151" s="193"/>
      <c r="AI151" s="193"/>
      <c r="AJ151" s="193"/>
      <c r="AK151" s="193"/>
      <c r="AL151" s="193"/>
      <c r="AM151" s="193"/>
      <c r="AN151" s="193"/>
      <c r="AO151" s="193"/>
      <c r="AP151" s="193"/>
      <c r="AQ151" s="193"/>
      <c r="AR151" s="193"/>
      <c r="AS151" s="193"/>
      <c r="AT151" s="193"/>
      <c r="AU151" s="193"/>
      <c r="AV151" s="193"/>
      <c r="AW151" s="193"/>
      <c r="AX151" s="193"/>
      <c r="AY151" s="193"/>
      <c r="AZ151" s="193"/>
      <c r="BA151" s="193"/>
      <c r="BB151" s="193"/>
      <c r="BC151" s="193"/>
      <c r="BD151" s="193"/>
      <c r="BE151" s="193"/>
      <c r="BF151" s="193"/>
      <c r="BG151" s="193"/>
      <c r="BH151" s="193"/>
      <c r="BI151" s="193"/>
      <c r="BJ151" s="193"/>
      <c r="BK151" s="193"/>
      <c r="BL151" s="193"/>
      <c r="BM151" s="193"/>
      <c r="BN151" s="193"/>
      <c r="BO151" s="193"/>
      <c r="BP151" s="193"/>
      <c r="BQ151" s="193"/>
      <c r="BR151" s="193"/>
      <c r="BS151" s="193"/>
      <c r="BT151" s="193"/>
      <c r="BU151" s="193"/>
      <c r="BV151" s="193"/>
      <c r="BW151" s="193"/>
      <c r="BX151" s="193"/>
      <c r="BY151" s="193"/>
      <c r="BZ151" s="193"/>
      <c r="CA151" s="193"/>
      <c r="CB151" s="193"/>
      <c r="CC151" s="193"/>
      <c r="CD151" s="193"/>
      <c r="CE151" s="193"/>
      <c r="CF151" s="193"/>
      <c r="CG151" s="193"/>
      <c r="CH151" s="193"/>
      <c r="CI151" s="193"/>
      <c r="CJ151" s="193"/>
      <c r="CK151" s="193"/>
      <c r="CL151" s="193"/>
      <c r="CM151" s="193"/>
      <c r="CN151" s="193"/>
      <c r="CO151" s="193"/>
      <c r="CP151" s="193"/>
      <c r="CQ151" s="193"/>
      <c r="CR151" s="193"/>
      <c r="CS151" s="193"/>
      <c r="CT151" s="193"/>
      <c r="CU151" s="193"/>
      <c r="CV151" s="193"/>
      <c r="CW151" s="193"/>
      <c r="CX151" s="193"/>
      <c r="CY151" s="193"/>
      <c r="CZ151" s="193"/>
      <c r="DA151" s="193"/>
      <c r="DB151" s="193"/>
      <c r="DE151" s="193"/>
    </row>
    <row r="152" spans="1:110" s="194" customFormat="1" x14ac:dyDescent="0.2">
      <c r="A152" s="253" t="s">
        <v>548</v>
      </c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  <c r="AB152" s="193"/>
      <c r="AC152" s="193"/>
      <c r="AD152" s="193"/>
      <c r="AE152" s="193"/>
      <c r="AI152" s="193"/>
      <c r="AJ152" s="193"/>
      <c r="AK152" s="193"/>
      <c r="AL152" s="193"/>
      <c r="AM152" s="193"/>
      <c r="AN152" s="193"/>
      <c r="AO152" s="193"/>
      <c r="AP152" s="193"/>
      <c r="AQ152" s="193"/>
      <c r="AR152" s="193"/>
      <c r="AS152" s="193"/>
      <c r="AT152" s="193"/>
      <c r="AU152" s="193"/>
      <c r="AV152" s="193"/>
      <c r="AW152" s="193"/>
      <c r="AX152" s="193"/>
      <c r="AY152" s="193"/>
      <c r="AZ152" s="193"/>
      <c r="BA152" s="193"/>
      <c r="BB152" s="193"/>
      <c r="BC152" s="193"/>
      <c r="BD152" s="193"/>
      <c r="BE152" s="193"/>
      <c r="BF152" s="193"/>
      <c r="BG152" s="193"/>
      <c r="BH152" s="193"/>
      <c r="BI152" s="193"/>
      <c r="BJ152" s="193"/>
      <c r="BK152" s="193"/>
      <c r="BL152" s="193"/>
      <c r="BM152" s="193"/>
      <c r="BN152" s="193"/>
      <c r="BO152" s="193"/>
      <c r="BP152" s="193"/>
      <c r="BQ152" s="193"/>
      <c r="BR152" s="193"/>
      <c r="BS152" s="193"/>
      <c r="BT152" s="193"/>
      <c r="BU152" s="193"/>
      <c r="BV152" s="193"/>
      <c r="BW152" s="193"/>
      <c r="BX152" s="193"/>
      <c r="BY152" s="193"/>
      <c r="BZ152" s="193"/>
      <c r="CA152" s="193"/>
      <c r="CB152" s="193"/>
      <c r="CC152" s="193"/>
      <c r="CD152" s="193"/>
      <c r="CE152" s="193"/>
      <c r="CF152" s="193"/>
      <c r="CG152" s="193"/>
      <c r="CH152" s="193"/>
      <c r="CI152" s="193"/>
      <c r="CJ152" s="193"/>
      <c r="CK152" s="193"/>
      <c r="CL152" s="193"/>
      <c r="CM152" s="193"/>
      <c r="CN152" s="193"/>
      <c r="CO152" s="193"/>
      <c r="CP152" s="193"/>
      <c r="CQ152" s="193"/>
      <c r="CR152" s="193"/>
      <c r="CS152" s="193"/>
      <c r="CT152" s="193"/>
      <c r="CU152" s="193"/>
      <c r="CV152" s="193"/>
      <c r="CW152" s="193"/>
      <c r="CX152" s="193"/>
      <c r="CY152" s="193"/>
      <c r="CZ152" s="193"/>
      <c r="DA152" s="193"/>
      <c r="DB152" s="193"/>
      <c r="DE152" s="193"/>
    </row>
    <row r="153" spans="1:110" s="194" customFormat="1" x14ac:dyDescent="0.2">
      <c r="A153" s="253" t="s">
        <v>644</v>
      </c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>
        <f t="shared" ref="W153:AE153" si="641">+W145-W$140</f>
        <v>1351.9924895700215</v>
      </c>
      <c r="X153" s="193">
        <f t="shared" si="641"/>
        <v>1774.6848799651075</v>
      </c>
      <c r="Y153" s="193">
        <f t="shared" si="641"/>
        <v>3056.9348635561373</v>
      </c>
      <c r="Z153" s="193">
        <f t="shared" si="641"/>
        <v>2775.1192322811035</v>
      </c>
      <c r="AA153" s="193">
        <f t="shared" si="641"/>
        <v>2846.9992837371428</v>
      </c>
      <c r="AB153" s="193">
        <f t="shared" si="641"/>
        <v>3266.4767666026969</v>
      </c>
      <c r="AC153" s="193">
        <f t="shared" si="641"/>
        <v>3266.4767666026969</v>
      </c>
      <c r="AD153" s="193">
        <f t="shared" si="641"/>
        <v>3266.4767666026969</v>
      </c>
      <c r="AE153" s="193">
        <f t="shared" si="641"/>
        <v>3266.4767666026969</v>
      </c>
      <c r="AI153" s="193"/>
      <c r="AJ153" s="193"/>
      <c r="AK153" s="193"/>
      <c r="AL153" s="193"/>
      <c r="AM153" s="193"/>
      <c r="AN153" s="193"/>
      <c r="AO153" s="193"/>
      <c r="AP153" s="193"/>
      <c r="AQ153" s="193"/>
      <c r="AR153" s="193"/>
      <c r="AS153" s="193"/>
      <c r="AT153" s="193"/>
      <c r="AU153" s="193"/>
      <c r="AV153" s="193"/>
      <c r="AW153" s="193"/>
      <c r="AX153" s="193"/>
      <c r="AY153" s="193"/>
      <c r="AZ153" s="193"/>
      <c r="BA153" s="193"/>
      <c r="BB153" s="193"/>
      <c r="BC153" s="193"/>
      <c r="BD153" s="193"/>
      <c r="BE153" s="193"/>
      <c r="BF153" s="193"/>
      <c r="BG153" s="193"/>
      <c r="BH153" s="193"/>
      <c r="BI153" s="193"/>
      <c r="BJ153" s="193"/>
      <c r="BK153" s="193"/>
      <c r="BL153" s="193"/>
      <c r="BM153" s="193"/>
      <c r="BN153" s="193"/>
      <c r="BO153" s="193"/>
      <c r="BP153" s="193"/>
      <c r="BQ153" s="193"/>
      <c r="BR153" s="193"/>
      <c r="BS153" s="193">
        <f t="shared" ref="BS153:CJ153" si="642">+BS145-BS$140</f>
        <v>1075.8334717320345</v>
      </c>
      <c r="BT153" s="193">
        <f t="shared" si="642"/>
        <v>1108.8555638326488</v>
      </c>
      <c r="BU153" s="193">
        <f t="shared" si="642"/>
        <v>1181.5579818269057</v>
      </c>
      <c r="BV153" s="193">
        <f t="shared" si="642"/>
        <v>1139.4242745054705</v>
      </c>
      <c r="BW153" s="193">
        <f t="shared" si="642"/>
        <v>1149.1910089440587</v>
      </c>
      <c r="BX153" s="193">
        <f t="shared" si="642"/>
        <v>1384.6608822260187</v>
      </c>
      <c r="BY153" s="193">
        <f t="shared" si="642"/>
        <v>1463.9630945836213</v>
      </c>
      <c r="BZ153" s="193">
        <f t="shared" si="642"/>
        <v>1519.9718539824071</v>
      </c>
      <c r="CA153" s="193">
        <f t="shared" si="642"/>
        <v>1731.6758379775363</v>
      </c>
      <c r="CB153" s="193">
        <f t="shared" si="642"/>
        <v>2250.0904170379117</v>
      </c>
      <c r="CC153" s="193">
        <f t="shared" si="642"/>
        <v>2601.6013281560104</v>
      </c>
      <c r="CD153" s="193">
        <f t="shared" si="642"/>
        <v>2975.7580575217185</v>
      </c>
      <c r="CE153" s="193">
        <f t="shared" si="642"/>
        <v>2709.8584594354988</v>
      </c>
      <c r="CF153" s="193">
        <f t="shared" si="642"/>
        <v>2733.9692709886954</v>
      </c>
      <c r="CG153" s="193">
        <f t="shared" si="642"/>
        <v>2791.4017869572172</v>
      </c>
      <c r="CH153" s="193">
        <f t="shared" si="642"/>
        <v>2760.0445108865542</v>
      </c>
      <c r="CI153" s="193">
        <f t="shared" si="642"/>
        <v>2834.663836138272</v>
      </c>
      <c r="CJ153" s="193">
        <f t="shared" si="642"/>
        <v>2757.0720109047293</v>
      </c>
      <c r="CK153" s="193">
        <f t="shared" ref="CK153:CL153" si="643">+CK145-CK$140</f>
        <v>3259.8238528060483</v>
      </c>
      <c r="CL153" s="193">
        <f t="shared" si="643"/>
        <v>2820.7767666026971</v>
      </c>
      <c r="CM153" s="193">
        <f t="shared" ref="CM153:DB153" si="644">+CM145-CM$140</f>
        <v>2820.7767666026971</v>
      </c>
      <c r="CN153" s="193">
        <f t="shared" si="644"/>
        <v>2820.7767666026971</v>
      </c>
      <c r="CO153" s="193">
        <f t="shared" si="644"/>
        <v>2820.7767666026971</v>
      </c>
      <c r="CP153" s="193">
        <f t="shared" si="644"/>
        <v>2820.7767666026971</v>
      </c>
      <c r="CQ153" s="193">
        <f t="shared" si="644"/>
        <v>2820.7767666026971</v>
      </c>
      <c r="CR153" s="193">
        <f t="shared" si="644"/>
        <v>2820.7767666026971</v>
      </c>
      <c r="CS153" s="193">
        <f t="shared" si="644"/>
        <v>2820.7767666026971</v>
      </c>
      <c r="CT153" s="193">
        <f t="shared" si="644"/>
        <v>2820.7767666026971</v>
      </c>
      <c r="CU153" s="193">
        <f t="shared" si="644"/>
        <v>2820.7767666026971</v>
      </c>
      <c r="CV153" s="193">
        <f t="shared" si="644"/>
        <v>2820.7767666026971</v>
      </c>
      <c r="CW153" s="193">
        <f t="shared" si="644"/>
        <v>2820.7767666026971</v>
      </c>
      <c r="CX153" s="193">
        <f t="shared" si="644"/>
        <v>2820.7767666026971</v>
      </c>
      <c r="CY153" s="193">
        <f t="shared" si="644"/>
        <v>2820.7767666026971</v>
      </c>
      <c r="CZ153" s="193">
        <f t="shared" si="644"/>
        <v>2820.7767666026971</v>
      </c>
      <c r="DA153" s="193">
        <f t="shared" si="644"/>
        <v>2820.7767666026971</v>
      </c>
      <c r="DB153" s="193">
        <f t="shared" si="644"/>
        <v>2820.7767666026971</v>
      </c>
      <c r="DE153" s="193"/>
      <c r="DF153" s="194">
        <v>2681.02</v>
      </c>
    </row>
    <row r="154" spans="1:110" s="194" customFormat="1" x14ac:dyDescent="0.2">
      <c r="A154" s="253" t="s">
        <v>645</v>
      </c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>
        <f t="shared" ref="W154:AE154" si="645">+W146-W$140</f>
        <v>1662.7424895700212</v>
      </c>
      <c r="X154" s="193">
        <f t="shared" si="645"/>
        <v>1907.2348799651077</v>
      </c>
      <c r="Y154" s="193">
        <f t="shared" si="645"/>
        <v>3094.834863556137</v>
      </c>
      <c r="Z154" s="193">
        <f t="shared" si="645"/>
        <v>3247.1192322811035</v>
      </c>
      <c r="AA154" s="193">
        <f t="shared" si="645"/>
        <v>3782.6992837371427</v>
      </c>
      <c r="AB154" s="193">
        <f t="shared" si="645"/>
        <v>4112.3006719431942</v>
      </c>
      <c r="AC154" s="193">
        <f t="shared" si="645"/>
        <v>4863.048037268074</v>
      </c>
      <c r="AD154" s="193">
        <f t="shared" si="645"/>
        <v>5776.9124533199483</v>
      </c>
      <c r="AE154" s="193">
        <f t="shared" si="645"/>
        <v>6849.5795753587518</v>
      </c>
      <c r="AI154" s="193"/>
      <c r="AJ154" s="193"/>
      <c r="AK154" s="193"/>
      <c r="AL154" s="193"/>
      <c r="AM154" s="193"/>
      <c r="AN154" s="193"/>
      <c r="AO154" s="193"/>
      <c r="AP154" s="193"/>
      <c r="AQ154" s="193"/>
      <c r="AR154" s="193"/>
      <c r="AS154" s="193"/>
      <c r="AT154" s="193"/>
      <c r="AU154" s="193"/>
      <c r="AV154" s="193"/>
      <c r="AW154" s="193"/>
      <c r="AX154" s="193"/>
      <c r="AY154" s="193"/>
      <c r="AZ154" s="193"/>
      <c r="BA154" s="193"/>
      <c r="BB154" s="193"/>
      <c r="BC154" s="193"/>
      <c r="BD154" s="193"/>
      <c r="BE154" s="193"/>
      <c r="BF154" s="193"/>
      <c r="BG154" s="193"/>
      <c r="BH154" s="193"/>
      <c r="BI154" s="193"/>
      <c r="BJ154" s="193"/>
      <c r="BK154" s="193"/>
      <c r="BL154" s="193"/>
      <c r="BM154" s="193"/>
      <c r="BN154" s="193"/>
      <c r="BO154" s="193"/>
      <c r="BP154" s="193"/>
      <c r="BQ154" s="193"/>
      <c r="BR154" s="193"/>
      <c r="BS154" s="193">
        <f t="shared" ref="BS154:CJ154" si="646">+BS146-BS$140</f>
        <v>1157.2334717320346</v>
      </c>
      <c r="BT154" s="193">
        <f t="shared" si="646"/>
        <v>1215.7055638326487</v>
      </c>
      <c r="BU154" s="193">
        <f t="shared" si="646"/>
        <v>1269.5079818269057</v>
      </c>
      <c r="BV154" s="193">
        <f t="shared" si="646"/>
        <v>1450.1742745054703</v>
      </c>
      <c r="BW154" s="193">
        <f t="shared" si="646"/>
        <v>1452.1410089440587</v>
      </c>
      <c r="BX154" s="193">
        <f t="shared" si="646"/>
        <v>1530.9608822260186</v>
      </c>
      <c r="BY154" s="193">
        <f t="shared" si="646"/>
        <v>1588.1630945836212</v>
      </c>
      <c r="BZ154" s="193">
        <f t="shared" si="646"/>
        <v>1652.5218539824073</v>
      </c>
      <c r="CA154" s="193">
        <f t="shared" si="646"/>
        <v>1740.1258379775361</v>
      </c>
      <c r="CB154" s="193">
        <f t="shared" si="646"/>
        <v>2285.1404170379119</v>
      </c>
      <c r="CC154" s="193">
        <f t="shared" si="646"/>
        <v>2634.3013281560102</v>
      </c>
      <c r="CD154" s="193">
        <f t="shared" si="646"/>
        <v>3013.6580575217185</v>
      </c>
      <c r="CE154" s="193">
        <f t="shared" si="646"/>
        <v>3109.0584594354987</v>
      </c>
      <c r="CF154" s="193">
        <f t="shared" si="646"/>
        <v>2896.4692709886954</v>
      </c>
      <c r="CG154" s="193">
        <f t="shared" si="646"/>
        <v>3146.4017869572172</v>
      </c>
      <c r="CH154" s="193">
        <f t="shared" si="646"/>
        <v>2993.0445108865542</v>
      </c>
      <c r="CI154" s="193">
        <f t="shared" si="646"/>
        <v>2896.1138361382718</v>
      </c>
      <c r="CJ154" s="193">
        <f t="shared" si="646"/>
        <v>2892.9720109047289</v>
      </c>
      <c r="CK154" s="193">
        <f t="shared" ref="CK154:CL154" si="647">+CK146-CK$140</f>
        <v>3315.7238528060484</v>
      </c>
      <c r="CL154" s="193">
        <f t="shared" si="647"/>
        <v>3756.4767666026969</v>
      </c>
      <c r="CM154" s="193">
        <f t="shared" ref="CM154:DB154" si="648">+CM159*CM123</f>
        <v>3816.9779157616667</v>
      </c>
      <c r="CN154" s="193">
        <f t="shared" si="648"/>
        <v>3882.7107403859791</v>
      </c>
      <c r="CO154" s="193">
        <f t="shared" si="648"/>
        <v>4176.413255276676</v>
      </c>
      <c r="CP154" s="193">
        <f t="shared" si="648"/>
        <v>4174.7289522125593</v>
      </c>
      <c r="CQ154" s="193">
        <f t="shared" si="648"/>
        <v>4341.8840869098876</v>
      </c>
      <c r="CR154" s="193">
        <f t="shared" si="648"/>
        <v>4496.7196812918646</v>
      </c>
      <c r="CS154" s="193">
        <f t="shared" si="648"/>
        <v>4633.6086627845834</v>
      </c>
      <c r="CT154" s="193">
        <f t="shared" si="648"/>
        <v>4709.5504042917573</v>
      </c>
      <c r="CU154" s="193">
        <f t="shared" si="648"/>
        <v>4797.411950208385</v>
      </c>
      <c r="CV154" s="193">
        <f t="shared" si="648"/>
        <v>4882.8247785074673</v>
      </c>
      <c r="CW154" s="193">
        <f t="shared" si="648"/>
        <v>4952.6036911188276</v>
      </c>
      <c r="CX154" s="193">
        <f t="shared" si="648"/>
        <v>5007.0311741608684</v>
      </c>
      <c r="CY154" s="193">
        <f t="shared" si="648"/>
        <v>5050.9472265311169</v>
      </c>
      <c r="CZ154" s="193">
        <f t="shared" si="648"/>
        <v>5099.0039022703977</v>
      </c>
      <c r="DA154" s="193">
        <f t="shared" si="648"/>
        <v>5139.3998067032362</v>
      </c>
      <c r="DB154" s="193">
        <f t="shared" si="648"/>
        <v>5177.1459794184193</v>
      </c>
      <c r="DE154" s="193"/>
      <c r="DF154" s="194">
        <v>2918.53</v>
      </c>
    </row>
    <row r="155" spans="1:110" s="194" customFormat="1" x14ac:dyDescent="0.2">
      <c r="A155" s="253" t="s">
        <v>646</v>
      </c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>
        <f t="shared" ref="W155:AE155" si="649">+W147-W$140</f>
        <v>890.94248957002151</v>
      </c>
      <c r="X155" s="193">
        <f t="shared" si="649"/>
        <v>1066.7348799651074</v>
      </c>
      <c r="Y155" s="193">
        <f t="shared" si="649"/>
        <v>1438.3848635561374</v>
      </c>
      <c r="Z155" s="193">
        <f t="shared" si="649"/>
        <v>2425.4192322811036</v>
      </c>
      <c r="AA155" s="193">
        <f t="shared" si="649"/>
        <v>2310.3492837371423</v>
      </c>
      <c r="AB155" s="193">
        <f t="shared" si="649"/>
        <v>2809.5723744240809</v>
      </c>
      <c r="AC155" s="193">
        <f t="shared" si="649"/>
        <v>3126.1877188357494</v>
      </c>
      <c r="AD155" s="193">
        <f t="shared" si="649"/>
        <v>3806.70464646548</v>
      </c>
      <c r="AE155" s="193">
        <f t="shared" si="649"/>
        <v>4571.6398173103935</v>
      </c>
      <c r="AI155" s="193"/>
      <c r="AJ155" s="193"/>
      <c r="AK155" s="193"/>
      <c r="AL155" s="193"/>
      <c r="AM155" s="193"/>
      <c r="AN155" s="193"/>
      <c r="AO155" s="193"/>
      <c r="AP155" s="193"/>
      <c r="AQ155" s="193"/>
      <c r="AR155" s="193"/>
      <c r="AS155" s="193"/>
      <c r="AT155" s="193"/>
      <c r="AU155" s="193"/>
      <c r="AV155" s="193"/>
      <c r="AW155" s="193"/>
      <c r="AX155" s="193"/>
      <c r="AY155" s="193"/>
      <c r="AZ155" s="193"/>
      <c r="BA155" s="193"/>
      <c r="BB155" s="193"/>
      <c r="BC155" s="193"/>
      <c r="BD155" s="193"/>
      <c r="BE155" s="193"/>
      <c r="BF155" s="193"/>
      <c r="BG155" s="193"/>
      <c r="BH155" s="193"/>
      <c r="BI155" s="193"/>
      <c r="BJ155" s="193"/>
      <c r="BK155" s="193"/>
      <c r="BL155" s="193"/>
      <c r="BM155" s="193"/>
      <c r="BN155" s="193"/>
      <c r="BO155" s="193"/>
      <c r="BP155" s="193"/>
      <c r="BQ155" s="193"/>
      <c r="BR155" s="193"/>
      <c r="BS155" s="193">
        <f t="shared" ref="BS155:CJ155" si="650">+BS147-BS$140</f>
        <v>880.98347173203456</v>
      </c>
      <c r="BT155" s="193">
        <f t="shared" si="650"/>
        <v>881.55556383264866</v>
      </c>
      <c r="BU155" s="193">
        <f t="shared" si="650"/>
        <v>970.95798182690578</v>
      </c>
      <c r="BV155" s="193">
        <f t="shared" si="650"/>
        <v>966.97427450547048</v>
      </c>
      <c r="BW155" s="193">
        <f t="shared" si="650"/>
        <v>1048.9410089440587</v>
      </c>
      <c r="BX155" s="193">
        <f t="shared" si="650"/>
        <v>1070.9608822260186</v>
      </c>
      <c r="BY155" s="193">
        <f t="shared" si="650"/>
        <v>1191.6630945836212</v>
      </c>
      <c r="BZ155" s="193">
        <f t="shared" si="650"/>
        <v>1413.321853982407</v>
      </c>
      <c r="CA155" s="193">
        <f t="shared" si="650"/>
        <v>1412.7258379775365</v>
      </c>
      <c r="CB155" s="193">
        <f t="shared" si="650"/>
        <v>1648.0904170379119</v>
      </c>
      <c r="CC155" s="193">
        <f t="shared" si="650"/>
        <v>1931.4013281560101</v>
      </c>
      <c r="CD155" s="193">
        <f t="shared" si="650"/>
        <v>2465.6580575217185</v>
      </c>
      <c r="CE155" s="193">
        <f t="shared" si="650"/>
        <v>2335.9584594354988</v>
      </c>
      <c r="CF155" s="193">
        <f t="shared" si="650"/>
        <v>2459.5192709886956</v>
      </c>
      <c r="CG155" s="193">
        <f t="shared" si="650"/>
        <v>2446.351786957217</v>
      </c>
      <c r="CH155" s="193">
        <f t="shared" si="650"/>
        <v>2410.3445108865544</v>
      </c>
      <c r="CI155" s="193">
        <f t="shared" si="650"/>
        <v>2133.7638361382719</v>
      </c>
      <c r="CJ155" s="193">
        <f t="shared" si="650"/>
        <v>2503.5720109047293</v>
      </c>
      <c r="CK155" s="193">
        <f t="shared" ref="CK155:CL155" si="651">+CK147-CK$140</f>
        <v>2791.5238528060486</v>
      </c>
      <c r="CL155" s="193">
        <f t="shared" si="651"/>
        <v>2605.126766602697</v>
      </c>
      <c r="CM155" s="193">
        <f t="shared" ref="CM155:DB155" si="652">+CM160*CM123</f>
        <v>2647.0844766797377</v>
      </c>
      <c r="CN155" s="193">
        <f t="shared" si="652"/>
        <v>2692.6703677986825</v>
      </c>
      <c r="CO155" s="193">
        <f t="shared" si="652"/>
        <v>2896.3538538148241</v>
      </c>
      <c r="CP155" s="193">
        <f t="shared" si="652"/>
        <v>2895.1857850983051</v>
      </c>
      <c r="CQ155" s="193">
        <f t="shared" si="652"/>
        <v>3011.1083217279975</v>
      </c>
      <c r="CR155" s="193">
        <f t="shared" si="652"/>
        <v>3118.4872239305855</v>
      </c>
      <c r="CS155" s="193">
        <f t="shared" si="652"/>
        <v>3213.4201017032274</v>
      </c>
      <c r="CT155" s="193">
        <f t="shared" si="652"/>
        <v>3266.0859042077595</v>
      </c>
      <c r="CU155" s="193">
        <f t="shared" si="652"/>
        <v>3327.018123210808</v>
      </c>
      <c r="CV155" s="193">
        <f t="shared" si="652"/>
        <v>3386.2521499433669</v>
      </c>
      <c r="CW155" s="193">
        <f t="shared" si="652"/>
        <v>3434.6440139912011</v>
      </c>
      <c r="CX155" s="193">
        <f t="shared" si="652"/>
        <v>3472.3896202391184</v>
      </c>
      <c r="CY155" s="193">
        <f t="shared" si="652"/>
        <v>3502.8455209731264</v>
      </c>
      <c r="CZ155" s="193">
        <f t="shared" si="652"/>
        <v>3536.1729551783351</v>
      </c>
      <c r="DA155" s="193">
        <f t="shared" si="652"/>
        <v>3564.1876238260234</v>
      </c>
      <c r="DB155" s="193">
        <f t="shared" si="652"/>
        <v>3590.3646963827805</v>
      </c>
      <c r="DE155" s="193"/>
      <c r="DF155" s="194">
        <v>2457.12</v>
      </c>
    </row>
    <row r="156" spans="1:110" s="194" customFormat="1" x14ac:dyDescent="0.2">
      <c r="A156" s="253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  <c r="AB156" s="193"/>
      <c r="AC156" s="193"/>
      <c r="AD156" s="193"/>
      <c r="AE156" s="193"/>
      <c r="AI156" s="193"/>
      <c r="AJ156" s="193"/>
      <c r="AK156" s="193"/>
      <c r="AL156" s="193"/>
      <c r="AM156" s="193"/>
      <c r="AN156" s="193"/>
      <c r="AO156" s="193"/>
      <c r="AP156" s="193"/>
      <c r="AQ156" s="193"/>
      <c r="AR156" s="193"/>
      <c r="AS156" s="193"/>
      <c r="AT156" s="193"/>
      <c r="AU156" s="193"/>
      <c r="AV156" s="193"/>
      <c r="AW156" s="193"/>
      <c r="AX156" s="193"/>
      <c r="AY156" s="193"/>
      <c r="AZ156" s="193"/>
      <c r="BA156" s="193"/>
      <c r="BB156" s="193"/>
      <c r="BC156" s="193"/>
      <c r="BD156" s="193"/>
      <c r="BE156" s="193"/>
      <c r="BF156" s="193"/>
      <c r="BG156" s="193"/>
      <c r="BH156" s="193"/>
      <c r="BI156" s="193"/>
      <c r="BJ156" s="193"/>
      <c r="BK156" s="193"/>
      <c r="BL156" s="193"/>
      <c r="BM156" s="193"/>
      <c r="BN156" s="193"/>
      <c r="BO156" s="193"/>
      <c r="BP156" s="193"/>
      <c r="BQ156" s="193"/>
      <c r="BR156" s="193"/>
      <c r="BS156" s="193"/>
      <c r="BT156" s="193"/>
      <c r="BU156" s="193"/>
      <c r="BV156" s="193"/>
      <c r="BW156" s="193"/>
      <c r="BX156" s="193"/>
      <c r="BY156" s="193"/>
      <c r="BZ156" s="193"/>
      <c r="CA156" s="193"/>
      <c r="CB156" s="193"/>
      <c r="CC156" s="193"/>
      <c r="CD156" s="193"/>
      <c r="CE156" s="193"/>
      <c r="CF156" s="193"/>
      <c r="CG156" s="193"/>
      <c r="CH156" s="193"/>
      <c r="CI156" s="193"/>
      <c r="CJ156" s="193"/>
      <c r="CK156" s="193"/>
      <c r="CL156" s="193"/>
      <c r="CM156" s="193"/>
      <c r="CN156" s="193"/>
      <c r="CO156" s="193"/>
      <c r="CP156" s="193"/>
      <c r="CQ156" s="193"/>
      <c r="CR156" s="193"/>
      <c r="CS156" s="193"/>
      <c r="CT156" s="193"/>
      <c r="CU156" s="193"/>
      <c r="CV156" s="193"/>
      <c r="CW156" s="193"/>
      <c r="CX156" s="193"/>
      <c r="CY156" s="193"/>
      <c r="CZ156" s="193"/>
      <c r="DA156" s="193"/>
      <c r="DB156" s="193"/>
      <c r="DE156" s="193"/>
    </row>
    <row r="157" spans="1:110" s="194" customFormat="1" x14ac:dyDescent="0.2">
      <c r="A157" s="253" t="s">
        <v>549</v>
      </c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  <c r="AB157" s="193"/>
      <c r="AC157" s="193"/>
      <c r="AD157" s="193"/>
      <c r="AE157" s="193"/>
      <c r="AI157" s="193"/>
      <c r="AJ157" s="193"/>
      <c r="AK157" s="193"/>
      <c r="AL157" s="193"/>
      <c r="AM157" s="193"/>
      <c r="AN157" s="193"/>
      <c r="AO157" s="193"/>
      <c r="AP157" s="193"/>
      <c r="AQ157" s="193"/>
      <c r="AR157" s="193"/>
      <c r="AS157" s="193"/>
      <c r="AT157" s="193"/>
      <c r="AU157" s="193"/>
      <c r="AV157" s="193"/>
      <c r="AW157" s="193"/>
      <c r="AX157" s="193"/>
      <c r="AY157" s="193"/>
      <c r="AZ157" s="193"/>
      <c r="BA157" s="193"/>
      <c r="BB157" s="193"/>
      <c r="BC157" s="193"/>
      <c r="BD157" s="193"/>
      <c r="BE157" s="193"/>
      <c r="BF157" s="193"/>
      <c r="BG157" s="193"/>
      <c r="BH157" s="193"/>
      <c r="BI157" s="193"/>
      <c r="BJ157" s="193"/>
      <c r="BK157" s="193"/>
      <c r="BL157" s="193"/>
      <c r="BM157" s="193"/>
      <c r="BN157" s="193"/>
      <c r="BO157" s="193"/>
      <c r="BP157" s="193"/>
      <c r="BQ157" s="193"/>
      <c r="BR157" s="193"/>
      <c r="BS157" s="193"/>
      <c r="BT157" s="193"/>
      <c r="BU157" s="193"/>
      <c r="BV157" s="193"/>
      <c r="BW157" s="193"/>
      <c r="BX157" s="193"/>
      <c r="BY157" s="193"/>
      <c r="BZ157" s="193"/>
      <c r="CA157" s="193"/>
      <c r="CB157" s="193"/>
      <c r="CC157" s="193"/>
      <c r="CD157" s="193"/>
      <c r="CE157" s="193"/>
      <c r="CF157" s="193"/>
      <c r="CG157" s="193"/>
      <c r="CH157" s="193"/>
      <c r="CI157" s="193"/>
      <c r="CJ157" s="193"/>
      <c r="CK157" s="193"/>
      <c r="CL157" s="193"/>
      <c r="CM157" s="193"/>
      <c r="CN157" s="193"/>
      <c r="CO157" s="193"/>
      <c r="CP157" s="193"/>
      <c r="CQ157" s="193"/>
      <c r="CR157" s="193"/>
      <c r="CS157" s="193"/>
      <c r="CT157" s="193"/>
      <c r="CU157" s="193"/>
      <c r="CV157" s="193"/>
      <c r="CW157" s="193"/>
      <c r="CX157" s="193"/>
      <c r="CY157" s="193"/>
      <c r="CZ157" s="193"/>
      <c r="DA157" s="193"/>
      <c r="DB157" s="193"/>
      <c r="DE157" s="193"/>
    </row>
    <row r="158" spans="1:110" s="194" customFormat="1" x14ac:dyDescent="0.2">
      <c r="A158" s="253" t="s">
        <v>647</v>
      </c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>
        <f t="shared" ref="W158:AE158" si="653">+W153/W123</f>
        <v>40.590756618878224</v>
      </c>
      <c r="X158" s="193">
        <f t="shared" si="653"/>
        <v>41.329697902894871</v>
      </c>
      <c r="Y158" s="193">
        <f t="shared" si="653"/>
        <v>54.031510279468073</v>
      </c>
      <c r="Z158" s="193">
        <f t="shared" si="653"/>
        <v>39.267566055209834</v>
      </c>
      <c r="AA158" s="193">
        <f t="shared" si="653"/>
        <v>37.303310455024288</v>
      </c>
      <c r="AB158" s="193">
        <f t="shared" si="653"/>
        <v>38.510120375464808</v>
      </c>
      <c r="AC158" s="193">
        <f t="shared" si="653"/>
        <v>34.136870971406665</v>
      </c>
      <c r="AD158" s="193">
        <f t="shared" si="653"/>
        <v>32.108710509793688</v>
      </c>
      <c r="AE158" s="193">
        <f t="shared" si="653"/>
        <v>31.053656807008554</v>
      </c>
      <c r="AI158" s="193"/>
      <c r="AJ158" s="193"/>
      <c r="AK158" s="193"/>
      <c r="AL158" s="193"/>
      <c r="AM158" s="193"/>
      <c r="AN158" s="193"/>
      <c r="AO158" s="193"/>
      <c r="AP158" s="193"/>
      <c r="AQ158" s="193"/>
      <c r="AR158" s="193"/>
      <c r="AS158" s="193"/>
      <c r="AT158" s="193"/>
      <c r="AU158" s="193"/>
      <c r="AV158" s="193"/>
      <c r="AW158" s="193"/>
      <c r="AX158" s="193"/>
      <c r="AY158" s="193"/>
      <c r="AZ158" s="193"/>
      <c r="BA158" s="193"/>
      <c r="BB158" s="193"/>
      <c r="BC158" s="193"/>
      <c r="BD158" s="193"/>
      <c r="BE158" s="193"/>
      <c r="BF158" s="193"/>
      <c r="BG158" s="193"/>
      <c r="BH158" s="193"/>
      <c r="BI158" s="193"/>
      <c r="BJ158" s="193"/>
      <c r="BK158" s="193"/>
      <c r="BL158" s="193"/>
      <c r="BM158" s="193"/>
      <c r="BN158" s="193"/>
      <c r="BO158" s="193"/>
      <c r="BP158" s="193"/>
      <c r="BQ158" s="193"/>
      <c r="BR158" s="193"/>
      <c r="BS158" s="193"/>
      <c r="BT158" s="193"/>
      <c r="BU158" s="193"/>
      <c r="BV158" s="193">
        <f t="shared" ref="BV158:DB158" si="654">+BV153/BV123</f>
        <v>34.206352265299003</v>
      </c>
      <c r="BW158" s="193">
        <f t="shared" si="654"/>
        <v>32.300157179260317</v>
      </c>
      <c r="BX158" s="193">
        <f t="shared" si="654"/>
        <v>37.934082384903405</v>
      </c>
      <c r="BY158" s="193">
        <f t="shared" si="654"/>
        <v>35.889403577873821</v>
      </c>
      <c r="BZ158" s="193">
        <f t="shared" si="654"/>
        <v>35.39524773566108</v>
      </c>
      <c r="CA158" s="193">
        <f t="shared" si="654"/>
        <v>36.8389529682957</v>
      </c>
      <c r="CB158" s="193">
        <f t="shared" si="654"/>
        <v>42.024601129076714</v>
      </c>
      <c r="CC158" s="193">
        <f t="shared" si="654"/>
        <v>48.589717677460968</v>
      </c>
      <c r="CD158" s="193">
        <f t="shared" si="654"/>
        <v>52.592881871052292</v>
      </c>
      <c r="CE158" s="193">
        <f t="shared" si="654"/>
        <v>46.518729612835401</v>
      </c>
      <c r="CF158" s="193">
        <f t="shared" si="654"/>
        <v>46.572277779671829</v>
      </c>
      <c r="CG158" s="193">
        <f t="shared" si="654"/>
        <v>44.570083900742894</v>
      </c>
      <c r="CH158" s="193">
        <f t="shared" si="654"/>
        <v>39.051421795412466</v>
      </c>
      <c r="CI158" s="193">
        <f t="shared" si="654"/>
        <v>36.983987857346108</v>
      </c>
      <c r="CJ158" s="193">
        <f t="shared" si="654"/>
        <v>34.414613471869338</v>
      </c>
      <c r="CK158" s="193">
        <f t="shared" ref="CK158:CL158" si="655">+CK153/CK123</f>
        <v>40.916881470707722</v>
      </c>
      <c r="CL158" s="193">
        <f t="shared" si="655"/>
        <v>36.958266875747469</v>
      </c>
      <c r="CM158" s="193">
        <f t="shared" si="654"/>
        <v>36.3724585042415</v>
      </c>
      <c r="CN158" s="193">
        <f t="shared" si="654"/>
        <v>35.756686535666596</v>
      </c>
      <c r="CO158" s="193">
        <f t="shared" si="654"/>
        <v>33.242129637731487</v>
      </c>
      <c r="CP158" s="193">
        <f t="shared" si="654"/>
        <v>33.255541243957303</v>
      </c>
      <c r="CQ158" s="193">
        <f t="shared" si="654"/>
        <v>31.975259604743286</v>
      </c>
      <c r="CR158" s="193">
        <f t="shared" si="654"/>
        <v>30.874255166548888</v>
      </c>
      <c r="CS158" s="193">
        <f t="shared" si="654"/>
        <v>29.962148501599039</v>
      </c>
      <c r="CT158" s="193">
        <f t="shared" si="654"/>
        <v>29.479007322255367</v>
      </c>
      <c r="CU158" s="193">
        <f t="shared" si="654"/>
        <v>28.939118068986538</v>
      </c>
      <c r="CV158" s="193">
        <f t="shared" si="654"/>
        <v>28.432900452160901</v>
      </c>
      <c r="CW158" s="193">
        <f t="shared" si="654"/>
        <v>28.032299677361042</v>
      </c>
      <c r="CX158" s="193">
        <f t="shared" si="654"/>
        <v>27.727582677955766</v>
      </c>
      <c r="CY158" s="193">
        <f t="shared" si="654"/>
        <v>27.48650196212699</v>
      </c>
      <c r="CZ158" s="193">
        <f t="shared" si="654"/>
        <v>27.227449422196027</v>
      </c>
      <c r="DA158" s="193">
        <f t="shared" si="654"/>
        <v>27.013440493882175</v>
      </c>
      <c r="DB158" s="193">
        <f t="shared" si="654"/>
        <v>26.816487579174535</v>
      </c>
      <c r="DE158" s="193"/>
      <c r="DF158" s="194">
        <v>38.229999999999997</v>
      </c>
    </row>
    <row r="159" spans="1:110" s="194" customFormat="1" x14ac:dyDescent="0.2">
      <c r="A159" s="253" t="s">
        <v>648</v>
      </c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>
        <f t="shared" ref="W159:AE159" si="656">+W154/W123</f>
        <v>49.920377690462672</v>
      </c>
      <c r="X159" s="193">
        <f t="shared" si="656"/>
        <v>44.416584774403255</v>
      </c>
      <c r="Y159" s="193">
        <f t="shared" si="656"/>
        <v>54.701395092522155</v>
      </c>
      <c r="Z159" s="193">
        <f t="shared" si="656"/>
        <v>45.946302940624356</v>
      </c>
      <c r="AA159" s="193">
        <f t="shared" si="656"/>
        <v>49.563484804962378</v>
      </c>
      <c r="AB159" s="193">
        <f t="shared" si="656"/>
        <v>48.481959374639956</v>
      </c>
      <c r="AC159" s="193">
        <f t="shared" si="656"/>
        <v>50.822110560618121</v>
      </c>
      <c r="AD159" s="193">
        <f t="shared" si="656"/>
        <v>56.785712208506084</v>
      </c>
      <c r="AE159" s="193">
        <f t="shared" si="656"/>
        <v>65.117405879090214</v>
      </c>
      <c r="AI159" s="193"/>
      <c r="AJ159" s="193"/>
      <c r="AK159" s="193"/>
      <c r="AL159" s="193"/>
      <c r="AM159" s="193"/>
      <c r="AN159" s="193"/>
      <c r="AO159" s="193"/>
      <c r="AP159" s="193"/>
      <c r="AQ159" s="193"/>
      <c r="AR159" s="193"/>
      <c r="AS159" s="193"/>
      <c r="AT159" s="193"/>
      <c r="AU159" s="193"/>
      <c r="AV159" s="193"/>
      <c r="AW159" s="193"/>
      <c r="AX159" s="193"/>
      <c r="AY159" s="193"/>
      <c r="AZ159" s="193"/>
      <c r="BA159" s="193"/>
      <c r="BB159" s="193"/>
      <c r="BC159" s="193"/>
      <c r="BD159" s="193"/>
      <c r="BE159" s="193"/>
      <c r="BF159" s="193"/>
      <c r="BG159" s="193"/>
      <c r="BH159" s="193"/>
      <c r="BI159" s="193"/>
      <c r="BJ159" s="193"/>
      <c r="BK159" s="193"/>
      <c r="BL159" s="193"/>
      <c r="BM159" s="193"/>
      <c r="BN159" s="193"/>
      <c r="BO159" s="193"/>
      <c r="BP159" s="193"/>
      <c r="BQ159" s="193"/>
      <c r="BR159" s="193"/>
      <c r="BS159" s="193"/>
      <c r="BT159" s="193"/>
      <c r="BU159" s="193"/>
      <c r="BV159" s="193">
        <f t="shared" ref="BV159:CJ159" si="657">+BV154/BV123</f>
        <v>43.535295139589699</v>
      </c>
      <c r="BW159" s="193">
        <f t="shared" si="657"/>
        <v>40.815132097527581</v>
      </c>
      <c r="BX159" s="193">
        <f t="shared" si="657"/>
        <v>41.942107977414857</v>
      </c>
      <c r="BY159" s="193">
        <f t="shared" si="657"/>
        <v>38.934196128221352</v>
      </c>
      <c r="BZ159" s="193">
        <f t="shared" si="657"/>
        <v>38.481910212383617</v>
      </c>
      <c r="CA159" s="193">
        <f t="shared" si="657"/>
        <v>37.018714760748523</v>
      </c>
      <c r="CB159" s="193">
        <f t="shared" si="657"/>
        <v>42.679224720386969</v>
      </c>
      <c r="CC159" s="193">
        <f t="shared" si="657"/>
        <v>49.200450671350985</v>
      </c>
      <c r="CD159" s="193">
        <f t="shared" si="657"/>
        <v>53.262717988230762</v>
      </c>
      <c r="CE159" s="193">
        <f t="shared" si="657"/>
        <v>53.37158821760265</v>
      </c>
      <c r="CF159" s="193">
        <f t="shared" si="657"/>
        <v>49.340412454594428</v>
      </c>
      <c r="CG159" s="193">
        <f t="shared" si="657"/>
        <v>50.238339849669181</v>
      </c>
      <c r="CH159" s="193">
        <f t="shared" si="657"/>
        <v>42.348100976650898</v>
      </c>
      <c r="CI159" s="193">
        <f t="shared" si="657"/>
        <v>37.785728799203262</v>
      </c>
      <c r="CJ159" s="193">
        <f t="shared" si="657"/>
        <v>36.110958707803995</v>
      </c>
      <c r="CK159" s="193">
        <f t="shared" ref="CK159:CL159" si="658">+CK154/CK123</f>
        <v>41.618530939357292</v>
      </c>
      <c r="CL159" s="193">
        <f t="shared" si="658"/>
        <v>49.217957442217497</v>
      </c>
      <c r="CM159" s="193">
        <f t="shared" ref="CM159:DB159" si="659">+CL159</f>
        <v>49.217957442217497</v>
      </c>
      <c r="CN159" s="193">
        <f t="shared" si="659"/>
        <v>49.217957442217497</v>
      </c>
      <c r="CO159" s="193">
        <f t="shared" si="659"/>
        <v>49.217957442217497</v>
      </c>
      <c r="CP159" s="193">
        <f t="shared" si="659"/>
        <v>49.217957442217497</v>
      </c>
      <c r="CQ159" s="193">
        <f t="shared" si="659"/>
        <v>49.217957442217497</v>
      </c>
      <c r="CR159" s="193">
        <f t="shared" si="659"/>
        <v>49.217957442217497</v>
      </c>
      <c r="CS159" s="193">
        <f t="shared" si="659"/>
        <v>49.217957442217497</v>
      </c>
      <c r="CT159" s="193">
        <f t="shared" si="659"/>
        <v>49.217957442217497</v>
      </c>
      <c r="CU159" s="193">
        <f t="shared" si="659"/>
        <v>49.217957442217497</v>
      </c>
      <c r="CV159" s="193">
        <f t="shared" si="659"/>
        <v>49.217957442217497</v>
      </c>
      <c r="CW159" s="193">
        <f t="shared" si="659"/>
        <v>49.217957442217497</v>
      </c>
      <c r="CX159" s="193">
        <f t="shared" si="659"/>
        <v>49.217957442217497</v>
      </c>
      <c r="CY159" s="193">
        <f t="shared" si="659"/>
        <v>49.217957442217497</v>
      </c>
      <c r="CZ159" s="193">
        <f t="shared" si="659"/>
        <v>49.217957442217497</v>
      </c>
      <c r="DA159" s="193">
        <f t="shared" si="659"/>
        <v>49.217957442217497</v>
      </c>
      <c r="DB159" s="193">
        <f t="shared" si="659"/>
        <v>49.217957442217497</v>
      </c>
      <c r="DE159" s="193"/>
      <c r="DF159" s="194">
        <v>41.62</v>
      </c>
    </row>
    <row r="160" spans="1:110" s="194" customFormat="1" x14ac:dyDescent="0.2">
      <c r="A160" s="253" t="s">
        <v>649</v>
      </c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>
        <f t="shared" ref="W160:AE160" si="660">+W155/W123</f>
        <v>26.748691308969885</v>
      </c>
      <c r="X160" s="193">
        <f t="shared" si="660"/>
        <v>24.842624642356526</v>
      </c>
      <c r="Y160" s="193">
        <f t="shared" si="660"/>
        <v>25.423540248631635</v>
      </c>
      <c r="Z160" s="193">
        <f t="shared" si="660"/>
        <v>34.31935781616437</v>
      </c>
      <c r="AA160" s="193">
        <f t="shared" si="660"/>
        <v>30.271759140613387</v>
      </c>
      <c r="AB160" s="193">
        <f t="shared" si="660"/>
        <v>33.12344708797125</v>
      </c>
      <c r="AC160" s="193">
        <f t="shared" si="660"/>
        <v>32.670756419089599</v>
      </c>
      <c r="AD160" s="193">
        <f t="shared" si="660"/>
        <v>37.419025519893836</v>
      </c>
      <c r="AE160" s="193">
        <f t="shared" si="660"/>
        <v>43.461547127324067</v>
      </c>
      <c r="AI160" s="193"/>
      <c r="AJ160" s="193"/>
      <c r="AK160" s="193"/>
      <c r="AL160" s="193"/>
      <c r="AM160" s="193"/>
      <c r="AN160" s="193"/>
      <c r="AO160" s="193"/>
      <c r="AP160" s="193"/>
      <c r="AQ160" s="193"/>
      <c r="AR160" s="193"/>
      <c r="AS160" s="193"/>
      <c r="AT160" s="193"/>
      <c r="AU160" s="193"/>
      <c r="AV160" s="193"/>
      <c r="AW160" s="193"/>
      <c r="AX160" s="193"/>
      <c r="AY160" s="193"/>
      <c r="AZ160" s="193"/>
      <c r="BA160" s="193"/>
      <c r="BB160" s="193"/>
      <c r="BC160" s="193"/>
      <c r="BD160" s="193"/>
      <c r="BE160" s="193"/>
      <c r="BF160" s="193"/>
      <c r="BG160" s="193"/>
      <c r="BH160" s="193"/>
      <c r="BI160" s="193"/>
      <c r="BJ160" s="193"/>
      <c r="BK160" s="193"/>
      <c r="BL160" s="193"/>
      <c r="BM160" s="193"/>
      <c r="BN160" s="193"/>
      <c r="BO160" s="193"/>
      <c r="BP160" s="193"/>
      <c r="BQ160" s="193"/>
      <c r="BR160" s="193"/>
      <c r="BS160" s="193"/>
      <c r="BT160" s="193"/>
      <c r="BU160" s="193"/>
      <c r="BV160" s="193">
        <f t="shared" ref="BV160:CJ160" si="661">+BV155/BV123</f>
        <v>29.029276806983852</v>
      </c>
      <c r="BW160" s="193">
        <f t="shared" si="661"/>
        <v>29.482443907907641</v>
      </c>
      <c r="BX160" s="193">
        <f t="shared" si="661"/>
        <v>29.339976927823141</v>
      </c>
      <c r="BY160" s="193">
        <f t="shared" si="661"/>
        <v>29.213904290759221</v>
      </c>
      <c r="BZ160" s="193">
        <f t="shared" si="661"/>
        <v>32.911712819459964</v>
      </c>
      <c r="CA160" s="193">
        <f t="shared" si="661"/>
        <v>30.053743062635327</v>
      </c>
      <c r="CB160" s="193">
        <f t="shared" si="661"/>
        <v>30.781137449511203</v>
      </c>
      <c r="CC160" s="193">
        <f t="shared" si="661"/>
        <v>36.07249283021045</v>
      </c>
      <c r="CD160" s="193">
        <f t="shared" si="661"/>
        <v>43.577488642220224</v>
      </c>
      <c r="CE160" s="193">
        <f t="shared" si="661"/>
        <v>40.100182938680902</v>
      </c>
      <c r="CF160" s="193">
        <f t="shared" si="661"/>
        <v>41.897111247164091</v>
      </c>
      <c r="CG160" s="193">
        <f t="shared" si="661"/>
        <v>39.060698787568192</v>
      </c>
      <c r="CH160" s="193">
        <f t="shared" si="661"/>
        <v>34.103573256017285</v>
      </c>
      <c r="CI160" s="193">
        <f t="shared" si="661"/>
        <v>27.839313713364319</v>
      </c>
      <c r="CJ160" s="193">
        <f t="shared" si="661"/>
        <v>31.250349179673329</v>
      </c>
      <c r="CK160" s="193">
        <f t="shared" ref="CK160:CL160" si="662">+CK155/CK123</f>
        <v>35.038841288800853</v>
      </c>
      <c r="CL160" s="193">
        <f t="shared" si="662"/>
        <v>34.132786197475312</v>
      </c>
      <c r="CM160" s="193">
        <f t="shared" ref="CM160:DB160" si="663">+CL160</f>
        <v>34.132786197475312</v>
      </c>
      <c r="CN160" s="193">
        <f t="shared" si="663"/>
        <v>34.132786197475312</v>
      </c>
      <c r="CO160" s="193">
        <f t="shared" si="663"/>
        <v>34.132786197475312</v>
      </c>
      <c r="CP160" s="193">
        <f t="shared" si="663"/>
        <v>34.132786197475312</v>
      </c>
      <c r="CQ160" s="193">
        <f t="shared" si="663"/>
        <v>34.132786197475312</v>
      </c>
      <c r="CR160" s="193">
        <f t="shared" si="663"/>
        <v>34.132786197475312</v>
      </c>
      <c r="CS160" s="193">
        <f t="shared" si="663"/>
        <v>34.132786197475312</v>
      </c>
      <c r="CT160" s="193">
        <f t="shared" si="663"/>
        <v>34.132786197475312</v>
      </c>
      <c r="CU160" s="193">
        <f t="shared" si="663"/>
        <v>34.132786197475312</v>
      </c>
      <c r="CV160" s="193">
        <f t="shared" si="663"/>
        <v>34.132786197475312</v>
      </c>
      <c r="CW160" s="193">
        <f t="shared" si="663"/>
        <v>34.132786197475312</v>
      </c>
      <c r="CX160" s="193">
        <f t="shared" si="663"/>
        <v>34.132786197475312</v>
      </c>
      <c r="CY160" s="193">
        <f t="shared" si="663"/>
        <v>34.132786197475312</v>
      </c>
      <c r="CZ160" s="193">
        <f t="shared" si="663"/>
        <v>34.132786197475312</v>
      </c>
      <c r="DA160" s="193">
        <f t="shared" si="663"/>
        <v>34.132786197475312</v>
      </c>
      <c r="DB160" s="193">
        <f t="shared" si="663"/>
        <v>34.132786197475312</v>
      </c>
      <c r="DE160" s="193"/>
      <c r="DF160" s="194">
        <v>35.04</v>
      </c>
    </row>
    <row r="161" spans="1:110" s="158" customFormat="1" x14ac:dyDescent="0.2">
      <c r="A161" s="238"/>
      <c r="B161" s="156"/>
      <c r="C161" s="156"/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  <c r="AA161" s="157"/>
      <c r="AB161" s="157"/>
      <c r="AC161" s="157"/>
      <c r="AD161" s="157"/>
      <c r="AE161" s="157"/>
      <c r="AI161" s="156"/>
      <c r="AJ161" s="156"/>
      <c r="AK161" s="156"/>
      <c r="AL161" s="156"/>
      <c r="AM161" s="156"/>
      <c r="AN161" s="156"/>
      <c r="AO161" s="156"/>
      <c r="AP161" s="156"/>
      <c r="AQ161" s="156"/>
      <c r="AR161" s="156"/>
      <c r="AS161" s="156"/>
      <c r="AT161" s="156"/>
      <c r="AU161" s="156"/>
      <c r="AV161" s="156"/>
      <c r="AW161" s="156"/>
      <c r="AX161" s="156"/>
      <c r="AY161" s="156"/>
      <c r="AZ161" s="156"/>
      <c r="BA161" s="156"/>
      <c r="BB161" s="156"/>
      <c r="BC161" s="156"/>
      <c r="BD161" s="156"/>
      <c r="BE161" s="156"/>
      <c r="BF161" s="156"/>
      <c r="BG161" s="156"/>
      <c r="BH161" s="156"/>
      <c r="BI161" s="156"/>
      <c r="BJ161" s="156"/>
      <c r="BK161" s="156"/>
      <c r="BL161" s="156"/>
      <c r="BM161" s="156"/>
      <c r="BN161" s="156"/>
      <c r="BO161" s="156"/>
      <c r="BP161" s="156"/>
      <c r="BQ161" s="156"/>
      <c r="BR161" s="156"/>
      <c r="BS161" s="156"/>
      <c r="BT161" s="156"/>
      <c r="BU161" s="156"/>
      <c r="BV161" s="156"/>
      <c r="BW161" s="156"/>
      <c r="BX161" s="156"/>
      <c r="BY161" s="156"/>
      <c r="BZ161" s="156"/>
      <c r="CA161" s="156"/>
      <c r="CB161" s="156"/>
      <c r="CC161" s="156"/>
      <c r="CD161" s="156"/>
      <c r="CE161" s="156"/>
      <c r="CF161" s="156"/>
      <c r="CG161" s="156"/>
      <c r="CH161" s="156"/>
      <c r="CI161" s="156"/>
      <c r="CJ161" s="156"/>
      <c r="CK161" s="156"/>
      <c r="CL161" s="156"/>
      <c r="CM161" s="157"/>
      <c r="CN161" s="157"/>
      <c r="CO161" s="157"/>
      <c r="CP161" s="157"/>
      <c r="CQ161" s="157"/>
      <c r="CR161" s="157"/>
      <c r="CS161" s="157"/>
      <c r="CT161" s="157"/>
      <c r="CU161" s="157"/>
      <c r="CV161" s="157"/>
      <c r="CW161" s="157"/>
      <c r="CX161" s="157"/>
      <c r="CY161" s="157"/>
      <c r="CZ161" s="157"/>
      <c r="DA161" s="157"/>
      <c r="DB161" s="157"/>
      <c r="DE161" s="159"/>
    </row>
    <row r="162" spans="1:110" s="106" customFormat="1" x14ac:dyDescent="0.2">
      <c r="A162" s="151" t="s">
        <v>500</v>
      </c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5"/>
      <c r="AB162" s="105"/>
      <c r="AC162" s="105"/>
      <c r="AD162" s="105"/>
      <c r="AE162" s="105"/>
      <c r="AI162" s="104"/>
      <c r="AJ162" s="104"/>
      <c r="AK162" s="104"/>
      <c r="AL162" s="104"/>
      <c r="AM162" s="104"/>
      <c r="AN162" s="104"/>
      <c r="AO162" s="104"/>
      <c r="AP162" s="104"/>
      <c r="AQ162" s="104"/>
      <c r="AR162" s="104"/>
      <c r="AS162" s="104"/>
      <c r="AT162" s="104"/>
      <c r="AU162" s="104"/>
      <c r="AV162" s="104"/>
      <c r="AW162" s="104"/>
      <c r="AX162" s="104"/>
      <c r="AY162" s="104"/>
      <c r="AZ162" s="104"/>
      <c r="BA162" s="104"/>
      <c r="BB162" s="104"/>
      <c r="BC162" s="104"/>
      <c r="BD162" s="104"/>
      <c r="BE162" s="104"/>
      <c r="BF162" s="104"/>
      <c r="BG162" s="104"/>
      <c r="BH162" s="104"/>
      <c r="BI162" s="104"/>
      <c r="BJ162" s="104"/>
      <c r="BK162" s="104"/>
      <c r="BL162" s="104"/>
      <c r="BM162" s="104"/>
      <c r="BN162" s="104"/>
      <c r="BO162" s="104"/>
      <c r="BP162" s="104"/>
      <c r="BQ162" s="104"/>
      <c r="BR162" s="104"/>
      <c r="BS162" s="104"/>
      <c r="BT162" s="104"/>
      <c r="BU162" s="104"/>
      <c r="BV162" s="104"/>
      <c r="BW162" s="104"/>
      <c r="BX162" s="104"/>
      <c r="BY162" s="104"/>
      <c r="BZ162" s="104"/>
      <c r="CA162" s="104"/>
      <c r="CB162" s="104"/>
      <c r="CC162" s="104"/>
      <c r="CD162" s="104"/>
      <c r="CE162" s="104"/>
      <c r="CF162" s="104"/>
      <c r="CG162" s="104"/>
      <c r="CH162" s="104"/>
      <c r="CI162" s="104"/>
      <c r="CJ162" s="104"/>
      <c r="CK162" s="104"/>
      <c r="CL162" s="104"/>
      <c r="CM162" s="105"/>
      <c r="CN162" s="105"/>
      <c r="CO162" s="105"/>
      <c r="CP162" s="105"/>
      <c r="CQ162" s="105"/>
      <c r="CR162" s="105"/>
      <c r="CS162" s="105"/>
      <c r="CT162" s="105"/>
      <c r="CU162" s="105"/>
      <c r="CV162" s="105"/>
      <c r="CW162" s="105"/>
      <c r="CX162" s="105"/>
      <c r="CY162" s="105"/>
      <c r="CZ162" s="105"/>
      <c r="DA162" s="105"/>
      <c r="DB162" s="105"/>
      <c r="DE162" s="118"/>
    </row>
    <row r="163" spans="1:110" s="106" customFormat="1" x14ac:dyDescent="0.2">
      <c r="A163" s="151" t="s">
        <v>485</v>
      </c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05"/>
      <c r="AC163" s="105"/>
      <c r="AD163" s="105"/>
      <c r="AE163" s="105"/>
      <c r="AI163" s="118"/>
      <c r="AJ163" s="118"/>
      <c r="AK163" s="118"/>
      <c r="AL163" s="118"/>
      <c r="AM163" s="118"/>
      <c r="AN163" s="118"/>
      <c r="AO163" s="118"/>
      <c r="AP163" s="118"/>
      <c r="AQ163" s="118"/>
      <c r="AR163" s="118"/>
      <c r="AS163" s="118"/>
      <c r="AT163" s="118"/>
      <c r="AU163" s="118"/>
      <c r="AV163" s="118"/>
      <c r="AW163" s="118"/>
      <c r="AX163" s="118"/>
      <c r="AY163" s="118"/>
      <c r="AZ163" s="118"/>
      <c r="BA163" s="118"/>
      <c r="BB163" s="118"/>
      <c r="BC163" s="118"/>
      <c r="BD163" s="118"/>
      <c r="BE163" s="118"/>
      <c r="BF163" s="118"/>
      <c r="BG163" s="118"/>
      <c r="BH163" s="118"/>
      <c r="BI163" s="118"/>
      <c r="BJ163" s="118"/>
      <c r="BK163" s="118"/>
      <c r="BL163" s="118"/>
      <c r="BM163" s="118"/>
      <c r="BN163" s="118"/>
      <c r="BO163" s="118"/>
      <c r="BP163" s="118"/>
      <c r="BQ163" s="118"/>
      <c r="BR163" s="118"/>
      <c r="BS163" s="118"/>
      <c r="BT163" s="118"/>
      <c r="BU163" s="118"/>
      <c r="BV163" s="118"/>
      <c r="BW163" s="118"/>
      <c r="BX163" s="118"/>
      <c r="BY163" s="118"/>
      <c r="BZ163" s="118"/>
      <c r="CA163" s="118"/>
      <c r="CB163" s="118"/>
      <c r="CC163" s="118"/>
      <c r="CD163" s="118"/>
      <c r="CE163" s="118"/>
      <c r="CF163" s="118"/>
      <c r="CG163" s="118"/>
      <c r="CH163" s="118"/>
      <c r="CI163" s="118"/>
      <c r="CJ163" s="160"/>
      <c r="CK163" s="160"/>
      <c r="CL163" s="160"/>
      <c r="CM163" s="105"/>
      <c r="CN163" s="105"/>
      <c r="CO163" s="105"/>
      <c r="CP163" s="105"/>
      <c r="CQ163" s="105"/>
      <c r="CR163" s="105"/>
      <c r="CS163" s="105"/>
      <c r="CT163" s="105"/>
      <c r="CU163" s="105"/>
      <c r="CV163" s="105"/>
      <c r="CW163" s="105"/>
      <c r="CX163" s="105"/>
      <c r="CY163" s="105"/>
      <c r="CZ163" s="105"/>
      <c r="DA163" s="105"/>
      <c r="DB163" s="105"/>
      <c r="DE163" s="118"/>
    </row>
    <row r="164" spans="1:110" s="25" customFormat="1" outlineLevel="1" x14ac:dyDescent="0.2">
      <c r="A164" s="25" t="s">
        <v>430</v>
      </c>
      <c r="B164" s="25">
        <f>'Annual Raw'!C6</f>
        <v>7825.43</v>
      </c>
      <c r="C164" s="25">
        <f>'Annual Raw'!D6</f>
        <v>9170.02</v>
      </c>
      <c r="D164" s="25">
        <f>'Annual Raw'!E6</f>
        <v>10813.13</v>
      </c>
      <c r="E164" s="25">
        <f>'Annual Raw'!F6</f>
        <v>11232.34</v>
      </c>
      <c r="F164" s="25">
        <f>'Annual Raw'!G6</f>
        <v>14716.9</v>
      </c>
      <c r="G164" s="25">
        <f>'Annual Raw'!H6</f>
        <v>16808.509999999998</v>
      </c>
      <c r="H164" s="25">
        <f>'Annual Raw'!I6</f>
        <v>20877.32</v>
      </c>
      <c r="I164" s="25">
        <f>'Annual Raw'!J6</f>
        <v>29819.46</v>
      </c>
      <c r="J164" s="25">
        <f>'Annual Raw'!K6</f>
        <v>40931.93</v>
      </c>
      <c r="K164" s="25">
        <f>'Annual Raw'!L6</f>
        <v>44310.46</v>
      </c>
      <c r="L164" s="25">
        <f>'Annual Raw'!M6</f>
        <v>52470.22</v>
      </c>
      <c r="M164" s="25">
        <f>'Annual Raw'!N6</f>
        <v>64960.08</v>
      </c>
      <c r="N164" s="25">
        <f>'Annual Raw'!O6</f>
        <v>75195.31</v>
      </c>
      <c r="O164" s="25">
        <f>'Annual Raw'!P6</f>
        <v>85889.04</v>
      </c>
      <c r="P164" s="25">
        <f>'Annual Raw'!Q6</f>
        <v>92761.66</v>
      </c>
      <c r="Q164" s="25">
        <f>'Annual Raw'!R6</f>
        <v>101975.34</v>
      </c>
      <c r="R164" s="25">
        <f>'Annual Raw'!S6</f>
        <v>110011</v>
      </c>
      <c r="S164" s="25">
        <f>'Annual Raw'!T6</f>
        <v>119862.1</v>
      </c>
      <c r="T164" s="25">
        <f>'Annual Raw'!U6</f>
        <v>135220.29</v>
      </c>
      <c r="U164" s="25">
        <f>'Annual Raw'!V6</f>
        <v>145452.35999999999</v>
      </c>
      <c r="V164" s="25">
        <f>'Annual Raw'!W6</f>
        <v>135979.03</v>
      </c>
      <c r="W164" s="25">
        <f>'Annual Raw'!X6</f>
        <v>156521.23000000001</v>
      </c>
      <c r="X164" s="25">
        <f>'Annual Raw'!Y6</f>
        <v>183340.7</v>
      </c>
      <c r="Y164" s="25">
        <f>'Annual Raw'!Z6</f>
        <v>221112.91</v>
      </c>
      <c r="Z164" s="25">
        <f>'Annual Raw'!AA6</f>
        <v>255734.45</v>
      </c>
      <c r="AA164" s="25">
        <f>'Annual Raw'!AB6</f>
        <v>285874.36</v>
      </c>
      <c r="AB164" s="17">
        <f>+SUM(CM164:CP164)</f>
        <v>328887.93605503603</v>
      </c>
      <c r="AC164" s="17">
        <f>+SUM(CQ164:CT164)</f>
        <v>378967.49492333876</v>
      </c>
      <c r="AD164" s="17">
        <f>+SUM(CU164:CX164)</f>
        <v>436857.50459768577</v>
      </c>
      <c r="AE164" s="17">
        <f>+SUM(CY164:DB164)</f>
        <v>503636.03706827393</v>
      </c>
      <c r="AI164" s="25">
        <f>'QTR Raw'!C6+'QTR Raw'!C8</f>
        <v>12078.33</v>
      </c>
      <c r="AJ164" s="25">
        <f>'QTR Raw'!D6+'QTR Raw'!D8</f>
        <v>13327.53</v>
      </c>
      <c r="AK164" s="25">
        <f>'QTR Raw'!E6+'QTR Raw'!E8</f>
        <v>13016.04</v>
      </c>
      <c r="AL164" s="25">
        <f>'QTR Raw'!F6+'QTR Raw'!F8</f>
        <v>18266.05</v>
      </c>
      <c r="AM164" s="25">
        <f>'QTR Raw'!G6+'QTR Raw'!G8</f>
        <v>17419.560000000001</v>
      </c>
      <c r="AN164" s="25">
        <f>'QTR Raw'!H6+'QTR Raw'!H8</f>
        <v>19313.62</v>
      </c>
      <c r="AO164" s="25">
        <f>'QTR Raw'!I6+'QTR Raw'!I8</f>
        <v>21928.54</v>
      </c>
      <c r="AP164" s="25">
        <f>'QTR Raw'!J6+'QTR Raw'!J8</f>
        <v>27227.32</v>
      </c>
      <c r="AQ164" s="25">
        <f>'QTR Raw'!K6+'QTR Raw'!K8</f>
        <v>19123.32</v>
      </c>
      <c r="AR164" s="25">
        <f>'QTR Raw'!L6+'QTR Raw'!L8</f>
        <v>21331.09</v>
      </c>
      <c r="AS164" s="25">
        <f>'QTR Raw'!M6+'QTR Raw'!M8</f>
        <v>24032.539999999997</v>
      </c>
      <c r="AT164" s="25">
        <f>'QTR Raw'!N6+'QTR Raw'!N8</f>
        <v>28274.71</v>
      </c>
      <c r="AU164" s="25">
        <f>'QTR Raw'!O6+'QTR Raw'!O8</f>
        <v>20048.240000000002</v>
      </c>
      <c r="AV164" s="25">
        <f>'QTR Raw'!P6+'QTR Raw'!P8</f>
        <v>23123.48</v>
      </c>
      <c r="AW164" s="25">
        <f>'QTR Raw'!Q6+'QTR Raw'!Q8</f>
        <v>25928.07</v>
      </c>
      <c r="AX164" s="25">
        <f>'QTR Raw'!R6+'QTR Raw'!R8</f>
        <v>32875.51</v>
      </c>
      <c r="AY164" s="25">
        <f>'QTR Raw'!S6+'QTR Raw'!S8</f>
        <v>21873.8</v>
      </c>
      <c r="AZ164" s="25">
        <f>'QTR Raw'!T6+'QTR Raw'!T8</f>
        <v>25022.25</v>
      </c>
      <c r="BA164" s="25">
        <f>'QTR Raw'!U6+'QTR Raw'!U8</f>
        <v>26286.97</v>
      </c>
      <c r="BB164" s="25">
        <f>'QTR Raw'!V6+'QTR Raw'!V8</f>
        <v>36827.99</v>
      </c>
      <c r="BC164" s="25">
        <f>'QTR Raw'!W6+'QTR Raw'!W8</f>
        <v>23989.79</v>
      </c>
      <c r="BD164" s="25">
        <f>'QTR Raw'!X6+'QTR Raw'!X8</f>
        <v>26446.76</v>
      </c>
      <c r="BE164" s="25">
        <f>'QTR Raw'!Y6+'QTR Raw'!Y8</f>
        <v>28747.45</v>
      </c>
      <c r="BF164" s="25">
        <f>'QTR Raw'!Z6+'QTR Raw'!Z8</f>
        <v>40678.1</v>
      </c>
      <c r="BG164" s="25">
        <f>'QTR Raw'!AA6+'QTR Raw'!AA8</f>
        <v>27004.77</v>
      </c>
      <c r="BH164" s="25">
        <f>'QTR Raw'!AB6+'QTR Raw'!AB8</f>
        <v>30678.13</v>
      </c>
      <c r="BI164" s="25">
        <f>'QTR Raw'!AC6+'QTR Raw'!AC8</f>
        <v>34233.96</v>
      </c>
      <c r="BJ164" s="25">
        <f>'QTR Raw'!AD6+'QTR Raw'!AD8</f>
        <v>43303.4</v>
      </c>
      <c r="BK164" s="25">
        <f>'QTR Raw'!AE6+'QTR Raw'!AE8</f>
        <v>29635.95</v>
      </c>
      <c r="BL164" s="25">
        <f>'QTR Raw'!AF6+'QTR Raw'!AF8</f>
        <v>35328.449999999997</v>
      </c>
      <c r="BM164" s="25">
        <f>'QTR Raw'!AG6+'QTR Raw'!AG8</f>
        <v>36242.68</v>
      </c>
      <c r="BN164" s="25">
        <f>'QTR Raw'!AH6+'QTR Raw'!AH8</f>
        <v>44245.279999999999</v>
      </c>
      <c r="BO164" s="25">
        <f>'QTR Raw'!AI6+'QTR Raw'!AI8</f>
        <v>21259.97</v>
      </c>
      <c r="BP164" s="25">
        <f>'QTR Raw'!AJ6+'QTR Raw'!AJ8</f>
        <v>31034.74</v>
      </c>
      <c r="BQ164" s="25">
        <f>'QTR Raw'!AK6+'QTR Raw'!AK8</f>
        <v>35596.42</v>
      </c>
      <c r="BR164" s="25">
        <f>'QTR Raw'!AL6+'QTR Raw'!AL8</f>
        <v>48087.9</v>
      </c>
      <c r="BS164" s="25">
        <f>'QTR Raw'!AM6+'QTR Raw'!AM8</f>
        <v>29334.73</v>
      </c>
      <c r="BT164" s="25">
        <f>'QTR Raw'!AN6+'QTR Raw'!AN8</f>
        <v>34772.9</v>
      </c>
      <c r="BU164" s="25">
        <f>'QTR Raw'!AO6+'QTR Raw'!AO8</f>
        <v>39562.92</v>
      </c>
      <c r="BV164" s="25">
        <f>'QTR Raw'!AP6+'QTR Raw'!AP8</f>
        <v>52850.67</v>
      </c>
      <c r="BW164" s="25">
        <f>'QTR Raw'!AQ6+'QTR Raw'!AQ8</f>
        <v>35853.199999999997</v>
      </c>
      <c r="BX164" s="25">
        <f>'QTR Raw'!AR6+'QTR Raw'!AR8</f>
        <v>42762.61</v>
      </c>
      <c r="BY164" s="25">
        <f>'QTR Raw'!AS6+'QTR Raw'!AS8</f>
        <v>46389.72</v>
      </c>
      <c r="BZ164" s="25">
        <f>'QTR Raw'!AT6+'QTR Raw'!AT8</f>
        <v>58335.15</v>
      </c>
      <c r="CA164" s="25">
        <f>'QTR Raw'!AU6+'QTR Raw'!AU8</f>
        <v>47882.37</v>
      </c>
      <c r="CB164" s="25">
        <f>'QTR Raw'!AV6+'QTR Raw'!AV8</f>
        <v>51024.04</v>
      </c>
      <c r="CC164" s="25">
        <f>'QTR Raw'!AW6+'QTR Raw'!AW8</f>
        <v>55127.82</v>
      </c>
      <c r="CD164" s="25">
        <f>'QTR Raw'!AX6+'QTR Raw'!AX8</f>
        <v>67078.679999999993</v>
      </c>
      <c r="CE164" s="25">
        <f>'QTR Raw'!AY6+'QTR Raw'!AY8</f>
        <v>55119.82</v>
      </c>
      <c r="CF164" s="25">
        <f>'QTR Raw'!AZ6+'QTR Raw'!AZ8</f>
        <v>61554.58</v>
      </c>
      <c r="CG164" s="25">
        <f>'QTR Raw'!BA6+'QTR Raw'!BA8</f>
        <v>64667.78</v>
      </c>
      <c r="CH164" s="25">
        <f>'QTR Raw'!BB6+'QTR Raw'!BB8</f>
        <v>74392.28</v>
      </c>
      <c r="CI164" s="25">
        <f>'QTR Raw'!BC6+'QTR Raw'!BC8</f>
        <v>63678.92</v>
      </c>
      <c r="CJ164" s="25">
        <f>'QTR Raw'!BD6+'QTR Raw'!BD8</f>
        <v>67983.53</v>
      </c>
      <c r="CK164" s="25">
        <f>'QTR Raw'!BE6+'QTR Raw'!BE8</f>
        <v>71449.7</v>
      </c>
      <c r="CL164" s="25">
        <f>'QTR Raw'!BF6+'QTR Raw'!BF8</f>
        <v>82762.16</v>
      </c>
      <c r="CM164" s="17">
        <f t="shared" ref="CM164:DB164" si="664">+CI164+(CI164*CM167)</f>
        <v>72866.325140824716</v>
      </c>
      <c r="CN164" s="17">
        <f t="shared" si="664"/>
        <v>77604.95710543108</v>
      </c>
      <c r="CO164" s="17">
        <f t="shared" si="664"/>
        <v>82224.068010684598</v>
      </c>
      <c r="CP164" s="17">
        <f t="shared" si="664"/>
        <v>96192.58579809565</v>
      </c>
      <c r="CQ164" s="17">
        <f t="shared" si="664"/>
        <v>83775.812989478363</v>
      </c>
      <c r="CR164" s="17">
        <f t="shared" si="664"/>
        <v>89329.494058500321</v>
      </c>
      <c r="CS164" s="17">
        <f t="shared" si="664"/>
        <v>94842.848960625299</v>
      </c>
      <c r="CT164" s="17">
        <f t="shared" si="664"/>
        <v>111019.33891473475</v>
      </c>
      <c r="CU164" s="17">
        <f t="shared" si="664"/>
        <v>96518.183031858745</v>
      </c>
      <c r="CV164" s="17">
        <f t="shared" si="664"/>
        <v>102969.77085421246</v>
      </c>
      <c r="CW164" s="17">
        <f t="shared" si="664"/>
        <v>109363.32227215097</v>
      </c>
      <c r="CX164" s="17">
        <f t="shared" si="664"/>
        <v>128006.22843946359</v>
      </c>
      <c r="CY164" s="17">
        <f t="shared" si="664"/>
        <v>111259.06206816905</v>
      </c>
      <c r="CZ164" s="17">
        <f t="shared" si="664"/>
        <v>118712.08304176394</v>
      </c>
      <c r="DA164" s="17">
        <f t="shared" si="664"/>
        <v>126088.20127235638</v>
      </c>
      <c r="DB164" s="17">
        <f t="shared" si="664"/>
        <v>147576.69068598456</v>
      </c>
      <c r="DE164" s="119"/>
      <c r="DF164" s="25">
        <v>285874.36</v>
      </c>
    </row>
    <row r="165" spans="1:110" s="92" customFormat="1" outlineLevel="1" x14ac:dyDescent="0.2">
      <c r="A165" s="92" t="s">
        <v>109</v>
      </c>
      <c r="B165" s="92">
        <f>'Annual Raw'!C7+'Annual Raw'!C8+'Annual Raw'!C9</f>
        <v>446.78</v>
      </c>
      <c r="C165" s="92">
        <f>'Annual Raw'!D7+'Annual Raw'!D8+'Annual Raw'!D9</f>
        <v>480.66</v>
      </c>
      <c r="D165" s="92">
        <f>'Annual Raw'!E7+'Annual Raw'!E8+'Annual Raw'!E9</f>
        <v>530.05999999999995</v>
      </c>
      <c r="E165" s="92">
        <f>'Annual Raw'!F7+'Annual Raw'!F8+'Annual Raw'!F9</f>
        <v>258.56</v>
      </c>
      <c r="F165" s="92">
        <f>'Annual Raw'!G7+'Annual Raw'!G8+'Annual Raw'!G9</f>
        <v>220.01</v>
      </c>
      <c r="G165" s="92">
        <f>'Annual Raw'!H7+'Annual Raw'!H8+'Annual Raw'!H9</f>
        <v>247.2</v>
      </c>
      <c r="H165" s="92">
        <f>'Annual Raw'!I7+'Annual Raw'!I8+'Annual Raw'!I9</f>
        <v>364.46</v>
      </c>
      <c r="I165" s="92">
        <f>'Annual Raw'!J7+'Annual Raw'!J8+'Annual Raw'!J9</f>
        <v>362.61</v>
      </c>
      <c r="J165" s="92">
        <f>'Annual Raw'!K7+'Annual Raw'!K8+'Annual Raw'!K9</f>
        <v>420.87</v>
      </c>
      <c r="K165" s="92">
        <f>'Annual Raw'!L7+'Annual Raw'!L8+'Annual Raw'!L9</f>
        <v>340.66</v>
      </c>
      <c r="L165" s="92">
        <f>'Annual Raw'!M7+'Annual Raw'!M8+'Annual Raw'!M9</f>
        <v>426.44</v>
      </c>
      <c r="M165" s="92">
        <f>'Annual Raw'!N7+'Annual Raw'!N8+'Annual Raw'!N9</f>
        <v>646.97</v>
      </c>
      <c r="N165" s="92">
        <f>'Annual Raw'!O7+'Annual Raw'!O8+'Annual Raw'!O9</f>
        <v>697.31</v>
      </c>
      <c r="O165" s="92">
        <f>'Annual Raw'!P7+'Annual Raw'!P8+'Annual Raw'!P9</f>
        <v>760.64</v>
      </c>
      <c r="P165" s="92">
        <f>'Annual Raw'!Q7+'Annual Raw'!Q8+'Annual Raw'!Q9</f>
        <v>757.08</v>
      </c>
      <c r="Q165" s="92">
        <f>'Annual Raw'!R7+'Annual Raw'!R8+'Annual Raw'!R9</f>
        <v>852.86</v>
      </c>
      <c r="R165" s="92">
        <f>'Annual Raw'!S7+'Annual Raw'!S8+'Annual Raw'!S9</f>
        <v>699.19</v>
      </c>
      <c r="S165" s="92">
        <f>'Annual Raw'!T7+'Annual Raw'!T8+'Annual Raw'!T9</f>
        <v>178.94</v>
      </c>
      <c r="T165" s="92">
        <f>'Annual Raw'!U7+'Annual Raw'!U8+'Annual Raw'!U9</f>
        <v>0</v>
      </c>
      <c r="U165" s="92">
        <f>'Annual Raw'!V7+'Annual Raw'!V8+'Annual Raw'!V9</f>
        <v>0</v>
      </c>
      <c r="V165" s="92">
        <f>'Annual Raw'!W7+'Annual Raw'!W8+'Annual Raw'!W9</f>
        <v>0</v>
      </c>
      <c r="W165" s="92">
        <f>'Annual Raw'!X7+'Annual Raw'!X8+'Annual Raw'!X9</f>
        <v>0</v>
      </c>
      <c r="X165" s="92">
        <f>'Annual Raw'!Y7+'Annual Raw'!Y8+'Annual Raw'!Y9</f>
        <v>0</v>
      </c>
      <c r="Y165" s="92">
        <f>'Annual Raw'!Z7+'Annual Raw'!Z8+'Annual Raw'!Z9</f>
        <v>0</v>
      </c>
      <c r="Z165" s="92">
        <f>'Annual Raw'!AA7+'Annual Raw'!AA8+'Annual Raw'!AA9</f>
        <v>0</v>
      </c>
      <c r="AA165" s="92">
        <f>'Annual Raw'!AB7+'Annual Raw'!AB8+'Annual Raw'!AB9</f>
        <v>0</v>
      </c>
      <c r="AB165" s="76">
        <f>+SUM(CM165:CP165)</f>
        <v>0</v>
      </c>
      <c r="AC165" s="76">
        <f>+SUM(CQ165:CT165)</f>
        <v>0</v>
      </c>
      <c r="AD165" s="76">
        <f>+SUM(CU165:CX165)</f>
        <v>0</v>
      </c>
      <c r="AE165" s="76">
        <f>+SUM(CY165:DB165)</f>
        <v>0</v>
      </c>
      <c r="AI165" s="92">
        <f>+'QTR Raw'!C20+'QTR Raw'!C19+'QTR Raw'!C13+'QTR Raw'!C7</f>
        <v>122.98</v>
      </c>
      <c r="AJ165" s="92">
        <f>+'QTR Raw'!D20+'QTR Raw'!D19+'QTR Raw'!D13+'QTR Raw'!D7</f>
        <v>132.30000000000001</v>
      </c>
      <c r="AK165" s="92">
        <f>+'QTR Raw'!E20+'QTR Raw'!E19+'QTR Raw'!E13+'QTR Raw'!E7</f>
        <v>146.69999999999999</v>
      </c>
      <c r="AL165" s="92">
        <f>+'QTR Raw'!F20+'QTR Raw'!F19+'QTR Raw'!F13+'QTR Raw'!F7</f>
        <v>190.45</v>
      </c>
      <c r="AM165" s="92">
        <f>+'QTR Raw'!G20+'QTR Raw'!G19+'QTR Raw'!G13+'QTR Raw'!G7</f>
        <v>178.42</v>
      </c>
      <c r="AN165" s="92">
        <f>+'QTR Raw'!H20+'QTR Raw'!H19+'QTR Raw'!H13+'QTR Raw'!H7</f>
        <v>182.85</v>
      </c>
      <c r="AO165" s="92">
        <f>+'QTR Raw'!I20+'QTR Raw'!I19+'QTR Raw'!I13+'QTR Raw'!I7</f>
        <v>196.19</v>
      </c>
      <c r="AP165" s="92">
        <f>+'QTR Raw'!J20+'QTR Raw'!J19+'QTR Raw'!J13+'QTR Raw'!J7</f>
        <v>203.18</v>
      </c>
      <c r="AQ165" s="92">
        <f>+'QTR Raw'!K20+'QTR Raw'!K19+'QTR Raw'!K13+'QTR Raw'!K7</f>
        <v>148.57</v>
      </c>
      <c r="AR165" s="92">
        <f>+'QTR Raw'!L20+'QTR Raw'!L19+'QTR Raw'!L13+'QTR Raw'!L7</f>
        <v>171.74</v>
      </c>
      <c r="AS165" s="92">
        <f>+'QTR Raw'!M20+'QTR Raw'!M19+'QTR Raw'!M13+'QTR Raw'!M7</f>
        <v>184.68</v>
      </c>
      <c r="AT165" s="92">
        <f>+'QTR Raw'!N20+'QTR Raw'!N19+'QTR Raw'!N13+'QTR Raw'!N7</f>
        <v>252.09</v>
      </c>
      <c r="AU165" s="92">
        <f>+'QTR Raw'!O20+'QTR Raw'!O19+'QTR Raw'!O13+'QTR Raw'!O7</f>
        <v>0</v>
      </c>
      <c r="AV165" s="92">
        <f>+'QTR Raw'!P20+'QTR Raw'!P19+'QTR Raw'!P13+'QTR Raw'!P7</f>
        <v>0</v>
      </c>
      <c r="AW165" s="92">
        <f>+'QTR Raw'!Q20+'QTR Raw'!Q19+'QTR Raw'!Q13+'QTR Raw'!Q7</f>
        <v>0</v>
      </c>
      <c r="AX165" s="92">
        <f>+'QTR Raw'!R20+'QTR Raw'!R19+'QTR Raw'!R13+'QTR Raw'!R7</f>
        <v>0</v>
      </c>
      <c r="AY165" s="92">
        <f>+'QTR Raw'!S20+'QTR Raw'!S19+'QTR Raw'!S13+'QTR Raw'!S7</f>
        <v>147.27000000000001</v>
      </c>
      <c r="AZ165" s="92">
        <f>+'QTR Raw'!T20+'QTR Raw'!T19+'QTR Raw'!T13+'QTR Raw'!T7</f>
        <v>166.08</v>
      </c>
      <c r="BA165" s="92">
        <f>+'QTR Raw'!U20+'QTR Raw'!U19+'QTR Raw'!U13+'QTR Raw'!U7</f>
        <v>176.59</v>
      </c>
      <c r="BB165" s="92">
        <f>+'QTR Raw'!V20+'QTR Raw'!V19+'QTR Raw'!V13+'QTR Raw'!V7</f>
        <v>209.25</v>
      </c>
      <c r="BC165" s="92">
        <f>+'QTR Raw'!W20+'QTR Raw'!W19+'QTR Raw'!W13+'QTR Raw'!W7</f>
        <v>178.94</v>
      </c>
      <c r="BD165" s="92">
        <f>+'QTR Raw'!X20+'QTR Raw'!X19+'QTR Raw'!X13+'QTR Raw'!X7</f>
        <v>0</v>
      </c>
      <c r="BE165" s="92">
        <f>+'QTR Raw'!Y20+'QTR Raw'!Y19+'QTR Raw'!Y13+'QTR Raw'!Y7</f>
        <v>0</v>
      </c>
      <c r="BF165" s="92">
        <f>+'QTR Raw'!Z20+'QTR Raw'!Z19+'QTR Raw'!Z13+'QTR Raw'!Z7</f>
        <v>0</v>
      </c>
      <c r="BG165" s="92">
        <f>+'QTR Raw'!AA20+'QTR Raw'!AA19+'QTR Raw'!AA13+'QTR Raw'!AA7</f>
        <v>0</v>
      </c>
      <c r="BH165" s="92">
        <f>+'QTR Raw'!AB20+'QTR Raw'!AB19+'QTR Raw'!AB13+'QTR Raw'!AB7</f>
        <v>0</v>
      </c>
      <c r="BI165" s="92">
        <f>+'QTR Raw'!AC20+'QTR Raw'!AC19+'QTR Raw'!AC13+'QTR Raw'!AC7</f>
        <v>0</v>
      </c>
      <c r="BJ165" s="92">
        <f>+'QTR Raw'!AD20+'QTR Raw'!AD19+'QTR Raw'!AD13+'QTR Raw'!AD7</f>
        <v>0</v>
      </c>
      <c r="BK165" s="92">
        <f>+'QTR Raw'!AE20+'QTR Raw'!AE19+'QTR Raw'!AE13+'QTR Raw'!AE7</f>
        <v>0</v>
      </c>
      <c r="BL165" s="92">
        <f>+'QTR Raw'!AF20+'QTR Raw'!AF19+'QTR Raw'!AF13+'QTR Raw'!AF7</f>
        <v>0</v>
      </c>
      <c r="BM165" s="92">
        <f>+'QTR Raw'!AG20+'QTR Raw'!AG19+'QTR Raw'!AG13+'QTR Raw'!AG7</f>
        <v>0</v>
      </c>
      <c r="BN165" s="92">
        <f>+'QTR Raw'!AH20+'QTR Raw'!AH19+'QTR Raw'!AH13+'QTR Raw'!AH7</f>
        <v>0</v>
      </c>
      <c r="BO165" s="92">
        <f>+'QTR Raw'!AI20+'QTR Raw'!AI19+'QTR Raw'!AI13+'QTR Raw'!AI7</f>
        <v>0</v>
      </c>
      <c r="BP165" s="92">
        <f>+'QTR Raw'!AJ20+'QTR Raw'!AJ19+'QTR Raw'!AJ13+'QTR Raw'!AJ7</f>
        <v>0</v>
      </c>
      <c r="BQ165" s="92">
        <f>+'QTR Raw'!AK20+'QTR Raw'!AK19+'QTR Raw'!AK13+'QTR Raw'!AK7</f>
        <v>0</v>
      </c>
      <c r="BR165" s="92">
        <f>+'QTR Raw'!AL20+'QTR Raw'!AL19+'QTR Raw'!AL13+'QTR Raw'!AL7</f>
        <v>0</v>
      </c>
      <c r="BS165" s="92">
        <f>+'QTR Raw'!AM20+'QTR Raw'!AM19+'QTR Raw'!AM13+'QTR Raw'!AM7</f>
        <v>0</v>
      </c>
      <c r="BT165" s="92">
        <f>+'QTR Raw'!AN20+'QTR Raw'!AN19+'QTR Raw'!AN13+'QTR Raw'!AN7</f>
        <v>0</v>
      </c>
      <c r="BU165" s="92">
        <f>+'QTR Raw'!AO20+'QTR Raw'!AO19+'QTR Raw'!AO13+'QTR Raw'!AO7</f>
        <v>0</v>
      </c>
      <c r="BV165" s="92">
        <f>+'QTR Raw'!AP20+'QTR Raw'!AP19+'QTR Raw'!AP13+'QTR Raw'!AP7</f>
        <v>0</v>
      </c>
      <c r="BW165" s="92">
        <f>+'QTR Raw'!AQ20+'QTR Raw'!AQ19+'QTR Raw'!AQ13+'QTR Raw'!AQ7</f>
        <v>0</v>
      </c>
      <c r="BX165" s="92">
        <f>+'QTR Raw'!AR20+'QTR Raw'!AR19+'QTR Raw'!AR13+'QTR Raw'!AR7</f>
        <v>0</v>
      </c>
      <c r="BY165" s="92">
        <f>+'QTR Raw'!AS20+'QTR Raw'!AS19+'QTR Raw'!AS13+'QTR Raw'!AS7</f>
        <v>0</v>
      </c>
      <c r="BZ165" s="92">
        <f>+'QTR Raw'!AT20+'QTR Raw'!AT19+'QTR Raw'!AT13+'QTR Raw'!AT7</f>
        <v>0</v>
      </c>
      <c r="CA165" s="92">
        <f>+'QTR Raw'!AU20+'QTR Raw'!AU19+'QTR Raw'!AU13+'QTR Raw'!AU7</f>
        <v>0</v>
      </c>
      <c r="CB165" s="92">
        <f>+'QTR Raw'!AV20+'QTR Raw'!AV19+'QTR Raw'!AV13+'QTR Raw'!AV7</f>
        <v>0</v>
      </c>
      <c r="CC165" s="92">
        <f>+'QTR Raw'!AW20+'QTR Raw'!AW19+'QTR Raw'!AW13+'QTR Raw'!AW7</f>
        <v>0</v>
      </c>
      <c r="CD165" s="92">
        <f>+'QTR Raw'!AX20+'QTR Raw'!AX19+'QTR Raw'!AX13+'QTR Raw'!AX7</f>
        <v>0</v>
      </c>
      <c r="CE165" s="92">
        <f>+'QTR Raw'!AY20+'QTR Raw'!AY19+'QTR Raw'!AY13+'QTR Raw'!AY7</f>
        <v>0</v>
      </c>
      <c r="CF165" s="92">
        <f>+'QTR Raw'!AZ20+'QTR Raw'!AZ19+'QTR Raw'!AZ13+'QTR Raw'!AZ7</f>
        <v>0</v>
      </c>
      <c r="CG165" s="92">
        <f>+'QTR Raw'!BA20+'QTR Raw'!BA19+'QTR Raw'!BA13+'QTR Raw'!BA7</f>
        <v>0</v>
      </c>
      <c r="CH165" s="92">
        <f>+'QTR Raw'!BB20+'QTR Raw'!BB19+'QTR Raw'!BB13+'QTR Raw'!BB7</f>
        <v>0</v>
      </c>
      <c r="CI165" s="92">
        <f>+'QTR Raw'!BC20+'QTR Raw'!BC19+'QTR Raw'!BC13+'QTR Raw'!BC7</f>
        <v>0</v>
      </c>
      <c r="CJ165" s="92">
        <f>+'QTR Raw'!BD20+'QTR Raw'!BD19+'QTR Raw'!BD13+'QTR Raw'!BD7</f>
        <v>0</v>
      </c>
      <c r="CK165" s="92">
        <f>+'QTR Raw'!BE20+'QTR Raw'!BE19+'QTR Raw'!BE13+'QTR Raw'!BE7</f>
        <v>0</v>
      </c>
      <c r="CL165" s="92">
        <f>+'QTR Raw'!BF20+'QTR Raw'!BF19+'QTR Raw'!BF13+'QTR Raw'!BF7</f>
        <v>0</v>
      </c>
      <c r="CM165" s="74"/>
      <c r="CN165" s="74"/>
      <c r="CO165" s="74"/>
      <c r="CP165" s="74"/>
      <c r="CQ165" s="74"/>
      <c r="CR165" s="74"/>
      <c r="CS165" s="74"/>
      <c r="CT165" s="74"/>
      <c r="CU165" s="74"/>
      <c r="CV165" s="74"/>
      <c r="CW165" s="74"/>
      <c r="CX165" s="74"/>
      <c r="CY165" s="74"/>
      <c r="CZ165" s="74"/>
      <c r="DA165" s="74"/>
      <c r="DB165" s="74"/>
      <c r="DE165" s="120"/>
      <c r="DF165" s="92">
        <v>0</v>
      </c>
    </row>
    <row r="166" spans="1:110" s="26" customFormat="1" x14ac:dyDescent="0.2">
      <c r="A166" s="26" t="s">
        <v>431</v>
      </c>
      <c r="B166" s="26">
        <f>+B164-B165</f>
        <v>7378.6500000000005</v>
      </c>
      <c r="C166" s="26">
        <f>+C164-C165</f>
        <v>8689.36</v>
      </c>
      <c r="D166" s="26">
        <f t="shared" ref="D166:U166" si="665">+D164-D165</f>
        <v>10283.07</v>
      </c>
      <c r="E166" s="26">
        <f t="shared" si="665"/>
        <v>10973.78</v>
      </c>
      <c r="F166" s="26">
        <f t="shared" si="665"/>
        <v>14496.89</v>
      </c>
      <c r="G166" s="26">
        <f t="shared" si="665"/>
        <v>16561.309999999998</v>
      </c>
      <c r="H166" s="26">
        <f t="shared" si="665"/>
        <v>20512.86</v>
      </c>
      <c r="I166" s="26">
        <f t="shared" si="665"/>
        <v>29456.85</v>
      </c>
      <c r="J166" s="26">
        <f t="shared" si="665"/>
        <v>40511.06</v>
      </c>
      <c r="K166" s="26">
        <f t="shared" si="665"/>
        <v>43969.799999999996</v>
      </c>
      <c r="L166" s="26">
        <f t="shared" si="665"/>
        <v>52043.78</v>
      </c>
      <c r="M166" s="26">
        <f t="shared" si="665"/>
        <v>64313.11</v>
      </c>
      <c r="N166" s="26">
        <f t="shared" si="665"/>
        <v>74498</v>
      </c>
      <c r="O166" s="26">
        <f t="shared" si="665"/>
        <v>85128.4</v>
      </c>
      <c r="P166" s="26">
        <f t="shared" si="665"/>
        <v>92004.58</v>
      </c>
      <c r="Q166" s="26">
        <f t="shared" si="665"/>
        <v>101122.48</v>
      </c>
      <c r="R166" s="26">
        <f t="shared" si="665"/>
        <v>109311.81</v>
      </c>
      <c r="S166" s="26">
        <f t="shared" si="665"/>
        <v>119683.16</v>
      </c>
      <c r="T166" s="26">
        <f t="shared" si="665"/>
        <v>135220.29</v>
      </c>
      <c r="U166" s="26">
        <f t="shared" si="665"/>
        <v>145452.35999999999</v>
      </c>
      <c r="V166" s="26">
        <f t="shared" ref="V166:AA166" si="666">+V164-V165</f>
        <v>135979.03</v>
      </c>
      <c r="W166" s="26">
        <f t="shared" si="666"/>
        <v>156521.23000000001</v>
      </c>
      <c r="X166" s="26">
        <f t="shared" si="666"/>
        <v>183340.7</v>
      </c>
      <c r="Y166" s="26">
        <f t="shared" si="666"/>
        <v>221112.91</v>
      </c>
      <c r="Z166" s="26">
        <f t="shared" si="666"/>
        <v>255734.45</v>
      </c>
      <c r="AA166" s="26">
        <f t="shared" ref="AA166" si="667">+AA164-AA165</f>
        <v>285874.36</v>
      </c>
      <c r="AB166" s="27">
        <f t="shared" ref="AB166:AD166" si="668">+AB164-AB165</f>
        <v>328887.93605503603</v>
      </c>
      <c r="AC166" s="27">
        <f t="shared" si="668"/>
        <v>378967.49492333876</v>
      </c>
      <c r="AD166" s="27">
        <f t="shared" si="668"/>
        <v>436857.50459768577</v>
      </c>
      <c r="AE166" s="27">
        <f t="shared" ref="AE166" si="669">+AE164-AE165</f>
        <v>503636.03706827393</v>
      </c>
      <c r="AI166" s="26">
        <f t="shared" ref="AI166" si="670">+AI164-AI165</f>
        <v>11955.35</v>
      </c>
      <c r="AJ166" s="26">
        <f t="shared" ref="AJ166" si="671">+AJ164-AJ165</f>
        <v>13195.230000000001</v>
      </c>
      <c r="AK166" s="26">
        <f t="shared" ref="AK166:AM166" si="672">+AK164-AK165</f>
        <v>12869.34</v>
      </c>
      <c r="AL166" s="26">
        <f t="shared" si="672"/>
        <v>18075.599999999999</v>
      </c>
      <c r="AM166" s="26">
        <f t="shared" si="672"/>
        <v>17241.140000000003</v>
      </c>
      <c r="AN166" s="26">
        <f t="shared" ref="AN166:AO166" si="673">+AN164-AN165</f>
        <v>19130.77</v>
      </c>
      <c r="AO166" s="26">
        <f t="shared" si="673"/>
        <v>21732.350000000002</v>
      </c>
      <c r="AP166" s="26">
        <f t="shared" ref="AP166:AW166" si="674">+AP164-AP165</f>
        <v>27024.14</v>
      </c>
      <c r="AQ166" s="26">
        <f t="shared" si="674"/>
        <v>18974.75</v>
      </c>
      <c r="AR166" s="26">
        <f t="shared" si="674"/>
        <v>21159.35</v>
      </c>
      <c r="AS166" s="26">
        <f t="shared" si="674"/>
        <v>23847.859999999997</v>
      </c>
      <c r="AT166" s="26">
        <f t="shared" si="674"/>
        <v>28022.62</v>
      </c>
      <c r="AU166" s="26">
        <f t="shared" si="674"/>
        <v>20048.240000000002</v>
      </c>
      <c r="AV166" s="26">
        <f t="shared" si="674"/>
        <v>23123.48</v>
      </c>
      <c r="AW166" s="26">
        <f t="shared" si="674"/>
        <v>25928.07</v>
      </c>
      <c r="AX166" s="26">
        <f t="shared" ref="AX166:CF166" si="675">+AX164-AX165</f>
        <v>32875.51</v>
      </c>
      <c r="AY166" s="26">
        <f t="shared" si="675"/>
        <v>21726.53</v>
      </c>
      <c r="AZ166" s="26">
        <f t="shared" si="675"/>
        <v>24856.17</v>
      </c>
      <c r="BA166" s="26">
        <f t="shared" si="675"/>
        <v>26110.38</v>
      </c>
      <c r="BB166" s="26">
        <f t="shared" si="675"/>
        <v>36618.74</v>
      </c>
      <c r="BC166" s="26">
        <f t="shared" si="675"/>
        <v>23810.850000000002</v>
      </c>
      <c r="BD166" s="26">
        <f t="shared" si="675"/>
        <v>26446.76</v>
      </c>
      <c r="BE166" s="26">
        <f t="shared" si="675"/>
        <v>28747.45</v>
      </c>
      <c r="BF166" s="26">
        <f t="shared" si="675"/>
        <v>40678.1</v>
      </c>
      <c r="BG166" s="26">
        <f t="shared" si="675"/>
        <v>27004.77</v>
      </c>
      <c r="BH166" s="26">
        <f t="shared" si="675"/>
        <v>30678.13</v>
      </c>
      <c r="BI166" s="26">
        <f t="shared" si="675"/>
        <v>34233.96</v>
      </c>
      <c r="BJ166" s="26">
        <f t="shared" si="675"/>
        <v>43303.4</v>
      </c>
      <c r="BK166" s="26">
        <f t="shared" si="675"/>
        <v>29635.95</v>
      </c>
      <c r="BL166" s="26">
        <f t="shared" si="675"/>
        <v>35328.449999999997</v>
      </c>
      <c r="BM166" s="26">
        <f t="shared" si="675"/>
        <v>36242.68</v>
      </c>
      <c r="BN166" s="26">
        <f t="shared" si="675"/>
        <v>44245.279999999999</v>
      </c>
      <c r="BO166" s="26">
        <f t="shared" si="675"/>
        <v>21259.97</v>
      </c>
      <c r="BP166" s="26">
        <f t="shared" si="675"/>
        <v>31034.74</v>
      </c>
      <c r="BQ166" s="26">
        <f t="shared" si="675"/>
        <v>35596.42</v>
      </c>
      <c r="BR166" s="26">
        <f t="shared" si="675"/>
        <v>48087.9</v>
      </c>
      <c r="BS166" s="26">
        <f t="shared" si="675"/>
        <v>29334.73</v>
      </c>
      <c r="BT166" s="26">
        <f t="shared" si="675"/>
        <v>34772.9</v>
      </c>
      <c r="BU166" s="26">
        <f t="shared" si="675"/>
        <v>39562.92</v>
      </c>
      <c r="BV166" s="26">
        <f t="shared" si="675"/>
        <v>52850.67</v>
      </c>
      <c r="BW166" s="26">
        <f t="shared" si="675"/>
        <v>35853.199999999997</v>
      </c>
      <c r="BX166" s="26">
        <f t="shared" si="675"/>
        <v>42762.61</v>
      </c>
      <c r="BY166" s="26">
        <f t="shared" si="675"/>
        <v>46389.72</v>
      </c>
      <c r="BZ166" s="26">
        <f t="shared" si="675"/>
        <v>58335.15</v>
      </c>
      <c r="CA166" s="26">
        <f t="shared" si="675"/>
        <v>47882.37</v>
      </c>
      <c r="CB166" s="26">
        <f t="shared" si="675"/>
        <v>51024.04</v>
      </c>
      <c r="CC166" s="26">
        <f t="shared" si="675"/>
        <v>55127.82</v>
      </c>
      <c r="CD166" s="26">
        <f t="shared" si="675"/>
        <v>67078.679999999993</v>
      </c>
      <c r="CE166" s="26">
        <f t="shared" si="675"/>
        <v>55119.82</v>
      </c>
      <c r="CF166" s="26">
        <f t="shared" si="675"/>
        <v>61554.58</v>
      </c>
      <c r="CG166" s="26">
        <f t="shared" ref="CG166:CH166" si="676">+CG164-CG165</f>
        <v>64667.78</v>
      </c>
      <c r="CH166" s="26">
        <f t="shared" si="676"/>
        <v>74392.28</v>
      </c>
      <c r="CI166" s="26">
        <f t="shared" ref="CI166:CJ166" si="677">+CI164-CI165</f>
        <v>63678.92</v>
      </c>
      <c r="CJ166" s="26">
        <f t="shared" si="677"/>
        <v>67983.53</v>
      </c>
      <c r="CK166" s="26">
        <f t="shared" ref="CK166:CL166" si="678">+CK164-CK165</f>
        <v>71449.7</v>
      </c>
      <c r="CL166" s="26">
        <f t="shared" si="678"/>
        <v>82762.16</v>
      </c>
      <c r="CM166" s="27">
        <f t="shared" ref="CM166:DB166" si="679">+CM164-CM165</f>
        <v>72866.325140824716</v>
      </c>
      <c r="CN166" s="27">
        <f t="shared" si="679"/>
        <v>77604.95710543108</v>
      </c>
      <c r="CO166" s="27">
        <f t="shared" si="679"/>
        <v>82224.068010684598</v>
      </c>
      <c r="CP166" s="27">
        <f t="shared" si="679"/>
        <v>96192.58579809565</v>
      </c>
      <c r="CQ166" s="27">
        <f t="shared" si="679"/>
        <v>83775.812989478363</v>
      </c>
      <c r="CR166" s="27">
        <f t="shared" si="679"/>
        <v>89329.494058500321</v>
      </c>
      <c r="CS166" s="27">
        <f t="shared" si="679"/>
        <v>94842.848960625299</v>
      </c>
      <c r="CT166" s="27">
        <f t="shared" si="679"/>
        <v>111019.33891473475</v>
      </c>
      <c r="CU166" s="27">
        <f t="shared" si="679"/>
        <v>96518.183031858745</v>
      </c>
      <c r="CV166" s="27">
        <f t="shared" si="679"/>
        <v>102969.77085421246</v>
      </c>
      <c r="CW166" s="27">
        <f t="shared" si="679"/>
        <v>109363.32227215097</v>
      </c>
      <c r="CX166" s="27">
        <f t="shared" si="679"/>
        <v>128006.22843946359</v>
      </c>
      <c r="CY166" s="27">
        <f t="shared" si="679"/>
        <v>111259.06206816905</v>
      </c>
      <c r="CZ166" s="27">
        <f t="shared" si="679"/>
        <v>118712.08304176394</v>
      </c>
      <c r="DA166" s="27">
        <f t="shared" si="679"/>
        <v>126088.20127235638</v>
      </c>
      <c r="DB166" s="27">
        <f t="shared" si="679"/>
        <v>147576.69068598456</v>
      </c>
      <c r="DE166" s="121"/>
      <c r="DF166" s="26">
        <v>285874.36</v>
      </c>
    </row>
    <row r="167" spans="1:110" s="39" customFormat="1" x14ac:dyDescent="0.2">
      <c r="A167" s="39" t="s">
        <v>484</v>
      </c>
      <c r="C167" s="39">
        <f t="shared" ref="C167" si="680">C166/B166-1</f>
        <v>0.17763547532407697</v>
      </c>
      <c r="D167" s="39">
        <f t="shared" ref="D167" si="681">D166/C166-1</f>
        <v>0.18340936501652583</v>
      </c>
      <c r="E167" s="39">
        <f t="shared" ref="E167" si="682">E166/D166-1</f>
        <v>6.7169629303311273E-2</v>
      </c>
      <c r="F167" s="39">
        <f t="shared" ref="F167:R167" si="683">F166/E166-1</f>
        <v>0.32104798893362174</v>
      </c>
      <c r="G167" s="39">
        <f t="shared" si="683"/>
        <v>0.14240433637835404</v>
      </c>
      <c r="H167" s="39">
        <f t="shared" si="683"/>
        <v>0.23860129422129073</v>
      </c>
      <c r="I167" s="39">
        <f t="shared" si="683"/>
        <v>0.43601867316405407</v>
      </c>
      <c r="J167" s="39">
        <f t="shared" si="683"/>
        <v>0.37526789184858522</v>
      </c>
      <c r="K167" s="39">
        <f>K166/J166-1</f>
        <v>8.5377672171500718E-2</v>
      </c>
      <c r="L167" s="39">
        <f t="shared" si="683"/>
        <v>0.18362557937493462</v>
      </c>
      <c r="M167" s="39">
        <f t="shared" si="683"/>
        <v>0.23575017033735834</v>
      </c>
      <c r="N167" s="39">
        <f t="shared" si="683"/>
        <v>0.15836413446651854</v>
      </c>
      <c r="O167" s="39">
        <f t="shared" si="683"/>
        <v>0.14269376359096886</v>
      </c>
      <c r="P167" s="39">
        <f t="shared" si="683"/>
        <v>8.0774218709619872E-2</v>
      </c>
      <c r="Q167" s="39">
        <f t="shared" si="683"/>
        <v>9.9102675105956717E-2</v>
      </c>
      <c r="R167" s="39">
        <f t="shared" si="683"/>
        <v>8.0984267790900732E-2</v>
      </c>
      <c r="S167" s="39">
        <f t="shared" ref="S167:AA167" si="684">S166/R166-1</f>
        <v>9.4878586311945678E-2</v>
      </c>
      <c r="T167" s="39">
        <f t="shared" si="684"/>
        <v>0.12981884836596902</v>
      </c>
      <c r="U167" s="39">
        <f t="shared" si="684"/>
        <v>7.5669635082131315E-2</v>
      </c>
      <c r="V167" s="39">
        <f t="shared" si="684"/>
        <v>-6.5130122330087969E-2</v>
      </c>
      <c r="W167" s="39">
        <f t="shared" si="684"/>
        <v>0.15106888172389521</v>
      </c>
      <c r="X167" s="39">
        <f t="shared" si="684"/>
        <v>0.17134717124315979</v>
      </c>
      <c r="Y167" s="39">
        <f t="shared" si="684"/>
        <v>0.20602195802677747</v>
      </c>
      <c r="Z167" s="39">
        <f t="shared" si="684"/>
        <v>0.15657855527295994</v>
      </c>
      <c r="AA167" s="39">
        <f t="shared" si="684"/>
        <v>0.11785627630536277</v>
      </c>
      <c r="AB167" s="40">
        <f t="shared" ref="AB167" si="685">AB166/AA166-1</f>
        <v>0.15046321767029425</v>
      </c>
      <c r="AC167" s="40">
        <f t="shared" ref="AC167" si="686">AC166/AB166-1</f>
        <v>0.15226937013561481</v>
      </c>
      <c r="AD167" s="40">
        <f t="shared" ref="AD167" si="687">AD166/AC166-1</f>
        <v>0.15275719012802824</v>
      </c>
      <c r="AE167" s="40">
        <f t="shared" ref="AE167" si="688">AE166/AD166-1</f>
        <v>0.15286113153094716</v>
      </c>
      <c r="AM167" s="39">
        <f t="shared" ref="AM167:CI167" si="689">+IF(AI166&lt;0,1-AM166/AI166,AM166/AI166-1)</f>
        <v>0.44212758304859356</v>
      </c>
      <c r="AN167" s="39">
        <f t="shared" si="689"/>
        <v>0.44982467149113714</v>
      </c>
      <c r="AO167" s="39">
        <f t="shared" si="689"/>
        <v>0.68869188318903696</v>
      </c>
      <c r="AP167" s="39">
        <f t="shared" si="689"/>
        <v>0.49506185133550207</v>
      </c>
      <c r="AQ167" s="39">
        <f t="shared" si="689"/>
        <v>0.10055077564476567</v>
      </c>
      <c r="AR167" s="39">
        <f t="shared" si="689"/>
        <v>0.10603755102382184</v>
      </c>
      <c r="AS167" s="39">
        <f t="shared" si="689"/>
        <v>9.7343821537937414E-2</v>
      </c>
      <c r="AT167" s="39">
        <f t="shared" si="689"/>
        <v>3.6947706754035359E-2</v>
      </c>
      <c r="AU167" s="39">
        <f t="shared" si="689"/>
        <v>5.6574658427647417E-2</v>
      </c>
      <c r="AV167" s="39">
        <f t="shared" si="689"/>
        <v>9.2825630276922588E-2</v>
      </c>
      <c r="AW167" s="39">
        <f t="shared" si="689"/>
        <v>8.7228371853910636E-2</v>
      </c>
      <c r="AX167" s="39">
        <f t="shared" si="689"/>
        <v>0.17317759724108606</v>
      </c>
      <c r="AY167" s="39">
        <f t="shared" si="689"/>
        <v>8.3712585244390292E-2</v>
      </c>
      <c r="AZ167" s="39">
        <f t="shared" si="689"/>
        <v>7.4932060399213185E-2</v>
      </c>
      <c r="BA167" s="39">
        <f t="shared" si="689"/>
        <v>7.0313756480910872E-3</v>
      </c>
      <c r="BB167" s="39">
        <f t="shared" si="689"/>
        <v>0.11386074314892736</v>
      </c>
      <c r="BC167" s="39">
        <f t="shared" si="689"/>
        <v>9.5934325453719715E-2</v>
      </c>
      <c r="BD167" s="39">
        <f t="shared" si="689"/>
        <v>6.3991757378550229E-2</v>
      </c>
      <c r="BE167" s="39">
        <f t="shared" si="689"/>
        <v>0.10099699812871354</v>
      </c>
      <c r="BF167" s="39">
        <f t="shared" si="689"/>
        <v>0.11085471537251146</v>
      </c>
      <c r="BG167" s="39">
        <f t="shared" si="689"/>
        <v>0.13413716855971103</v>
      </c>
      <c r="BH167" s="39">
        <f t="shared" si="689"/>
        <v>0.15999578020143113</v>
      </c>
      <c r="BI167" s="39">
        <f t="shared" si="689"/>
        <v>0.19085205818255169</v>
      </c>
      <c r="BJ167" s="39">
        <f t="shared" si="689"/>
        <v>6.4538412561058633E-2</v>
      </c>
      <c r="BK167" s="39">
        <f t="shared" si="689"/>
        <v>9.7433897789168444E-2</v>
      </c>
      <c r="BL167" s="39">
        <f t="shared" si="689"/>
        <v>0.15158420672967998</v>
      </c>
      <c r="BM167" s="39">
        <f t="shared" si="689"/>
        <v>5.8676238448604812E-2</v>
      </c>
      <c r="BN167" s="39">
        <f t="shared" si="689"/>
        <v>2.1750717033766298E-2</v>
      </c>
      <c r="BO167" s="39">
        <f t="shared" si="689"/>
        <v>-0.28262903669361028</v>
      </c>
      <c r="BP167" s="39">
        <f t="shared" si="689"/>
        <v>-0.1215368916553089</v>
      </c>
      <c r="BQ167" s="39">
        <f t="shared" si="689"/>
        <v>-1.7831462794694053E-2</v>
      </c>
      <c r="BR167" s="39">
        <f t="shared" si="689"/>
        <v>8.6848133857442056E-2</v>
      </c>
      <c r="BS167" s="39">
        <f t="shared" si="689"/>
        <v>0.37981050772884428</v>
      </c>
      <c r="BT167" s="39">
        <f t="shared" si="689"/>
        <v>0.12045082381872696</v>
      </c>
      <c r="BU167" s="39">
        <f t="shared" si="689"/>
        <v>0.11142974490131308</v>
      </c>
      <c r="BV167" s="39">
        <f t="shared" si="689"/>
        <v>9.9043002501668642E-2</v>
      </c>
      <c r="BW167" s="39">
        <f t="shared" si="689"/>
        <v>0.22220998795625513</v>
      </c>
      <c r="BX167" s="39">
        <f t="shared" si="689"/>
        <v>0.22976829657578168</v>
      </c>
      <c r="BY167" s="39">
        <f t="shared" si="689"/>
        <v>0.17255551410259917</v>
      </c>
      <c r="BZ167" s="39">
        <f t="shared" si="689"/>
        <v>0.10377314043511654</v>
      </c>
      <c r="CA167" s="39">
        <f t="shared" si="689"/>
        <v>0.33551175348365025</v>
      </c>
      <c r="CB167" s="39">
        <f t="shared" si="689"/>
        <v>0.19319283832301171</v>
      </c>
      <c r="CC167" s="39">
        <f t="shared" si="689"/>
        <v>0.18836285280445741</v>
      </c>
      <c r="CD167" s="39">
        <f t="shared" si="689"/>
        <v>0.1498844178852714</v>
      </c>
      <c r="CE167" s="39">
        <f t="shared" si="689"/>
        <v>0.15115062182594552</v>
      </c>
      <c r="CF167" s="39">
        <f t="shared" si="689"/>
        <v>0.20638389276897717</v>
      </c>
      <c r="CG167" s="39">
        <f t="shared" si="689"/>
        <v>0.17305164615615132</v>
      </c>
      <c r="CH167" s="39">
        <f t="shared" si="689"/>
        <v>0.10903017173265783</v>
      </c>
      <c r="CI167" s="39">
        <f t="shared" si="689"/>
        <v>0.15528171173273053</v>
      </c>
      <c r="CJ167" s="39">
        <f>+IF(CF166&lt;0,1-CJ166/CF166,CJ166/CF166-1)</f>
        <v>0.1044430812459447</v>
      </c>
      <c r="CK167" s="39">
        <f>+IF(CG166&lt;0,1-CK166/CG166,CK166/CG166-1)</f>
        <v>0.10487324599669257</v>
      </c>
      <c r="CL167" s="39">
        <f>+IF(CH166&lt;0,1-CL166/CH166,CL166/CH166-1)</f>
        <v>0.11251006152788978</v>
      </c>
      <c r="CM167" s="40">
        <f t="shared" ref="CM167:CP167" si="690">+AVERAGE(CI167:CL167)+2.5%</f>
        <v>0.14427702512581439</v>
      </c>
      <c r="CN167" s="40">
        <f t="shared" si="690"/>
        <v>0.14152585347408536</v>
      </c>
      <c r="CO167" s="40">
        <f t="shared" si="690"/>
        <v>0.15079654653112054</v>
      </c>
      <c r="CP167" s="40">
        <f t="shared" si="690"/>
        <v>0.16227737166472753</v>
      </c>
      <c r="CQ167" s="40">
        <f>+AVERAGE(CM167:CP167)</f>
        <v>0.14971919919893695</v>
      </c>
      <c r="CR167" s="40">
        <f t="shared" ref="CR167:CT167" si="691">+AVERAGE(CN167:CQ167)</f>
        <v>0.15107974271721761</v>
      </c>
      <c r="CS167" s="40">
        <f t="shared" si="691"/>
        <v>0.15346821502800065</v>
      </c>
      <c r="CT167" s="40">
        <f t="shared" si="691"/>
        <v>0.15413613215222069</v>
      </c>
      <c r="CU167" s="40">
        <f t="shared" ref="CU167:DB167" si="692">+AVERAGE(CQ167:CT167)</f>
        <v>0.15210082227409397</v>
      </c>
      <c r="CV167" s="40">
        <f t="shared" si="692"/>
        <v>0.15269622804288321</v>
      </c>
      <c r="CW167" s="40">
        <f t="shared" si="692"/>
        <v>0.15310034937429962</v>
      </c>
      <c r="CX167" s="40">
        <f t="shared" si="692"/>
        <v>0.15300838296087438</v>
      </c>
      <c r="CY167" s="40">
        <f t="shared" si="692"/>
        <v>0.15272644566303778</v>
      </c>
      <c r="CZ167" s="40">
        <f t="shared" si="692"/>
        <v>0.15288285151027375</v>
      </c>
      <c r="DA167" s="40">
        <f t="shared" si="692"/>
        <v>0.15292950737712138</v>
      </c>
      <c r="DB167" s="40">
        <f t="shared" si="692"/>
        <v>0.15288679687782683</v>
      </c>
      <c r="DE167" s="122"/>
      <c r="DF167" s="39">
        <v>0.11785627630536277</v>
      </c>
    </row>
    <row r="168" spans="1:110" s="39" customFormat="1" x14ac:dyDescent="0.2">
      <c r="A168" s="39" t="s">
        <v>446</v>
      </c>
      <c r="AB168" s="40"/>
      <c r="AC168" s="40"/>
      <c r="AD168" s="40"/>
      <c r="AE168" s="40"/>
      <c r="AJ168" s="39">
        <f t="shared" ref="AJ168:AL168" si="693">+IF(AI166&lt;0,1-AJ166/AI166,AJ166/AI166-1)</f>
        <v>0.10370921804882349</v>
      </c>
      <c r="AK168" s="39">
        <f t="shared" si="693"/>
        <v>-2.4697561164148008E-2</v>
      </c>
      <c r="AL168" s="39">
        <f t="shared" si="693"/>
        <v>0.40454755255514252</v>
      </c>
      <c r="AM168" s="39">
        <f t="shared" ref="AM168:CI168" si="694">+IF(AL166&lt;0,1-AM166/AL166,AM166/AL166-1)</f>
        <v>-4.6164995906083139E-2</v>
      </c>
      <c r="AN168" s="39">
        <f t="shared" si="694"/>
        <v>0.10960006124884991</v>
      </c>
      <c r="AO168" s="39">
        <f t="shared" si="694"/>
        <v>0.13598929891478506</v>
      </c>
      <c r="AP168" s="39">
        <f t="shared" si="694"/>
        <v>0.24349828711575117</v>
      </c>
      <c r="AQ168" s="39">
        <f t="shared" si="694"/>
        <v>-0.29785924732479918</v>
      </c>
      <c r="AR168" s="39">
        <f t="shared" si="694"/>
        <v>0.11513195167261747</v>
      </c>
      <c r="AS168" s="39">
        <f t="shared" si="694"/>
        <v>0.12706014126142806</v>
      </c>
      <c r="AT168" s="39">
        <f t="shared" si="694"/>
        <v>0.17505805552364029</v>
      </c>
      <c r="AU168" s="39">
        <f t="shared" si="694"/>
        <v>-0.28456939429646466</v>
      </c>
      <c r="AV168" s="39">
        <f t="shared" si="694"/>
        <v>0.15339201845149497</v>
      </c>
      <c r="AW168" s="39">
        <f t="shared" si="694"/>
        <v>0.12128753976477591</v>
      </c>
      <c r="AX168" s="39">
        <f t="shared" si="694"/>
        <v>0.26795052620576865</v>
      </c>
      <c r="AY168" s="39">
        <f t="shared" si="694"/>
        <v>-0.3391272104980273</v>
      </c>
      <c r="AZ168" s="39">
        <f t="shared" si="694"/>
        <v>0.14404693248300582</v>
      </c>
      <c r="BA168" s="39">
        <f t="shared" si="694"/>
        <v>5.0458698987012163E-2</v>
      </c>
      <c r="BB168" s="39">
        <f t="shared" si="694"/>
        <v>0.4024590986419958</v>
      </c>
      <c r="BC168" s="39">
        <f t="shared" si="694"/>
        <v>-0.34976326329087226</v>
      </c>
      <c r="BD168" s="39">
        <f t="shared" si="694"/>
        <v>0.11070205389559784</v>
      </c>
      <c r="BE168" s="39">
        <f t="shared" si="694"/>
        <v>8.6993264959488448E-2</v>
      </c>
      <c r="BF168" s="39">
        <f t="shared" si="694"/>
        <v>0.41501594054429169</v>
      </c>
      <c r="BG168" s="39">
        <f t="shared" si="694"/>
        <v>-0.33613492272254597</v>
      </c>
      <c r="BH168" s="39">
        <f t="shared" si="694"/>
        <v>0.13602633905047146</v>
      </c>
      <c r="BI168" s="39">
        <f t="shared" si="694"/>
        <v>0.11590765147680115</v>
      </c>
      <c r="BJ168" s="39">
        <f t="shared" si="694"/>
        <v>0.2649252379800644</v>
      </c>
      <c r="BK168" s="39">
        <f t="shared" si="694"/>
        <v>-0.31562071338509212</v>
      </c>
      <c r="BL168" s="39">
        <f t="shared" si="694"/>
        <v>0.1920809017426468</v>
      </c>
      <c r="BM168" s="39">
        <f t="shared" si="694"/>
        <v>2.5878010498620929E-2</v>
      </c>
      <c r="BN168" s="39">
        <f t="shared" si="694"/>
        <v>0.2208059668876583</v>
      </c>
      <c r="BO168" s="39">
        <f t="shared" si="694"/>
        <v>-0.5194974469593141</v>
      </c>
      <c r="BP168" s="39">
        <f t="shared" si="694"/>
        <v>0.45977346158061372</v>
      </c>
      <c r="BQ168" s="39">
        <f t="shared" si="694"/>
        <v>0.1469862483139861</v>
      </c>
      <c r="BR168" s="39">
        <f t="shared" si="694"/>
        <v>0.35091955876461745</v>
      </c>
      <c r="BS168" s="39">
        <f t="shared" si="694"/>
        <v>-0.38997689647499689</v>
      </c>
      <c r="BT168" s="39">
        <f t="shared" si="694"/>
        <v>0.1853833323163363</v>
      </c>
      <c r="BU168" s="39">
        <f t="shared" si="694"/>
        <v>0.13775152489438613</v>
      </c>
      <c r="BV168" s="39">
        <f t="shared" si="694"/>
        <v>0.3358637330106069</v>
      </c>
      <c r="BW168" s="39">
        <f t="shared" si="694"/>
        <v>-0.32161314132819885</v>
      </c>
      <c r="BX168" s="39">
        <f t="shared" si="694"/>
        <v>0.19271390001450373</v>
      </c>
      <c r="BY168" s="39">
        <f t="shared" si="694"/>
        <v>8.4819659043262385E-2</v>
      </c>
      <c r="BZ168" s="39">
        <f t="shared" si="694"/>
        <v>0.25750166200615143</v>
      </c>
      <c r="CA168" s="39">
        <f t="shared" si="694"/>
        <v>-0.17918493395491397</v>
      </c>
      <c r="CB168" s="39">
        <f t="shared" si="694"/>
        <v>6.5612249351901353E-2</v>
      </c>
      <c r="CC168" s="39">
        <f t="shared" si="694"/>
        <v>8.042836278742338E-2</v>
      </c>
      <c r="CD168" s="39">
        <f t="shared" si="694"/>
        <v>0.21678455632745841</v>
      </c>
      <c r="CE168" s="39">
        <f t="shared" si="694"/>
        <v>-0.17828108722473357</v>
      </c>
      <c r="CF168" s="39">
        <f t="shared" si="694"/>
        <v>0.11674131011313182</v>
      </c>
      <c r="CG168" s="39">
        <f t="shared" si="694"/>
        <v>5.0576252814981348E-2</v>
      </c>
      <c r="CH168" s="39">
        <f t="shared" si="694"/>
        <v>0.1503762770269832</v>
      </c>
      <c r="CI168" s="39">
        <f t="shared" si="694"/>
        <v>-0.14401171734486429</v>
      </c>
      <c r="CJ168" s="39">
        <f>+IF(CI166&lt;0,1-CJ166/CI166,CJ166/CI166-1)</f>
        <v>6.7598665303997052E-2</v>
      </c>
      <c r="CK168" s="39">
        <f>+IF(CJ166&lt;0,1-CK166/CJ166,CK166/CJ166-1)</f>
        <v>5.0985437208100226E-2</v>
      </c>
      <c r="CL168" s="39">
        <f>+IF(CK166&lt;0,1-CL166/CK166,CL166/CK166-1)</f>
        <v>0.15832760669394008</v>
      </c>
      <c r="CM168" s="40">
        <f t="shared" ref="CM168:DB168" si="695">+IF(CL166&lt;0,1-CM166/CL166,CM166/CL166-1)</f>
        <v>-0.11956955762362032</v>
      </c>
      <c r="CN168" s="40">
        <f t="shared" si="695"/>
        <v>6.5031850521461987E-2</v>
      </c>
      <c r="CO168" s="40">
        <f t="shared" si="695"/>
        <v>5.952082286416549E-2</v>
      </c>
      <c r="CP168" s="40">
        <f t="shared" si="695"/>
        <v>0.16988356481700606</v>
      </c>
      <c r="CQ168" s="40">
        <f t="shared" si="695"/>
        <v>-0.1290824308921229</v>
      </c>
      <c r="CR168" s="40">
        <f t="shared" si="695"/>
        <v>6.6292177549138964E-2</v>
      </c>
      <c r="CS168" s="40">
        <f t="shared" si="695"/>
        <v>6.1719311860362502E-2</v>
      </c>
      <c r="CT168" s="40">
        <f t="shared" si="695"/>
        <v>0.17056098726879498</v>
      </c>
      <c r="CU168" s="40">
        <f t="shared" si="695"/>
        <v>-0.13061828708972234</v>
      </c>
      <c r="CV168" s="40">
        <f t="shared" si="695"/>
        <v>6.6843237405579625E-2</v>
      </c>
      <c r="CW168" s="40">
        <f t="shared" si="695"/>
        <v>6.2091537787247075E-2</v>
      </c>
      <c r="CX168" s="40">
        <f t="shared" si="695"/>
        <v>0.17046762826864104</v>
      </c>
      <c r="CY168" s="40">
        <f t="shared" si="695"/>
        <v>-0.13083087108698443</v>
      </c>
      <c r="CZ168" s="40">
        <f t="shared" si="695"/>
        <v>6.6987990326831781E-2</v>
      </c>
      <c r="DA168" s="40">
        <f t="shared" si="695"/>
        <v>6.2134519432174962E-2</v>
      </c>
      <c r="DB168" s="40">
        <f t="shared" si="695"/>
        <v>0.1704242680662249</v>
      </c>
      <c r="DE168" s="122"/>
    </row>
    <row r="169" spans="1:110" s="23" customFormat="1" outlineLevel="1" x14ac:dyDescent="0.2">
      <c r="A169" s="23" t="s">
        <v>2</v>
      </c>
      <c r="B169" s="23">
        <f>'Annual Raw'!C11</f>
        <v>1.25</v>
      </c>
      <c r="C169" s="23">
        <f>'Annual Raw'!D11</f>
        <v>33.06</v>
      </c>
      <c r="D169" s="23">
        <f>'Annual Raw'!E11</f>
        <v>20.66</v>
      </c>
      <c r="E169" s="23">
        <f>'Annual Raw'!F11</f>
        <v>-404.83</v>
      </c>
      <c r="F169" s="23">
        <f>'Annual Raw'!G11</f>
        <v>-81.459999999999994</v>
      </c>
      <c r="G169" s="23">
        <f>'Annual Raw'!H11</f>
        <v>137.63</v>
      </c>
      <c r="H169" s="23">
        <f>'Annual Raw'!I11</f>
        <v>-111.28</v>
      </c>
      <c r="I169" s="23">
        <f>'Annual Raw'!J11</f>
        <v>-681.89</v>
      </c>
      <c r="J169" s="23">
        <f>'Annual Raw'!K11</f>
        <v>-7.56</v>
      </c>
      <c r="K169" s="23">
        <f>'Annual Raw'!L11</f>
        <v>555.45000000000005</v>
      </c>
      <c r="L169" s="23">
        <f>'Annual Raw'!M11</f>
        <v>-364.86</v>
      </c>
      <c r="M169" s="23">
        <f>'Annual Raw'!N11</f>
        <v>-661.16</v>
      </c>
      <c r="N169" s="23">
        <f>'Annual Raw'!O11</f>
        <v>-2018.64</v>
      </c>
      <c r="O169" s="23">
        <f>'Annual Raw'!P11</f>
        <v>-537.53</v>
      </c>
      <c r="P169" s="23">
        <f>'Annual Raw'!Q11</f>
        <v>-693.96</v>
      </c>
      <c r="Q169" s="23">
        <f>'Annual Raw'!R11</f>
        <v>-516.26</v>
      </c>
      <c r="R169" s="23">
        <f>'Annual Raw'!S11</f>
        <v>103.28</v>
      </c>
      <c r="S169" s="23">
        <f>'Annual Raw'!T11</f>
        <v>-1363.95</v>
      </c>
      <c r="T169" s="23">
        <f>'Annual Raw'!U11</f>
        <v>-731.11</v>
      </c>
      <c r="U169" s="23">
        <f>'Annual Raw'!V11</f>
        <v>647.70000000000005</v>
      </c>
      <c r="V169" s="23">
        <f>'Annual Raw'!W11</f>
        <v>343.37</v>
      </c>
      <c r="W169" s="23">
        <f>'Annual Raw'!X11</f>
        <v>-2076.6</v>
      </c>
      <c r="X169" s="23">
        <f>'Annual Raw'!Y11</f>
        <v>-3156.64</v>
      </c>
      <c r="Y169" s="23">
        <f>'Annual Raw'!Z11</f>
        <v>1021.07</v>
      </c>
      <c r="Z169" s="23">
        <f>'Annual Raw'!AA11</f>
        <v>-410.79</v>
      </c>
      <c r="AA169" s="23">
        <f>'Annual Raw'!AB11</f>
        <v>-1963.12</v>
      </c>
      <c r="AB169" s="76">
        <f>+SUM(CM169:CP169)</f>
        <v>0</v>
      </c>
      <c r="AC169" s="76">
        <f>+SUM(CQ169:CT169)</f>
        <v>0</v>
      </c>
      <c r="AD169" s="76">
        <f>+SUM(CU169:CX169)</f>
        <v>0</v>
      </c>
      <c r="AE169" s="76">
        <f>+SUM(CY169:DB169)</f>
        <v>0</v>
      </c>
      <c r="AI169" s="23">
        <f>'QTR Raw'!C10</f>
        <v>-511.51</v>
      </c>
      <c r="AJ169" s="23">
        <f>'QTR Raw'!D10</f>
        <v>-881.21</v>
      </c>
      <c r="AK169" s="23">
        <f>'QTR Raw'!E10</f>
        <v>-542.87</v>
      </c>
      <c r="AL169" s="23">
        <f>'QTR Raw'!F10</f>
        <v>831.73</v>
      </c>
      <c r="AM169" s="23">
        <f>'QTR Raw'!G10</f>
        <v>-1875.53</v>
      </c>
      <c r="AN169" s="23">
        <f>'QTR Raw'!H10</f>
        <v>-339.64</v>
      </c>
      <c r="AO169" s="23">
        <f>'QTR Raw'!I10</f>
        <v>-69.38</v>
      </c>
      <c r="AP169" s="23">
        <f>'QTR Raw'!J10</f>
        <v>1735.38</v>
      </c>
      <c r="AQ169" s="23">
        <f>'QTR Raw'!K10</f>
        <v>-872.29</v>
      </c>
      <c r="AR169" s="23">
        <f>'QTR Raw'!L10</f>
        <v>-699.94</v>
      </c>
      <c r="AS169" s="23">
        <f>'QTR Raw'!M10</f>
        <v>780.15</v>
      </c>
      <c r="AT169" s="23">
        <f>'QTR Raw'!N10</f>
        <v>10.9</v>
      </c>
      <c r="AU169" s="23">
        <f>'QTR Raw'!O10</f>
        <v>-1098.4100000000001</v>
      </c>
      <c r="AV169" s="23">
        <f>'QTR Raw'!P10</f>
        <v>490.12</v>
      </c>
      <c r="AW169" s="23">
        <f>'QTR Raw'!Q10</f>
        <v>-372.68</v>
      </c>
      <c r="AX169" s="23">
        <f>'QTR Raw'!R10</f>
        <v>497.58</v>
      </c>
      <c r="AY169" s="23">
        <f>'QTR Raw'!S10</f>
        <v>-179.78</v>
      </c>
      <c r="AZ169" s="23">
        <f>'QTR Raw'!T10</f>
        <v>24.85</v>
      </c>
      <c r="BA169" s="23">
        <f>'QTR Raw'!U10</f>
        <v>-859</v>
      </c>
      <c r="BB169" s="23">
        <f>'QTR Raw'!V10</f>
        <v>1366.88</v>
      </c>
      <c r="BC169" s="23">
        <f>'QTR Raw'!W10</f>
        <v>-375.41</v>
      </c>
      <c r="BD169" s="23">
        <f>'QTR Raw'!X10</f>
        <v>-290.18</v>
      </c>
      <c r="BE169" s="23">
        <f>'QTR Raw'!Y10</f>
        <v>-372.45</v>
      </c>
      <c r="BF169" s="23">
        <f>'QTR Raw'!Z10</f>
        <v>-196.79</v>
      </c>
      <c r="BG169" s="23">
        <f>'QTR Raw'!AA10</f>
        <v>91.97</v>
      </c>
      <c r="BH169" s="23">
        <f>'QTR Raw'!AB10</f>
        <v>-166.5</v>
      </c>
      <c r="BI169" s="23">
        <f>'QTR Raw'!AC10</f>
        <v>-903.93</v>
      </c>
      <c r="BJ169" s="23">
        <f>'QTR Raw'!AD10</f>
        <v>247.32</v>
      </c>
      <c r="BK169" s="23">
        <f>'QTR Raw'!AE10</f>
        <v>-215.92</v>
      </c>
      <c r="BL169" s="23">
        <f>'QTR Raw'!AF10</f>
        <v>313.27999999999997</v>
      </c>
      <c r="BM169" s="23">
        <f>'QTR Raw'!AG10</f>
        <v>-114</v>
      </c>
      <c r="BN169" s="23">
        <f>'QTR Raw'!AH10</f>
        <v>664.33</v>
      </c>
      <c r="BO169" s="23">
        <f>'QTR Raw'!AI10</f>
        <v>-192.63</v>
      </c>
      <c r="BP169" s="23">
        <f>'QTR Raw'!AJ10</f>
        <v>540.58000000000004</v>
      </c>
      <c r="BQ169" s="23">
        <f>'QTR Raw'!AK10</f>
        <v>297</v>
      </c>
      <c r="BR169" s="23">
        <f>'QTR Raw'!AL10</f>
        <v>-301.57</v>
      </c>
      <c r="BS169" s="23">
        <f>'QTR Raw'!AM10</f>
        <v>-459.16</v>
      </c>
      <c r="BT169" s="23">
        <f>'QTR Raw'!AN10</f>
        <v>-521.71</v>
      </c>
      <c r="BU169" s="23">
        <f>'QTR Raw'!AO10</f>
        <v>-1281.73</v>
      </c>
      <c r="BV169" s="23">
        <f>'QTR Raw'!AP10</f>
        <v>185.99</v>
      </c>
      <c r="BW169" s="23">
        <f>'QTR Raw'!AQ10</f>
        <v>-1522.76</v>
      </c>
      <c r="BX169" s="23">
        <f>'QTR Raw'!AR10</f>
        <v>-1005.34</v>
      </c>
      <c r="BY169" s="23">
        <f>'QTR Raw'!AS10</f>
        <v>-694.92</v>
      </c>
      <c r="BZ169" s="23">
        <f>'QTR Raw'!AT10</f>
        <v>66.37</v>
      </c>
      <c r="CA169" s="23">
        <f>'QTR Raw'!AU10</f>
        <v>-407.88</v>
      </c>
      <c r="CB169" s="23">
        <f>'QTR Raw'!AV10</f>
        <v>373.75</v>
      </c>
      <c r="CC169" s="23">
        <f>'QTR Raw'!AW10</f>
        <v>-2.08</v>
      </c>
      <c r="CD169" s="23">
        <f>'QTR Raw'!AX10</f>
        <v>1057.29</v>
      </c>
      <c r="CE169" s="23">
        <f>'QTR Raw'!AY10</f>
        <v>-156.30000000000001</v>
      </c>
      <c r="CF169" s="23">
        <f>'QTR Raw'!AZ10</f>
        <v>-477.33</v>
      </c>
      <c r="CG169" s="23">
        <f>'QTR Raw'!BA10</f>
        <v>-20.93</v>
      </c>
      <c r="CH169" s="23">
        <f>'QTR Raw'!BB10</f>
        <v>243.79</v>
      </c>
      <c r="CI169" s="23">
        <f>'QTR Raw'!BC10</f>
        <v>-493.3</v>
      </c>
      <c r="CJ169" s="23">
        <f>'QTR Raw'!BD10</f>
        <v>-168.68</v>
      </c>
      <c r="CK169" s="23">
        <f>'QTR Raw'!BE10</f>
        <v>-11.13</v>
      </c>
      <c r="CL169" s="23">
        <f>'QTR Raw'!BF10</f>
        <v>-1290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-1963.12</v>
      </c>
    </row>
    <row r="170" spans="1:110" s="23" customFormat="1" outlineLevel="1" x14ac:dyDescent="0.2">
      <c r="A170" s="23" t="s">
        <v>3</v>
      </c>
      <c r="B170" s="23">
        <v>0</v>
      </c>
      <c r="C170" s="23">
        <v>0</v>
      </c>
      <c r="D170" s="23">
        <v>0</v>
      </c>
      <c r="E170" s="23">
        <v>0</v>
      </c>
      <c r="F170" s="23">
        <v>0</v>
      </c>
      <c r="G170" s="23">
        <v>0</v>
      </c>
      <c r="H170" s="23">
        <v>0</v>
      </c>
      <c r="I170" s="23">
        <v>0</v>
      </c>
      <c r="J170" s="23">
        <v>0</v>
      </c>
      <c r="K170" s="23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3">
        <v>0</v>
      </c>
      <c r="T170" s="23">
        <v>0</v>
      </c>
      <c r="U170" s="23">
        <v>0</v>
      </c>
      <c r="V170" s="23">
        <v>0</v>
      </c>
      <c r="W170" s="23">
        <v>0</v>
      </c>
      <c r="X170" s="23">
        <v>0</v>
      </c>
      <c r="Y170" s="23">
        <v>0</v>
      </c>
      <c r="Z170" s="23">
        <v>0</v>
      </c>
      <c r="AA170" s="23">
        <v>0</v>
      </c>
      <c r="AB170" s="76">
        <f>+SUM(CM170:CP170)</f>
        <v>0</v>
      </c>
      <c r="AC170" s="76">
        <f>+SUM(CQ170:CT170)</f>
        <v>0</v>
      </c>
      <c r="AD170" s="76">
        <f>+SUM(CU170:CX170)</f>
        <v>0</v>
      </c>
      <c r="AE170" s="76">
        <f>+SUM(CY170:DB170)</f>
        <v>0</v>
      </c>
      <c r="AI170" s="23">
        <f>'QTR Raw'!C12</f>
        <v>501.66</v>
      </c>
      <c r="AJ170" s="23">
        <f>'QTR Raw'!D12</f>
        <v>437.12</v>
      </c>
      <c r="AK170" s="23">
        <f>'QTR Raw'!E12</f>
        <v>516.58000000000004</v>
      </c>
      <c r="AL170" s="23">
        <f>'QTR Raw'!F12</f>
        <v>607.86</v>
      </c>
      <c r="AM170" s="23">
        <f>'QTR Raw'!G12</f>
        <v>407.75</v>
      </c>
      <c r="AN170" s="23">
        <f>'QTR Raw'!H12</f>
        <v>471.08</v>
      </c>
      <c r="AO170" s="23">
        <f>'QTR Raw'!I12</f>
        <v>405.67</v>
      </c>
      <c r="AP170" s="23">
        <f>'QTR Raw'!J12</f>
        <v>509.02</v>
      </c>
      <c r="AQ170" s="23">
        <f>'QTR Raw'!K12</f>
        <v>328.7</v>
      </c>
      <c r="AR170" s="23">
        <f>'QTR Raw'!L12</f>
        <v>345.28</v>
      </c>
      <c r="AS170" s="23">
        <f>'QTR Raw'!M12</f>
        <v>304.18</v>
      </c>
      <c r="AT170" s="23">
        <f>'QTR Raw'!N12</f>
        <v>448.41</v>
      </c>
      <c r="AU170" s="23">
        <f>'QTR Raw'!O12</f>
        <v>319.48</v>
      </c>
      <c r="AV170" s="23">
        <f>'QTR Raw'!P12</f>
        <v>299.41000000000003</v>
      </c>
      <c r="AW170" s="23">
        <f>'QTR Raw'!Q12</f>
        <v>339.54</v>
      </c>
      <c r="AX170" s="23">
        <f>'QTR Raw'!R12</f>
        <v>375.01</v>
      </c>
      <c r="AY170" s="23">
        <f>'QTR Raw'!S12</f>
        <v>310.57</v>
      </c>
      <c r="AZ170" s="23">
        <f>'QTR Raw'!T12</f>
        <v>329.81</v>
      </c>
      <c r="BA170" s="23">
        <f>'QTR Raw'!U12</f>
        <v>385.2</v>
      </c>
      <c r="BB170" s="23">
        <f>'QTR Raw'!V12</f>
        <v>584.99</v>
      </c>
      <c r="BC170" s="23">
        <f>'QTR Raw'!W12</f>
        <v>360.51</v>
      </c>
      <c r="BD170" s="23">
        <f>'QTR Raw'!X12</f>
        <v>322.17</v>
      </c>
      <c r="BE170" s="23">
        <f>'QTR Raw'!Y12</f>
        <v>284.32</v>
      </c>
      <c r="BF170" s="23">
        <f>'QTR Raw'!Z12</f>
        <v>488.18</v>
      </c>
      <c r="BG170" s="23">
        <f>'QTR Raw'!AA12</f>
        <v>175.58</v>
      </c>
      <c r="BH170" s="23">
        <f>'QTR Raw'!AB12</f>
        <v>186.18</v>
      </c>
      <c r="BI170" s="23">
        <f>'QTR Raw'!AC12</f>
        <v>227.11</v>
      </c>
      <c r="BJ170" s="23">
        <f>'QTR Raw'!AD12</f>
        <v>299</v>
      </c>
      <c r="BK170" s="23">
        <f>'QTR Raw'!AE12</f>
        <v>185.52</v>
      </c>
      <c r="BL170" s="23">
        <f>'QTR Raw'!AF12</f>
        <v>188.85</v>
      </c>
      <c r="BM170" s="23">
        <f>'QTR Raw'!AG12</f>
        <v>243.05</v>
      </c>
      <c r="BN170" s="23">
        <f>'QTR Raw'!AH12</f>
        <v>223.67</v>
      </c>
      <c r="BO170" s="23">
        <f>'QTR Raw'!AI12</f>
        <v>139.47999999999999</v>
      </c>
      <c r="BP170" s="23">
        <f>'QTR Raw'!AJ12</f>
        <v>293.94</v>
      </c>
      <c r="BQ170" s="23">
        <f>'QTR Raw'!AK12</f>
        <v>346.23</v>
      </c>
      <c r="BR170" s="23">
        <f>'QTR Raw'!AL12</f>
        <v>433.93</v>
      </c>
      <c r="BS170" s="23">
        <f>'QTR Raw'!AM12</f>
        <v>239.01</v>
      </c>
      <c r="BT170" s="23">
        <f>'QTR Raw'!AN12</f>
        <v>252.7</v>
      </c>
      <c r="BU170" s="23">
        <f>'QTR Raw'!AO12</f>
        <v>322.75</v>
      </c>
      <c r="BV170" s="23">
        <f>'QTR Raw'!AP12</f>
        <v>255.04</v>
      </c>
      <c r="BW170" s="23">
        <f>'QTR Raw'!AQ12</f>
        <v>199.32</v>
      </c>
      <c r="BX170" s="23">
        <f>'QTR Raw'!AR12</f>
        <v>303.58</v>
      </c>
      <c r="BY170" s="23">
        <f>'QTR Raw'!AS12</f>
        <v>374.5</v>
      </c>
      <c r="BZ170" s="23">
        <f>'QTR Raw'!AT12</f>
        <v>175.45</v>
      </c>
      <c r="CA170" s="23">
        <f>'QTR Raw'!AU12</f>
        <v>325.37</v>
      </c>
      <c r="CB170" s="23">
        <f>'QTR Raw'!AV12</f>
        <v>338.5</v>
      </c>
      <c r="CC170" s="23">
        <f>'QTR Raw'!AW12</f>
        <v>285.14999999999998</v>
      </c>
      <c r="CD170" s="23">
        <f>'QTR Raw'!AX12</f>
        <v>114.75</v>
      </c>
      <c r="CE170" s="23">
        <f>'QTR Raw'!AY12</f>
        <v>351.64</v>
      </c>
      <c r="CF170" s="23">
        <f>'QTR Raw'!AZ12</f>
        <v>331.86</v>
      </c>
      <c r="CG170" s="23">
        <f>'QTR Raw'!BA12</f>
        <v>455.68</v>
      </c>
      <c r="CH170" s="23">
        <f>'QTR Raw'!BB12</f>
        <v>262.97000000000003</v>
      </c>
      <c r="CI170" s="23">
        <f>'QTR Raw'!BC12</f>
        <v>212.36</v>
      </c>
      <c r="CJ170" s="23">
        <f>'QTR Raw'!BD12</f>
        <v>302.08</v>
      </c>
      <c r="CK170" s="23">
        <f>'QTR Raw'!BE12</f>
        <v>298.29000000000002</v>
      </c>
      <c r="CL170" s="23">
        <f>'QTR Raw'!BF12</f>
        <v>449.57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0</v>
      </c>
    </row>
    <row r="171" spans="1:110" s="23" customFormat="1" outlineLevel="1" x14ac:dyDescent="0.2">
      <c r="A171" s="23" t="s">
        <v>4</v>
      </c>
      <c r="B171" s="23">
        <f>'Annual Raw'!C12</f>
        <v>2198.87</v>
      </c>
      <c r="C171" s="23">
        <f>('Annual Raw'!D12)-677.3</f>
        <v>1645.32</v>
      </c>
      <c r="D171" s="23">
        <f>('Annual Raw'!E12)-830.96</f>
        <v>2474.73</v>
      </c>
      <c r="E171" s="23">
        <f>('Annual Raw'!F12)-1254.44</f>
        <v>3244.9599999999996</v>
      </c>
      <c r="F171" s="23">
        <f>('Annual Raw'!G12)-2118.85</f>
        <v>4402.58</v>
      </c>
      <c r="G171" s="23">
        <f>('Annual Raw'!H12)-3173.98</f>
        <v>4053.4599999999996</v>
      </c>
      <c r="H171" s="23">
        <f>('Annual Raw'!I12)-3932.56</f>
        <v>4832.6100000000006</v>
      </c>
      <c r="I171" s="23">
        <f>('Annual Raw'!J12)-5968.37</f>
        <v>7931.7599999999993</v>
      </c>
      <c r="J171" s="23">
        <f>('Annual Raw'!K12)-8336.78</f>
        <v>8817.2199999999993</v>
      </c>
      <c r="K171" s="23">
        <f>('Annual Raw'!L12)-8354.07</f>
        <v>8213.7400000000016</v>
      </c>
      <c r="L171" s="23">
        <f>('Annual Raw'!M12)-10359.29</f>
        <v>10999.96</v>
      </c>
      <c r="M171" s="23">
        <f>('Annual Raw'!N12)-13037</f>
        <v>13319.98</v>
      </c>
      <c r="N171" s="23">
        <f>('Annual Raw'!O12)-15562.64</f>
        <v>12685.93</v>
      </c>
      <c r="O171" s="23">
        <f>('Annual Raw'!P12)-18567.02</f>
        <v>11181.899999999998</v>
      </c>
      <c r="P171" s="23">
        <f>('Annual Raw'!Q12)-20091.51</f>
        <v>11877.730000000003</v>
      </c>
      <c r="Q171" s="23">
        <f>('Annual Raw'!R12)-20256.77</f>
        <v>15063.420000000002</v>
      </c>
      <c r="R171" s="23">
        <f>('Annual Raw'!S12)-20716.99</f>
        <v>15931.55</v>
      </c>
      <c r="S171" s="23">
        <f>('Annual Raw'!T12)-24056.23</f>
        <v>16935.280000000002</v>
      </c>
      <c r="T171" s="23">
        <f>('Annual Raw'!U12)-31230.44</f>
        <v>15775.290000000005</v>
      </c>
      <c r="U171" s="23">
        <f>('Annual Raw'!V12)-30316.12</f>
        <v>16473.100000000002</v>
      </c>
      <c r="V171" s="23">
        <f>('Annual Raw'!W12)-24558.23</f>
        <v>16775.63</v>
      </c>
      <c r="W171" s="23">
        <f>('Annual Raw'!X12)-33506.21</f>
        <v>18170.340000000004</v>
      </c>
      <c r="X171" s="23">
        <f>('Annual Raw'!Y12)-43237.35</f>
        <v>20047.97</v>
      </c>
      <c r="Y171" s="23">
        <f>('Annual Raw'!Z12)-54813.97</f>
        <v>20506.020000000004</v>
      </c>
      <c r="Z171" s="23">
        <f>('Annual Raw'!AA12)-63526.44</f>
        <v>29057.160000000003</v>
      </c>
      <c r="AA171" s="23">
        <f>('Annual Raw'!AB12)-63526.44</f>
        <v>34156.270000000004</v>
      </c>
      <c r="AB171" s="24">
        <f>+SUM(CM171:CP171)</f>
        <v>37832.462447593753</v>
      </c>
      <c r="AC171" s="24">
        <f>+SUM(CQ171:CT171)</f>
        <v>43701.956236508908</v>
      </c>
      <c r="AD171" s="24">
        <f>+SUM(CU171:CX171)</f>
        <v>50391.68395950456</v>
      </c>
      <c r="AE171" s="24">
        <f>+SUM(CY171:DB171)</f>
        <v>58095.339001375367</v>
      </c>
      <c r="AI171" s="23">
        <f>'QTR Raw'!C11</f>
        <v>3720.05</v>
      </c>
      <c r="AJ171" s="23">
        <f>'QTR Raw'!D11</f>
        <v>3191.01</v>
      </c>
      <c r="AK171" s="23">
        <f>'QTR Raw'!E11</f>
        <v>2031.46</v>
      </c>
      <c r="AL171" s="23">
        <f>'QTR Raw'!F11</f>
        <v>2643.42</v>
      </c>
      <c r="AM171" s="23">
        <f>'QTR Raw'!G11</f>
        <v>3148.88</v>
      </c>
      <c r="AN171" s="23">
        <f>'QTR Raw'!H11</f>
        <v>3223.99</v>
      </c>
      <c r="AO171" s="23">
        <f>'QTR Raw'!I11</f>
        <v>2851.44</v>
      </c>
      <c r="AP171" s="23">
        <f>'QTR Raw'!J11</f>
        <v>2936.93</v>
      </c>
      <c r="AQ171" s="23">
        <f>'QTR Raw'!K11</f>
        <v>2685.05</v>
      </c>
      <c r="AR171" s="23">
        <f>'QTR Raw'!L11</f>
        <v>3401.01</v>
      </c>
      <c r="AS171" s="23">
        <f>'QTR Raw'!M11</f>
        <v>3411.76</v>
      </c>
      <c r="AT171" s="23">
        <f>'QTR Raw'!N11</f>
        <v>3482.34</v>
      </c>
      <c r="AU171" s="23">
        <f>'QTR Raw'!O11</f>
        <v>3355.03</v>
      </c>
      <c r="AV171" s="23">
        <f>'QTR Raw'!P11</f>
        <v>3858.45</v>
      </c>
      <c r="AW171" s="23">
        <f>'QTR Raw'!Q11</f>
        <v>4225.6400000000003</v>
      </c>
      <c r="AX171" s="23">
        <f>'QTR Raw'!R11</f>
        <v>4125.03</v>
      </c>
      <c r="AY171" s="23">
        <f>'QTR Raw'!S11</f>
        <v>3514.04</v>
      </c>
      <c r="AZ171" s="23">
        <f>'QTR Raw'!T11</f>
        <v>3956.37</v>
      </c>
      <c r="BA171" s="23">
        <f>'QTR Raw'!U11</f>
        <v>3467.37</v>
      </c>
      <c r="BB171" s="23">
        <f>'QTR Raw'!V11</f>
        <v>3383.2</v>
      </c>
      <c r="BC171" s="23">
        <f>'QTR Raw'!W11</f>
        <v>3341.8</v>
      </c>
      <c r="BD171" s="23">
        <f>'QTR Raw'!X11</f>
        <v>4191.82</v>
      </c>
      <c r="BE171" s="23">
        <f>'QTR Raw'!Y11</f>
        <v>3719.75</v>
      </c>
      <c r="BF171" s="23">
        <f>'QTR Raw'!Z11</f>
        <v>4031.07</v>
      </c>
      <c r="BG171" s="23">
        <f>'QTR Raw'!AA11</f>
        <v>3034.41</v>
      </c>
      <c r="BH171" s="23">
        <f>'QTR Raw'!AB11</f>
        <v>3515.89</v>
      </c>
      <c r="BI171" s="23">
        <f>'QTR Raw'!AC11</f>
        <v>3988.16</v>
      </c>
      <c r="BJ171" s="23">
        <f>'QTR Raw'!AD11</f>
        <v>4233.1000000000004</v>
      </c>
      <c r="BK171" s="23">
        <f>'QTR Raw'!AE11</f>
        <v>3925.05</v>
      </c>
      <c r="BL171" s="23">
        <f>'QTR Raw'!AF11</f>
        <v>3867.41</v>
      </c>
      <c r="BM171" s="23">
        <f>'QTR Raw'!AG11</f>
        <v>3961.55</v>
      </c>
      <c r="BN171" s="23">
        <f>'QTR Raw'!AH11</f>
        <v>3794.65</v>
      </c>
      <c r="BO171" s="23">
        <f>'QTR Raw'!AI11</f>
        <v>2348.75</v>
      </c>
      <c r="BP171" s="23">
        <f>'QTR Raw'!AJ11</f>
        <v>3995.07</v>
      </c>
      <c r="BQ171" s="23">
        <f>'QTR Raw'!AK11</f>
        <v>4147.82</v>
      </c>
      <c r="BR171" s="23">
        <f>'QTR Raw'!AL11</f>
        <v>5070.41</v>
      </c>
      <c r="BS171" s="23">
        <f>'QTR Raw'!AM11</f>
        <v>3721.95</v>
      </c>
      <c r="BT171" s="23">
        <f>'QTR Raw'!AN11</f>
        <v>4387.8999999999996</v>
      </c>
      <c r="BU171" s="23">
        <f>'QTR Raw'!AO11</f>
        <v>4003</v>
      </c>
      <c r="BV171" s="23">
        <f>'QTR Raw'!AP11</f>
        <v>4987.9799999999996</v>
      </c>
      <c r="BW171" s="23">
        <f>'QTR Raw'!AQ11</f>
        <v>4214.05</v>
      </c>
      <c r="BX171" s="23">
        <f>'QTR Raw'!AR11</f>
        <v>4102.4799999999996</v>
      </c>
      <c r="BY171" s="23">
        <f>'QTR Raw'!AS11</f>
        <v>4660.3100000000004</v>
      </c>
      <c r="BZ171" s="23">
        <f>'QTR Raw'!AT11</f>
        <v>6018.27</v>
      </c>
      <c r="CA171" s="23">
        <f>'QTR Raw'!AU11</f>
        <v>4629.32</v>
      </c>
      <c r="CB171" s="23">
        <f>'QTR Raw'!AV11</f>
        <v>4429.8999999999996</v>
      </c>
      <c r="CC171" s="23">
        <f>'QTR Raw'!AW11</f>
        <v>4835.59</v>
      </c>
      <c r="CD171" s="23">
        <f>'QTR Raw'!AX11</f>
        <v>5547.44</v>
      </c>
      <c r="CE171" s="23">
        <f>'QTR Raw'!AY11</f>
        <v>5191.49</v>
      </c>
      <c r="CF171" s="23">
        <f>'QTR Raw'!AZ11</f>
        <v>6204.75</v>
      </c>
      <c r="CG171" s="23">
        <f>'QTR Raw'!BA11</f>
        <v>7286.39</v>
      </c>
      <c r="CH171" s="23">
        <f>'QTR Raw'!BB11</f>
        <v>8972.39</v>
      </c>
      <c r="CI171" s="23">
        <f>'QTR Raw'!BC11</f>
        <v>6650.27</v>
      </c>
      <c r="CJ171" s="23">
        <f>'QTR Raw'!BD11</f>
        <v>7572.63</v>
      </c>
      <c r="CK171" s="23">
        <f>'QTR Raw'!BE11</f>
        <v>8466.4699999999993</v>
      </c>
      <c r="CL171" s="23">
        <f>'QTR Raw'!BF11</f>
        <v>10342.39</v>
      </c>
      <c r="CM171" s="24">
        <f t="shared" ref="CM171:DB171" si="696">+CM166-CM172</f>
        <v>8210.1954630369364</v>
      </c>
      <c r="CN171" s="24">
        <f t="shared" si="696"/>
        <v>8989.5875367044646</v>
      </c>
      <c r="CO171" s="24">
        <f t="shared" si="696"/>
        <v>9575.7651611600741</v>
      </c>
      <c r="CP171" s="24">
        <f t="shared" si="696"/>
        <v>11056.914286692278</v>
      </c>
      <c r="CQ171" s="24">
        <f t="shared" si="696"/>
        <v>9632.4916540830891</v>
      </c>
      <c r="CR171" s="24">
        <f t="shared" si="696"/>
        <v>10322.518372134844</v>
      </c>
      <c r="CS171" s="24">
        <f t="shared" si="696"/>
        <v>10952.924624921361</v>
      </c>
      <c r="CT171" s="24">
        <f t="shared" si="696"/>
        <v>12794.021585369614</v>
      </c>
      <c r="CU171" s="24">
        <f t="shared" si="696"/>
        <v>11130.025437275384</v>
      </c>
      <c r="CV171" s="24">
        <f t="shared" si="696"/>
        <v>11882.640169735299</v>
      </c>
      <c r="CW171" s="24">
        <f t="shared" si="696"/>
        <v>12616.179886017038</v>
      </c>
      <c r="CX171" s="24">
        <f t="shared" si="696"/>
        <v>14762.838466476838</v>
      </c>
      <c r="CY171" s="24">
        <f t="shared" si="696"/>
        <v>12833.842409770106</v>
      </c>
      <c r="CZ171" s="24">
        <f t="shared" si="696"/>
        <v>13694.614105656758</v>
      </c>
      <c r="DA171" s="24">
        <f t="shared" si="696"/>
        <v>14544.280211787773</v>
      </c>
      <c r="DB171" s="24">
        <f t="shared" si="696"/>
        <v>17022.60227416073</v>
      </c>
      <c r="DE171" s="123"/>
      <c r="DF171" s="23">
        <v>34156.270000000004</v>
      </c>
    </row>
    <row r="172" spans="1:110" s="31" customFormat="1" x14ac:dyDescent="0.2">
      <c r="A172" s="31" t="s">
        <v>5</v>
      </c>
      <c r="B172" s="31">
        <f t="shared" ref="B172:AE172" si="697">B166-B169-B171-B170</f>
        <v>5178.5300000000007</v>
      </c>
      <c r="C172" s="31">
        <f t="shared" si="697"/>
        <v>7010.9800000000014</v>
      </c>
      <c r="D172" s="31">
        <f t="shared" si="697"/>
        <v>7787.68</v>
      </c>
      <c r="E172" s="31">
        <f t="shared" si="697"/>
        <v>8133.6500000000015</v>
      </c>
      <c r="F172" s="31">
        <f t="shared" si="697"/>
        <v>10175.769999999999</v>
      </c>
      <c r="G172" s="31">
        <f t="shared" si="697"/>
        <v>12370.219999999998</v>
      </c>
      <c r="H172" s="31">
        <f t="shared" si="697"/>
        <v>15791.529999999999</v>
      </c>
      <c r="I172" s="31">
        <f t="shared" si="697"/>
        <v>22206.98</v>
      </c>
      <c r="J172" s="31">
        <f t="shared" si="697"/>
        <v>31701.399999999994</v>
      </c>
      <c r="K172" s="31">
        <f t="shared" si="697"/>
        <v>35200.61</v>
      </c>
      <c r="L172" s="31">
        <f t="shared" si="697"/>
        <v>41408.68</v>
      </c>
      <c r="M172" s="31">
        <f t="shared" si="697"/>
        <v>51654.290000000008</v>
      </c>
      <c r="N172" s="31">
        <f t="shared" si="697"/>
        <v>63830.71</v>
      </c>
      <c r="O172" s="31">
        <f t="shared" si="697"/>
        <v>74484.03</v>
      </c>
      <c r="P172" s="31">
        <f t="shared" si="697"/>
        <v>80820.81</v>
      </c>
      <c r="Q172" s="31">
        <f t="shared" si="697"/>
        <v>86575.319999999992</v>
      </c>
      <c r="R172" s="31">
        <f t="shared" si="697"/>
        <v>93276.98</v>
      </c>
      <c r="S172" s="31">
        <f t="shared" si="697"/>
        <v>104111.83</v>
      </c>
      <c r="T172" s="31">
        <f t="shared" si="697"/>
        <v>120176.10999999999</v>
      </c>
      <c r="U172" s="31">
        <f t="shared" si="697"/>
        <v>128331.55999999997</v>
      </c>
      <c r="V172" s="31">
        <f t="shared" si="697"/>
        <v>118860.03</v>
      </c>
      <c r="W172" s="31">
        <f t="shared" si="697"/>
        <v>140427.49000000002</v>
      </c>
      <c r="X172" s="31">
        <f t="shared" si="697"/>
        <v>166449.37000000002</v>
      </c>
      <c r="Y172" s="31">
        <f t="shared" si="697"/>
        <v>199585.82</v>
      </c>
      <c r="Z172" s="31">
        <f t="shared" si="697"/>
        <v>227088.08000000002</v>
      </c>
      <c r="AA172" s="31">
        <f t="shared" ref="AA172" si="698">AA166-AA169-AA171-AA170</f>
        <v>253681.20999999996</v>
      </c>
      <c r="AB172" s="32">
        <f t="shared" si="697"/>
        <v>291055.47360744228</v>
      </c>
      <c r="AC172" s="32">
        <f t="shared" si="697"/>
        <v>335265.53868682985</v>
      </c>
      <c r="AD172" s="32">
        <f t="shared" si="697"/>
        <v>386465.82063818118</v>
      </c>
      <c r="AE172" s="32">
        <f t="shared" si="697"/>
        <v>445540.69806689856</v>
      </c>
      <c r="AI172" s="31">
        <f t="shared" ref="AI172:BN172" si="699">AI166-AI169-AI171-AI170</f>
        <v>8245.1500000000015</v>
      </c>
      <c r="AJ172" s="31">
        <f t="shared" si="699"/>
        <v>10448.310000000001</v>
      </c>
      <c r="AK172" s="31">
        <f t="shared" si="699"/>
        <v>10864.17</v>
      </c>
      <c r="AL172" s="31">
        <f t="shared" si="699"/>
        <v>13992.589999999998</v>
      </c>
      <c r="AM172" s="31">
        <f t="shared" si="699"/>
        <v>15560.04</v>
      </c>
      <c r="AN172" s="31">
        <f t="shared" si="699"/>
        <v>15775.34</v>
      </c>
      <c r="AO172" s="31">
        <f t="shared" si="699"/>
        <v>18544.620000000006</v>
      </c>
      <c r="AP172" s="31">
        <f t="shared" si="699"/>
        <v>21842.809999999998</v>
      </c>
      <c r="AQ172" s="31">
        <f t="shared" si="699"/>
        <v>16833.29</v>
      </c>
      <c r="AR172" s="31">
        <f t="shared" si="699"/>
        <v>18113</v>
      </c>
      <c r="AS172" s="31">
        <f t="shared" si="699"/>
        <v>19351.769999999997</v>
      </c>
      <c r="AT172" s="31">
        <f t="shared" si="699"/>
        <v>24080.969999999998</v>
      </c>
      <c r="AU172" s="31">
        <f t="shared" si="699"/>
        <v>17472.140000000003</v>
      </c>
      <c r="AV172" s="31">
        <f t="shared" si="699"/>
        <v>18475.5</v>
      </c>
      <c r="AW172" s="31">
        <f t="shared" si="699"/>
        <v>21735.57</v>
      </c>
      <c r="AX172" s="31">
        <f t="shared" si="699"/>
        <v>27877.890000000003</v>
      </c>
      <c r="AY172" s="31">
        <f t="shared" si="699"/>
        <v>18081.699999999997</v>
      </c>
      <c r="AZ172" s="31">
        <f t="shared" si="699"/>
        <v>20545.14</v>
      </c>
      <c r="BA172" s="31">
        <f t="shared" si="699"/>
        <v>23116.81</v>
      </c>
      <c r="BB172" s="31">
        <f t="shared" si="699"/>
        <v>31283.67</v>
      </c>
      <c r="BC172" s="31">
        <f t="shared" si="699"/>
        <v>20483.950000000004</v>
      </c>
      <c r="BD172" s="31">
        <f t="shared" si="699"/>
        <v>22222.95</v>
      </c>
      <c r="BE172" s="31">
        <f t="shared" si="699"/>
        <v>25115.83</v>
      </c>
      <c r="BF172" s="31">
        <f t="shared" si="699"/>
        <v>36355.64</v>
      </c>
      <c r="BG172" s="31">
        <f t="shared" si="699"/>
        <v>23702.809999999998</v>
      </c>
      <c r="BH172" s="31">
        <f t="shared" si="699"/>
        <v>27142.560000000001</v>
      </c>
      <c r="BI172" s="31">
        <f t="shared" si="699"/>
        <v>30922.62</v>
      </c>
      <c r="BJ172" s="31">
        <f t="shared" si="699"/>
        <v>38523.980000000003</v>
      </c>
      <c r="BK172" s="31">
        <f t="shared" si="699"/>
        <v>25741.3</v>
      </c>
      <c r="BL172" s="31">
        <f t="shared" si="699"/>
        <v>30958.91</v>
      </c>
      <c r="BM172" s="31">
        <f t="shared" si="699"/>
        <v>32152.080000000002</v>
      </c>
      <c r="BN172" s="31">
        <f t="shared" si="699"/>
        <v>39562.629999999997</v>
      </c>
      <c r="BO172" s="31">
        <f t="shared" ref="BO172:CK172" si="700">BO166-BO169-BO171-BO170</f>
        <v>18964.370000000003</v>
      </c>
      <c r="BP172" s="31">
        <f t="shared" si="700"/>
        <v>26205.15</v>
      </c>
      <c r="BQ172" s="31">
        <f t="shared" si="700"/>
        <v>30805.37</v>
      </c>
      <c r="BR172" s="31">
        <f t="shared" si="700"/>
        <v>42885.13</v>
      </c>
      <c r="BS172" s="31">
        <f t="shared" si="700"/>
        <v>25832.93</v>
      </c>
      <c r="BT172" s="31">
        <f t="shared" si="700"/>
        <v>30654.01</v>
      </c>
      <c r="BU172" s="31">
        <f t="shared" si="700"/>
        <v>36518.9</v>
      </c>
      <c r="BV172" s="31">
        <f t="shared" si="700"/>
        <v>47421.659999999996</v>
      </c>
      <c r="BW172" s="31">
        <f t="shared" si="700"/>
        <v>32962.589999999997</v>
      </c>
      <c r="BX172" s="31">
        <f t="shared" si="700"/>
        <v>39361.89</v>
      </c>
      <c r="BY172" s="31">
        <f t="shared" si="700"/>
        <v>42049.83</v>
      </c>
      <c r="BZ172" s="31">
        <f t="shared" si="700"/>
        <v>52075.06</v>
      </c>
      <c r="CA172" s="31">
        <f t="shared" si="700"/>
        <v>43335.56</v>
      </c>
      <c r="CB172" s="31">
        <f t="shared" si="700"/>
        <v>45881.89</v>
      </c>
      <c r="CC172" s="31">
        <f t="shared" si="700"/>
        <v>50009.159999999996</v>
      </c>
      <c r="CD172" s="31">
        <f t="shared" si="700"/>
        <v>60359.199999999997</v>
      </c>
      <c r="CE172" s="31">
        <f t="shared" si="700"/>
        <v>49732.990000000005</v>
      </c>
      <c r="CF172" s="31">
        <f t="shared" si="700"/>
        <v>55495.3</v>
      </c>
      <c r="CG172" s="31">
        <f t="shared" si="700"/>
        <v>56946.64</v>
      </c>
      <c r="CH172" s="31">
        <f t="shared" si="700"/>
        <v>64913.130000000005</v>
      </c>
      <c r="CI172" s="31">
        <f t="shared" si="700"/>
        <v>57309.59</v>
      </c>
      <c r="CJ172" s="31">
        <f t="shared" si="700"/>
        <v>60277.499999999993</v>
      </c>
      <c r="CK172" s="31">
        <f t="shared" si="700"/>
        <v>62696.07</v>
      </c>
      <c r="CL172" s="31">
        <f t="shared" ref="CL172" si="701">CL166-CL169-CL171-CL170</f>
        <v>73260.2</v>
      </c>
      <c r="CM172" s="32">
        <f t="shared" ref="CM172:DB172" si="702">+CM173*CM166</f>
        <v>64656.12967778778</v>
      </c>
      <c r="CN172" s="32">
        <f t="shared" si="702"/>
        <v>68615.369568726615</v>
      </c>
      <c r="CO172" s="32">
        <f t="shared" si="702"/>
        <v>72648.302849524523</v>
      </c>
      <c r="CP172" s="32">
        <f t="shared" si="702"/>
        <v>85135.671511403372</v>
      </c>
      <c r="CQ172" s="32">
        <f t="shared" si="702"/>
        <v>74143.321335395274</v>
      </c>
      <c r="CR172" s="32">
        <f t="shared" si="702"/>
        <v>79006.975686365477</v>
      </c>
      <c r="CS172" s="32">
        <f t="shared" si="702"/>
        <v>83889.924335703938</v>
      </c>
      <c r="CT172" s="32">
        <f t="shared" si="702"/>
        <v>98225.317329365134</v>
      </c>
      <c r="CU172" s="32">
        <f t="shared" si="702"/>
        <v>85388.157594583361</v>
      </c>
      <c r="CV172" s="32">
        <f t="shared" si="702"/>
        <v>91087.130684477161</v>
      </c>
      <c r="CW172" s="32">
        <f t="shared" si="702"/>
        <v>96747.142386133928</v>
      </c>
      <c r="CX172" s="32">
        <f t="shared" si="702"/>
        <v>113243.38997298676</v>
      </c>
      <c r="CY172" s="32">
        <f t="shared" si="702"/>
        <v>98425.219658398943</v>
      </c>
      <c r="CZ172" s="32">
        <f t="shared" si="702"/>
        <v>105017.46893610718</v>
      </c>
      <c r="DA172" s="32">
        <f t="shared" si="702"/>
        <v>111543.92106056861</v>
      </c>
      <c r="DB172" s="32">
        <f t="shared" si="702"/>
        <v>130554.08841182383</v>
      </c>
      <c r="DE172" s="124"/>
      <c r="DF172" s="31">
        <v>253681.20999999996</v>
      </c>
    </row>
    <row r="173" spans="1:110" s="41" customFormat="1" x14ac:dyDescent="0.2">
      <c r="A173" s="41" t="s">
        <v>6</v>
      </c>
      <c r="B173" s="41">
        <f t="shared" ref="B173:AE173" si="703">B172/B166</f>
        <v>0.70182621482249463</v>
      </c>
      <c r="C173" s="41">
        <f t="shared" si="703"/>
        <v>0.8068465341521126</v>
      </c>
      <c r="D173" s="41">
        <f t="shared" si="703"/>
        <v>0.75733025254131314</v>
      </c>
      <c r="E173" s="41">
        <f t="shared" si="703"/>
        <v>0.74118945340621012</v>
      </c>
      <c r="F173" s="41">
        <f t="shared" si="703"/>
        <v>0.70192779278866013</v>
      </c>
      <c r="G173" s="41">
        <f t="shared" si="703"/>
        <v>0.74693487411321924</v>
      </c>
      <c r="H173" s="41">
        <f t="shared" si="703"/>
        <v>0.76983560556645925</v>
      </c>
      <c r="I173" s="41">
        <f t="shared" si="703"/>
        <v>0.75388169475011757</v>
      </c>
      <c r="J173" s="41">
        <f t="shared" si="703"/>
        <v>0.7825369170789408</v>
      </c>
      <c r="K173" s="41">
        <f t="shared" si="703"/>
        <v>0.80056334120237083</v>
      </c>
      <c r="L173" s="41">
        <f t="shared" si="703"/>
        <v>0.79565089238329734</v>
      </c>
      <c r="M173" s="41">
        <f t="shared" si="703"/>
        <v>0.80316890288776277</v>
      </c>
      <c r="N173" s="41">
        <f t="shared" si="703"/>
        <v>0.85681105533034441</v>
      </c>
      <c r="O173" s="41">
        <f t="shared" si="703"/>
        <v>0.87496100008927691</v>
      </c>
      <c r="P173" s="41">
        <f t="shared" si="703"/>
        <v>0.87844333401663266</v>
      </c>
      <c r="Q173" s="41">
        <f t="shared" si="703"/>
        <v>0.8561431642103714</v>
      </c>
      <c r="R173" s="41">
        <f t="shared" si="703"/>
        <v>0.85331109236961677</v>
      </c>
      <c r="S173" s="41">
        <f t="shared" si="703"/>
        <v>0.86989539714693365</v>
      </c>
      <c r="T173" s="41">
        <f t="shared" si="703"/>
        <v>0.88874317604258934</v>
      </c>
      <c r="U173" s="41">
        <f t="shared" si="703"/>
        <v>0.8822927314482899</v>
      </c>
      <c r="V173" s="41">
        <f t="shared" si="703"/>
        <v>0.87410558819253237</v>
      </c>
      <c r="W173" s="41">
        <f t="shared" si="703"/>
        <v>0.89717854887800208</v>
      </c>
      <c r="X173" s="41">
        <f t="shared" si="703"/>
        <v>0.90786917471134354</v>
      </c>
      <c r="Y173" s="41">
        <f t="shared" si="703"/>
        <v>0.90264209358015324</v>
      </c>
      <c r="Z173" s="41">
        <f t="shared" si="703"/>
        <v>0.8879839223851147</v>
      </c>
      <c r="AA173" s="41">
        <f t="shared" ref="AA173" si="704">AA172/AA166</f>
        <v>0.88738706752155028</v>
      </c>
      <c r="AB173" s="42">
        <f t="shared" si="703"/>
        <v>0.88496853091849847</v>
      </c>
      <c r="AC173" s="42">
        <f t="shared" si="703"/>
        <v>0.88468151801423134</v>
      </c>
      <c r="AD173" s="42">
        <f t="shared" si="703"/>
        <v>0.88464960901630452</v>
      </c>
      <c r="AE173" s="42">
        <f t="shared" si="703"/>
        <v>0.88464816906360522</v>
      </c>
      <c r="AI173" s="41">
        <f t="shared" ref="AI173:BN173" si="705">AI172/AI166</f>
        <v>0.68966195050751344</v>
      </c>
      <c r="AJ173" s="41">
        <f t="shared" si="705"/>
        <v>0.79182477304298604</v>
      </c>
      <c r="AK173" s="41">
        <f t="shared" si="705"/>
        <v>0.84419014494915823</v>
      </c>
      <c r="AL173" s="41">
        <f t="shared" si="705"/>
        <v>0.77411482883002503</v>
      </c>
      <c r="AM173" s="41">
        <f t="shared" si="705"/>
        <v>0.90249484662847113</v>
      </c>
      <c r="AN173" s="41">
        <f t="shared" si="705"/>
        <v>0.82460559611557716</v>
      </c>
      <c r="AO173" s="41">
        <f t="shared" si="705"/>
        <v>0.85331867009320228</v>
      </c>
      <c r="AP173" s="41">
        <f t="shared" si="705"/>
        <v>0.80827030943445377</v>
      </c>
      <c r="AQ173" s="41">
        <f t="shared" si="705"/>
        <v>0.88714159606845944</v>
      </c>
      <c r="AR173" s="41">
        <f t="shared" si="705"/>
        <v>0.85602818612102927</v>
      </c>
      <c r="AS173" s="41">
        <f t="shared" si="705"/>
        <v>0.81146777949887328</v>
      </c>
      <c r="AT173" s="41">
        <f t="shared" si="705"/>
        <v>0.85934041856186172</v>
      </c>
      <c r="AU173" s="41">
        <f t="shared" si="705"/>
        <v>0.87150493010857821</v>
      </c>
      <c r="AV173" s="41">
        <f t="shared" si="705"/>
        <v>0.7989930581383079</v>
      </c>
      <c r="AW173" s="41">
        <f t="shared" si="705"/>
        <v>0.83830265808446214</v>
      </c>
      <c r="AX173" s="41">
        <f t="shared" si="705"/>
        <v>0.84798349896321001</v>
      </c>
      <c r="AY173" s="41">
        <f t="shared" si="705"/>
        <v>0.83224058328688466</v>
      </c>
      <c r="AZ173" s="41">
        <f t="shared" si="705"/>
        <v>0.82656097057591738</v>
      </c>
      <c r="BA173" s="41">
        <f t="shared" si="705"/>
        <v>0.88534942808185868</v>
      </c>
      <c r="BB173" s="41">
        <f t="shared" si="705"/>
        <v>0.85430765777304185</v>
      </c>
      <c r="BC173" s="41">
        <f t="shared" si="705"/>
        <v>0.860277982516374</v>
      </c>
      <c r="BD173" s="41">
        <f t="shared" si="705"/>
        <v>0.84029007712097825</v>
      </c>
      <c r="BE173" s="41">
        <f t="shared" si="705"/>
        <v>0.87367157782690297</v>
      </c>
      <c r="BF173" s="41">
        <f t="shared" si="705"/>
        <v>0.89373987477291217</v>
      </c>
      <c r="BG173" s="41">
        <f t="shared" si="705"/>
        <v>0.87772678678618621</v>
      </c>
      <c r="BH173" s="41">
        <f t="shared" si="705"/>
        <v>0.88475275383473506</v>
      </c>
      <c r="BI173" s="41">
        <f t="shared" si="705"/>
        <v>0.90327324095722494</v>
      </c>
      <c r="BJ173" s="41">
        <f t="shared" si="705"/>
        <v>0.88962945172896357</v>
      </c>
      <c r="BK173" s="41">
        <f t="shared" si="705"/>
        <v>0.86858359526183571</v>
      </c>
      <c r="BL173" s="41">
        <f t="shared" si="705"/>
        <v>0.87631667961656967</v>
      </c>
      <c r="BM173" s="41">
        <f t="shared" si="705"/>
        <v>0.88713307073317982</v>
      </c>
      <c r="BN173" s="41">
        <f t="shared" si="705"/>
        <v>0.89416611218190956</v>
      </c>
      <c r="BO173" s="41">
        <f t="shared" ref="BO173:CK173" si="706">BO172/BO166</f>
        <v>0.89202242524330944</v>
      </c>
      <c r="BP173" s="41">
        <f t="shared" si="706"/>
        <v>0.84438116768498783</v>
      </c>
      <c r="BQ173" s="41">
        <f t="shared" si="706"/>
        <v>0.86540640884673237</v>
      </c>
      <c r="BR173" s="41">
        <f t="shared" si="706"/>
        <v>0.89180708660598607</v>
      </c>
      <c r="BS173" s="41">
        <f t="shared" si="706"/>
        <v>0.88062613836909354</v>
      </c>
      <c r="BT173" s="41">
        <f t="shared" si="706"/>
        <v>0.88154884982270665</v>
      </c>
      <c r="BU173" s="41">
        <f t="shared" si="706"/>
        <v>0.92305876310444235</v>
      </c>
      <c r="BV173" s="41">
        <f t="shared" si="706"/>
        <v>0.89727642052598378</v>
      </c>
      <c r="BW173" s="41">
        <f t="shared" si="706"/>
        <v>0.91937651311458946</v>
      </c>
      <c r="BX173" s="41">
        <f t="shared" si="706"/>
        <v>0.92047445186343857</v>
      </c>
      <c r="BY173" s="41">
        <f t="shared" si="706"/>
        <v>0.90644716113828672</v>
      </c>
      <c r="BZ173" s="41">
        <f t="shared" si="706"/>
        <v>0.89268751344600972</v>
      </c>
      <c r="CA173" s="41">
        <f t="shared" si="706"/>
        <v>0.90504208542726672</v>
      </c>
      <c r="CB173" s="41">
        <f t="shared" si="706"/>
        <v>0.89922103384992635</v>
      </c>
      <c r="CC173" s="41">
        <f t="shared" si="706"/>
        <v>0.90714923971236294</v>
      </c>
      <c r="CD173" s="41">
        <f t="shared" si="706"/>
        <v>0.89982688985531623</v>
      </c>
      <c r="CE173" s="41">
        <f t="shared" si="706"/>
        <v>0.90227054442485488</v>
      </c>
      <c r="CF173" s="41">
        <f t="shared" si="706"/>
        <v>0.90156248324657562</v>
      </c>
      <c r="CG173" s="41">
        <f t="shared" si="706"/>
        <v>0.88060298343317178</v>
      </c>
      <c r="CH173" s="41">
        <f t="shared" si="706"/>
        <v>0.87257884823532772</v>
      </c>
      <c r="CI173" s="41">
        <f t="shared" si="706"/>
        <v>0.89997741795872166</v>
      </c>
      <c r="CJ173" s="41">
        <f t="shared" si="706"/>
        <v>0.88664857502986372</v>
      </c>
      <c r="CK173" s="41">
        <f t="shared" si="706"/>
        <v>0.87748541981281936</v>
      </c>
      <c r="CL173" s="41">
        <f t="shared" ref="CL173" si="707">CL172/CL166</f>
        <v>0.88518956005981475</v>
      </c>
      <c r="CM173" s="42">
        <f>AVERAGE(CI173:CL173)</f>
        <v>0.88732524321530493</v>
      </c>
      <c r="CN173" s="42">
        <f t="shared" ref="CN173:DB173" si="708">AVERAGE(CJ173:CM173)</f>
        <v>0.88416219952945074</v>
      </c>
      <c r="CO173" s="42">
        <f t="shared" si="708"/>
        <v>0.88354060565434744</v>
      </c>
      <c r="CP173" s="42">
        <f t="shared" si="708"/>
        <v>0.88505440211472952</v>
      </c>
      <c r="CQ173" s="42">
        <f t="shared" si="708"/>
        <v>0.8850206126284581</v>
      </c>
      <c r="CR173" s="42">
        <f t="shared" si="708"/>
        <v>0.88444445498174651</v>
      </c>
      <c r="CS173" s="42">
        <f t="shared" si="708"/>
        <v>0.88451501884482031</v>
      </c>
      <c r="CT173" s="42">
        <f t="shared" si="708"/>
        <v>0.88475862214243861</v>
      </c>
      <c r="CU173" s="42">
        <f t="shared" si="708"/>
        <v>0.88468467714936594</v>
      </c>
      <c r="CV173" s="42">
        <f t="shared" si="708"/>
        <v>0.8846006932795929</v>
      </c>
      <c r="CW173" s="42">
        <f t="shared" si="708"/>
        <v>0.88463975285405438</v>
      </c>
      <c r="CX173" s="42">
        <f t="shared" si="708"/>
        <v>0.88467093635636296</v>
      </c>
      <c r="CY173" s="42">
        <f t="shared" si="708"/>
        <v>0.88464901490984404</v>
      </c>
      <c r="CZ173" s="42">
        <f t="shared" si="708"/>
        <v>0.88464009934996357</v>
      </c>
      <c r="DA173" s="42">
        <f t="shared" si="708"/>
        <v>0.88464995086755616</v>
      </c>
      <c r="DB173" s="42">
        <f t="shared" si="708"/>
        <v>0.88465250037093168</v>
      </c>
      <c r="DE173" s="125"/>
      <c r="DF173" s="41">
        <v>0.88738706752155028</v>
      </c>
    </row>
    <row r="174" spans="1:110" s="39" customFormat="1" x14ac:dyDescent="0.2">
      <c r="A174" s="39" t="s">
        <v>447</v>
      </c>
      <c r="C174" s="39">
        <f t="shared" ref="C174:AE174" si="709">+IF(B172&lt;0,1-C172/B172,C172/B172-1)</f>
        <v>0.35385524463506068</v>
      </c>
      <c r="D174" s="39">
        <f t="shared" si="709"/>
        <v>0.11078337122627624</v>
      </c>
      <c r="E174" s="39">
        <f t="shared" si="709"/>
        <v>4.4425297392805208E-2</v>
      </c>
      <c r="F174" s="39">
        <f t="shared" si="709"/>
        <v>0.25107055258094424</v>
      </c>
      <c r="G174" s="39">
        <f t="shared" si="709"/>
        <v>0.21565444187516025</v>
      </c>
      <c r="H174" s="39">
        <f t="shared" si="709"/>
        <v>0.27657632604755622</v>
      </c>
      <c r="I174" s="39">
        <f t="shared" si="709"/>
        <v>0.40625892487935</v>
      </c>
      <c r="J174" s="39">
        <f t="shared" si="709"/>
        <v>0.42754215116148142</v>
      </c>
      <c r="K174" s="39">
        <f t="shared" si="709"/>
        <v>0.11038029866188892</v>
      </c>
      <c r="L174" s="39">
        <f t="shared" si="709"/>
        <v>0.17636256871684886</v>
      </c>
      <c r="M174" s="39">
        <f t="shared" si="709"/>
        <v>0.24742662649473512</v>
      </c>
      <c r="N174" s="39">
        <f t="shared" si="709"/>
        <v>0.23572911369026639</v>
      </c>
      <c r="O174" s="39">
        <f t="shared" si="709"/>
        <v>0.16689960052144182</v>
      </c>
      <c r="P174" s="39">
        <f t="shared" si="709"/>
        <v>8.5075686694181307E-2</v>
      </c>
      <c r="Q174" s="39">
        <f t="shared" si="709"/>
        <v>7.1200845425825277E-2</v>
      </c>
      <c r="R174" s="39">
        <f t="shared" si="709"/>
        <v>7.7408434643960966E-2</v>
      </c>
      <c r="S174" s="39">
        <f t="shared" si="709"/>
        <v>0.11615781299952044</v>
      </c>
      <c r="T174" s="39">
        <f t="shared" si="709"/>
        <v>0.15429831557086238</v>
      </c>
      <c r="U174" s="39">
        <f t="shared" si="709"/>
        <v>6.786248947482143E-2</v>
      </c>
      <c r="V174" s="39">
        <f t="shared" si="709"/>
        <v>-7.3805149723107699E-2</v>
      </c>
      <c r="W174" s="39">
        <f t="shared" si="709"/>
        <v>0.18145258755192994</v>
      </c>
      <c r="X174" s="39">
        <f t="shared" si="709"/>
        <v>0.185304743394616</v>
      </c>
      <c r="Y174" s="39">
        <f t="shared" si="709"/>
        <v>0.1990782542463212</v>
      </c>
      <c r="Z174" s="39">
        <f t="shared" si="709"/>
        <v>0.13779666310963368</v>
      </c>
      <c r="AA174" s="39">
        <f t="shared" si="709"/>
        <v>0.11710491365288722</v>
      </c>
      <c r="AB174" s="40">
        <f t="shared" si="709"/>
        <v>0.14732767794446544</v>
      </c>
      <c r="AC174" s="40">
        <f t="shared" si="709"/>
        <v>0.15189566625026063</v>
      </c>
      <c r="AD174" s="40">
        <f t="shared" si="709"/>
        <v>0.15271561208435824</v>
      </c>
      <c r="AE174" s="40">
        <f t="shared" si="709"/>
        <v>0.15285925500776631</v>
      </c>
      <c r="AM174" s="39">
        <f>+IF(AI172&lt;0,1-AM172/AI172,AM172/AI172-1)</f>
        <v>0.8871748846291454</v>
      </c>
      <c r="AN174" s="39">
        <f t="shared" ref="AN174" si="710">+IF(AJ172&lt;0,1-AN172/AJ172,AN172/AJ172-1)</f>
        <v>0.50984608994181824</v>
      </c>
      <c r="AO174" s="39">
        <f t="shared" ref="AO174" si="711">+IF(AK172&lt;0,1-AO172/AK172,AO172/AK172-1)</f>
        <v>0.70695230284504063</v>
      </c>
      <c r="AP174" s="39">
        <f t="shared" ref="AP174" si="712">+IF(AL172&lt;0,1-AP172/AL172,AP172/AL172-1)</f>
        <v>0.5610269435465487</v>
      </c>
      <c r="AQ174" s="39">
        <f t="shared" ref="AQ174" si="713">+IF(AM172&lt;0,1-AQ172/AM172,AQ172/AM172-1)</f>
        <v>8.1828195814406701E-2</v>
      </c>
      <c r="AR174" s="39">
        <f t="shared" ref="AR174" si="714">+IF(AN172&lt;0,1-AR172/AN172,AR172/AN172-1)</f>
        <v>0.14818444483605431</v>
      </c>
      <c r="AS174" s="39">
        <f t="shared" ref="AS174" si="715">+IF(AO172&lt;0,1-AS172/AO172,AS172/AO172-1)</f>
        <v>4.3524752731519456E-2</v>
      </c>
      <c r="AT174" s="39">
        <f t="shared" ref="AT174" si="716">+IF(AP172&lt;0,1-AT172/AP172,AT172/AP172-1)</f>
        <v>0.10246666981034025</v>
      </c>
      <c r="AU174" s="39">
        <f t="shared" ref="AU174" si="717">+IF(AQ172&lt;0,1-AU172/AQ172,AU172/AQ172-1)</f>
        <v>3.7951582845658915E-2</v>
      </c>
      <c r="AV174" s="39">
        <f t="shared" ref="AV174" si="718">+IF(AR172&lt;0,1-AV172/AR172,AV172/AR172-1)</f>
        <v>2.0013250151824646E-2</v>
      </c>
      <c r="AW174" s="39">
        <f t="shared" ref="AW174" si="719">+IF(AS172&lt;0,1-AW172/AS172,AW172/AS172-1)</f>
        <v>0.12318253059022521</v>
      </c>
      <c r="AX174" s="39">
        <f t="shared" ref="AX174" si="720">+IF(AT172&lt;0,1-AX172/AT172,AX172/AT172-1)</f>
        <v>0.15767305054572156</v>
      </c>
      <c r="AY174" s="39">
        <f t="shared" ref="AY174" si="721">+IF(AU172&lt;0,1-AY172/AU172,AY172/AU172-1)</f>
        <v>3.488754096521629E-2</v>
      </c>
      <c r="AZ174" s="39">
        <f t="shared" ref="AZ174" si="722">+IF(AV172&lt;0,1-AZ172/AV172,AZ172/AV172-1)</f>
        <v>0.11202078428188678</v>
      </c>
      <c r="BA174" s="39">
        <f t="shared" ref="BA174" si="723">+IF(AW172&lt;0,1-BA172/AW172,BA172/AW172-1)</f>
        <v>6.3547447801000967E-2</v>
      </c>
      <c r="BB174" s="39">
        <f t="shared" ref="BB174" si="724">+IF(AX172&lt;0,1-BB172/AX172,BB172/AX172-1)</f>
        <v>0.12216778242542725</v>
      </c>
      <c r="BC174" s="39">
        <f t="shared" ref="BC174" si="725">+IF(AY172&lt;0,1-BC172/AY172,BC172/AY172-1)</f>
        <v>0.13285531780750737</v>
      </c>
      <c r="BD174" s="39">
        <f t="shared" ref="BD174" si="726">+IF(AZ172&lt;0,1-BD172/AZ172,BD172/AZ172-1)</f>
        <v>8.1664568846939067E-2</v>
      </c>
      <c r="BE174" s="39">
        <f t="shared" ref="BE174" si="727">+IF(BA172&lt;0,1-BE172/BA172,BE172/BA172-1)</f>
        <v>8.6474734186940072E-2</v>
      </c>
      <c r="BF174" s="39">
        <f t="shared" ref="BF174" si="728">+IF(BB172&lt;0,1-BF172/BB172,BF172/BB172-1)</f>
        <v>0.16212835642365486</v>
      </c>
      <c r="BG174" s="39">
        <f t="shared" ref="BG174" si="729">+IF(BC172&lt;0,1-BG172/BC172,BG172/BC172-1)</f>
        <v>0.15714059055992591</v>
      </c>
      <c r="BH174" s="39">
        <f t="shared" ref="BH174" si="730">+IF(BD172&lt;0,1-BH172/BD172,BH172/BD172-1)</f>
        <v>0.22137519996220134</v>
      </c>
      <c r="BI174" s="39">
        <f t="shared" ref="BI174" si="731">+IF(BE172&lt;0,1-BI172/BE172,BI172/BE172-1)</f>
        <v>0.23120040229608163</v>
      </c>
      <c r="BJ174" s="39">
        <f t="shared" ref="BJ174" si="732">+IF(BF172&lt;0,1-BJ172/BF172,BJ172/BF172-1)</f>
        <v>5.9642465378136666E-2</v>
      </c>
      <c r="BK174" s="39">
        <f t="shared" ref="BK174" si="733">+IF(BG172&lt;0,1-BK172/BG172,BK172/BG172-1)</f>
        <v>8.6002039420642662E-2</v>
      </c>
      <c r="BL174" s="39">
        <f t="shared" ref="BL174" si="734">+IF(BH172&lt;0,1-BL172/BH172,BL172/BH172-1)</f>
        <v>0.14060390766383124</v>
      </c>
      <c r="BM174" s="39">
        <f t="shared" ref="BM174" si="735">+IF(BI172&lt;0,1-BM172/BI172,BM172/BI172-1)</f>
        <v>3.975924420375776E-2</v>
      </c>
      <c r="BN174" s="39">
        <f t="shared" ref="BN174" si="736">+IF(BJ172&lt;0,1-BN172/BJ172,BN172/BJ172-1)</f>
        <v>2.6961129146053864E-2</v>
      </c>
      <c r="BO174" s="39">
        <f t="shared" ref="BO174" si="737">+IF(BK172&lt;0,1-BO172/BK172,BO172/BK172-1)</f>
        <v>-0.26327069728413077</v>
      </c>
      <c r="BP174" s="39">
        <f t="shared" ref="BP174" si="738">+IF(BL172&lt;0,1-BP172/BL172,BP172/BL172-1)</f>
        <v>-0.15355062565187205</v>
      </c>
      <c r="BQ174" s="39">
        <f t="shared" ref="BQ174" si="739">+IF(BM172&lt;0,1-BQ172/BM172,BQ172/BM172-1)</f>
        <v>-4.1885626062139747E-2</v>
      </c>
      <c r="BR174" s="39">
        <f t="shared" ref="BR174" si="740">+IF(BN172&lt;0,1-BR172/BN172,BR172/BN172-1)</f>
        <v>8.3980766698270592E-2</v>
      </c>
      <c r="BS174" s="39">
        <f t="shared" ref="BS174" si="741">+IF(BO172&lt;0,1-BS172/BO172,BS172/BO172-1)</f>
        <v>0.36218234510294822</v>
      </c>
      <c r="BT174" s="39">
        <f t="shared" ref="BT174" si="742">+IF(BP172&lt;0,1-BT172/BP172,BT172/BP172-1)</f>
        <v>0.16977044588563683</v>
      </c>
      <c r="BU174" s="39">
        <f t="shared" ref="BU174" si="743">+IF(BQ172&lt;0,1-BU172/BQ172,BU172/BQ172-1)</f>
        <v>0.18547188363587264</v>
      </c>
      <c r="BV174" s="39">
        <f t="shared" ref="BV174" si="744">+IF(BR172&lt;0,1-BV172/BR172,BV172/BR172-1)</f>
        <v>0.10578328665437176</v>
      </c>
      <c r="BW174" s="39">
        <f t="shared" ref="BW174" si="745">+IF(BS172&lt;0,1-BW172/BS172,BW172/BS172-1)</f>
        <v>0.2759911477327579</v>
      </c>
      <c r="BX174" s="39">
        <f t="shared" ref="BX174" si="746">+IF(BT172&lt;0,1-BX172/BT172,BX172/BT172-1)</f>
        <v>0.28406984926278822</v>
      </c>
      <c r="BY174" s="39">
        <f t="shared" ref="BY174" si="747">+IF(BU172&lt;0,1-BY172/BU172,BY172/BU172-1)</f>
        <v>0.15145390469044795</v>
      </c>
      <c r="BZ174" s="39">
        <f t="shared" ref="BZ174" si="748">+IF(BV172&lt;0,1-BZ172/BV172,BZ172/BV172-1)</f>
        <v>9.8128154940168688E-2</v>
      </c>
      <c r="CA174" s="39">
        <f t="shared" ref="CA174" si="749">+IF(BW172&lt;0,1-CA172/BW172,CA172/BW172-1)</f>
        <v>0.31468916732574725</v>
      </c>
      <c r="CB174" s="39">
        <f t="shared" ref="CB174" si="750">+IF(BX172&lt;0,1-CB172/BX172,CB172/BX172-1)</f>
        <v>0.16564245263629362</v>
      </c>
      <c r="CC174" s="39">
        <f t="shared" ref="CC174" si="751">+IF(BY172&lt;0,1-CC172/BY172,CC172/BY172-1)</f>
        <v>0.18928328604420019</v>
      </c>
      <c r="CD174" s="39">
        <f t="shared" ref="CD174" si="752">+IF(BZ172&lt;0,1-CD172/BZ172,CD172/BZ172-1)</f>
        <v>0.1590807576601927</v>
      </c>
      <c r="CE174" s="39">
        <f t="shared" ref="CE174" si="753">+IF(CA172&lt;0,1-CE172/CA172,CE172/CA172-1)</f>
        <v>0.14762541432486409</v>
      </c>
      <c r="CF174" s="39">
        <f t="shared" ref="CF174" si="754">+IF(CB172&lt;0,1-CF172/CB172,CF172/CB172-1)</f>
        <v>0.20952515251660309</v>
      </c>
      <c r="CG174" s="39">
        <f t="shared" ref="CG174" si="755">+IF(CC172&lt;0,1-CG172/CC172,CG172/CC172-1)</f>
        <v>0.13872418572917455</v>
      </c>
      <c r="CH174" s="39">
        <f t="shared" ref="CH174:CL174" si="756">+IF(CD172&lt;0,1-CH172/CD172,CH172/CD172-1)</f>
        <v>7.5447156357274503E-2</v>
      </c>
      <c r="CI174" s="39">
        <f t="shared" si="756"/>
        <v>0.15234555573674524</v>
      </c>
      <c r="CJ174" s="39">
        <f t="shared" si="756"/>
        <v>8.6173063304459729E-2</v>
      </c>
      <c r="CK174" s="39">
        <f t="shared" si="756"/>
        <v>0.10096170731056309</v>
      </c>
      <c r="CL174" s="39">
        <f t="shared" si="756"/>
        <v>0.12858831487558819</v>
      </c>
      <c r="CM174" s="40">
        <f t="shared" ref="CM174" si="757">+CM172/CI172-1</f>
        <v>0.12819040718643748</v>
      </c>
      <c r="CN174" s="40">
        <f t="shared" ref="CN174" si="758">+CN172/CJ172-1</f>
        <v>0.13832474088551483</v>
      </c>
      <c r="CO174" s="40">
        <f t="shared" ref="CO174" si="759">+CO172/CK172-1</f>
        <v>0.158737746233927</v>
      </c>
      <c r="CP174" s="40">
        <f t="shared" ref="CP174" si="760">+CP172/CL172-1</f>
        <v>0.16209990569781918</v>
      </c>
      <c r="CQ174" s="40">
        <f t="shared" ref="CQ174" si="761">+CQ172/CM172-1</f>
        <v>0.14673305848782903</v>
      </c>
      <c r="CR174" s="40">
        <f t="shared" ref="CR174" si="762">+CR172/CN172-1</f>
        <v>0.15144720757104446</v>
      </c>
      <c r="CS174" s="40">
        <f t="shared" ref="CS174" si="763">+CS172/CO172-1</f>
        <v>0.15474031801491694</v>
      </c>
      <c r="CT174" s="40">
        <f t="shared" ref="CT174" si="764">+CT172/CP172-1</f>
        <v>0.15375042664940386</v>
      </c>
      <c r="CU174" s="40">
        <f t="shared" ref="CU174" si="765">+CU172/CQ172-1</f>
        <v>0.15166350868368661</v>
      </c>
      <c r="CV174" s="40">
        <f t="shared" ref="CV174" si="766">+CV172/CR172-1</f>
        <v>0.1528998533758128</v>
      </c>
      <c r="CW174" s="40">
        <f t="shared" ref="CW174" si="767">+CW172/CS172-1</f>
        <v>0.15326295919613675</v>
      </c>
      <c r="CX174" s="40">
        <f t="shared" ref="CX174" si="768">+CX172/CT172-1</f>
        <v>0.15289411174171752</v>
      </c>
      <c r="CY174" s="40">
        <f t="shared" ref="CY174" si="769">+CY172/CU172-1</f>
        <v>0.15267997847798265</v>
      </c>
      <c r="CZ174" s="40">
        <f t="shared" ref="CZ174" si="770">+CZ172/CV172-1</f>
        <v>0.15293420867415675</v>
      </c>
      <c r="DA174" s="40">
        <f t="shared" ref="DA174" si="771">+DA172/CW172-1</f>
        <v>0.15294279820047074</v>
      </c>
      <c r="DB174" s="40">
        <f t="shared" ref="DB174" si="772">+DB172/CX172-1</f>
        <v>0.15286277144269866</v>
      </c>
      <c r="DE174" s="122"/>
      <c r="DF174" s="39">
        <v>0.11710491365288722</v>
      </c>
    </row>
    <row r="175" spans="1:110" s="39" customFormat="1" x14ac:dyDescent="0.2">
      <c r="A175" s="39" t="s">
        <v>448</v>
      </c>
      <c r="AB175" s="40"/>
      <c r="AC175" s="40"/>
      <c r="AD175" s="40"/>
      <c r="AE175" s="40"/>
      <c r="AJ175" s="39">
        <f>+IF(AI172&lt;0,1-AJ172/AI172,AJ172/AI172-1)</f>
        <v>0.26720678216891125</v>
      </c>
      <c r="AK175" s="39">
        <f t="shared" ref="AK175" si="773">+IF(AJ172&lt;0,1-AK172/AJ172,AK172/AJ172-1)</f>
        <v>3.9801652133215626E-2</v>
      </c>
      <c r="AL175" s="39">
        <f t="shared" ref="AL175" si="774">+IF(AK172&lt;0,1-AL172/AK172,AL172/AK172-1)</f>
        <v>0.28795757061975258</v>
      </c>
      <c r="AM175" s="39">
        <f t="shared" ref="AM175" si="775">+IF(AL172&lt;0,1-AM172/AL172,AM172/AL172-1)</f>
        <v>0.11202000487400854</v>
      </c>
      <c r="AN175" s="39">
        <f t="shared" ref="AN175" si="776">+IF(AM172&lt;0,1-AN172/AM172,AN172/AM172-1)</f>
        <v>1.3836725355461654E-2</v>
      </c>
      <c r="AO175" s="39">
        <f t="shared" ref="AO175" si="777">+IF(AN172&lt;0,1-AO172/AN172,AO172/AN172-1)</f>
        <v>0.17554486939742708</v>
      </c>
      <c r="AP175" s="39">
        <f t="shared" ref="AP175" si="778">+IF(AO172&lt;0,1-AP172/AO172,AP172/AO172-1)</f>
        <v>0.17785158175255078</v>
      </c>
      <c r="AQ175" s="39">
        <f t="shared" ref="AQ175" si="779">+IF(AP172&lt;0,1-AQ172/AP172,AQ172/AP172-1)</f>
        <v>-0.22934411827049717</v>
      </c>
      <c r="AR175" s="39">
        <f t="shared" ref="AR175" si="780">+IF(AQ172&lt;0,1-AR172/AQ172,AR172/AQ172-1)</f>
        <v>7.6022571939293959E-2</v>
      </c>
      <c r="AS175" s="39">
        <f t="shared" ref="AS175" si="781">+IF(AR172&lt;0,1-AS172/AR172,AS172/AR172-1)</f>
        <v>6.8391210732622776E-2</v>
      </c>
      <c r="AT175" s="39">
        <f t="shared" ref="AT175" si="782">+IF(AS172&lt;0,1-AT172/AS172,AT172/AS172-1)</f>
        <v>0.24438074656736841</v>
      </c>
      <c r="AU175" s="39">
        <f t="shared" ref="AU175" si="783">+IF(AT172&lt;0,1-AU172/AT172,AU172/AT172-1)</f>
        <v>-0.27444201790874678</v>
      </c>
      <c r="AV175" s="39">
        <f t="shared" ref="AV175" si="784">+IF(AU172&lt;0,1-AV172/AU172,AV172/AU172-1)</f>
        <v>5.7426279780267153E-2</v>
      </c>
      <c r="AW175" s="39">
        <f t="shared" ref="AW175" si="785">+IF(AV172&lt;0,1-AW172/AV172,AW172/AV172-1)</f>
        <v>0.17645368190306088</v>
      </c>
      <c r="AX175" s="39">
        <f t="shared" ref="AX175" si="786">+IF(AW172&lt;0,1-AX172/AW172,AX172/AW172-1)</f>
        <v>0.28259300308204494</v>
      </c>
      <c r="AY175" s="39">
        <f t="shared" ref="AY175" si="787">+IF(AX172&lt;0,1-AY172/AX172,AY172/AX172-1)</f>
        <v>-0.35139639334253792</v>
      </c>
      <c r="AZ175" s="39">
        <f t="shared" ref="AZ175" si="788">+IF(AY172&lt;0,1-AZ172/AY172,AZ172/AY172-1)</f>
        <v>0.13623940226859221</v>
      </c>
      <c r="BA175" s="39">
        <f t="shared" ref="BA175" si="789">+IF(AZ172&lt;0,1-BA172/AZ172,BA172/AZ172-1)</f>
        <v>0.12517169510648274</v>
      </c>
      <c r="BB175" s="39">
        <f t="shared" ref="BB175" si="790">+IF(BA172&lt;0,1-BB172/BA172,BB172/BA172-1)</f>
        <v>0.35328663427176998</v>
      </c>
      <c r="BC175" s="39">
        <f t="shared" ref="BC175" si="791">+IF(BB172&lt;0,1-BC172/BB172,BC172/BB172-1)</f>
        <v>-0.34521908714674443</v>
      </c>
      <c r="BD175" s="39">
        <f t="shared" ref="BD175" si="792">+IF(BC172&lt;0,1-BD172/BC172,BD172/BC172-1)</f>
        <v>8.4895735441650411E-2</v>
      </c>
      <c r="BE175" s="39">
        <f t="shared" ref="BE175" si="793">+IF(BD172&lt;0,1-BE172/BD172,BE172/BD172-1)</f>
        <v>0.13017533675772119</v>
      </c>
      <c r="BF175" s="39">
        <f t="shared" ref="BF175" si="794">+IF(BE172&lt;0,1-BF172/BE172,BF172/BE172-1)</f>
        <v>0.44751895517687434</v>
      </c>
      <c r="BG175" s="39">
        <f t="shared" ref="BG175" si="795">+IF(BF172&lt;0,1-BG172/BF172,BG172/BF172-1)</f>
        <v>-0.34802935665552859</v>
      </c>
      <c r="BH175" s="39">
        <f t="shared" ref="BH175" si="796">+IF(BG172&lt;0,1-BH172/BG172,BH172/BG172-1)</f>
        <v>0.14511992459965728</v>
      </c>
      <c r="BI175" s="39">
        <f t="shared" ref="BI175" si="797">+IF(BH172&lt;0,1-BI172/BH172,BI172/BH172-1)</f>
        <v>0.13926689302703932</v>
      </c>
      <c r="BJ175" s="39">
        <f t="shared" ref="BJ175" si="798">+IF(BI172&lt;0,1-BJ172/BI172,BJ172/BI172-1)</f>
        <v>0.24581875662540909</v>
      </c>
      <c r="BK175" s="39">
        <f t="shared" ref="BK175" si="799">+IF(BJ172&lt;0,1-BK172/BJ172,BK172/BJ172-1)</f>
        <v>-0.33181099149153337</v>
      </c>
      <c r="BL175" s="39">
        <f t="shared" ref="BL175" si="800">+IF(BK172&lt;0,1-BL172/BK172,BL172/BK172-1)</f>
        <v>0.20269411412788019</v>
      </c>
      <c r="BM175" s="39">
        <f t="shared" ref="BM175" si="801">+IF(BL172&lt;0,1-BM172/BL172,BM172/BL172-1)</f>
        <v>3.8540439569739515E-2</v>
      </c>
      <c r="BN175" s="39">
        <f t="shared" ref="BN175" si="802">+IF(BM172&lt;0,1-BN172/BM172,BN172/BM172-1)</f>
        <v>0.2304843108128618</v>
      </c>
      <c r="BO175" s="39">
        <f t="shared" ref="BO175" si="803">+IF(BN172&lt;0,1-BO172/BN172,BO172/BN172-1)</f>
        <v>-0.52064941082026128</v>
      </c>
      <c r="BP175" s="39">
        <f t="shared" ref="BP175" si="804">+IF(BO172&lt;0,1-BP172/BO172,BP172/BO172-1)</f>
        <v>0.38180967783269359</v>
      </c>
      <c r="BQ175" s="39">
        <f t="shared" ref="BQ175" si="805">+IF(BP172&lt;0,1-BQ172/BP172,BQ172/BP172-1)</f>
        <v>0.17554640977059832</v>
      </c>
      <c r="BR175" s="39">
        <f t="shared" ref="BR175" si="806">+IF(BQ172&lt;0,1-BR172/BQ172,BR172/BQ172-1)</f>
        <v>0.39213163159540043</v>
      </c>
      <c r="BS175" s="39">
        <f t="shared" ref="BS175" si="807">+IF(BR172&lt;0,1-BS172/BR172,BS172/BR172-1)</f>
        <v>-0.39762500428470193</v>
      </c>
      <c r="BT175" s="39">
        <f t="shared" ref="BT175" si="808">+IF(BS172&lt;0,1-BT172/BS172,BT172/BS172-1)</f>
        <v>0.18662536537667229</v>
      </c>
      <c r="BU175" s="39">
        <f t="shared" ref="BU175" si="809">+IF(BT172&lt;0,1-BU172/BT172,BU172/BT172-1)</f>
        <v>0.19132537635369729</v>
      </c>
      <c r="BV175" s="39">
        <f t="shared" ref="BV175" si="810">+IF(BU172&lt;0,1-BV172/BU172,BV172/BU172-1)</f>
        <v>0.29855116117955349</v>
      </c>
      <c r="BW175" s="39">
        <f t="shared" ref="BW175" si="811">+IF(BV172&lt;0,1-BW172/BV172,BW172/BV172-1)</f>
        <v>-0.30490434118080223</v>
      </c>
      <c r="BX175" s="39">
        <f t="shared" ref="BX175" si="812">+IF(BW172&lt;0,1-BX172/BW172,BX172/BW172-1)</f>
        <v>0.19413826401384116</v>
      </c>
      <c r="BY175" s="39">
        <f t="shared" ref="BY175" si="813">+IF(BX172&lt;0,1-BY172/BX172,BY172/BX172-1)</f>
        <v>6.8287879469202339E-2</v>
      </c>
      <c r="BZ175" s="39">
        <f t="shared" ref="BZ175" si="814">+IF(BY172&lt;0,1-BZ172/BY172,BZ172/BY172-1)</f>
        <v>0.23841309227647289</v>
      </c>
      <c r="CA175" s="39">
        <f t="shared" ref="CA175" si="815">+IF(BZ172&lt;0,1-CA172/BZ172,CA172/BZ172-1)</f>
        <v>-0.16782505867492037</v>
      </c>
      <c r="CB175" s="39">
        <f t="shared" ref="CB175" si="816">+IF(CA172&lt;0,1-CB172/CA172,CB172/CA172-1)</f>
        <v>5.8758442258505461E-2</v>
      </c>
      <c r="CC175" s="39">
        <f t="shared" ref="CC175" si="817">+IF(CB172&lt;0,1-CC172/CB172,CC172/CB172-1)</f>
        <v>8.9954228127917091E-2</v>
      </c>
      <c r="CD175" s="39">
        <f t="shared" ref="CD175" si="818">+IF(CC172&lt;0,1-CD172/CC172,CD172/CC172-1)</f>
        <v>0.20696288439957811</v>
      </c>
      <c r="CE175" s="39">
        <f t="shared" ref="CE175" si="819">+IF(CD172&lt;0,1-CE172/CD172,CE172/CD172-1)</f>
        <v>-0.1760495500271706</v>
      </c>
      <c r="CF175" s="39">
        <f t="shared" ref="CF175" si="820">+IF(CE172&lt;0,1-CF172/CE172,CF172/CE172-1)</f>
        <v>0.11586494196307107</v>
      </c>
      <c r="CG175" s="39">
        <f t="shared" ref="CG175" si="821">+IF(CF172&lt;0,1-CG172/CF172,CG172/CF172-1)</f>
        <v>2.615248498521483E-2</v>
      </c>
      <c r="CH175" s="39">
        <f t="shared" ref="CH175:CL175" si="822">+IF(CG172&lt;0,1-CH172/CG172,CH172/CG172-1)</f>
        <v>0.13989394282085832</v>
      </c>
      <c r="CI175" s="39">
        <f t="shared" si="822"/>
        <v>-0.11713408365919198</v>
      </c>
      <c r="CJ175" s="39">
        <f t="shared" si="822"/>
        <v>5.1787318666910664E-2</v>
      </c>
      <c r="CK175" s="39">
        <f t="shared" si="822"/>
        <v>4.0123926838372626E-2</v>
      </c>
      <c r="CL175" s="39">
        <f t="shared" si="822"/>
        <v>0.16849748317558011</v>
      </c>
      <c r="CM175" s="40">
        <f t="shared" ref="CM175" si="823">+CM172/CL172-1</f>
        <v>-0.1174453567177296</v>
      </c>
      <c r="CN175" s="40">
        <f t="shared" ref="CN175" si="824">+CN172/CM172-1</f>
        <v>6.1235337015525193E-2</v>
      </c>
      <c r="CO175" s="40">
        <f t="shared" ref="CO175" si="825">+CO172/CN172-1</f>
        <v>5.8775946353512465E-2</v>
      </c>
      <c r="CP175" s="40">
        <f t="shared" ref="CP175" si="826">+CP172/CO172-1</f>
        <v>0.17188796120597294</v>
      </c>
      <c r="CQ175" s="40">
        <f t="shared" ref="CQ175" si="827">+CQ172/CP172-1</f>
        <v>-0.12911568066431167</v>
      </c>
      <c r="CR175" s="40">
        <f t="shared" ref="CR175" si="828">+CR172/CQ172-1</f>
        <v>6.5598010223590242E-2</v>
      </c>
      <c r="CS175" s="40">
        <f t="shared" ref="CS175" si="829">+CS172/CR172-1</f>
        <v>6.1804019289668055E-2</v>
      </c>
      <c r="CT175" s="40">
        <f t="shared" ref="CT175" si="830">+CT172/CS172-1</f>
        <v>0.17088337016844801</v>
      </c>
      <c r="CU175" s="40">
        <f t="shared" ref="CU175" si="831">+CU172/CT172-1</f>
        <v>-0.1306909469351647</v>
      </c>
      <c r="CV175" s="40">
        <f t="shared" ref="CV175" si="832">+CV172/CU172-1</f>
        <v>6.6741961068560673E-2</v>
      </c>
      <c r="CW175" s="40">
        <f t="shared" ref="CW175" si="833">+CW172/CV172-1</f>
        <v>6.2138434476137538E-2</v>
      </c>
      <c r="CX175" s="40">
        <f t="shared" ref="CX175" si="834">+CX172/CW172-1</f>
        <v>0.17050888718773272</v>
      </c>
      <c r="CY175" s="40">
        <f t="shared" ref="CY175" si="835">+CY172/CX172-1</f>
        <v>-0.13085240841096824</v>
      </c>
      <c r="CZ175" s="40">
        <f t="shared" ref="CZ175" si="836">+CZ172/CY172-1</f>
        <v>6.6977237140925183E-2</v>
      </c>
      <c r="DA175" s="40">
        <f t="shared" ref="DA175" si="837">+DA172/CZ172-1</f>
        <v>6.2146347560824822E-2</v>
      </c>
      <c r="DB175" s="40">
        <f t="shared" ref="DB175" si="838">+DB172/DA172-1</f>
        <v>0.17042764115251652</v>
      </c>
      <c r="DE175" s="122"/>
    </row>
    <row r="176" spans="1:110" s="23" customFormat="1" outlineLevel="1" x14ac:dyDescent="0.2">
      <c r="A176" s="23" t="s">
        <v>553</v>
      </c>
      <c r="C176" s="23">
        <v>677.3</v>
      </c>
      <c r="D176" s="23">
        <v>830.96</v>
      </c>
      <c r="E176" s="23">
        <v>1254.44</v>
      </c>
      <c r="F176" s="23">
        <v>2118.85</v>
      </c>
      <c r="G176" s="23">
        <v>3173.98</v>
      </c>
      <c r="H176" s="23">
        <v>3932.56</v>
      </c>
      <c r="I176" s="23">
        <v>5968.37</v>
      </c>
      <c r="J176" s="23">
        <v>8336.7800000000007</v>
      </c>
      <c r="K176" s="23">
        <v>8354.07</v>
      </c>
      <c r="L176" s="23">
        <v>10359.290000000001</v>
      </c>
      <c r="M176" s="23">
        <v>13037</v>
      </c>
      <c r="N176" s="23">
        <v>15562.64</v>
      </c>
      <c r="O176" s="23">
        <v>18567.02</v>
      </c>
      <c r="P176" s="23">
        <v>20091.509999999998</v>
      </c>
      <c r="Q176" s="23">
        <v>20256.77</v>
      </c>
      <c r="R176" s="23">
        <v>20716.990000000002</v>
      </c>
      <c r="S176" s="23">
        <v>24056.23</v>
      </c>
      <c r="T176" s="23">
        <v>31230.44</v>
      </c>
      <c r="U176" s="23">
        <v>30316.12</v>
      </c>
      <c r="V176" s="23">
        <v>24558.23</v>
      </c>
      <c r="W176" s="23">
        <v>33506.21</v>
      </c>
      <c r="X176" s="23">
        <v>43237.35</v>
      </c>
      <c r="Y176" s="23">
        <v>54813.97</v>
      </c>
      <c r="Z176" s="23">
        <v>63526.44</v>
      </c>
      <c r="AA176" s="23">
        <v>63526.44</v>
      </c>
      <c r="AB176" s="76">
        <f t="shared" ref="AB176:AB187" si="839">+SUM(CM176:CP176)</f>
        <v>0</v>
      </c>
      <c r="AC176" s="76">
        <f t="shared" ref="AC176:AC187" si="840">+SUM(CQ176:CT176)</f>
        <v>0</v>
      </c>
      <c r="AD176" s="76">
        <f t="shared" ref="AD176:AD187" si="841">+SUM(CU176:CX176)</f>
        <v>0</v>
      </c>
      <c r="AE176" s="76">
        <f t="shared" ref="AE176:AE187" si="842">+SUM(CY176:DB176)</f>
        <v>0</v>
      </c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E176" s="123"/>
      <c r="DF176" s="23">
        <v>63526.44</v>
      </c>
    </row>
    <row r="177" spans="1:110" s="23" customFormat="1" outlineLevel="1" x14ac:dyDescent="0.2">
      <c r="A177" s="23" t="s">
        <v>8</v>
      </c>
      <c r="B177" s="23">
        <f>'Annual Raw'!C14</f>
        <v>585.12</v>
      </c>
      <c r="C177" s="23">
        <f>'Annual Raw'!D14</f>
        <v>634.37</v>
      </c>
      <c r="D177" s="23">
        <f>'Annual Raw'!E14</f>
        <v>727.94</v>
      </c>
      <c r="E177" s="23">
        <f>'Annual Raw'!F14</f>
        <v>741.23</v>
      </c>
      <c r="F177" s="23">
        <f>'Annual Raw'!G14</f>
        <v>855.94</v>
      </c>
      <c r="G177" s="23">
        <f>'Annual Raw'!H14</f>
        <v>1029.76</v>
      </c>
      <c r="H177" s="23">
        <f>'Annual Raw'!I14</f>
        <v>1461</v>
      </c>
      <c r="I177" s="23">
        <f>'Annual Raw'!J14</f>
        <v>2011.41</v>
      </c>
      <c r="J177" s="23">
        <f>'Annual Raw'!K14</f>
        <v>2580.0300000000002</v>
      </c>
      <c r="K177" s="23">
        <f>'Annual Raw'!L14</f>
        <v>2996.76</v>
      </c>
      <c r="L177" s="23">
        <f>'Annual Raw'!M14</f>
        <v>5253.68</v>
      </c>
      <c r="M177" s="23">
        <f>'Annual Raw'!N14</f>
        <v>6874.61</v>
      </c>
      <c r="N177" s="23">
        <f>'Annual Raw'!O14</f>
        <v>8227.83</v>
      </c>
      <c r="O177" s="23">
        <f>'Annual Raw'!P14</f>
        <v>10499.82</v>
      </c>
      <c r="P177" s="23">
        <f>'Annual Raw'!Q14</f>
        <v>11931.31</v>
      </c>
      <c r="Q177" s="23">
        <f>'Annual Raw'!R14</f>
        <v>13330.84</v>
      </c>
      <c r="R177" s="23">
        <f>'Annual Raw'!S14</f>
        <v>13853.97</v>
      </c>
      <c r="S177" s="23">
        <f>'Annual Raw'!T14</f>
        <v>15270.79</v>
      </c>
      <c r="T177" s="23">
        <f>'Annual Raw'!U14</f>
        <v>17466.400000000001</v>
      </c>
      <c r="U177" s="23">
        <f>'Annual Raw'!V14</f>
        <v>23114</v>
      </c>
      <c r="V177" s="23">
        <f>'Annual Raw'!W14</f>
        <v>24750.54</v>
      </c>
      <c r="W177" s="23">
        <f>'Annual Raw'!X14</f>
        <v>29695.79</v>
      </c>
      <c r="X177" s="23">
        <f>'Annual Raw'!Y14</f>
        <v>37214.11</v>
      </c>
      <c r="Y177" s="23">
        <f>'Annual Raw'!Z14</f>
        <v>41171.019999999997</v>
      </c>
      <c r="Z177" s="23">
        <f>'Annual Raw'!AA14</f>
        <v>46768.68</v>
      </c>
      <c r="AA177" s="23">
        <f>'Annual Raw'!AB14</f>
        <v>52187.22</v>
      </c>
      <c r="AB177" s="76">
        <f t="shared" si="839"/>
        <v>55840.304000000004</v>
      </c>
      <c r="AC177" s="76">
        <f t="shared" si="840"/>
        <v>59749.125280000007</v>
      </c>
      <c r="AD177" s="76">
        <f t="shared" si="841"/>
        <v>63931.564049600012</v>
      </c>
      <c r="AE177" s="76">
        <f t="shared" si="842"/>
        <v>68406.773533072017</v>
      </c>
      <c r="AI177" s="23">
        <f>'QTR Raw'!C16</f>
        <v>947.19</v>
      </c>
      <c r="AJ177" s="23">
        <f>'QTR Raw'!D16</f>
        <v>1298.51</v>
      </c>
      <c r="AK177" s="23">
        <f>'QTR Raw'!E16</f>
        <v>926.75</v>
      </c>
      <c r="AL177" s="23">
        <f>'QTR Raw'!F16</f>
        <v>979.16</v>
      </c>
      <c r="AM177" s="23">
        <f>'QTR Raw'!G16</f>
        <v>1565.14</v>
      </c>
      <c r="AN177" s="23">
        <f>'QTR Raw'!H16</f>
        <v>2003.52</v>
      </c>
      <c r="AO177" s="23">
        <f>'QTR Raw'!I16</f>
        <v>1708.34</v>
      </c>
      <c r="AP177" s="23">
        <f>'QTR Raw'!J16</f>
        <v>1858.07</v>
      </c>
      <c r="AQ177" s="23">
        <f>'QTR Raw'!K16</f>
        <v>1751.04</v>
      </c>
      <c r="AR177" s="23">
        <f>'QTR Raw'!L16</f>
        <v>2261.91</v>
      </c>
      <c r="AS177" s="23">
        <f>'QTR Raw'!M16</f>
        <v>1928.59</v>
      </c>
      <c r="AT177" s="23">
        <f>'QTR Raw'!N16</f>
        <v>2048.9899999999998</v>
      </c>
      <c r="AU177" s="23">
        <f>'QTR Raw'!O16</f>
        <v>3149.42</v>
      </c>
      <c r="AV177" s="23">
        <f>'QTR Raw'!P16</f>
        <v>3335.19</v>
      </c>
      <c r="AW177" s="23">
        <f>'QTR Raw'!Q16</f>
        <v>3417.12</v>
      </c>
      <c r="AX177" s="23">
        <f>'QTR Raw'!R16</f>
        <v>3429.1</v>
      </c>
      <c r="AY177" s="23">
        <f>'QTR Raw'!S16</f>
        <v>3420.01</v>
      </c>
      <c r="AZ177" s="23">
        <f>'QTR Raw'!T16</f>
        <v>3436.5</v>
      </c>
      <c r="BA177" s="23">
        <f>'QTR Raw'!U16</f>
        <v>3496.07</v>
      </c>
      <c r="BB177" s="23">
        <f>'QTR Raw'!V16</f>
        <v>3501.37</v>
      </c>
      <c r="BC177" s="23">
        <f>'QTR Raw'!W16</f>
        <v>3530.59</v>
      </c>
      <c r="BD177" s="23">
        <f>'QTR Raw'!X16</f>
        <v>3794.88</v>
      </c>
      <c r="BE177" s="23">
        <f>'QTR Raw'!Y16</f>
        <v>3838.7</v>
      </c>
      <c r="BF177" s="23">
        <f>'QTR Raw'!Z16</f>
        <v>4125.4399999999996</v>
      </c>
      <c r="BG177" s="23">
        <f>'QTR Raw'!AA16</f>
        <v>4128.75</v>
      </c>
      <c r="BH177" s="23">
        <f>'QTR Raw'!AB16</f>
        <v>4403.42</v>
      </c>
      <c r="BI177" s="23">
        <f>'QTR Raw'!AC16</f>
        <v>4445.47</v>
      </c>
      <c r="BJ177" s="23">
        <f>'QTR Raw'!AD16</f>
        <v>4488.75</v>
      </c>
      <c r="BK177" s="23">
        <f>'QTR Raw'!AE16</f>
        <v>4551.78</v>
      </c>
      <c r="BL177" s="23">
        <f>'QTR Raw'!AF16</f>
        <v>6140.6</v>
      </c>
      <c r="BM177" s="23">
        <f>'QTR Raw'!AG16</f>
        <v>6133.21</v>
      </c>
      <c r="BN177" s="23">
        <f>'QTR Raw'!AH16</f>
        <v>6288.41</v>
      </c>
      <c r="BO177" s="23">
        <f>'QTR Raw'!AI16</f>
        <v>6150.73</v>
      </c>
      <c r="BP177" s="23">
        <f>'QTR Raw'!AJ16</f>
        <v>6080.88</v>
      </c>
      <c r="BQ177" s="23">
        <f>'QTR Raw'!AK16</f>
        <v>6167.55</v>
      </c>
      <c r="BR177" s="23">
        <f>'QTR Raw'!AL16</f>
        <v>6351.41</v>
      </c>
      <c r="BS177" s="23">
        <f>'QTR Raw'!AM16</f>
        <v>6871.75</v>
      </c>
      <c r="BT177" s="23">
        <f>'QTR Raw'!AN16</f>
        <v>7253.83</v>
      </c>
      <c r="BU177" s="23">
        <f>'QTR Raw'!AO16</f>
        <v>7621.04</v>
      </c>
      <c r="BV177" s="23">
        <f>'QTR Raw'!AP16</f>
        <v>7965.02</v>
      </c>
      <c r="BW177" s="23">
        <f>'QTR Raw'!AQ16</f>
        <v>8546.09</v>
      </c>
      <c r="BX177" s="23">
        <f>'QTR Raw'!AR16</f>
        <v>9154.41</v>
      </c>
      <c r="BY177" s="23">
        <f>'QTR Raw'!AS16</f>
        <v>9532.5</v>
      </c>
      <c r="BZ177" s="23">
        <f>'QTR Raw'!AT16</f>
        <v>9981.09</v>
      </c>
      <c r="CA177" s="23">
        <f>'QTR Raw'!AU16</f>
        <v>9889.36</v>
      </c>
      <c r="CB177" s="23">
        <f>'QTR Raw'!AV16</f>
        <v>10298.89</v>
      </c>
      <c r="CC177" s="23">
        <f>'QTR Raw'!AW16</f>
        <v>10253.27</v>
      </c>
      <c r="CD177" s="23">
        <f>'QTR Raw'!AX16</f>
        <v>10729.52</v>
      </c>
      <c r="CE177" s="23">
        <f>'QTR Raw'!AY16</f>
        <v>11043.52</v>
      </c>
      <c r="CF177" s="23">
        <f>'QTR Raw'!AZ16</f>
        <v>11455.65</v>
      </c>
      <c r="CG177" s="23">
        <f>'QTR Raw'!BA16</f>
        <v>11912.19</v>
      </c>
      <c r="CH177" s="23">
        <f>'QTR Raw'!BB16</f>
        <v>12357.29</v>
      </c>
      <c r="CI177" s="23">
        <f>'QTR Raw'!BC16</f>
        <v>12638.44</v>
      </c>
      <c r="CJ177" s="23">
        <f>'QTR Raw'!BD16</f>
        <v>12985.98</v>
      </c>
      <c r="CK177" s="23">
        <f>'QTR Raw'!BE16</f>
        <v>12799.86</v>
      </c>
      <c r="CL177" s="23">
        <f>'QTR Raw'!BF16</f>
        <v>13762.92</v>
      </c>
      <c r="CM177" s="24">
        <f t="shared" ref="CM177:DB177" si="843">CI177*107%</f>
        <v>13523.130800000001</v>
      </c>
      <c r="CN177" s="24">
        <f t="shared" si="843"/>
        <v>13894.998600000001</v>
      </c>
      <c r="CO177" s="24">
        <f t="shared" si="843"/>
        <v>13695.850200000001</v>
      </c>
      <c r="CP177" s="24">
        <f t="shared" si="843"/>
        <v>14726.324400000001</v>
      </c>
      <c r="CQ177" s="24">
        <f t="shared" si="843"/>
        <v>14469.749956000001</v>
      </c>
      <c r="CR177" s="24">
        <f t="shared" si="843"/>
        <v>14867.648502000002</v>
      </c>
      <c r="CS177" s="24">
        <f t="shared" si="843"/>
        <v>14654.559714000001</v>
      </c>
      <c r="CT177" s="24">
        <f t="shared" si="843"/>
        <v>15757.167108000001</v>
      </c>
      <c r="CU177" s="24">
        <f t="shared" si="843"/>
        <v>15482.632452920003</v>
      </c>
      <c r="CV177" s="24">
        <f t="shared" si="843"/>
        <v>15908.383897140004</v>
      </c>
      <c r="CW177" s="24">
        <f t="shared" si="843"/>
        <v>15680.378893980002</v>
      </c>
      <c r="CX177" s="24">
        <f t="shared" si="843"/>
        <v>16860.168805560003</v>
      </c>
      <c r="CY177" s="24">
        <f t="shared" si="843"/>
        <v>16566.416724624403</v>
      </c>
      <c r="CZ177" s="24">
        <f t="shared" si="843"/>
        <v>17021.970769939806</v>
      </c>
      <c r="DA177" s="24">
        <f t="shared" si="843"/>
        <v>16778.005416558604</v>
      </c>
      <c r="DB177" s="24">
        <f t="shared" si="843"/>
        <v>18040.380621949203</v>
      </c>
      <c r="DE177" s="123"/>
      <c r="DF177" s="23">
        <v>52187.22</v>
      </c>
    </row>
    <row r="178" spans="1:110" s="23" customFormat="1" outlineLevel="1" x14ac:dyDescent="0.2">
      <c r="A178" s="23" t="s">
        <v>10</v>
      </c>
      <c r="B178" s="23">
        <f>'Annual Raw'!C17</f>
        <v>451.97</v>
      </c>
      <c r="C178" s="23">
        <f>'Annual Raw'!D17</f>
        <v>611.9</v>
      </c>
      <c r="D178" s="23">
        <f>'Annual Raw'!E17</f>
        <v>676.8</v>
      </c>
      <c r="E178" s="23">
        <f>'Annual Raw'!F17</f>
        <v>803.64</v>
      </c>
      <c r="F178" s="23">
        <f>'Annual Raw'!G17</f>
        <v>1003.9</v>
      </c>
      <c r="G178" s="23">
        <f>'Annual Raw'!H17</f>
        <v>1318.49</v>
      </c>
      <c r="H178" s="23">
        <f>'Annual Raw'!I17</f>
        <v>1970.24</v>
      </c>
      <c r="I178" s="23">
        <f>'Annual Raw'!J17</f>
        <v>2424.73</v>
      </c>
      <c r="J178" s="23">
        <f>'Annual Raw'!K17</f>
        <v>2031.31</v>
      </c>
      <c r="K178" s="23">
        <f>'Annual Raw'!L17</f>
        <v>2217.65</v>
      </c>
      <c r="L178" s="23">
        <f>'Annual Raw'!M17</f>
        <v>2657.21</v>
      </c>
      <c r="M178" s="23">
        <f>'Annual Raw'!N17</f>
        <v>3258.59</v>
      </c>
      <c r="N178" s="23">
        <f>'Annual Raw'!O17</f>
        <v>4305.5200000000004</v>
      </c>
      <c r="O178" s="23">
        <f>'Annual Raw'!P17</f>
        <v>5364.94</v>
      </c>
      <c r="P178" s="23">
        <f>'Annual Raw'!Q17</f>
        <v>5911.91</v>
      </c>
      <c r="Q178" s="23">
        <f>'Annual Raw'!R17</f>
        <v>6078.04</v>
      </c>
      <c r="R178" s="23">
        <f>'Annual Raw'!S17</f>
        <v>6130.29</v>
      </c>
      <c r="S178" s="23">
        <f>'Annual Raw'!T17</f>
        <v>6402.32</v>
      </c>
      <c r="T178" s="23">
        <f>'Annual Raw'!U17</f>
        <v>8235.93</v>
      </c>
      <c r="U178" s="23">
        <f>'Annual Raw'!V17</f>
        <v>9557.02</v>
      </c>
      <c r="V178" s="23">
        <f>'Annual Raw'!W17</f>
        <v>9074.25</v>
      </c>
      <c r="W178" s="23">
        <f>'Annual Raw'!X17</f>
        <v>11169.53</v>
      </c>
      <c r="X178" s="23">
        <f>'Annual Raw'!Y17</f>
        <v>13803.74</v>
      </c>
      <c r="Y178" s="23">
        <f>'Annual Raw'!Z17</f>
        <v>16634.8</v>
      </c>
      <c r="Z178" s="23">
        <f>'Annual Raw'!AA17</f>
        <v>17917.38</v>
      </c>
      <c r="AA178" s="23">
        <f>'Annual Raw'!AB17</f>
        <v>22016.62</v>
      </c>
      <c r="AB178" s="76">
        <f t="shared" si="839"/>
        <v>0</v>
      </c>
      <c r="AC178" s="76">
        <f t="shared" si="840"/>
        <v>0</v>
      </c>
      <c r="AD178" s="76">
        <f t="shared" si="841"/>
        <v>0</v>
      </c>
      <c r="AE178" s="76">
        <f t="shared" si="842"/>
        <v>0</v>
      </c>
      <c r="AI178" s="23">
        <f>'QTR Raw'!C17</f>
        <v>0</v>
      </c>
      <c r="AJ178" s="23">
        <f>'QTR Raw'!D17</f>
        <v>0</v>
      </c>
      <c r="AK178" s="23">
        <f>'QTR Raw'!E17</f>
        <v>0</v>
      </c>
      <c r="AL178" s="23">
        <f>'QTR Raw'!F17</f>
        <v>0</v>
      </c>
      <c r="AM178" s="23">
        <f>'QTR Raw'!G17</f>
        <v>0</v>
      </c>
      <c r="AN178" s="23">
        <f>'QTR Raw'!H17</f>
        <v>0</v>
      </c>
      <c r="AO178" s="23">
        <f>'QTR Raw'!I17</f>
        <v>0</v>
      </c>
      <c r="AP178" s="23">
        <f>'QTR Raw'!J17</f>
        <v>0</v>
      </c>
      <c r="AQ178" s="23">
        <f>'QTR Raw'!K17</f>
        <v>0</v>
      </c>
      <c r="AR178" s="23">
        <f>'QTR Raw'!L17</f>
        <v>0</v>
      </c>
      <c r="AS178" s="23">
        <f>'QTR Raw'!M17</f>
        <v>0</v>
      </c>
      <c r="AT178" s="23">
        <f>'QTR Raw'!N17</f>
        <v>0</v>
      </c>
      <c r="AU178" s="23">
        <f>'QTR Raw'!O17</f>
        <v>0</v>
      </c>
      <c r="AV178" s="23">
        <f>'QTR Raw'!P17</f>
        <v>0</v>
      </c>
      <c r="AW178" s="23">
        <f>'QTR Raw'!Q17</f>
        <v>0</v>
      </c>
      <c r="AX178" s="23">
        <f>'QTR Raw'!R17</f>
        <v>0</v>
      </c>
      <c r="AY178" s="23">
        <f>'QTR Raw'!S17</f>
        <v>0</v>
      </c>
      <c r="AZ178" s="23">
        <f>'QTR Raw'!T17</f>
        <v>0</v>
      </c>
      <c r="BA178" s="23">
        <f>'QTR Raw'!U17</f>
        <v>0</v>
      </c>
      <c r="BB178" s="23">
        <f>'QTR Raw'!V17</f>
        <v>0</v>
      </c>
      <c r="BC178" s="23">
        <f>'QTR Raw'!W17</f>
        <v>0</v>
      </c>
      <c r="BD178" s="23">
        <f>'QTR Raw'!X17</f>
        <v>0</v>
      </c>
      <c r="BE178" s="23">
        <f>'QTR Raw'!Y17</f>
        <v>0</v>
      </c>
      <c r="BF178" s="23">
        <f>'QTR Raw'!Z17</f>
        <v>0</v>
      </c>
      <c r="BG178" s="23">
        <f>'QTR Raw'!AA17</f>
        <v>0</v>
      </c>
      <c r="BH178" s="23">
        <f>'QTR Raw'!AB17</f>
        <v>0</v>
      </c>
      <c r="BI178" s="23">
        <f>'QTR Raw'!AC17</f>
        <v>0</v>
      </c>
      <c r="BJ178" s="23">
        <f>'QTR Raw'!AD17</f>
        <v>0</v>
      </c>
      <c r="BK178" s="23">
        <f>'QTR Raw'!AE17</f>
        <v>0</v>
      </c>
      <c r="BL178" s="23">
        <f>'QTR Raw'!AF17</f>
        <v>0</v>
      </c>
      <c r="BM178" s="23">
        <f>'QTR Raw'!AG17</f>
        <v>0</v>
      </c>
      <c r="BN178" s="23">
        <f>'QTR Raw'!AH17</f>
        <v>0</v>
      </c>
      <c r="BO178" s="23">
        <f>'QTR Raw'!AI17</f>
        <v>0</v>
      </c>
      <c r="BP178" s="23">
        <f>'QTR Raw'!AJ17</f>
        <v>0</v>
      </c>
      <c r="BQ178" s="23">
        <f>'QTR Raw'!AK17</f>
        <v>0</v>
      </c>
      <c r="BR178" s="23">
        <f>'QTR Raw'!AL17</f>
        <v>0</v>
      </c>
      <c r="BS178" s="23">
        <f>'QTR Raw'!AM17</f>
        <v>0</v>
      </c>
      <c r="BT178" s="23">
        <f>'QTR Raw'!AN17</f>
        <v>0</v>
      </c>
      <c r="BU178" s="23">
        <f>'QTR Raw'!AO17</f>
        <v>0</v>
      </c>
      <c r="BV178" s="23">
        <f>'QTR Raw'!AP17</f>
        <v>0</v>
      </c>
      <c r="BW178" s="23">
        <f>'QTR Raw'!AQ17</f>
        <v>0</v>
      </c>
      <c r="BX178" s="23">
        <f>'QTR Raw'!AR17</f>
        <v>0</v>
      </c>
      <c r="BY178" s="23">
        <f>'QTR Raw'!AS17</f>
        <v>0</v>
      </c>
      <c r="BZ178" s="23">
        <f>'QTR Raw'!AT17</f>
        <v>0</v>
      </c>
      <c r="CA178" s="23">
        <f>'QTR Raw'!AU17</f>
        <v>0</v>
      </c>
      <c r="CB178" s="23">
        <f>'QTR Raw'!AV17</f>
        <v>0</v>
      </c>
      <c r="CC178" s="23">
        <f>'QTR Raw'!AW17</f>
        <v>0</v>
      </c>
      <c r="CD178" s="23">
        <f>'QTR Raw'!AX17</f>
        <v>0</v>
      </c>
      <c r="CE178" s="23">
        <f>'QTR Raw'!AY17</f>
        <v>0</v>
      </c>
      <c r="CF178" s="23">
        <f>'QTR Raw'!AZ17</f>
        <v>0</v>
      </c>
      <c r="CG178" s="23">
        <f>'QTR Raw'!BA17</f>
        <v>0</v>
      </c>
      <c r="CH178" s="23">
        <f>'QTR Raw'!BB17</f>
        <v>0</v>
      </c>
      <c r="CI178" s="23">
        <f>'QTR Raw'!BC17</f>
        <v>0</v>
      </c>
      <c r="CJ178" s="23">
        <f>'QTR Raw'!BD17</f>
        <v>0</v>
      </c>
      <c r="CK178" s="23">
        <f>'QTR Raw'!BE17</f>
        <v>0</v>
      </c>
      <c r="CL178" s="23">
        <f>'QTR Raw'!BF17</f>
        <v>0</v>
      </c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  <c r="DF178" s="23">
        <v>22016.62</v>
      </c>
    </row>
    <row r="179" spans="1:110" s="23" customFormat="1" outlineLevel="1" x14ac:dyDescent="0.2">
      <c r="A179" s="23" t="s">
        <v>12</v>
      </c>
      <c r="B179" s="23">
        <f>'Annual Raw'!C19-'Annual Raw'!C20</f>
        <v>185.7</v>
      </c>
      <c r="C179" s="23">
        <f>'Annual Raw'!D19-'Annual Raw'!D20</f>
        <v>306.99</v>
      </c>
      <c r="D179" s="23">
        <f>'Annual Raw'!E19-'Annual Raw'!E20</f>
        <v>373.65</v>
      </c>
      <c r="E179" s="23">
        <f>'Annual Raw'!F19-'Annual Raw'!F20</f>
        <v>387.36</v>
      </c>
      <c r="F179" s="23">
        <f>'Annual Raw'!G19-'Annual Raw'!G20</f>
        <v>361.64</v>
      </c>
      <c r="G179" s="23">
        <f>'Annual Raw'!H19-'Annual Raw'!H20</f>
        <v>336.02</v>
      </c>
      <c r="H179" s="23">
        <f>'Annual Raw'!I19-'Annual Raw'!I20</f>
        <v>310.26</v>
      </c>
      <c r="I179" s="23">
        <f>'Annual Raw'!J19-'Annual Raw'!J20</f>
        <v>429.35</v>
      </c>
      <c r="J179" s="23">
        <f>'Annual Raw'!K19-'Annual Raw'!K20</f>
        <v>1187.97</v>
      </c>
      <c r="K179" s="23">
        <f>'Annual Raw'!L19-'Annual Raw'!L20</f>
        <v>718.26</v>
      </c>
      <c r="L179" s="23">
        <f>'Annual Raw'!M19-'Annual Raw'!M20</f>
        <v>1330.37</v>
      </c>
      <c r="M179" s="23">
        <f>'Annual Raw'!N19-'Annual Raw'!N20</f>
        <v>1351.05</v>
      </c>
      <c r="N179" s="23">
        <f>'Annual Raw'!O19-'Annual Raw'!O20</f>
        <v>1291.71</v>
      </c>
      <c r="O179" s="23">
        <f>'Annual Raw'!P19-'Annual Raw'!P20</f>
        <v>1669.48</v>
      </c>
      <c r="P179" s="23">
        <f>'Annual Raw'!Q19-'Annual Raw'!Q20</f>
        <v>2088.12</v>
      </c>
      <c r="Q179" s="23">
        <f>'Annual Raw'!R19-'Annual Raw'!R20</f>
        <v>2289.9699999999998</v>
      </c>
      <c r="R179" s="23">
        <f>'Annual Raw'!S19-'Annual Raw'!S20</f>
        <v>3570.63</v>
      </c>
      <c r="S179" s="23">
        <f>'Annual Raw'!T19-'Annual Raw'!T20</f>
        <v>6949.56</v>
      </c>
      <c r="T179" s="23">
        <f>'Annual Raw'!U19-'Annual Raw'!U20</f>
        <v>4955.1400000000003</v>
      </c>
      <c r="U179" s="23">
        <f>'Annual Raw'!V19-'Annual Raw'!V20</f>
        <v>6946.09</v>
      </c>
      <c r="V179" s="23">
        <f>'Annual Raw'!W19-'Annual Raw'!W20</f>
        <v>9383.99</v>
      </c>
      <c r="W179" s="23">
        <f>'Annual Raw'!X19-'Annual Raw'!X20</f>
        <v>10377.94</v>
      </c>
      <c r="X179" s="23">
        <f>'Annual Raw'!Y19-'Annual Raw'!Y20</f>
        <v>8061.21</v>
      </c>
      <c r="Y179" s="23">
        <f>'Annual Raw'!Z19-'Annual Raw'!Z20</f>
        <v>8261.3799999999992</v>
      </c>
      <c r="Z179" s="23">
        <f>'Annual Raw'!AA19-'Annual Raw'!AA20</f>
        <v>11524.56</v>
      </c>
      <c r="AA179" s="23">
        <f>'Annual Raw'!AB19-'Annual Raw'!AB20</f>
        <v>11018.01</v>
      </c>
      <c r="AB179" s="76">
        <f t="shared" si="839"/>
        <v>0</v>
      </c>
      <c r="AC179" s="76">
        <f t="shared" si="840"/>
        <v>0</v>
      </c>
      <c r="AD179" s="76">
        <f t="shared" si="841"/>
        <v>0</v>
      </c>
      <c r="AE179" s="76">
        <f t="shared" si="842"/>
        <v>0</v>
      </c>
      <c r="AI179" s="23">
        <f>+'QTR Raw'!C21</f>
        <v>0</v>
      </c>
      <c r="AJ179" s="23">
        <f>+'QTR Raw'!D21</f>
        <v>0</v>
      </c>
      <c r="AK179" s="23">
        <f>+'QTR Raw'!E21</f>
        <v>0</v>
      </c>
      <c r="AL179" s="23">
        <f>+'QTR Raw'!F21</f>
        <v>0</v>
      </c>
      <c r="AM179" s="23">
        <f>+'QTR Raw'!G21</f>
        <v>0</v>
      </c>
      <c r="AN179" s="23">
        <f>+'QTR Raw'!H21</f>
        <v>0</v>
      </c>
      <c r="AO179" s="23">
        <f>+'QTR Raw'!I21</f>
        <v>0</v>
      </c>
      <c r="AP179" s="23">
        <f>+'QTR Raw'!J21</f>
        <v>0</v>
      </c>
      <c r="AQ179" s="23">
        <f>+'QTR Raw'!K21</f>
        <v>0</v>
      </c>
      <c r="AR179" s="23">
        <f>+'QTR Raw'!L21</f>
        <v>0</v>
      </c>
      <c r="AS179" s="23">
        <f>+'QTR Raw'!M21</f>
        <v>0</v>
      </c>
      <c r="AT179" s="23">
        <f>+'QTR Raw'!N21</f>
        <v>0</v>
      </c>
      <c r="AU179" s="23">
        <f>+'QTR Raw'!O21</f>
        <v>0</v>
      </c>
      <c r="AV179" s="23">
        <f>+'QTR Raw'!P21</f>
        <v>0</v>
      </c>
      <c r="AW179" s="23">
        <f>+'QTR Raw'!Q21</f>
        <v>0</v>
      </c>
      <c r="AX179" s="23">
        <f>+'QTR Raw'!R21</f>
        <v>0</v>
      </c>
      <c r="AY179" s="23">
        <f>+'QTR Raw'!S21</f>
        <v>0</v>
      </c>
      <c r="AZ179" s="23">
        <f>+'QTR Raw'!T21</f>
        <v>0</v>
      </c>
      <c r="BA179" s="23">
        <f>+'QTR Raw'!U21</f>
        <v>0</v>
      </c>
      <c r="BB179" s="23">
        <f>+'QTR Raw'!V21</f>
        <v>0</v>
      </c>
      <c r="BC179" s="23">
        <f>+'QTR Raw'!W21</f>
        <v>0</v>
      </c>
      <c r="BD179" s="23">
        <f>+'QTR Raw'!X21</f>
        <v>0</v>
      </c>
      <c r="BE179" s="23">
        <f>+'QTR Raw'!Y21</f>
        <v>0</v>
      </c>
      <c r="BF179" s="23">
        <f>+'QTR Raw'!Z21</f>
        <v>0</v>
      </c>
      <c r="BG179" s="23">
        <f>+'QTR Raw'!AA21</f>
        <v>0</v>
      </c>
      <c r="BH179" s="23">
        <f>+'QTR Raw'!AB21</f>
        <v>0</v>
      </c>
      <c r="BI179" s="23">
        <f>+'QTR Raw'!AC21</f>
        <v>0</v>
      </c>
      <c r="BJ179" s="23">
        <f>+'QTR Raw'!AD21</f>
        <v>0</v>
      </c>
      <c r="BK179" s="23">
        <f>+'QTR Raw'!AE21</f>
        <v>0</v>
      </c>
      <c r="BL179" s="23">
        <f>+'QTR Raw'!AF21</f>
        <v>0</v>
      </c>
      <c r="BM179" s="23">
        <f>+'QTR Raw'!AG21</f>
        <v>0</v>
      </c>
      <c r="BN179" s="23">
        <f>+'QTR Raw'!AH21</f>
        <v>0</v>
      </c>
      <c r="BO179" s="23">
        <f>+'QTR Raw'!AI21</f>
        <v>0</v>
      </c>
      <c r="BP179" s="23">
        <f>+'QTR Raw'!AJ21</f>
        <v>0</v>
      </c>
      <c r="BQ179" s="23">
        <f>+'QTR Raw'!AK21</f>
        <v>0</v>
      </c>
      <c r="BR179" s="23">
        <f>+'QTR Raw'!AL21</f>
        <v>0</v>
      </c>
      <c r="BS179" s="23">
        <f>+'QTR Raw'!AM21</f>
        <v>0</v>
      </c>
      <c r="BT179" s="23">
        <f>+'QTR Raw'!AN21</f>
        <v>0</v>
      </c>
      <c r="BU179" s="23">
        <f>+'QTR Raw'!AO21</f>
        <v>0</v>
      </c>
      <c r="BV179" s="23">
        <f>+'QTR Raw'!AP21</f>
        <v>0</v>
      </c>
      <c r="BW179" s="23">
        <f>+'QTR Raw'!AQ21</f>
        <v>0</v>
      </c>
      <c r="BX179" s="23">
        <f>+'QTR Raw'!AR21</f>
        <v>0</v>
      </c>
      <c r="BY179" s="23">
        <f>+'QTR Raw'!AS21</f>
        <v>0</v>
      </c>
      <c r="BZ179" s="23">
        <f>+'QTR Raw'!AT21</f>
        <v>0</v>
      </c>
      <c r="CA179" s="23">
        <f>+'QTR Raw'!AU21</f>
        <v>0</v>
      </c>
      <c r="CB179" s="23">
        <f>+'QTR Raw'!AV21</f>
        <v>0</v>
      </c>
      <c r="CC179" s="23">
        <f>+'QTR Raw'!AW21</f>
        <v>0</v>
      </c>
      <c r="CD179" s="23">
        <f>+'QTR Raw'!AX21</f>
        <v>0</v>
      </c>
      <c r="CE179" s="23">
        <f>+'QTR Raw'!AY21</f>
        <v>0</v>
      </c>
      <c r="CF179" s="23">
        <f>+'QTR Raw'!AZ21</f>
        <v>0</v>
      </c>
      <c r="CG179" s="23">
        <f>+'QTR Raw'!BA21</f>
        <v>0</v>
      </c>
      <c r="CH179" s="23">
        <f>+'QTR Raw'!BB21</f>
        <v>0</v>
      </c>
      <c r="CI179" s="23">
        <f>+'QTR Raw'!BC21</f>
        <v>0</v>
      </c>
      <c r="CJ179" s="23">
        <f>+'QTR Raw'!BD21</f>
        <v>0</v>
      </c>
      <c r="CK179" s="23">
        <f>+'QTR Raw'!BE21</f>
        <v>0</v>
      </c>
      <c r="CL179" s="23">
        <f>+'QTR Raw'!BF21</f>
        <v>0</v>
      </c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E179" s="123"/>
      <c r="DF179" s="23">
        <v>11018.01</v>
      </c>
    </row>
    <row r="180" spans="1:110" s="23" customFormat="1" outlineLevel="1" x14ac:dyDescent="0.2">
      <c r="A180" s="23" t="s">
        <v>9</v>
      </c>
      <c r="B180" s="23">
        <f>'Annual Raw'!C15+'Annual Raw'!C16</f>
        <v>2351.5100000000002</v>
      </c>
      <c r="C180" s="23">
        <f>'Annual Raw'!D15+'Annual Raw'!D16</f>
        <v>2235.39</v>
      </c>
      <c r="D180" s="23">
        <f>'Annual Raw'!E15+'Annual Raw'!E16</f>
        <v>2776.74</v>
      </c>
      <c r="E180" s="23">
        <f>'Annual Raw'!F15+'Annual Raw'!F16</f>
        <v>3719.27</v>
      </c>
      <c r="F180" s="23">
        <f>'Annual Raw'!G15+'Annual Raw'!G16</f>
        <v>4170.22</v>
      </c>
      <c r="G180" s="23">
        <f>'Annual Raw'!H15+'Annual Raw'!H16</f>
        <v>4379.42</v>
      </c>
      <c r="H180" s="23">
        <f>'Annual Raw'!I15+'Annual Raw'!I16</f>
        <v>4731.6899999999996</v>
      </c>
      <c r="I180" s="23">
        <f>'Annual Raw'!J15+'Annual Raw'!J16</f>
        <v>6444.69</v>
      </c>
      <c r="J180" s="23">
        <f>'Annual Raw'!K15+'Annual Raw'!K16</f>
        <v>10939.14</v>
      </c>
      <c r="K180" s="23">
        <f>'Annual Raw'!L15+'Annual Raw'!L16</f>
        <v>12906.34</v>
      </c>
      <c r="L180" s="23">
        <f>'Annual Raw'!M15+'Annual Raw'!M16</f>
        <v>12112.2</v>
      </c>
      <c r="M180" s="23">
        <f>'Annual Raw'!N15+'Annual Raw'!N16</f>
        <v>15367.11</v>
      </c>
      <c r="N180" s="23">
        <f>'Annual Raw'!O15+'Annual Raw'!O16</f>
        <v>20710.349999999999</v>
      </c>
      <c r="O180" s="23">
        <f>'Annual Raw'!P15+'Annual Raw'!P16</f>
        <v>22556.99</v>
      </c>
      <c r="P180" s="23">
        <f>'Annual Raw'!Q15+'Annual Raw'!Q16</f>
        <v>23263.200000000001</v>
      </c>
      <c r="Q180" s="23">
        <f>'Annual Raw'!R15+'Annual Raw'!R16</f>
        <v>27074.75</v>
      </c>
      <c r="R180" s="23">
        <f>'Annual Raw'!S15+'Annual Raw'!S16</f>
        <v>30289.83</v>
      </c>
      <c r="S180" s="23">
        <f>'Annual Raw'!T15+'Annual Raw'!T16</f>
        <v>32645.42</v>
      </c>
      <c r="T180" s="23">
        <f>'Annual Raw'!U15+'Annual Raw'!U16</f>
        <v>34463.589999999997</v>
      </c>
      <c r="U180" s="23">
        <f>'Annual Raw'!V15+'Annual Raw'!V16</f>
        <v>33763.4</v>
      </c>
      <c r="V180" s="23">
        <f>'Annual Raw'!W15+'Annual Raw'!W16</f>
        <v>28222.12</v>
      </c>
      <c r="W180" s="23">
        <f>'Annual Raw'!X15+'Annual Raw'!X16</f>
        <v>33185.120000000003</v>
      </c>
      <c r="X180" s="23">
        <f>'Annual Raw'!Y15+'Annual Raw'!Y16</f>
        <v>36979.07</v>
      </c>
      <c r="Y180" s="23">
        <f>'Annual Raw'!Z15+'Annual Raw'!Z16</f>
        <v>48142.38</v>
      </c>
      <c r="Z180" s="23">
        <f>'Annual Raw'!AA15+'Annual Raw'!AA16</f>
        <v>55801.86</v>
      </c>
      <c r="AA180" s="23">
        <f>'Annual Raw'!AB15+'Annual Raw'!AB16</f>
        <v>68726.899999999994</v>
      </c>
      <c r="AB180" s="76">
        <f t="shared" si="839"/>
        <v>197289.98054325586</v>
      </c>
      <c r="AC180" s="76">
        <f t="shared" si="840"/>
        <v>232083.95616675279</v>
      </c>
      <c r="AD180" s="76">
        <f t="shared" si="841"/>
        <v>272540.18831287703</v>
      </c>
      <c r="AE180" s="76">
        <f t="shared" si="842"/>
        <v>319514.32290829672</v>
      </c>
      <c r="AI180" s="23">
        <f>'QTR Raw'!C14</f>
        <v>5642.42</v>
      </c>
      <c r="AJ180" s="23">
        <f>'QTR Raw'!D14</f>
        <v>7217.02</v>
      </c>
      <c r="AK180" s="23">
        <f>'QTR Raw'!E14</f>
        <v>8272.34</v>
      </c>
      <c r="AL180" s="23">
        <f>'QTR Raw'!F14</f>
        <v>10180.35</v>
      </c>
      <c r="AM180" s="23">
        <f>'QTR Raw'!G14</f>
        <v>10973.39</v>
      </c>
      <c r="AN180" s="23">
        <f>'QTR Raw'!H14</f>
        <v>9970</v>
      </c>
      <c r="AO180" s="23">
        <f>'QTR Raw'!I14</f>
        <v>12876.68</v>
      </c>
      <c r="AP180" s="23">
        <f>'QTR Raw'!J14</f>
        <v>15365</v>
      </c>
      <c r="AQ180" s="23">
        <f>'QTR Raw'!K14</f>
        <v>11187.97</v>
      </c>
      <c r="AR180" s="23">
        <f>'QTR Raw'!L14</f>
        <v>12322.74</v>
      </c>
      <c r="AS180" s="23">
        <f>'QTR Raw'!M14</f>
        <v>13266.78</v>
      </c>
      <c r="AT180" s="23">
        <f>'QTR Raw'!N14</f>
        <v>16841.189999999999</v>
      </c>
      <c r="AU180" s="23">
        <f>'QTR Raw'!O14</f>
        <v>10133.43</v>
      </c>
      <c r="AV180" s="23">
        <f>'QTR Raw'!P14</f>
        <v>10059.200000000001</v>
      </c>
      <c r="AW180" s="23">
        <f>'QTR Raw'!Q14</f>
        <v>13388.3</v>
      </c>
      <c r="AX180" s="23">
        <f>'QTR Raw'!R14</f>
        <v>17077.25</v>
      </c>
      <c r="AY180" s="23">
        <f>'QTR Raw'!S14</f>
        <v>9865.92</v>
      </c>
      <c r="AZ180" s="23">
        <f>'QTR Raw'!T14</f>
        <v>12006.89</v>
      </c>
      <c r="BA180" s="23">
        <f>'QTR Raw'!U14</f>
        <v>14116.16</v>
      </c>
      <c r="BB180" s="23">
        <f>'QTR Raw'!V14</f>
        <v>19705.05</v>
      </c>
      <c r="BC180" s="23">
        <f>'QTR Raw'!W14</f>
        <v>11817.84</v>
      </c>
      <c r="BD180" s="23">
        <f>'QTR Raw'!X14</f>
        <v>12425.87</v>
      </c>
      <c r="BE180" s="23">
        <f>'QTR Raw'!Y14</f>
        <v>14715</v>
      </c>
      <c r="BF180" s="23">
        <f>'QTR Raw'!Z14</f>
        <v>22716.41</v>
      </c>
      <c r="BG180" s="23">
        <f>'QTR Raw'!AA14</f>
        <v>13187.41</v>
      </c>
      <c r="BH180" s="23">
        <f>'QTR Raw'!AB14</f>
        <v>15661.17</v>
      </c>
      <c r="BI180" s="23">
        <f>'QTR Raw'!AC14</f>
        <v>19227.21</v>
      </c>
      <c r="BJ180" s="23">
        <f>'QTR Raw'!AD14</f>
        <v>25243.3</v>
      </c>
      <c r="BK180" s="23">
        <f>'QTR Raw'!AE14</f>
        <v>14045.91</v>
      </c>
      <c r="BL180" s="23">
        <f>'QTR Raw'!AF14</f>
        <v>16493.52</v>
      </c>
      <c r="BM180" s="23">
        <f>'QTR Raw'!AG14</f>
        <v>17759.11</v>
      </c>
      <c r="BN180" s="23">
        <f>'QTR Raw'!AH14</f>
        <v>23984.78</v>
      </c>
      <c r="BO180" s="23">
        <f>'QTR Raw'!AI14</f>
        <v>6937.5</v>
      </c>
      <c r="BP180" s="23">
        <f>'QTR Raw'!AJ14</f>
        <v>12680.55</v>
      </c>
      <c r="BQ180" s="23">
        <f>'QTR Raw'!AK14</f>
        <v>16290.1</v>
      </c>
      <c r="BR180" s="23">
        <f>'QTR Raw'!AL14</f>
        <v>25982.720000000001</v>
      </c>
      <c r="BS180" s="23">
        <f>'QTR Raw'!AM14</f>
        <v>11979.34</v>
      </c>
      <c r="BT180" s="23">
        <f>'QTR Raw'!AN14</f>
        <v>15635.21</v>
      </c>
      <c r="BU180" s="23">
        <f>'QTR Raw'!AO14</f>
        <v>20836.419999999998</v>
      </c>
      <c r="BV180" s="23">
        <f>'QTR Raw'!AP14</f>
        <v>29373.52</v>
      </c>
      <c r="BW180" s="23">
        <f>'QTR Raw'!AQ14</f>
        <v>16640.16</v>
      </c>
      <c r="BX180" s="23">
        <f>'QTR Raw'!AR14</f>
        <v>21884.240000000002</v>
      </c>
      <c r="BY180" s="23">
        <f>'QTR Raw'!AS14</f>
        <v>23467.26</v>
      </c>
      <c r="BZ180" s="23">
        <f>'QTR Raw'!AT14</f>
        <v>31705.81</v>
      </c>
      <c r="CA180" s="23">
        <f>'QTR Raw'!AU14</f>
        <v>24799.99</v>
      </c>
      <c r="CB180" s="23">
        <f>'QTR Raw'!AV14</f>
        <v>25969.32</v>
      </c>
      <c r="CC180" s="23">
        <f>'QTR Raw'!AW14</f>
        <v>30110.75</v>
      </c>
      <c r="CD180" s="23">
        <f>'QTR Raw'!AX14</f>
        <v>37906.82</v>
      </c>
      <c r="CE180" s="23">
        <f>'QTR Raw'!AY14</f>
        <v>28789.19</v>
      </c>
      <c r="CF180" s="23">
        <f>'QTR Raw'!AZ14</f>
        <v>33398.239999999998</v>
      </c>
      <c r="CG180" s="23">
        <f>'QTR Raw'!BA14</f>
        <v>34250.78</v>
      </c>
      <c r="CH180" s="23">
        <f>'QTR Raw'!BB14</f>
        <v>39586.1</v>
      </c>
      <c r="CI180" s="23">
        <f>'QTR Raw'!BC14</f>
        <v>33861.49</v>
      </c>
      <c r="CJ180" s="23">
        <f>'QTR Raw'!BD14</f>
        <v>35882.44</v>
      </c>
      <c r="CK180" s="23">
        <f>'QTR Raw'!BE14</f>
        <v>37534.980000000003</v>
      </c>
      <c r="CL180" s="23">
        <f>'QTR Raw'!BF14</f>
        <v>46231.37</v>
      </c>
      <c r="CM180" s="24">
        <f t="shared" ref="CM180:DB180" si="844">+CM188-CM177</f>
        <v>42474.424080525423</v>
      </c>
      <c r="CN180" s="24">
        <f t="shared" si="844"/>
        <v>45636.934853434017</v>
      </c>
      <c r="CO180" s="24">
        <f t="shared" si="844"/>
        <v>49497.63844276523</v>
      </c>
      <c r="CP180" s="24">
        <f t="shared" si="844"/>
        <v>59680.983166531209</v>
      </c>
      <c r="CQ180" s="24">
        <f t="shared" si="844"/>
        <v>49989.217832427377</v>
      </c>
      <c r="CR180" s="24">
        <f t="shared" si="844"/>
        <v>53885.105056697394</v>
      </c>
      <c r="CS180" s="24">
        <f t="shared" si="844"/>
        <v>58401.752939379861</v>
      </c>
      <c r="CT180" s="24">
        <f t="shared" si="844"/>
        <v>69807.880338248156</v>
      </c>
      <c r="CU180" s="24">
        <f t="shared" si="844"/>
        <v>58838.435700743314</v>
      </c>
      <c r="CV180" s="24">
        <f t="shared" si="844"/>
        <v>63395.971175609266</v>
      </c>
      <c r="CW180" s="24">
        <f t="shared" si="844"/>
        <v>68562.261991434483</v>
      </c>
      <c r="CX180" s="24">
        <f t="shared" si="844"/>
        <v>81743.519445089973</v>
      </c>
      <c r="CY180" s="24">
        <f t="shared" si="844"/>
        <v>69125.233717002935</v>
      </c>
      <c r="CZ180" s="24">
        <f t="shared" si="844"/>
        <v>74415.269968547043</v>
      </c>
      <c r="DA180" s="24">
        <f t="shared" si="844"/>
        <v>80342.930504958116</v>
      </c>
      <c r="DB180" s="24">
        <f t="shared" si="844"/>
        <v>95630.888717788621</v>
      </c>
      <c r="DE180" s="123"/>
      <c r="DF180" s="23">
        <v>68726.899999999994</v>
      </c>
    </row>
    <row r="181" spans="1:110" s="23" customFormat="1" outlineLevel="1" x14ac:dyDescent="0.2">
      <c r="A181" s="23" t="s">
        <v>7</v>
      </c>
      <c r="B181" s="23">
        <f>'Annual Raw'!C13</f>
        <v>622.03</v>
      </c>
      <c r="C181" s="23">
        <f>'Annual Raw'!D13</f>
        <v>725.55</v>
      </c>
      <c r="D181" s="23">
        <f>'Annual Raw'!E13</f>
        <v>747.86</v>
      </c>
      <c r="E181" s="23">
        <f>'Annual Raw'!F13</f>
        <v>92.89</v>
      </c>
      <c r="F181" s="23">
        <f>'Annual Raw'!G13</f>
        <v>215.49</v>
      </c>
      <c r="G181" s="23">
        <f>'Annual Raw'!H13</f>
        <v>249.86</v>
      </c>
      <c r="H181" s="23">
        <f>'Annual Raw'!I13</f>
        <v>339.3</v>
      </c>
      <c r="I181" s="23">
        <f>'Annual Raw'!J13</f>
        <v>447.6</v>
      </c>
      <c r="J181" s="23">
        <f>'Annual Raw'!K13</f>
        <v>589.54999999999995</v>
      </c>
      <c r="K181" s="23">
        <f>'Annual Raw'!L13</f>
        <v>430.81</v>
      </c>
      <c r="L181" s="23">
        <f>'Annual Raw'!M13</f>
        <v>563.79</v>
      </c>
      <c r="M181" s="23">
        <f>'Annual Raw'!N13</f>
        <v>779.76</v>
      </c>
      <c r="N181" s="23">
        <f>'Annual Raw'!O13</f>
        <v>990.53</v>
      </c>
      <c r="O181" s="23">
        <f>'Annual Raw'!P13</f>
        <v>1157.69</v>
      </c>
      <c r="P181" s="23">
        <f>'Annual Raw'!Q13</f>
        <v>1074.48</v>
      </c>
      <c r="Q181" s="23">
        <f>'Annual Raw'!R13</f>
        <v>1243.45</v>
      </c>
      <c r="R181" s="23">
        <f>'Annual Raw'!S13</f>
        <v>1423.19</v>
      </c>
      <c r="S181" s="23">
        <f>'Annual Raw'!T13</f>
        <v>1399.62</v>
      </c>
      <c r="T181" s="23">
        <f>'Annual Raw'!U13</f>
        <v>2205.6</v>
      </c>
      <c r="U181" s="23">
        <f>'Annual Raw'!V13</f>
        <v>2079.84</v>
      </c>
      <c r="V181" s="23">
        <f>'Annual Raw'!W13</f>
        <v>1581.33</v>
      </c>
      <c r="W181" s="23">
        <f>'Annual Raw'!X13</f>
        <v>2267.2600000000002</v>
      </c>
      <c r="X181" s="23">
        <f>'Annual Raw'!Y13</f>
        <v>2823.61</v>
      </c>
      <c r="Y181" s="23">
        <f>'Annual Raw'!Z13</f>
        <v>2745.19</v>
      </c>
      <c r="Z181" s="23">
        <f>'Annual Raw'!AA13</f>
        <v>2534.42</v>
      </c>
      <c r="AA181" s="23">
        <f>'Annual Raw'!AB13</f>
        <v>2505.98</v>
      </c>
      <c r="AB181" s="76">
        <f t="shared" si="839"/>
        <v>0</v>
      </c>
      <c r="AC181" s="76">
        <f t="shared" si="840"/>
        <v>0</v>
      </c>
      <c r="AD181" s="76">
        <f t="shared" si="841"/>
        <v>0</v>
      </c>
      <c r="AE181" s="76">
        <f t="shared" si="842"/>
        <v>0</v>
      </c>
      <c r="AI181" s="23">
        <f>'QTR Raw'!C15</f>
        <v>0</v>
      </c>
      <c r="AJ181" s="23">
        <f>'QTR Raw'!D15</f>
        <v>0</v>
      </c>
      <c r="AK181" s="23">
        <f>'QTR Raw'!E15</f>
        <v>0</v>
      </c>
      <c r="AL181" s="23">
        <f>'QTR Raw'!F15</f>
        <v>0</v>
      </c>
      <c r="AM181" s="23">
        <f>'QTR Raw'!G15</f>
        <v>0</v>
      </c>
      <c r="AN181" s="23">
        <f>'QTR Raw'!H15</f>
        <v>0</v>
      </c>
      <c r="AO181" s="23">
        <f>'QTR Raw'!I15</f>
        <v>0</v>
      </c>
      <c r="AP181" s="23">
        <f>'QTR Raw'!J15</f>
        <v>0</v>
      </c>
      <c r="AQ181" s="23">
        <f>'QTR Raw'!K15</f>
        <v>0</v>
      </c>
      <c r="AR181" s="23">
        <f>'QTR Raw'!L15</f>
        <v>0</v>
      </c>
      <c r="AS181" s="23">
        <f>'QTR Raw'!M15</f>
        <v>0</v>
      </c>
      <c r="AT181" s="23">
        <f>'QTR Raw'!N15</f>
        <v>0</v>
      </c>
      <c r="AU181" s="23">
        <f>'QTR Raw'!O15</f>
        <v>0</v>
      </c>
      <c r="AV181" s="23">
        <f>'QTR Raw'!P15</f>
        <v>0</v>
      </c>
      <c r="AW181" s="23">
        <f>'QTR Raw'!Q15</f>
        <v>0</v>
      </c>
      <c r="AX181" s="23">
        <f>'QTR Raw'!R15</f>
        <v>0</v>
      </c>
      <c r="AY181" s="23">
        <f>'QTR Raw'!S15</f>
        <v>0</v>
      </c>
      <c r="AZ181" s="23">
        <f>'QTR Raw'!T15</f>
        <v>0</v>
      </c>
      <c r="BA181" s="23">
        <f>'QTR Raw'!U15</f>
        <v>0</v>
      </c>
      <c r="BB181" s="23">
        <f>'QTR Raw'!V15</f>
        <v>0</v>
      </c>
      <c r="BC181" s="23">
        <f>'QTR Raw'!W15</f>
        <v>0</v>
      </c>
      <c r="BD181" s="23">
        <f>'QTR Raw'!X15</f>
        <v>0</v>
      </c>
      <c r="BE181" s="23">
        <f>'QTR Raw'!Y15</f>
        <v>0</v>
      </c>
      <c r="BF181" s="23">
        <f>'QTR Raw'!Z15</f>
        <v>0</v>
      </c>
      <c r="BG181" s="23">
        <f>'QTR Raw'!AA15</f>
        <v>0</v>
      </c>
      <c r="BH181" s="23">
        <f>'QTR Raw'!AB15</f>
        <v>0</v>
      </c>
      <c r="BI181" s="23">
        <f>'QTR Raw'!AC15</f>
        <v>0</v>
      </c>
      <c r="BJ181" s="23">
        <f>'QTR Raw'!AD15</f>
        <v>0</v>
      </c>
      <c r="BK181" s="23">
        <f>'QTR Raw'!AE15</f>
        <v>0</v>
      </c>
      <c r="BL181" s="23">
        <f>'QTR Raw'!AF15</f>
        <v>0</v>
      </c>
      <c r="BM181" s="23">
        <f>'QTR Raw'!AG15</f>
        <v>0</v>
      </c>
      <c r="BN181" s="23">
        <f>'QTR Raw'!AH15</f>
        <v>0</v>
      </c>
      <c r="BO181" s="23">
        <f>'QTR Raw'!AI15</f>
        <v>0</v>
      </c>
      <c r="BP181" s="23">
        <f>'QTR Raw'!AJ15</f>
        <v>0</v>
      </c>
      <c r="BQ181" s="23">
        <f>'QTR Raw'!AK15</f>
        <v>0</v>
      </c>
      <c r="BR181" s="23">
        <f>'QTR Raw'!AL15</f>
        <v>0</v>
      </c>
      <c r="BS181" s="23">
        <f>'QTR Raw'!AM15</f>
        <v>0</v>
      </c>
      <c r="BT181" s="23">
        <f>'QTR Raw'!AN15</f>
        <v>0</v>
      </c>
      <c r="BU181" s="23">
        <f>'QTR Raw'!AO15</f>
        <v>0</v>
      </c>
      <c r="BV181" s="23">
        <f>'QTR Raw'!AP15</f>
        <v>0</v>
      </c>
      <c r="BW181" s="23">
        <f>'QTR Raw'!AQ15</f>
        <v>0</v>
      </c>
      <c r="BX181" s="23">
        <f>'QTR Raw'!AR15</f>
        <v>0</v>
      </c>
      <c r="BY181" s="23">
        <f>'QTR Raw'!AS15</f>
        <v>0</v>
      </c>
      <c r="BZ181" s="23">
        <f>'QTR Raw'!AT15</f>
        <v>0</v>
      </c>
      <c r="CA181" s="23">
        <f>'QTR Raw'!AU15</f>
        <v>0</v>
      </c>
      <c r="CB181" s="23">
        <f>'QTR Raw'!AV15</f>
        <v>0</v>
      </c>
      <c r="CC181" s="23">
        <f>'QTR Raw'!AW15</f>
        <v>0</v>
      </c>
      <c r="CD181" s="23">
        <f>'QTR Raw'!AX15</f>
        <v>0</v>
      </c>
      <c r="CE181" s="23">
        <f>'QTR Raw'!AY15</f>
        <v>0</v>
      </c>
      <c r="CF181" s="23">
        <f>'QTR Raw'!AZ15</f>
        <v>0</v>
      </c>
      <c r="CG181" s="23">
        <f>'QTR Raw'!BA15</f>
        <v>0</v>
      </c>
      <c r="CH181" s="23">
        <f>'QTR Raw'!BB15</f>
        <v>0</v>
      </c>
      <c r="CI181" s="23">
        <f>'QTR Raw'!BC15</f>
        <v>0</v>
      </c>
      <c r="CJ181" s="23">
        <f>'QTR Raw'!BD15</f>
        <v>0</v>
      </c>
      <c r="CK181" s="23">
        <f>'QTR Raw'!BE15</f>
        <v>0</v>
      </c>
      <c r="CL181" s="23">
        <f>'QTR Raw'!BF15</f>
        <v>0</v>
      </c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E181" s="123"/>
      <c r="DF181" s="23">
        <v>2505.98</v>
      </c>
    </row>
    <row r="182" spans="1:110" s="23" customFormat="1" outlineLevel="1" x14ac:dyDescent="0.2">
      <c r="A182" s="23" t="s">
        <v>11</v>
      </c>
      <c r="B182" s="23">
        <f>'Annual Raw'!C18</f>
        <v>149.91</v>
      </c>
      <c r="C182" s="23">
        <f>'Annual Raw'!D18</f>
        <v>637.07000000000005</v>
      </c>
      <c r="D182" s="23">
        <f>'Annual Raw'!E18</f>
        <v>618.16999999999996</v>
      </c>
      <c r="E182" s="23">
        <f>'Annual Raw'!F18</f>
        <v>122.84</v>
      </c>
      <c r="F182" s="23">
        <f>'Annual Raw'!G18</f>
        <v>165.84</v>
      </c>
      <c r="G182" s="23">
        <f>'Annual Raw'!H18</f>
        <v>168.52</v>
      </c>
      <c r="H182" s="23">
        <f>'Annual Raw'!I18</f>
        <v>238.89</v>
      </c>
      <c r="I182" s="23">
        <f>'Annual Raw'!J18</f>
        <v>351.91</v>
      </c>
      <c r="J182" s="23">
        <f>'Annual Raw'!K18</f>
        <v>370.99</v>
      </c>
      <c r="K182" s="23">
        <f>'Annual Raw'!L18</f>
        <v>355.28</v>
      </c>
      <c r="L182" s="23">
        <f>'Annual Raw'!M18</f>
        <v>434.77</v>
      </c>
      <c r="M182" s="23">
        <f>'Annual Raw'!N18</f>
        <v>364.85</v>
      </c>
      <c r="N182" s="23">
        <f>'Annual Raw'!O18</f>
        <v>497.46</v>
      </c>
      <c r="O182" s="23">
        <f>'Annual Raw'!P18</f>
        <v>640.74</v>
      </c>
      <c r="P182" s="23">
        <f>'Annual Raw'!Q18</f>
        <v>804.87</v>
      </c>
      <c r="Q182" s="23">
        <f>'Annual Raw'!R18</f>
        <v>610.59</v>
      </c>
      <c r="R182" s="23">
        <f>'Annual Raw'!S18</f>
        <v>631.15</v>
      </c>
      <c r="S182" s="23">
        <f>'Annual Raw'!T18</f>
        <v>832.75</v>
      </c>
      <c r="T182" s="23">
        <f>'Annual Raw'!U18</f>
        <v>616.91</v>
      </c>
      <c r="U182" s="23">
        <f>'Annual Raw'!V18</f>
        <v>338.15</v>
      </c>
      <c r="V182" s="23">
        <f>'Annual Raw'!W18</f>
        <v>218.01</v>
      </c>
      <c r="W182" s="23">
        <f>'Annual Raw'!X18</f>
        <v>299.29000000000002</v>
      </c>
      <c r="X182" s="23">
        <f>'Annual Raw'!Y18</f>
        <v>435.97</v>
      </c>
      <c r="Y182" s="23">
        <f>'Annual Raw'!Z18</f>
        <v>468.49</v>
      </c>
      <c r="Z182" s="23">
        <f>'Annual Raw'!AA18</f>
        <v>541.4</v>
      </c>
      <c r="AA182" s="23">
        <f>'Annual Raw'!AB18</f>
        <v>564.21</v>
      </c>
      <c r="AB182" s="76">
        <f t="shared" si="839"/>
        <v>0</v>
      </c>
      <c r="AC182" s="76">
        <f t="shared" si="840"/>
        <v>0</v>
      </c>
      <c r="AD182" s="76">
        <f t="shared" si="841"/>
        <v>0</v>
      </c>
      <c r="AE182" s="76">
        <f t="shared" si="842"/>
        <v>0</v>
      </c>
      <c r="AI182" s="23">
        <f>'QTR Raw'!C18</f>
        <v>570.83000000000004</v>
      </c>
      <c r="AJ182" s="23">
        <f>'QTR Raw'!D18</f>
        <v>529.15</v>
      </c>
      <c r="AK182" s="23">
        <f>'QTR Raw'!E18</f>
        <v>406.83</v>
      </c>
      <c r="AL182" s="23">
        <f>'QTR Raw'!F18</f>
        <v>703.84</v>
      </c>
      <c r="AM182" s="23">
        <f>'QTR Raw'!G18</f>
        <v>1148.67</v>
      </c>
      <c r="AN182" s="23">
        <f>'QTR Raw'!H18</f>
        <v>1298.47</v>
      </c>
      <c r="AO182" s="23">
        <f>'QTR Raw'!I18</f>
        <v>1326.57</v>
      </c>
      <c r="AP182" s="23">
        <f>'QTR Raw'!J18</f>
        <v>881.02</v>
      </c>
      <c r="AQ182" s="23">
        <f>'QTR Raw'!K18</f>
        <v>1383.27</v>
      </c>
      <c r="AR182" s="23">
        <f>'QTR Raw'!L18</f>
        <v>1194.08</v>
      </c>
      <c r="AS182" s="23">
        <f>'QTR Raw'!M18</f>
        <v>1270.5899999999999</v>
      </c>
      <c r="AT182" s="23">
        <f>'QTR Raw'!N18</f>
        <v>1595.47</v>
      </c>
      <c r="AU182" s="23">
        <f>'QTR Raw'!O18</f>
        <v>1357.15</v>
      </c>
      <c r="AV182" s="23">
        <f>'QTR Raw'!P18</f>
        <v>1375.09</v>
      </c>
      <c r="AW182" s="23">
        <f>'QTR Raw'!Q18</f>
        <v>1591.77</v>
      </c>
      <c r="AX182" s="23">
        <f>'QTR Raw'!R18</f>
        <v>1535.46</v>
      </c>
      <c r="AY182" s="23">
        <f>'QTR Raw'!S18</f>
        <v>1572.47</v>
      </c>
      <c r="AZ182" s="23">
        <f>'QTR Raw'!T18</f>
        <v>1431.64</v>
      </c>
      <c r="BA182" s="23">
        <f>'QTR Raw'!U18</f>
        <v>1666.95</v>
      </c>
      <c r="BB182" s="23">
        <f>'QTR Raw'!V18</f>
        <v>2354.5100000000002</v>
      </c>
      <c r="BC182" s="23">
        <f>'QTR Raw'!W18</f>
        <v>1666.24</v>
      </c>
      <c r="BD182" s="23">
        <f>'QTR Raw'!X18</f>
        <v>1519.65</v>
      </c>
      <c r="BE182" s="23">
        <f>'QTR Raw'!Y18</f>
        <v>1892.27</v>
      </c>
      <c r="BF182" s="23">
        <f>'QTR Raw'!Z18</f>
        <v>2524.5700000000002</v>
      </c>
      <c r="BG182" s="23">
        <f>'QTR Raw'!AA18</f>
        <v>1973.92</v>
      </c>
      <c r="BH182" s="23">
        <f>'QTR Raw'!AB18</f>
        <v>1748.82</v>
      </c>
      <c r="BI182" s="23">
        <f>'QTR Raw'!AC18</f>
        <v>1522.35</v>
      </c>
      <c r="BJ182" s="23">
        <f>'QTR Raw'!AD18</f>
        <v>1546.14</v>
      </c>
      <c r="BK182" s="23">
        <f>'QTR Raw'!AE18</f>
        <v>1996.64</v>
      </c>
      <c r="BL182" s="23">
        <f>'QTR Raw'!AF18</f>
        <v>2279.65</v>
      </c>
      <c r="BM182" s="23">
        <f>'QTR Raw'!AG18</f>
        <v>2137.69</v>
      </c>
      <c r="BN182" s="23">
        <f>'QTR Raw'!AH18</f>
        <v>2232.77</v>
      </c>
      <c r="BO182" s="23">
        <f>'QTR Raw'!AI18</f>
        <v>2151.7800000000002</v>
      </c>
      <c r="BP182" s="23">
        <f>'QTR Raw'!AJ18</f>
        <v>2124.21</v>
      </c>
      <c r="BQ182" s="23">
        <f>'QTR Raw'!AK18</f>
        <v>2281.88</v>
      </c>
      <c r="BR182" s="23">
        <f>'QTR Raw'!AL18</f>
        <v>2345.5700000000002</v>
      </c>
      <c r="BS182" s="23">
        <f>'QTR Raw'!AM18</f>
        <v>2244.56</v>
      </c>
      <c r="BT182" s="23">
        <f>'QTR Raw'!AN18</f>
        <v>2278.6999999999998</v>
      </c>
      <c r="BU182" s="23">
        <f>'QTR Raw'!AO18</f>
        <v>2079.13</v>
      </c>
      <c r="BV182" s="23">
        <f>'QTR Raw'!AP18</f>
        <v>2124.61</v>
      </c>
      <c r="BW182" s="23">
        <f>'QTR Raw'!AQ18</f>
        <v>2366.52</v>
      </c>
      <c r="BX182" s="23">
        <f>'QTR Raw'!AR18</f>
        <v>1961.08</v>
      </c>
      <c r="BY182" s="23">
        <f>'QTR Raw'!AS18</f>
        <v>2396.6</v>
      </c>
      <c r="BZ182" s="23">
        <f>'QTR Raw'!AT18</f>
        <v>2033.92</v>
      </c>
      <c r="CA182" s="23">
        <f>'QTR Raw'!AU18</f>
        <v>2329.85</v>
      </c>
      <c r="CB182" s="23">
        <f>'QTR Raw'!AV18</f>
        <v>2573.21</v>
      </c>
      <c r="CC182" s="23">
        <f>'QTR Raw'!AW18</f>
        <v>2446.4899999999998</v>
      </c>
      <c r="CD182" s="23">
        <f>'QTR Raw'!AX18</f>
        <v>3069.82</v>
      </c>
      <c r="CE182" s="23">
        <f>'QTR Raw'!AY18</f>
        <v>2854.46</v>
      </c>
      <c r="CF182" s="23">
        <f>'QTR Raw'!AZ18</f>
        <v>2724.36</v>
      </c>
      <c r="CG182" s="23">
        <f>'QTR Raw'!BA18</f>
        <v>2885.51</v>
      </c>
      <c r="CH182" s="23">
        <f>'QTR Raw'!BB18</f>
        <v>3093.8</v>
      </c>
      <c r="CI182" s="23">
        <f>'QTR Raw'!BC18</f>
        <v>2785.65</v>
      </c>
      <c r="CJ182" s="23">
        <f>'QTR Raw'!BD18</f>
        <v>2895.84</v>
      </c>
      <c r="CK182" s="23">
        <f>'QTR Raw'!BE18</f>
        <v>3171.02</v>
      </c>
      <c r="CL182" s="23">
        <f>'QTR Raw'!BF18</f>
        <v>2846.89</v>
      </c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E182" s="123"/>
      <c r="DF182" s="23">
        <v>564.21</v>
      </c>
    </row>
    <row r="183" spans="1:110" s="23" customFormat="1" x14ac:dyDescent="0.2">
      <c r="A183" s="23" t="s">
        <v>554</v>
      </c>
      <c r="C183" s="23">
        <v>29.14</v>
      </c>
      <c r="D183" s="23">
        <v>34.96</v>
      </c>
      <c r="E183" s="23">
        <v>36.56</v>
      </c>
      <c r="F183" s="23">
        <v>36.79</v>
      </c>
      <c r="G183" s="23">
        <v>45.69</v>
      </c>
      <c r="H183" s="23">
        <v>51.14</v>
      </c>
      <c r="I183" s="23">
        <v>59.23</v>
      </c>
      <c r="J183" s="23">
        <v>78.790000000000006</v>
      </c>
      <c r="K183" s="23">
        <v>160.62</v>
      </c>
      <c r="L183" s="23">
        <v>143.97</v>
      </c>
      <c r="M183" s="23">
        <v>138.52000000000001</v>
      </c>
      <c r="N183" s="23">
        <v>182.99</v>
      </c>
      <c r="O183" s="23">
        <v>222.7</v>
      </c>
      <c r="P183" s="23">
        <v>293.19</v>
      </c>
      <c r="Q183" s="23">
        <v>283.14999999999998</v>
      </c>
      <c r="R183" s="23">
        <v>318.98</v>
      </c>
      <c r="S183" s="23">
        <v>371.59</v>
      </c>
      <c r="T183" s="23">
        <v>371.74</v>
      </c>
      <c r="U183" s="23">
        <v>443.62</v>
      </c>
      <c r="V183" s="23">
        <v>459.46</v>
      </c>
      <c r="W183" s="23">
        <v>479.72</v>
      </c>
      <c r="X183" s="23">
        <v>516.85</v>
      </c>
      <c r="Y183" s="23">
        <v>561.16999999999996</v>
      </c>
      <c r="Z183" s="23">
        <v>644.26</v>
      </c>
      <c r="AA183" s="23">
        <v>644.26</v>
      </c>
      <c r="AB183" s="76">
        <f t="shared" si="839"/>
        <v>0</v>
      </c>
      <c r="AC183" s="76">
        <f t="shared" si="840"/>
        <v>0</v>
      </c>
      <c r="AD183" s="76">
        <f t="shared" si="841"/>
        <v>0</v>
      </c>
      <c r="AE183" s="76">
        <f t="shared" si="842"/>
        <v>0</v>
      </c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3"/>
      <c r="DF183" s="23">
        <v>644.26</v>
      </c>
    </row>
    <row r="184" spans="1:110" s="23" customFormat="1" x14ac:dyDescent="0.2">
      <c r="A184" s="23" t="s">
        <v>555</v>
      </c>
      <c r="B184" s="23">
        <v>0</v>
      </c>
      <c r="C184" s="23">
        <v>0</v>
      </c>
      <c r="D184" s="23">
        <v>0</v>
      </c>
      <c r="E184" s="23">
        <v>0</v>
      </c>
      <c r="F184" s="23">
        <v>0</v>
      </c>
      <c r="G184" s="23">
        <v>0</v>
      </c>
      <c r="H184" s="23">
        <v>0</v>
      </c>
      <c r="I184" s="23">
        <v>0</v>
      </c>
      <c r="J184" s="23">
        <v>-83.57</v>
      </c>
      <c r="K184" s="23">
        <v>-29.8</v>
      </c>
      <c r="L184" s="23">
        <v>-108.73</v>
      </c>
      <c r="M184" s="23">
        <v>-50.38</v>
      </c>
      <c r="N184" s="23">
        <v>-192.2</v>
      </c>
      <c r="O184" s="23">
        <v>-57.96</v>
      </c>
      <c r="P184" s="23">
        <v>-28.12</v>
      </c>
      <c r="Q184" s="23">
        <v>-15.55</v>
      </c>
      <c r="R184" s="23">
        <v>-91.15</v>
      </c>
      <c r="S184" s="23">
        <v>-2.2799999999999998</v>
      </c>
      <c r="T184" s="23">
        <v>0</v>
      </c>
      <c r="U184" s="23">
        <v>-103.28</v>
      </c>
      <c r="V184" s="23">
        <v>0</v>
      </c>
      <c r="W184" s="23">
        <v>-18.309999999999999</v>
      </c>
      <c r="X184" s="23">
        <v>-125.9</v>
      </c>
      <c r="Y184" s="23">
        <v>0</v>
      </c>
      <c r="Z184" s="23">
        <v>-89.11</v>
      </c>
      <c r="AA184" s="23">
        <v>-89.11</v>
      </c>
      <c r="AB184" s="76">
        <f t="shared" si="839"/>
        <v>0</v>
      </c>
      <c r="AC184" s="76">
        <f t="shared" si="840"/>
        <v>0</v>
      </c>
      <c r="AD184" s="76">
        <f t="shared" si="841"/>
        <v>0</v>
      </c>
      <c r="AE184" s="76">
        <f t="shared" si="842"/>
        <v>0</v>
      </c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E184" s="123"/>
      <c r="DF184" s="23">
        <v>-89.11</v>
      </c>
    </row>
    <row r="185" spans="1:110" s="23" customFormat="1" x14ac:dyDescent="0.2">
      <c r="A185" s="23" t="s">
        <v>558</v>
      </c>
      <c r="B185" s="23">
        <v>0</v>
      </c>
      <c r="C185" s="23">
        <v>0</v>
      </c>
      <c r="D185" s="23">
        <v>0</v>
      </c>
      <c r="E185" s="23">
        <v>0</v>
      </c>
      <c r="F185" s="23">
        <v>0</v>
      </c>
      <c r="G185" s="23">
        <v>0</v>
      </c>
      <c r="H185" s="23">
        <v>0</v>
      </c>
      <c r="I185" s="23">
        <v>0</v>
      </c>
      <c r="J185" s="23">
        <v>0</v>
      </c>
      <c r="K185" s="23">
        <v>0</v>
      </c>
      <c r="L185" s="23">
        <v>0</v>
      </c>
      <c r="M185" s="23">
        <v>0</v>
      </c>
      <c r="N185" s="23">
        <v>0</v>
      </c>
      <c r="O185" s="23">
        <v>0</v>
      </c>
      <c r="P185" s="23">
        <v>0</v>
      </c>
      <c r="Q185" s="23">
        <v>0</v>
      </c>
      <c r="R185" s="23">
        <v>0</v>
      </c>
      <c r="S185" s="23">
        <v>-245.82</v>
      </c>
      <c r="T185" s="23">
        <v>-235.08</v>
      </c>
      <c r="U185" s="23">
        <v>-438.96</v>
      </c>
      <c r="V185" s="23">
        <v>-37.31</v>
      </c>
      <c r="W185" s="23">
        <v>-666</v>
      </c>
      <c r="X185" s="23">
        <v>-550.08000000000004</v>
      </c>
      <c r="Y185" s="23">
        <v>-145.19999999999999</v>
      </c>
      <c r="Z185" s="23">
        <v>-124.15</v>
      </c>
      <c r="AA185" s="23">
        <v>-124.15</v>
      </c>
      <c r="AB185" s="76">
        <f t="shared" si="839"/>
        <v>0</v>
      </c>
      <c r="AC185" s="76">
        <f t="shared" si="840"/>
        <v>0</v>
      </c>
      <c r="AD185" s="76">
        <f t="shared" si="841"/>
        <v>0</v>
      </c>
      <c r="AE185" s="76">
        <f t="shared" si="842"/>
        <v>0</v>
      </c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E185" s="123"/>
      <c r="DF185" s="23">
        <v>-124.15</v>
      </c>
    </row>
    <row r="186" spans="1:110" s="23" customFormat="1" x14ac:dyDescent="0.2">
      <c r="A186" s="23" t="s">
        <v>557</v>
      </c>
      <c r="B186" s="23">
        <v>0</v>
      </c>
      <c r="C186" s="23">
        <v>0</v>
      </c>
      <c r="D186" s="23">
        <v>0</v>
      </c>
      <c r="E186" s="23">
        <v>0</v>
      </c>
      <c r="F186" s="23">
        <v>0</v>
      </c>
      <c r="G186" s="23">
        <v>0</v>
      </c>
      <c r="H186" s="23">
        <v>0</v>
      </c>
      <c r="I186" s="23">
        <v>0</v>
      </c>
      <c r="J186" s="23">
        <v>0</v>
      </c>
      <c r="K186" s="23">
        <v>0</v>
      </c>
      <c r="L186" s="23">
        <v>0</v>
      </c>
      <c r="M186" s="23">
        <v>-4.7</v>
      </c>
      <c r="N186" s="23">
        <v>-9.85</v>
      </c>
      <c r="O186" s="23">
        <v>0</v>
      </c>
      <c r="P186" s="23">
        <v>0</v>
      </c>
      <c r="Q186" s="23">
        <v>0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23">
        <v>0</v>
      </c>
      <c r="X186" s="23">
        <v>-509.54</v>
      </c>
      <c r="Y186" s="23">
        <v>-675.2</v>
      </c>
      <c r="Z186" s="23">
        <v>-1934.73</v>
      </c>
      <c r="AA186" s="23">
        <v>-1934.73</v>
      </c>
      <c r="AB186" s="76">
        <f t="shared" si="839"/>
        <v>0</v>
      </c>
      <c r="AC186" s="76">
        <f t="shared" si="840"/>
        <v>0</v>
      </c>
      <c r="AD186" s="76">
        <f t="shared" si="841"/>
        <v>0</v>
      </c>
      <c r="AE186" s="76">
        <f t="shared" si="842"/>
        <v>0</v>
      </c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E186" s="123"/>
      <c r="DF186" s="23">
        <v>-1934.73</v>
      </c>
    </row>
    <row r="187" spans="1:110" s="23" customFormat="1" x14ac:dyDescent="0.2">
      <c r="A187" s="23" t="s">
        <v>556</v>
      </c>
      <c r="B187" s="23">
        <v>0</v>
      </c>
      <c r="C187" s="23">
        <v>0</v>
      </c>
      <c r="D187" s="23">
        <v>0</v>
      </c>
      <c r="E187" s="23">
        <v>0</v>
      </c>
      <c r="F187" s="23">
        <v>0</v>
      </c>
      <c r="G187" s="23">
        <v>0</v>
      </c>
      <c r="H187" s="23">
        <v>0</v>
      </c>
      <c r="I187" s="23">
        <v>0</v>
      </c>
      <c r="J187" s="23">
        <v>0</v>
      </c>
      <c r="K187" s="23">
        <v>0</v>
      </c>
      <c r="L187" s="23">
        <v>0</v>
      </c>
      <c r="M187" s="23">
        <v>0</v>
      </c>
      <c r="N187" s="23">
        <v>0</v>
      </c>
      <c r="O187" s="23">
        <v>0</v>
      </c>
      <c r="P187" s="23">
        <v>0</v>
      </c>
      <c r="Q187" s="23">
        <v>0</v>
      </c>
      <c r="R187" s="23">
        <v>0</v>
      </c>
      <c r="S187" s="23">
        <v>-709.36</v>
      </c>
      <c r="T187" s="23">
        <v>-1653.15</v>
      </c>
      <c r="U187" s="23">
        <v>-1885.56</v>
      </c>
      <c r="V187" s="23">
        <v>-2481.66</v>
      </c>
      <c r="W187" s="23">
        <v>-3733.86</v>
      </c>
      <c r="X187" s="23">
        <v>-1706</v>
      </c>
      <c r="Y187" s="23">
        <v>-1567.9</v>
      </c>
      <c r="Z187" s="23">
        <v>-2759.9</v>
      </c>
      <c r="AA187" s="23">
        <v>-2759.9</v>
      </c>
      <c r="AB187" s="76">
        <f t="shared" si="839"/>
        <v>0</v>
      </c>
      <c r="AC187" s="76">
        <f t="shared" si="840"/>
        <v>0</v>
      </c>
      <c r="AD187" s="76">
        <f t="shared" si="841"/>
        <v>0</v>
      </c>
      <c r="AE187" s="76">
        <f t="shared" si="842"/>
        <v>0</v>
      </c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E187" s="123"/>
      <c r="DF187" s="23">
        <v>-2759.9</v>
      </c>
    </row>
    <row r="188" spans="1:110" s="22" customFormat="1" x14ac:dyDescent="0.2">
      <c r="A188" s="33" t="s">
        <v>348</v>
      </c>
      <c r="B188" s="22">
        <f t="shared" ref="B188:Z188" si="845">+SUM(B176:B187)</f>
        <v>4346.24</v>
      </c>
      <c r="C188" s="22">
        <f t="shared" si="845"/>
        <v>5857.7100000000009</v>
      </c>
      <c r="D188" s="22">
        <f t="shared" si="845"/>
        <v>6787.08</v>
      </c>
      <c r="E188" s="22">
        <f t="shared" si="845"/>
        <v>7158.2300000000014</v>
      </c>
      <c r="F188" s="22">
        <f t="shared" si="845"/>
        <v>8928.67</v>
      </c>
      <c r="G188" s="22">
        <f t="shared" si="845"/>
        <v>10701.740000000002</v>
      </c>
      <c r="H188" s="22">
        <f t="shared" si="845"/>
        <v>13035.079999999998</v>
      </c>
      <c r="I188" s="22">
        <f t="shared" si="845"/>
        <v>18137.289999999997</v>
      </c>
      <c r="J188" s="22">
        <f t="shared" si="845"/>
        <v>26030.99</v>
      </c>
      <c r="K188" s="22">
        <f t="shared" si="845"/>
        <v>28109.99</v>
      </c>
      <c r="L188" s="22">
        <f t="shared" si="845"/>
        <v>32746.55</v>
      </c>
      <c r="M188" s="22">
        <f t="shared" si="845"/>
        <v>41116.410000000003</v>
      </c>
      <c r="N188" s="22">
        <f t="shared" si="845"/>
        <v>51566.98</v>
      </c>
      <c r="O188" s="22">
        <f t="shared" si="845"/>
        <v>60621.42</v>
      </c>
      <c r="P188" s="22">
        <f t="shared" si="845"/>
        <v>65430.470000000008</v>
      </c>
      <c r="Q188" s="22">
        <f t="shared" si="845"/>
        <v>71152.00999999998</v>
      </c>
      <c r="R188" s="22">
        <f t="shared" si="845"/>
        <v>76843.87999999999</v>
      </c>
      <c r="S188" s="22">
        <f t="shared" si="845"/>
        <v>86970.819999999992</v>
      </c>
      <c r="T188" s="22">
        <f t="shared" si="845"/>
        <v>97657.520000000019</v>
      </c>
      <c r="U188" s="22">
        <f t="shared" si="845"/>
        <v>104130.43999999999</v>
      </c>
      <c r="V188" s="22">
        <f t="shared" si="845"/>
        <v>95728.960000000006</v>
      </c>
      <c r="W188" s="22">
        <f t="shared" si="845"/>
        <v>116562.68999999999</v>
      </c>
      <c r="X188" s="22">
        <f t="shared" si="845"/>
        <v>140180.39000000001</v>
      </c>
      <c r="Y188" s="22">
        <f t="shared" si="845"/>
        <v>170410.09999999998</v>
      </c>
      <c r="Z188" s="22">
        <f t="shared" si="845"/>
        <v>194351.11000000002</v>
      </c>
      <c r="AA188" s="22">
        <f t="shared" ref="AA188" si="846">+SUM(AA176:AA187)</f>
        <v>216281.75000000003</v>
      </c>
      <c r="AB188" s="21">
        <f>+SUM(AB176:AB183)</f>
        <v>253130.28454325587</v>
      </c>
      <c r="AC188" s="21">
        <f>+SUM(AC176:AC183)</f>
        <v>291833.08144675277</v>
      </c>
      <c r="AD188" s="21">
        <f>+SUM(AD176:AD183)</f>
        <v>336471.75236247701</v>
      </c>
      <c r="AE188" s="21">
        <f>+SUM(AE176:AE183)</f>
        <v>387921.09644136875</v>
      </c>
      <c r="AI188" s="22">
        <f t="shared" ref="AI188:BN188" si="847">+SUM(AI176:AI182)</f>
        <v>7160.4400000000005</v>
      </c>
      <c r="AJ188" s="22">
        <f t="shared" si="847"/>
        <v>9044.68</v>
      </c>
      <c r="AK188" s="22">
        <f t="shared" si="847"/>
        <v>9605.92</v>
      </c>
      <c r="AL188" s="22">
        <f t="shared" si="847"/>
        <v>11863.35</v>
      </c>
      <c r="AM188" s="22">
        <f t="shared" si="847"/>
        <v>13687.199999999999</v>
      </c>
      <c r="AN188" s="22">
        <f t="shared" si="847"/>
        <v>13271.99</v>
      </c>
      <c r="AO188" s="22">
        <f t="shared" si="847"/>
        <v>15911.59</v>
      </c>
      <c r="AP188" s="22">
        <f t="shared" si="847"/>
        <v>18104.09</v>
      </c>
      <c r="AQ188" s="22">
        <f t="shared" si="847"/>
        <v>14322.279999999999</v>
      </c>
      <c r="AR188" s="22">
        <f t="shared" si="847"/>
        <v>15778.73</v>
      </c>
      <c r="AS188" s="22">
        <f t="shared" si="847"/>
        <v>16465.96</v>
      </c>
      <c r="AT188" s="22">
        <f t="shared" si="847"/>
        <v>20485.650000000001</v>
      </c>
      <c r="AU188" s="22">
        <f t="shared" si="847"/>
        <v>14640</v>
      </c>
      <c r="AV188" s="22">
        <f t="shared" si="847"/>
        <v>14769.480000000001</v>
      </c>
      <c r="AW188" s="22">
        <f t="shared" si="847"/>
        <v>18397.189999999999</v>
      </c>
      <c r="AX188" s="22">
        <f t="shared" si="847"/>
        <v>22041.809999999998</v>
      </c>
      <c r="AY188" s="22">
        <f t="shared" si="847"/>
        <v>14858.4</v>
      </c>
      <c r="AZ188" s="22">
        <f t="shared" si="847"/>
        <v>16875.03</v>
      </c>
      <c r="BA188" s="22">
        <f t="shared" si="847"/>
        <v>19279.18</v>
      </c>
      <c r="BB188" s="22">
        <f t="shared" si="847"/>
        <v>25560.93</v>
      </c>
      <c r="BC188" s="22">
        <f t="shared" si="847"/>
        <v>17014.670000000002</v>
      </c>
      <c r="BD188" s="22">
        <f t="shared" si="847"/>
        <v>17740.400000000001</v>
      </c>
      <c r="BE188" s="22">
        <f t="shared" si="847"/>
        <v>20445.97</v>
      </c>
      <c r="BF188" s="22">
        <f t="shared" si="847"/>
        <v>29366.42</v>
      </c>
      <c r="BG188" s="22">
        <f t="shared" si="847"/>
        <v>19290.080000000002</v>
      </c>
      <c r="BH188" s="22">
        <f t="shared" si="847"/>
        <v>21813.41</v>
      </c>
      <c r="BI188" s="22">
        <f t="shared" si="847"/>
        <v>25195.03</v>
      </c>
      <c r="BJ188" s="22">
        <f t="shared" si="847"/>
        <v>31278.19</v>
      </c>
      <c r="BK188" s="22">
        <f t="shared" si="847"/>
        <v>20594.329999999998</v>
      </c>
      <c r="BL188" s="22">
        <f t="shared" si="847"/>
        <v>24913.770000000004</v>
      </c>
      <c r="BM188" s="22">
        <f t="shared" si="847"/>
        <v>26030.01</v>
      </c>
      <c r="BN188" s="22">
        <f t="shared" si="847"/>
        <v>32505.96</v>
      </c>
      <c r="BO188" s="22">
        <f t="shared" ref="BO188:CJ188" si="848">+SUM(BO176:BO182)</f>
        <v>15240.01</v>
      </c>
      <c r="BP188" s="22">
        <f t="shared" si="848"/>
        <v>20885.64</v>
      </c>
      <c r="BQ188" s="22">
        <f t="shared" si="848"/>
        <v>24739.530000000002</v>
      </c>
      <c r="BR188" s="22">
        <f t="shared" si="848"/>
        <v>34679.700000000004</v>
      </c>
      <c r="BS188" s="22">
        <f t="shared" si="848"/>
        <v>21095.65</v>
      </c>
      <c r="BT188" s="22">
        <f t="shared" si="848"/>
        <v>25167.74</v>
      </c>
      <c r="BU188" s="22">
        <f t="shared" si="848"/>
        <v>30536.59</v>
      </c>
      <c r="BV188" s="22">
        <f t="shared" si="848"/>
        <v>39463.15</v>
      </c>
      <c r="BW188" s="22">
        <f t="shared" si="848"/>
        <v>27552.77</v>
      </c>
      <c r="BX188" s="22">
        <f t="shared" si="848"/>
        <v>32999.730000000003</v>
      </c>
      <c r="BY188" s="22">
        <f t="shared" si="848"/>
        <v>35396.359999999993</v>
      </c>
      <c r="BZ188" s="22">
        <f t="shared" si="848"/>
        <v>43720.82</v>
      </c>
      <c r="CA188" s="22">
        <f t="shared" si="848"/>
        <v>37019.200000000004</v>
      </c>
      <c r="CB188" s="22">
        <f t="shared" si="848"/>
        <v>38841.42</v>
      </c>
      <c r="CC188" s="22">
        <f t="shared" si="848"/>
        <v>42810.51</v>
      </c>
      <c r="CD188" s="22">
        <f t="shared" si="848"/>
        <v>51706.159999999996</v>
      </c>
      <c r="CE188" s="22">
        <f t="shared" si="848"/>
        <v>42687.17</v>
      </c>
      <c r="CF188" s="22">
        <f t="shared" si="848"/>
        <v>47578.25</v>
      </c>
      <c r="CG188" s="22">
        <f t="shared" si="848"/>
        <v>49048.480000000003</v>
      </c>
      <c r="CH188" s="22">
        <f t="shared" si="848"/>
        <v>55037.19</v>
      </c>
      <c r="CI188" s="22">
        <f t="shared" si="848"/>
        <v>49285.58</v>
      </c>
      <c r="CJ188" s="22">
        <f t="shared" si="848"/>
        <v>51764.259999999995</v>
      </c>
      <c r="CK188" s="22">
        <f t="shared" ref="CK188:CL188" si="849">+SUM(CK176:CK182)</f>
        <v>53505.86</v>
      </c>
      <c r="CL188" s="22">
        <f t="shared" si="849"/>
        <v>62841.18</v>
      </c>
      <c r="CM188" s="21">
        <f t="shared" ref="CM188:DB188" si="850">+CM189*CM164</f>
        <v>55997.554880525422</v>
      </c>
      <c r="CN188" s="21">
        <f t="shared" si="850"/>
        <v>59531.933453434016</v>
      </c>
      <c r="CO188" s="21">
        <f t="shared" si="850"/>
        <v>63193.488642765231</v>
      </c>
      <c r="CP188" s="21">
        <f t="shared" si="850"/>
        <v>74407.307566531206</v>
      </c>
      <c r="CQ188" s="21">
        <f t="shared" si="850"/>
        <v>64458.967788427377</v>
      </c>
      <c r="CR188" s="21">
        <f t="shared" si="850"/>
        <v>68752.753558697397</v>
      </c>
      <c r="CS188" s="21">
        <f t="shared" si="850"/>
        <v>73056.312653379864</v>
      </c>
      <c r="CT188" s="21">
        <f t="shared" si="850"/>
        <v>85565.047446248151</v>
      </c>
      <c r="CU188" s="21">
        <f t="shared" si="850"/>
        <v>74321.06815366332</v>
      </c>
      <c r="CV188" s="21">
        <f t="shared" si="850"/>
        <v>79304.355072749269</v>
      </c>
      <c r="CW188" s="21">
        <f t="shared" si="850"/>
        <v>84242.640885414483</v>
      </c>
      <c r="CX188" s="21">
        <f t="shared" si="850"/>
        <v>98603.688250649968</v>
      </c>
      <c r="CY188" s="21">
        <f t="shared" si="850"/>
        <v>85691.650441627338</v>
      </c>
      <c r="CZ188" s="21">
        <f t="shared" si="850"/>
        <v>91437.240738486842</v>
      </c>
      <c r="DA188" s="21">
        <f t="shared" si="850"/>
        <v>97120.935921516721</v>
      </c>
      <c r="DB188" s="21">
        <f t="shared" si="850"/>
        <v>113671.26933973783</v>
      </c>
      <c r="DE188" s="126"/>
      <c r="DF188" s="22">
        <v>216281.75000000003</v>
      </c>
    </row>
    <row r="189" spans="1:110" s="44" customFormat="1" x14ac:dyDescent="0.2">
      <c r="A189" s="43" t="s">
        <v>349</v>
      </c>
      <c r="B189" s="44">
        <f t="shared" ref="B189:AE189" si="851">B188/B166</f>
        <v>0.58902915845039394</v>
      </c>
      <c r="C189" s="44">
        <f t="shared" si="851"/>
        <v>0.67412444644945091</v>
      </c>
      <c r="D189" s="44">
        <f t="shared" si="851"/>
        <v>0.66002468134516246</v>
      </c>
      <c r="E189" s="44">
        <f t="shared" si="851"/>
        <v>0.65230303505264375</v>
      </c>
      <c r="F189" s="44">
        <f t="shared" si="851"/>
        <v>0.61590244528309179</v>
      </c>
      <c r="G189" s="44">
        <f t="shared" si="851"/>
        <v>0.64618922053871364</v>
      </c>
      <c r="H189" s="44">
        <f t="shared" si="851"/>
        <v>0.6354589267415659</v>
      </c>
      <c r="I189" s="44">
        <f t="shared" si="851"/>
        <v>0.61572401665486964</v>
      </c>
      <c r="J189" s="44">
        <f t="shared" si="851"/>
        <v>0.64256501804692356</v>
      </c>
      <c r="K189" s="44">
        <f t="shared" si="851"/>
        <v>0.63930220287561013</v>
      </c>
      <c r="L189" s="44">
        <f t="shared" si="851"/>
        <v>0.62921159838889484</v>
      </c>
      <c r="M189" s="44">
        <f t="shared" si="851"/>
        <v>0.63931615187012425</v>
      </c>
      <c r="N189" s="44">
        <f t="shared" si="851"/>
        <v>0.69219281054524961</v>
      </c>
      <c r="O189" s="44">
        <f t="shared" si="851"/>
        <v>0.7121174602130429</v>
      </c>
      <c r="P189" s="44">
        <f t="shared" si="851"/>
        <v>0.71116535720286977</v>
      </c>
      <c r="Q189" s="44">
        <f t="shared" si="851"/>
        <v>0.70362208284448702</v>
      </c>
      <c r="R189" s="44">
        <f t="shared" si="851"/>
        <v>0.70297875407972832</v>
      </c>
      <c r="S189" s="44">
        <f t="shared" si="851"/>
        <v>0.72667549887553096</v>
      </c>
      <c r="T189" s="44">
        <f t="shared" si="851"/>
        <v>0.72221054991081601</v>
      </c>
      <c r="U189" s="44">
        <f t="shared" si="851"/>
        <v>0.71590753151066089</v>
      </c>
      <c r="V189" s="44">
        <f t="shared" si="851"/>
        <v>0.70399796203870557</v>
      </c>
      <c r="W189" s="44">
        <f t="shared" si="851"/>
        <v>0.744708497371251</v>
      </c>
      <c r="X189" s="44">
        <f t="shared" si="851"/>
        <v>0.76458958649116104</v>
      </c>
      <c r="Y189" s="44">
        <f t="shared" si="851"/>
        <v>0.7706926746158782</v>
      </c>
      <c r="Z189" s="44">
        <f t="shared" si="851"/>
        <v>0.75997234631470267</v>
      </c>
      <c r="AA189" s="44">
        <f t="shared" ref="AA189" si="852">AA188/AA166</f>
        <v>0.75656225343189243</v>
      </c>
      <c r="AB189" s="52">
        <f t="shared" si="851"/>
        <v>0.76965512198324326</v>
      </c>
      <c r="AC189" s="52">
        <f t="shared" si="851"/>
        <v>0.77007417616592055</v>
      </c>
      <c r="AD189" s="52">
        <f t="shared" si="851"/>
        <v>0.77020939052504822</v>
      </c>
      <c r="AE189" s="52">
        <f t="shared" si="851"/>
        <v>0.77024094363760032</v>
      </c>
      <c r="AI189" s="44">
        <f t="shared" ref="AI189:BN189" si="853">AI188/AI166</f>
        <v>0.59893185895854162</v>
      </c>
      <c r="AJ189" s="44">
        <f t="shared" si="853"/>
        <v>0.68545072727038481</v>
      </c>
      <c r="AK189" s="44">
        <f t="shared" si="853"/>
        <v>0.74641900827859087</v>
      </c>
      <c r="AL189" s="44">
        <f t="shared" si="853"/>
        <v>0.65631846245767778</v>
      </c>
      <c r="AM189" s="44">
        <f t="shared" si="853"/>
        <v>0.79386861889643012</v>
      </c>
      <c r="AN189" s="44">
        <f t="shared" si="853"/>
        <v>0.69375095722754487</v>
      </c>
      <c r="AO189" s="44">
        <f t="shared" si="853"/>
        <v>0.73216150117221557</v>
      </c>
      <c r="AP189" s="44">
        <f t="shared" si="853"/>
        <v>0.66992289116323411</v>
      </c>
      <c r="AQ189" s="44">
        <f t="shared" si="853"/>
        <v>0.75480730971422538</v>
      </c>
      <c r="AR189" s="44">
        <f t="shared" si="853"/>
        <v>0.74570957992565934</v>
      </c>
      <c r="AS189" s="44">
        <f t="shared" si="853"/>
        <v>0.69045859880089877</v>
      </c>
      <c r="AT189" s="44">
        <f t="shared" si="853"/>
        <v>0.73103978143371329</v>
      </c>
      <c r="AU189" s="44">
        <f t="shared" si="853"/>
        <v>0.730238664341608</v>
      </c>
      <c r="AV189" s="44">
        <f t="shared" si="853"/>
        <v>0.63872219925374563</v>
      </c>
      <c r="AW189" s="44">
        <f t="shared" si="853"/>
        <v>0.70954722044486918</v>
      </c>
      <c r="AX189" s="44">
        <f t="shared" si="853"/>
        <v>0.67046290688722388</v>
      </c>
      <c r="AY189" s="44">
        <f t="shared" si="853"/>
        <v>0.68388279214398251</v>
      </c>
      <c r="AZ189" s="44">
        <f t="shared" si="853"/>
        <v>0.67890708826017843</v>
      </c>
      <c r="BA189" s="44">
        <f t="shared" si="853"/>
        <v>0.73837224889105402</v>
      </c>
      <c r="BB189" s="44">
        <f t="shared" si="853"/>
        <v>0.69802865964257654</v>
      </c>
      <c r="BC189" s="44">
        <f t="shared" si="853"/>
        <v>0.71457633809796794</v>
      </c>
      <c r="BD189" s="44">
        <f t="shared" si="853"/>
        <v>0.67079672519431499</v>
      </c>
      <c r="BE189" s="44">
        <f t="shared" si="853"/>
        <v>0.71122725667841846</v>
      </c>
      <c r="BF189" s="44">
        <f t="shared" si="853"/>
        <v>0.72192211533970363</v>
      </c>
      <c r="BG189" s="44">
        <f t="shared" si="853"/>
        <v>0.71432121066019083</v>
      </c>
      <c r="BH189" s="44">
        <f t="shared" si="853"/>
        <v>0.71104105758727798</v>
      </c>
      <c r="BI189" s="44">
        <f t="shared" si="853"/>
        <v>0.73596598231697408</v>
      </c>
      <c r="BJ189" s="44">
        <f t="shared" si="853"/>
        <v>0.72230332953070653</v>
      </c>
      <c r="BK189" s="44">
        <f t="shared" si="853"/>
        <v>0.69491040442435614</v>
      </c>
      <c r="BL189" s="44">
        <f t="shared" si="853"/>
        <v>0.70520416265078167</v>
      </c>
      <c r="BM189" s="44">
        <f t="shared" si="853"/>
        <v>0.71821427113005987</v>
      </c>
      <c r="BN189" s="44">
        <f t="shared" si="853"/>
        <v>0.73467633157706314</v>
      </c>
      <c r="BO189" s="44">
        <f t="shared" ref="BO189:CK189" si="854">BO188/BO166</f>
        <v>0.71684061642608143</v>
      </c>
      <c r="BP189" s="44">
        <f t="shared" si="854"/>
        <v>0.67297615510875874</v>
      </c>
      <c r="BQ189" s="44">
        <f t="shared" si="854"/>
        <v>0.69500050847809991</v>
      </c>
      <c r="BR189" s="44">
        <f t="shared" si="854"/>
        <v>0.72117310175740679</v>
      </c>
      <c r="BS189" s="44">
        <f t="shared" si="854"/>
        <v>0.71913564570050592</v>
      </c>
      <c r="BT189" s="44">
        <f t="shared" si="854"/>
        <v>0.72377454857086987</v>
      </c>
      <c r="BU189" s="44">
        <f t="shared" si="854"/>
        <v>0.77184874119503821</v>
      </c>
      <c r="BV189" s="44">
        <f t="shared" si="854"/>
        <v>0.7466915745817414</v>
      </c>
      <c r="BW189" s="44">
        <f t="shared" si="854"/>
        <v>0.76848844733524491</v>
      </c>
      <c r="BX189" s="44">
        <f t="shared" si="854"/>
        <v>0.77169588105122677</v>
      </c>
      <c r="BY189" s="44">
        <f t="shared" si="854"/>
        <v>0.76302163496567754</v>
      </c>
      <c r="BZ189" s="44">
        <f t="shared" si="854"/>
        <v>0.74947643059116154</v>
      </c>
      <c r="CA189" s="44">
        <f t="shared" si="854"/>
        <v>0.77312798008954031</v>
      </c>
      <c r="CB189" s="44">
        <f t="shared" si="854"/>
        <v>0.76123764405954519</v>
      </c>
      <c r="CC189" s="44">
        <f t="shared" si="854"/>
        <v>0.7765681646762016</v>
      </c>
      <c r="CD189" s="44">
        <f t="shared" si="854"/>
        <v>0.77082852554641801</v>
      </c>
      <c r="CE189" s="44">
        <f t="shared" si="854"/>
        <v>0.7744432039146717</v>
      </c>
      <c r="CF189" s="44">
        <f t="shared" si="854"/>
        <v>0.77294410911422029</v>
      </c>
      <c r="CG189" s="44">
        <f t="shared" si="854"/>
        <v>0.7584685913139434</v>
      </c>
      <c r="CH189" s="44">
        <f t="shared" si="854"/>
        <v>0.73982394409742525</v>
      </c>
      <c r="CI189" s="44">
        <f t="shared" si="854"/>
        <v>0.77397009873911182</v>
      </c>
      <c r="CJ189" s="44">
        <f t="shared" si="854"/>
        <v>0.76142353890714409</v>
      </c>
      <c r="CK189" s="44">
        <f t="shared" si="854"/>
        <v>0.74886052705609685</v>
      </c>
      <c r="CL189" s="44">
        <f t="shared" ref="CL189" si="855">CL188/CL166</f>
        <v>0.75929845233618842</v>
      </c>
      <c r="CM189" s="52">
        <f>+AVERAGE(CI189:CL189)*1.01</f>
        <v>0.76849703580223161</v>
      </c>
      <c r="CN189" s="52">
        <f t="shared" ref="CN189:CP189" si="856">+AVERAGE(CJ189:CM189)*1.01</f>
        <v>0.76711508741066947</v>
      </c>
      <c r="CO189" s="52">
        <f t="shared" si="856"/>
        <v>0.7685522034078095</v>
      </c>
      <c r="CP189" s="52">
        <f t="shared" si="856"/>
        <v>0.77352435168661693</v>
      </c>
      <c r="CQ189" s="52">
        <f>+AVERAGE(CM189:CP189)</f>
        <v>0.76942216957683185</v>
      </c>
      <c r="CR189" s="52">
        <f t="shared" ref="CR189:CT189" si="857">+AVERAGE(CN189:CQ189)</f>
        <v>0.76965345302048194</v>
      </c>
      <c r="CS189" s="52">
        <f t="shared" si="857"/>
        <v>0.77028804442293508</v>
      </c>
      <c r="CT189" s="52">
        <f t="shared" si="857"/>
        <v>0.77072200467671637</v>
      </c>
      <c r="CU189" s="52">
        <f t="shared" ref="CU189:DB189" si="858">+AVERAGE(CQ189:CT189)</f>
        <v>0.77002141792424128</v>
      </c>
      <c r="CV189" s="52">
        <f t="shared" si="858"/>
        <v>0.77017123001109367</v>
      </c>
      <c r="CW189" s="52">
        <f t="shared" si="858"/>
        <v>0.7703006742587466</v>
      </c>
      <c r="CX189" s="52">
        <f t="shared" si="858"/>
        <v>0.77030383171769956</v>
      </c>
      <c r="CY189" s="52">
        <f t="shared" si="858"/>
        <v>0.77019928847794517</v>
      </c>
      <c r="CZ189" s="52">
        <f t="shared" si="858"/>
        <v>0.7702437561163713</v>
      </c>
      <c r="DA189" s="52">
        <f t="shared" si="858"/>
        <v>0.77026188764269055</v>
      </c>
      <c r="DB189" s="52">
        <f t="shared" si="858"/>
        <v>0.77025219098867659</v>
      </c>
      <c r="DE189" s="128"/>
      <c r="DF189" s="44">
        <v>0.75656225343189243</v>
      </c>
    </row>
    <row r="190" spans="1:110" s="26" customFormat="1" x14ac:dyDescent="0.2">
      <c r="A190" s="34" t="s">
        <v>13</v>
      </c>
      <c r="B190" s="26">
        <f t="shared" ref="B190:AE190" si="859">B172-B188</f>
        <v>832.29000000000087</v>
      </c>
      <c r="C190" s="26">
        <f t="shared" si="859"/>
        <v>1153.2700000000004</v>
      </c>
      <c r="D190" s="26">
        <f t="shared" si="859"/>
        <v>1000.6000000000004</v>
      </c>
      <c r="E190" s="26">
        <f t="shared" si="859"/>
        <v>975.42000000000007</v>
      </c>
      <c r="F190" s="26">
        <f t="shared" si="859"/>
        <v>1247.0999999999985</v>
      </c>
      <c r="G190" s="26">
        <f t="shared" si="859"/>
        <v>1668.4799999999959</v>
      </c>
      <c r="H190" s="26">
        <f t="shared" si="859"/>
        <v>2756.4500000000007</v>
      </c>
      <c r="I190" s="26">
        <f t="shared" si="859"/>
        <v>4069.6900000000023</v>
      </c>
      <c r="J190" s="26">
        <f t="shared" si="859"/>
        <v>5670.4099999999926</v>
      </c>
      <c r="K190" s="26">
        <f t="shared" si="859"/>
        <v>7090.619999999999</v>
      </c>
      <c r="L190" s="26">
        <f t="shared" si="859"/>
        <v>8662.130000000001</v>
      </c>
      <c r="M190" s="26">
        <f t="shared" si="859"/>
        <v>10537.880000000005</v>
      </c>
      <c r="N190" s="26">
        <f t="shared" si="859"/>
        <v>12263.729999999996</v>
      </c>
      <c r="O190" s="26">
        <f t="shared" si="859"/>
        <v>13862.61</v>
      </c>
      <c r="P190" s="26">
        <f t="shared" si="859"/>
        <v>15390.339999999989</v>
      </c>
      <c r="Q190" s="26">
        <f t="shared" si="859"/>
        <v>15423.310000000012</v>
      </c>
      <c r="R190" s="26">
        <f t="shared" si="859"/>
        <v>16433.100000000006</v>
      </c>
      <c r="S190" s="26">
        <f t="shared" si="859"/>
        <v>17141.010000000009</v>
      </c>
      <c r="T190" s="26">
        <f t="shared" si="859"/>
        <v>22518.589999999967</v>
      </c>
      <c r="U190" s="26">
        <f t="shared" si="859"/>
        <v>24201.119999999981</v>
      </c>
      <c r="V190" s="26">
        <f t="shared" si="859"/>
        <v>23131.069999999992</v>
      </c>
      <c r="W190" s="26">
        <f t="shared" si="859"/>
        <v>23864.800000000032</v>
      </c>
      <c r="X190" s="26">
        <f t="shared" si="859"/>
        <v>26268.98000000001</v>
      </c>
      <c r="Y190" s="26">
        <f t="shared" si="859"/>
        <v>29175.72000000003</v>
      </c>
      <c r="Z190" s="26">
        <f t="shared" si="859"/>
        <v>32736.97</v>
      </c>
      <c r="AA190" s="26">
        <f t="shared" ref="AA190" si="860">AA172-AA188</f>
        <v>37399.459999999934</v>
      </c>
      <c r="AB190" s="27">
        <f t="shared" si="859"/>
        <v>37925.189064186416</v>
      </c>
      <c r="AC190" s="27">
        <f t="shared" si="859"/>
        <v>43432.457240077085</v>
      </c>
      <c r="AD190" s="27">
        <f t="shared" si="859"/>
        <v>49994.068275704165</v>
      </c>
      <c r="AE190" s="27">
        <f t="shared" si="859"/>
        <v>57619.601625529816</v>
      </c>
      <c r="AI190" s="26">
        <f t="shared" ref="AI190:BN190" si="861">AI172-AI188</f>
        <v>1084.7100000000009</v>
      </c>
      <c r="AJ190" s="26">
        <f t="shared" si="861"/>
        <v>1403.630000000001</v>
      </c>
      <c r="AK190" s="26">
        <f t="shared" si="861"/>
        <v>1258.25</v>
      </c>
      <c r="AL190" s="26">
        <f t="shared" si="861"/>
        <v>2129.239999999998</v>
      </c>
      <c r="AM190" s="26">
        <f t="shared" si="861"/>
        <v>1872.840000000002</v>
      </c>
      <c r="AN190" s="26">
        <f t="shared" si="861"/>
        <v>2503.3500000000004</v>
      </c>
      <c r="AO190" s="26">
        <f t="shared" si="861"/>
        <v>2633.0300000000061</v>
      </c>
      <c r="AP190" s="26">
        <f t="shared" si="861"/>
        <v>3738.7199999999975</v>
      </c>
      <c r="AQ190" s="26">
        <f t="shared" si="861"/>
        <v>2511.010000000002</v>
      </c>
      <c r="AR190" s="26">
        <f t="shared" si="861"/>
        <v>2334.2700000000004</v>
      </c>
      <c r="AS190" s="26">
        <f t="shared" si="861"/>
        <v>2885.8099999999977</v>
      </c>
      <c r="AT190" s="26">
        <f t="shared" si="861"/>
        <v>3595.3199999999961</v>
      </c>
      <c r="AU190" s="26">
        <f t="shared" si="861"/>
        <v>2832.1400000000031</v>
      </c>
      <c r="AV190" s="26">
        <f t="shared" si="861"/>
        <v>3706.0199999999986</v>
      </c>
      <c r="AW190" s="26">
        <f t="shared" si="861"/>
        <v>3338.380000000001</v>
      </c>
      <c r="AX190" s="26">
        <f t="shared" si="861"/>
        <v>5836.0800000000054</v>
      </c>
      <c r="AY190" s="26">
        <f t="shared" si="861"/>
        <v>3223.2999999999975</v>
      </c>
      <c r="AZ190" s="26">
        <f t="shared" si="861"/>
        <v>3670.1100000000006</v>
      </c>
      <c r="BA190" s="26">
        <f t="shared" si="861"/>
        <v>3837.630000000001</v>
      </c>
      <c r="BB190" s="26">
        <f t="shared" si="861"/>
        <v>5722.739999999998</v>
      </c>
      <c r="BC190" s="26">
        <f t="shared" si="861"/>
        <v>3469.2800000000025</v>
      </c>
      <c r="BD190" s="26">
        <f t="shared" si="861"/>
        <v>4482.5499999999993</v>
      </c>
      <c r="BE190" s="26">
        <f t="shared" si="861"/>
        <v>4669.8600000000006</v>
      </c>
      <c r="BF190" s="26">
        <f t="shared" si="861"/>
        <v>6989.2200000000012</v>
      </c>
      <c r="BG190" s="26">
        <f t="shared" si="861"/>
        <v>4412.7299999999959</v>
      </c>
      <c r="BH190" s="26">
        <f t="shared" si="861"/>
        <v>5329.1500000000015</v>
      </c>
      <c r="BI190" s="26">
        <f t="shared" si="861"/>
        <v>5727.59</v>
      </c>
      <c r="BJ190" s="26">
        <f t="shared" si="861"/>
        <v>7245.7900000000045</v>
      </c>
      <c r="BK190" s="26">
        <f t="shared" si="861"/>
        <v>5146.9700000000012</v>
      </c>
      <c r="BL190" s="26">
        <f t="shared" si="861"/>
        <v>6045.1399999999958</v>
      </c>
      <c r="BM190" s="26">
        <f t="shared" si="861"/>
        <v>6122.0700000000033</v>
      </c>
      <c r="BN190" s="26">
        <f t="shared" si="861"/>
        <v>7056.6699999999983</v>
      </c>
      <c r="BO190" s="26">
        <f t="shared" ref="BO190:CT190" si="862">BO172-BO188</f>
        <v>3724.3600000000024</v>
      </c>
      <c r="BP190" s="26">
        <f t="shared" si="862"/>
        <v>5319.510000000002</v>
      </c>
      <c r="BQ190" s="26">
        <f t="shared" si="862"/>
        <v>6065.8399999999965</v>
      </c>
      <c r="BR190" s="26">
        <f t="shared" si="862"/>
        <v>8205.429999999993</v>
      </c>
      <c r="BS190" s="26">
        <f t="shared" si="862"/>
        <v>4737.2799999999988</v>
      </c>
      <c r="BT190" s="26">
        <f t="shared" si="862"/>
        <v>5486.2699999999968</v>
      </c>
      <c r="BU190" s="26">
        <f t="shared" si="862"/>
        <v>5982.3100000000013</v>
      </c>
      <c r="BV190" s="26">
        <f t="shared" si="862"/>
        <v>7958.5099999999948</v>
      </c>
      <c r="BW190" s="26">
        <f t="shared" si="862"/>
        <v>5409.8199999999961</v>
      </c>
      <c r="BX190" s="26">
        <f t="shared" si="862"/>
        <v>6362.1599999999962</v>
      </c>
      <c r="BY190" s="26">
        <f t="shared" si="862"/>
        <v>6653.4700000000084</v>
      </c>
      <c r="BZ190" s="26">
        <f t="shared" si="862"/>
        <v>8354.239999999998</v>
      </c>
      <c r="CA190" s="26">
        <f t="shared" si="862"/>
        <v>6316.3599999999933</v>
      </c>
      <c r="CB190" s="26">
        <f t="shared" si="862"/>
        <v>7040.4700000000012</v>
      </c>
      <c r="CC190" s="26">
        <f t="shared" si="862"/>
        <v>7198.6499999999942</v>
      </c>
      <c r="CD190" s="26">
        <f t="shared" si="862"/>
        <v>8653.0400000000009</v>
      </c>
      <c r="CE190" s="26">
        <f t="shared" si="862"/>
        <v>7045.820000000007</v>
      </c>
      <c r="CF190" s="26">
        <f t="shared" si="862"/>
        <v>7917.0500000000029</v>
      </c>
      <c r="CG190" s="26">
        <f t="shared" si="862"/>
        <v>7898.1599999999962</v>
      </c>
      <c r="CH190" s="26">
        <f t="shared" si="862"/>
        <v>9875.9400000000023</v>
      </c>
      <c r="CI190" s="26">
        <f t="shared" si="862"/>
        <v>8024.0099999999948</v>
      </c>
      <c r="CJ190" s="26">
        <f t="shared" si="862"/>
        <v>8513.239999999998</v>
      </c>
      <c r="CK190" s="26">
        <f t="shared" ref="CK190:CL190" si="863">CK172-CK188</f>
        <v>9190.2099999999991</v>
      </c>
      <c r="CL190" s="26">
        <f t="shared" si="863"/>
        <v>10419.019999999997</v>
      </c>
      <c r="CM190" s="27">
        <f t="shared" si="862"/>
        <v>8658.5747972623576</v>
      </c>
      <c r="CN190" s="27">
        <f t="shared" si="862"/>
        <v>9083.4361152925994</v>
      </c>
      <c r="CO190" s="27">
        <f t="shared" si="862"/>
        <v>9454.8142067592926</v>
      </c>
      <c r="CP190" s="27">
        <f t="shared" si="862"/>
        <v>10728.363944872166</v>
      </c>
      <c r="CQ190" s="27">
        <f t="shared" si="862"/>
        <v>9684.3535469678973</v>
      </c>
      <c r="CR190" s="27">
        <f t="shared" si="862"/>
        <v>10254.222127668079</v>
      </c>
      <c r="CS190" s="27">
        <f t="shared" si="862"/>
        <v>10833.611682324074</v>
      </c>
      <c r="CT190" s="27">
        <f t="shared" si="862"/>
        <v>12660.269883116984</v>
      </c>
      <c r="CU190" s="27">
        <f t="shared" ref="CU190:DB190" si="864">CU172-CU188</f>
        <v>11067.089440920041</v>
      </c>
      <c r="CV190" s="27">
        <f t="shared" si="864"/>
        <v>11782.775611727891</v>
      </c>
      <c r="CW190" s="27">
        <f t="shared" si="864"/>
        <v>12504.501500719445</v>
      </c>
      <c r="CX190" s="27">
        <f t="shared" si="864"/>
        <v>14639.701722336787</v>
      </c>
      <c r="CY190" s="27">
        <f t="shared" si="864"/>
        <v>12733.569216771604</v>
      </c>
      <c r="CZ190" s="27">
        <f t="shared" si="864"/>
        <v>13580.228197620338</v>
      </c>
      <c r="DA190" s="27">
        <f t="shared" si="864"/>
        <v>14422.985139051889</v>
      </c>
      <c r="DB190" s="27">
        <f t="shared" si="864"/>
        <v>16882.819072086</v>
      </c>
      <c r="DE190" s="121"/>
      <c r="DF190" s="26">
        <v>37399.459999999934</v>
      </c>
    </row>
    <row r="191" spans="1:110" s="168" customFormat="1" x14ac:dyDescent="0.2">
      <c r="A191" s="165" t="s">
        <v>14</v>
      </c>
      <c r="B191" s="166">
        <f t="shared" ref="B191:AE191" si="865">B190/B166</f>
        <v>0.1127970563721007</v>
      </c>
      <c r="C191" s="166">
        <f t="shared" si="865"/>
        <v>0.1327220877026617</v>
      </c>
      <c r="D191" s="166">
        <f t="shared" si="865"/>
        <v>9.7305571196150603E-2</v>
      </c>
      <c r="E191" s="166">
        <f t="shared" si="865"/>
        <v>8.8886418353566407E-2</v>
      </c>
      <c r="F191" s="166">
        <f t="shared" si="865"/>
        <v>8.6025347505568339E-2</v>
      </c>
      <c r="G191" s="166">
        <f t="shared" si="865"/>
        <v>0.10074565357450566</v>
      </c>
      <c r="H191" s="166">
        <f t="shared" si="865"/>
        <v>0.13437667882489329</v>
      </c>
      <c r="I191" s="166">
        <f t="shared" si="865"/>
        <v>0.13815767809524787</v>
      </c>
      <c r="J191" s="166">
        <f t="shared" si="865"/>
        <v>0.13997189903201726</v>
      </c>
      <c r="K191" s="166">
        <f t="shared" si="865"/>
        <v>0.16126113832676064</v>
      </c>
      <c r="L191" s="166">
        <f t="shared" si="865"/>
        <v>0.16643929399440244</v>
      </c>
      <c r="M191" s="166">
        <f t="shared" si="865"/>
        <v>0.16385275101763863</v>
      </c>
      <c r="N191" s="166">
        <f t="shared" si="865"/>
        <v>0.16461824478509485</v>
      </c>
      <c r="O191" s="166">
        <f t="shared" si="865"/>
        <v>0.16284353987623404</v>
      </c>
      <c r="P191" s="166">
        <f t="shared" si="865"/>
        <v>0.16727797681376286</v>
      </c>
      <c r="Q191" s="166">
        <f t="shared" si="865"/>
        <v>0.15252108136588435</v>
      </c>
      <c r="R191" s="166">
        <f t="shared" si="865"/>
        <v>0.1503323382898884</v>
      </c>
      <c r="S191" s="166">
        <f t="shared" si="865"/>
        <v>0.14321989827140266</v>
      </c>
      <c r="T191" s="166">
        <f t="shared" si="865"/>
        <v>0.1665326261317733</v>
      </c>
      <c r="U191" s="166">
        <f t="shared" si="865"/>
        <v>0.16638519993762896</v>
      </c>
      <c r="V191" s="166">
        <f t="shared" si="865"/>
        <v>0.17010762615382674</v>
      </c>
      <c r="W191" s="166">
        <f t="shared" si="865"/>
        <v>0.15247005150675108</v>
      </c>
      <c r="X191" s="166">
        <f t="shared" si="865"/>
        <v>0.14327958822018247</v>
      </c>
      <c r="Y191" s="166">
        <f t="shared" si="865"/>
        <v>0.13194941896427501</v>
      </c>
      <c r="Z191" s="166">
        <f t="shared" si="865"/>
        <v>0.12801157607041211</v>
      </c>
      <c r="AA191" s="166">
        <f t="shared" ref="AA191" si="866">AA190/AA166</f>
        <v>0.1308248140896579</v>
      </c>
      <c r="AB191" s="167">
        <f t="shared" si="865"/>
        <v>0.11531340893525514</v>
      </c>
      <c r="AC191" s="167">
        <f t="shared" si="865"/>
        <v>0.11460734184831083</v>
      </c>
      <c r="AD191" s="167">
        <f t="shared" si="865"/>
        <v>0.11444021849125631</v>
      </c>
      <c r="AE191" s="167">
        <f t="shared" si="865"/>
        <v>0.11440722542600498</v>
      </c>
      <c r="AI191" s="166">
        <f t="shared" ref="AI191:BN191" si="867">AI190/AI166</f>
        <v>9.0730091548971881E-2</v>
      </c>
      <c r="AJ191" s="166">
        <f t="shared" si="867"/>
        <v>0.10637404577260122</v>
      </c>
      <c r="AK191" s="166">
        <f t="shared" si="867"/>
        <v>9.7771136670567416E-2</v>
      </c>
      <c r="AL191" s="166">
        <f t="shared" si="867"/>
        <v>0.11779636637234715</v>
      </c>
      <c r="AM191" s="166">
        <f t="shared" si="867"/>
        <v>0.10862622773204102</v>
      </c>
      <c r="AN191" s="166">
        <f t="shared" si="867"/>
        <v>0.13085463888803223</v>
      </c>
      <c r="AO191" s="166">
        <f t="shared" si="867"/>
        <v>0.12115716892098673</v>
      </c>
      <c r="AP191" s="166">
        <f t="shared" si="867"/>
        <v>0.13834741827121963</v>
      </c>
      <c r="AQ191" s="166">
        <f t="shared" si="867"/>
        <v>0.13233428635423403</v>
      </c>
      <c r="AR191" s="166">
        <f t="shared" si="867"/>
        <v>0.11031860619536993</v>
      </c>
      <c r="AS191" s="166">
        <f t="shared" si="867"/>
        <v>0.12100918069797449</v>
      </c>
      <c r="AT191" s="166">
        <f t="shared" si="867"/>
        <v>0.12830063712814849</v>
      </c>
      <c r="AU191" s="166">
        <f t="shared" si="867"/>
        <v>0.14126626576697021</v>
      </c>
      <c r="AV191" s="166">
        <f t="shared" si="867"/>
        <v>0.1602708588845623</v>
      </c>
      <c r="AW191" s="166">
        <f t="shared" si="867"/>
        <v>0.12875543763959296</v>
      </c>
      <c r="AX191" s="166">
        <f t="shared" si="867"/>
        <v>0.17752059207598619</v>
      </c>
      <c r="AY191" s="166">
        <f t="shared" si="867"/>
        <v>0.14835779114290215</v>
      </c>
      <c r="AZ191" s="166">
        <f t="shared" si="867"/>
        <v>0.14765388231573895</v>
      </c>
      <c r="BA191" s="166">
        <f t="shared" si="867"/>
        <v>0.14697717919080461</v>
      </c>
      <c r="BB191" s="166">
        <f t="shared" si="867"/>
        <v>0.15627899813046539</v>
      </c>
      <c r="BC191" s="166">
        <f t="shared" si="867"/>
        <v>0.145701644418406</v>
      </c>
      <c r="BD191" s="166">
        <f t="shared" si="867"/>
        <v>0.1694933519266632</v>
      </c>
      <c r="BE191" s="166">
        <f t="shared" si="867"/>
        <v>0.16244432114848448</v>
      </c>
      <c r="BF191" s="166">
        <f t="shared" si="867"/>
        <v>0.17181775943320857</v>
      </c>
      <c r="BG191" s="166">
        <f t="shared" si="867"/>
        <v>0.16340557612599538</v>
      </c>
      <c r="BH191" s="166">
        <f t="shared" si="867"/>
        <v>0.17371169624745711</v>
      </c>
      <c r="BI191" s="166">
        <f t="shared" si="867"/>
        <v>0.16730725864025081</v>
      </c>
      <c r="BJ191" s="166">
        <f t="shared" si="867"/>
        <v>0.16732612219825704</v>
      </c>
      <c r="BK191" s="166">
        <f t="shared" si="867"/>
        <v>0.17367319083747951</v>
      </c>
      <c r="BL191" s="166">
        <f t="shared" si="867"/>
        <v>0.17111251696578808</v>
      </c>
      <c r="BM191" s="166">
        <f t="shared" si="867"/>
        <v>0.16891879960311995</v>
      </c>
      <c r="BN191" s="166">
        <f t="shared" si="867"/>
        <v>0.15948978060484639</v>
      </c>
      <c r="BO191" s="166">
        <f t="shared" ref="BO191:CT191" si="868">BO190/BO166</f>
        <v>0.17518180881722797</v>
      </c>
      <c r="BP191" s="166">
        <f t="shared" si="868"/>
        <v>0.17140501257622914</v>
      </c>
      <c r="BQ191" s="166">
        <f t="shared" si="868"/>
        <v>0.17040590036863248</v>
      </c>
      <c r="BR191" s="166">
        <f t="shared" si="868"/>
        <v>0.17063398484857922</v>
      </c>
      <c r="BS191" s="166">
        <f t="shared" si="868"/>
        <v>0.16149049266858767</v>
      </c>
      <c r="BT191" s="166">
        <f t="shared" si="868"/>
        <v>0.15777430125183681</v>
      </c>
      <c r="BU191" s="166">
        <f t="shared" si="868"/>
        <v>0.15121002190940411</v>
      </c>
      <c r="BV191" s="166">
        <f t="shared" si="868"/>
        <v>0.15058484594424243</v>
      </c>
      <c r="BW191" s="166">
        <f t="shared" si="868"/>
        <v>0.15088806577934458</v>
      </c>
      <c r="BX191" s="166">
        <f t="shared" si="868"/>
        <v>0.1487785708122118</v>
      </c>
      <c r="BY191" s="166">
        <f t="shared" si="868"/>
        <v>0.14342552617260912</v>
      </c>
      <c r="BZ191" s="166">
        <f t="shared" si="868"/>
        <v>0.14321108285484821</v>
      </c>
      <c r="CA191" s="166">
        <f t="shared" si="868"/>
        <v>0.13191410533772646</v>
      </c>
      <c r="CB191" s="166">
        <f t="shared" si="868"/>
        <v>0.13798338979038119</v>
      </c>
      <c r="CC191" s="166">
        <f t="shared" si="868"/>
        <v>0.13058107503616131</v>
      </c>
      <c r="CD191" s="166">
        <f t="shared" si="868"/>
        <v>0.12899836430889816</v>
      </c>
      <c r="CE191" s="166">
        <f t="shared" si="868"/>
        <v>0.12782734051018321</v>
      </c>
      <c r="CF191" s="166">
        <f t="shared" si="868"/>
        <v>0.12861837413235544</v>
      </c>
      <c r="CG191" s="166">
        <f t="shared" si="868"/>
        <v>0.12213439211922841</v>
      </c>
      <c r="CH191" s="166">
        <f t="shared" si="868"/>
        <v>0.1327549041379025</v>
      </c>
      <c r="CI191" s="166">
        <f t="shared" si="868"/>
        <v>0.12600731921960981</v>
      </c>
      <c r="CJ191" s="166">
        <f t="shared" si="868"/>
        <v>0.12522503612271971</v>
      </c>
      <c r="CK191" s="166">
        <f t="shared" si="868"/>
        <v>0.12862489275672256</v>
      </c>
      <c r="CL191" s="166">
        <f t="shared" ref="CL191" si="869">CL190/CL166</f>
        <v>0.1258911077236263</v>
      </c>
      <c r="CM191" s="167">
        <f t="shared" si="868"/>
        <v>0.1188282074130733</v>
      </c>
      <c r="CN191" s="167">
        <f t="shared" si="868"/>
        <v>0.11704711211878123</v>
      </c>
      <c r="CO191" s="167">
        <f t="shared" si="868"/>
        <v>0.11498840224653793</v>
      </c>
      <c r="CP191" s="167">
        <f t="shared" si="868"/>
        <v>0.1115300504281127</v>
      </c>
      <c r="CQ191" s="167">
        <f t="shared" si="868"/>
        <v>0.11559844305162616</v>
      </c>
      <c r="CR191" s="167">
        <f t="shared" si="868"/>
        <v>0.11479100196126454</v>
      </c>
      <c r="CS191" s="167">
        <f t="shared" si="868"/>
        <v>0.11422697442188527</v>
      </c>
      <c r="CT191" s="167">
        <f t="shared" si="868"/>
        <v>0.1140366174657223</v>
      </c>
      <c r="CU191" s="167">
        <f t="shared" ref="CU191:DB191" si="870">CU190/CU166</f>
        <v>0.11466325922512459</v>
      </c>
      <c r="CV191" s="167">
        <f t="shared" si="870"/>
        <v>0.11442946326849927</v>
      </c>
      <c r="CW191" s="167">
        <f t="shared" si="870"/>
        <v>0.1143390785953078</v>
      </c>
      <c r="CX191" s="167">
        <f t="shared" si="870"/>
        <v>0.11436710463866342</v>
      </c>
      <c r="CY191" s="167">
        <f t="shared" si="870"/>
        <v>0.11444972643189887</v>
      </c>
      <c r="CZ191" s="167">
        <f t="shared" si="870"/>
        <v>0.11439634323359228</v>
      </c>
      <c r="DA191" s="167">
        <f t="shared" si="870"/>
        <v>0.11438806322486567</v>
      </c>
      <c r="DB191" s="167">
        <f t="shared" si="870"/>
        <v>0.11440030938225511</v>
      </c>
      <c r="DE191" s="169"/>
      <c r="DF191" s="168">
        <v>0.1308248140896579</v>
      </c>
    </row>
    <row r="192" spans="1:110" s="38" customFormat="1" x14ac:dyDescent="0.2">
      <c r="A192" s="39" t="s">
        <v>449</v>
      </c>
      <c r="B192" s="39"/>
      <c r="C192" s="39">
        <f t="shared" ref="C192:E192" si="871">+IF(B190&lt;0,1-C190/B190,C190/B190-1)</f>
        <v>0.38565884487378099</v>
      </c>
      <c r="D192" s="39">
        <f t="shared" si="871"/>
        <v>-0.1323801017974976</v>
      </c>
      <c r="E192" s="39">
        <f t="shared" si="871"/>
        <v>-2.5164901059364642E-2</v>
      </c>
      <c r="F192" s="39">
        <f t="shared" ref="F192:Y192" si="872">+IF(E190&lt;0,1-F190/E190,F190/E190-1)</f>
        <v>0.27852617334071317</v>
      </c>
      <c r="G192" s="39">
        <f t="shared" si="872"/>
        <v>0.33788789992783097</v>
      </c>
      <c r="H192" s="39">
        <f t="shared" si="872"/>
        <v>0.65207254507096724</v>
      </c>
      <c r="I192" s="39">
        <f t="shared" si="872"/>
        <v>0.47642438643907981</v>
      </c>
      <c r="J192" s="39">
        <f t="shared" si="872"/>
        <v>0.39332725588435213</v>
      </c>
      <c r="K192" s="39">
        <f t="shared" si="872"/>
        <v>0.25045984329175641</v>
      </c>
      <c r="L192" s="39">
        <f t="shared" si="872"/>
        <v>0.22163224090418088</v>
      </c>
      <c r="M192" s="39">
        <f t="shared" si="872"/>
        <v>0.21654604583399273</v>
      </c>
      <c r="N192" s="39">
        <f t="shared" si="872"/>
        <v>0.1637758258776898</v>
      </c>
      <c r="O192" s="39">
        <f t="shared" si="872"/>
        <v>0.13037469024513793</v>
      </c>
      <c r="P192" s="39">
        <f t="shared" si="872"/>
        <v>0.11020507682175218</v>
      </c>
      <c r="Q192" s="39">
        <f t="shared" si="872"/>
        <v>2.1422528677095265E-3</v>
      </c>
      <c r="R192" s="39">
        <f t="shared" si="872"/>
        <v>6.5471678906797059E-2</v>
      </c>
      <c r="S192" s="39">
        <f t="shared" si="872"/>
        <v>4.3078299286196886E-2</v>
      </c>
      <c r="T192" s="39">
        <f t="shared" si="872"/>
        <v>0.31372597064000041</v>
      </c>
      <c r="U192" s="39">
        <f t="shared" si="872"/>
        <v>7.4717377953060771E-2</v>
      </c>
      <c r="V192" s="39">
        <f t="shared" si="872"/>
        <v>-4.4214895839530977E-2</v>
      </c>
      <c r="W192" s="39">
        <f t="shared" si="872"/>
        <v>3.1720538652126429E-2</v>
      </c>
      <c r="X192" s="39">
        <f t="shared" si="872"/>
        <v>0.1007416781200754</v>
      </c>
      <c r="Y192" s="39">
        <f t="shared" si="872"/>
        <v>0.11065294503250667</v>
      </c>
      <c r="Z192" s="39">
        <f t="shared" ref="Z192:AE192" si="873">+IF(Y190&lt;0,1-Z190/Y190,Z190/Y190-1)</f>
        <v>0.12206211192045879</v>
      </c>
      <c r="AA192" s="39">
        <f t="shared" si="873"/>
        <v>0.14242277156376826</v>
      </c>
      <c r="AB192" s="40">
        <f t="shared" si="873"/>
        <v>1.4057129813812352E-2</v>
      </c>
      <c r="AC192" s="40">
        <f t="shared" si="873"/>
        <v>0.14521399396506385</v>
      </c>
      <c r="AD192" s="40">
        <f t="shared" si="873"/>
        <v>0.15107621011072769</v>
      </c>
      <c r="AE192" s="40">
        <f t="shared" si="873"/>
        <v>0.15252876216780042</v>
      </c>
      <c r="AI192" s="39"/>
      <c r="AJ192" s="39"/>
      <c r="AK192" s="39"/>
      <c r="AL192" s="39"/>
      <c r="AM192" s="39">
        <f>+IF(AI190&lt;0,1-AM190/AI190,AM190/AI190-1)</f>
        <v>0.72658129822717621</v>
      </c>
      <c r="AN192" s="39">
        <f t="shared" ref="AN192" si="874">+IF(AJ190&lt;0,1-AN190/AJ190,AN190/AJ190-1)</f>
        <v>0.78348282667084534</v>
      </c>
      <c r="AO192" s="39">
        <f t="shared" ref="AO192" si="875">+IF(AK190&lt;0,1-AO190/AK190,AO190/AK190-1)</f>
        <v>1.0926127558116479</v>
      </c>
      <c r="AP192" s="39">
        <f t="shared" ref="AP192" si="876">+IF(AL190&lt;0,1-AP190/AL190,AP190/AL190-1)</f>
        <v>0.75589412184629312</v>
      </c>
      <c r="AQ192" s="39">
        <f t="shared" ref="AQ192" si="877">+IF(AM190&lt;0,1-AQ190/AM190,AQ190/AM190-1)</f>
        <v>0.34074987719185801</v>
      </c>
      <c r="AR192" s="39">
        <f t="shared" ref="AR192" si="878">+IF(AN190&lt;0,1-AR190/AN190,AR190/AN190-1)</f>
        <v>-6.754149439750734E-2</v>
      </c>
      <c r="AS192" s="39">
        <f t="shared" ref="AS192" si="879">+IF(AO190&lt;0,1-AS190/AO190,AS190/AO190-1)</f>
        <v>9.6003463690117918E-2</v>
      </c>
      <c r="AT192" s="39">
        <f t="shared" ref="AT192" si="880">+IF(AP190&lt;0,1-AT190/AP190,AT190/AP190-1)</f>
        <v>-3.8355372961869749E-2</v>
      </c>
      <c r="AU192" s="39">
        <f t="shared" ref="AU192" si="881">+IF(AQ190&lt;0,1-AU190/AQ190,AU190/AQ190-1)</f>
        <v>0.12788877782247021</v>
      </c>
      <c r="AV192" s="39">
        <f t="shared" ref="AV192" si="882">+IF(AR190&lt;0,1-AV190/AR190,AV190/AR190-1)</f>
        <v>0.58765695485098046</v>
      </c>
      <c r="AW192" s="39">
        <f t="shared" ref="AW192" si="883">+IF(AS190&lt;0,1-AW190/AS190,AW190/AS190-1)</f>
        <v>0.15682598646480672</v>
      </c>
      <c r="AX192" s="39">
        <f t="shared" ref="AX192" si="884">+IF(AT190&lt;0,1-AX190/AT190,AX190/AT190-1)</f>
        <v>0.62324354994826936</v>
      </c>
      <c r="AY192" s="39">
        <f t="shared" ref="AY192" si="885">+IF(AU190&lt;0,1-AY190/AU190,AY190/AU190-1)</f>
        <v>0.1381146412253611</v>
      </c>
      <c r="AZ192" s="39">
        <f t="shared" ref="AZ192" si="886">+IF(AV190&lt;0,1-AZ190/AV190,AZ190/AV190-1)</f>
        <v>-9.6896400990814646E-3</v>
      </c>
      <c r="BA192" s="39">
        <f t="shared" ref="BA192" si="887">+IF(AW190&lt;0,1-BA190/AW190,BA190/AW190-1)</f>
        <v>0.14954858344466482</v>
      </c>
      <c r="BB192" s="39">
        <f t="shared" ref="BB192" si="888">+IF(AX190&lt;0,1-BB190/AX190,BB190/AX190-1)</f>
        <v>-1.9420569971626001E-2</v>
      </c>
      <c r="BC192" s="39">
        <f t="shared" ref="BC192" si="889">+IF(AY190&lt;0,1-BC190/AY190,BC190/AY190-1)</f>
        <v>7.6313095275030385E-2</v>
      </c>
      <c r="BD192" s="39">
        <f t="shared" ref="BD192" si="890">+IF(AZ190&lt;0,1-BD190/AZ190,BD190/AZ190-1)</f>
        <v>0.22136666203465261</v>
      </c>
      <c r="BE192" s="39">
        <f t="shared" ref="BE192" si="891">+IF(BA190&lt;0,1-BE190/BA190,BE190/BA190-1)</f>
        <v>0.21686040603184753</v>
      </c>
      <c r="BF192" s="39">
        <f t="shared" ref="BF192" si="892">+IF(BB190&lt;0,1-BF190/BB190,BF190/BB190-1)</f>
        <v>0.22130657691944822</v>
      </c>
      <c r="BG192" s="39">
        <f t="shared" ref="BG192" si="893">+IF(BC190&lt;0,1-BG190/BC190,BG190/BC190-1)</f>
        <v>0.27194403449706939</v>
      </c>
      <c r="BH192" s="39">
        <f t="shared" ref="BH192" si="894">+IF(BD190&lt;0,1-BH190/BD190,BH190/BD190-1)</f>
        <v>0.1888657125966251</v>
      </c>
      <c r="BI192" s="39">
        <f t="shared" ref="BI192" si="895">+IF(BE190&lt;0,1-BI190/BE190,BI190/BE190-1)</f>
        <v>0.22650143687391044</v>
      </c>
      <c r="BJ192" s="39">
        <f t="shared" ref="BJ192" si="896">+IF(BF190&lt;0,1-BJ190/BF190,BJ190/BF190-1)</f>
        <v>3.6709389602846088E-2</v>
      </c>
      <c r="BK192" s="39">
        <f t="shared" ref="BK192" si="897">+IF(BG190&lt;0,1-BK190/BG190,BK190/BG190-1)</f>
        <v>0.16639132691100644</v>
      </c>
      <c r="BL192" s="39">
        <f t="shared" ref="BL192" si="898">+IF(BH190&lt;0,1-BL190/BH190,BL190/BH190-1)</f>
        <v>0.13435350853325456</v>
      </c>
      <c r="BM192" s="39">
        <f t="shared" ref="BM192" si="899">+IF(BI190&lt;0,1-BM190/BI190,BM190/BI190-1)</f>
        <v>6.887364493617798E-2</v>
      </c>
      <c r="BN192" s="39">
        <f t="shared" ref="BN192" si="900">+IF(BJ190&lt;0,1-BN190/BJ190,BN190/BJ190-1)</f>
        <v>-2.6100673632551641E-2</v>
      </c>
      <c r="BO192" s="39">
        <f t="shared" ref="BO192" si="901">+IF(BK190&lt;0,1-BO190/BK190,BO190/BK190-1)</f>
        <v>-0.27639756983234764</v>
      </c>
      <c r="BP192" s="39">
        <f t="shared" ref="BP192" si="902">+IF(BL190&lt;0,1-BP190/BL190,BP190/BL190-1)</f>
        <v>-0.12003526800040931</v>
      </c>
      <c r="BQ192" s="39">
        <f t="shared" ref="BQ192" si="903">+IF(BM190&lt;0,1-BQ190/BM190,BQ190/BM190-1)</f>
        <v>-9.184801872570314E-3</v>
      </c>
      <c r="BR192" s="39">
        <f t="shared" ref="BR192" si="904">+IF(BN190&lt;0,1-BR190/BN190,BR190/BN190-1)</f>
        <v>0.16279066471862724</v>
      </c>
      <c r="BS192" s="39">
        <f t="shared" ref="BS192" si="905">+IF(BO190&lt;0,1-BS190/BO190,BS190/BO190-1)</f>
        <v>0.2719715602143713</v>
      </c>
      <c r="BT192" s="39">
        <f t="shared" ref="BT192" si="906">+IF(BP190&lt;0,1-BT190/BP190,BT190/BP190-1)</f>
        <v>3.1348752046710171E-2</v>
      </c>
      <c r="BU192" s="39">
        <f t="shared" ref="BU192" si="907">+IF(BQ190&lt;0,1-BU190/BQ190,BU190/BQ190-1)</f>
        <v>-1.3770557746329515E-2</v>
      </c>
      <c r="BV192" s="39">
        <f t="shared" ref="BV192" si="908">+IF(BR190&lt;0,1-BV190/BR190,BV190/BR190-1)</f>
        <v>-3.0092268168761205E-2</v>
      </c>
      <c r="BW192" s="39">
        <f t="shared" ref="BW192" si="909">+IF(BS190&lt;0,1-BW190/BS190,BW190/BS190-1)</f>
        <v>0.14196754255606536</v>
      </c>
      <c r="BX192" s="39">
        <f t="shared" ref="BX192" si="910">+IF(BT190&lt;0,1-BX190/BT190,BX190/BT190-1)</f>
        <v>0.15965127490991149</v>
      </c>
      <c r="BY192" s="39">
        <f t="shared" ref="BY192" si="911">+IF(BU190&lt;0,1-BY190/BU190,BY190/BU190-1)</f>
        <v>0.11219077580399661</v>
      </c>
      <c r="BZ192" s="39">
        <f t="shared" ref="BZ192" si="912">+IF(BV190&lt;0,1-BZ190/BV190,BZ190/BV190-1)</f>
        <v>4.9724131778436265E-2</v>
      </c>
      <c r="CA192" s="39">
        <f t="shared" ref="CA192" si="913">+IF(BW190&lt;0,1-CA190/BW190,CA190/BW190-1)</f>
        <v>0.16757304309570342</v>
      </c>
      <c r="CB192" s="39">
        <f t="shared" ref="CB192" si="914">+IF(BX190&lt;0,1-CB190/BX190,CB190/BX190-1)</f>
        <v>0.10661630641165987</v>
      </c>
      <c r="CC192" s="39">
        <f t="shared" ref="CC192" si="915">+IF(BY190&lt;0,1-CC190/BY190,CC190/BY190-1)</f>
        <v>8.1939198643713018E-2</v>
      </c>
      <c r="CD192" s="39">
        <f t="shared" ref="CD192" si="916">+IF(BZ190&lt;0,1-CD190/BZ190,CD190/BZ190-1)</f>
        <v>3.576626958287088E-2</v>
      </c>
      <c r="CE192" s="39">
        <f t="shared" ref="CE192" si="917">+IF(CA190&lt;0,1-CE190/CA190,CE190/CA190-1)</f>
        <v>0.11548740097144794</v>
      </c>
      <c r="CF192" s="39">
        <f t="shared" ref="CF192" si="918">+IF(CB190&lt;0,1-CF190/CB190,CF190/CB190-1)</f>
        <v>0.12450589236229992</v>
      </c>
      <c r="CG192" s="39">
        <f t="shared" ref="CG192" si="919">+IF(CC190&lt;0,1-CG190/CC190,CG190/CC190-1)</f>
        <v>9.7172386489133844E-2</v>
      </c>
      <c r="CH192" s="39">
        <f t="shared" ref="CH192:CL192" si="920">+IF(CD190&lt;0,1-CH190/CD190,CH190/CD190-1)</f>
        <v>0.14132605419598221</v>
      </c>
      <c r="CI192" s="39">
        <f t="shared" si="920"/>
        <v>0.13883266958281459</v>
      </c>
      <c r="CJ192" s="39">
        <f t="shared" si="920"/>
        <v>7.5304564200048718E-2</v>
      </c>
      <c r="CK192" s="39">
        <f t="shared" si="920"/>
        <v>0.16358873459134826</v>
      </c>
      <c r="CL192" s="39">
        <f t="shared" si="920"/>
        <v>5.4990208526985107E-2</v>
      </c>
      <c r="CM192" s="40">
        <f t="shared" ref="CM192" si="921">+CM190/CI190-1</f>
        <v>7.9083251050579895E-2</v>
      </c>
      <c r="CN192" s="40">
        <f t="shared" ref="CN192" si="922">+CN190/CJ190-1</f>
        <v>6.69775685041889E-2</v>
      </c>
      <c r="CO192" s="40">
        <f t="shared" ref="CO192" si="923">+CO190/CK190-1</f>
        <v>2.8791965228138761E-2</v>
      </c>
      <c r="CP192" s="40">
        <f t="shared" ref="CP192" si="924">+CP190/CL190-1</f>
        <v>2.9690311072650744E-2</v>
      </c>
      <c r="CQ192" s="40">
        <f t="shared" ref="CQ192" si="925">+CQ190/CM190-1</f>
        <v>0.11846969896591619</v>
      </c>
      <c r="CR192" s="40">
        <f t="shared" ref="CR192" si="926">+CR190/CN190-1</f>
        <v>0.12889241444703736</v>
      </c>
      <c r="CS192" s="40">
        <f t="shared" ref="CS192" si="927">+CS190/CO190-1</f>
        <v>0.14583020304926486</v>
      </c>
      <c r="CT192" s="40">
        <f t="shared" ref="CT192" si="928">+CT190/CP190-1</f>
        <v>0.18007460859567592</v>
      </c>
      <c r="CU192" s="40">
        <f t="shared" ref="CU192" si="929">+CU190/CQ190-1</f>
        <v>0.14278040214517662</v>
      </c>
      <c r="CV192" s="40">
        <f t="shared" ref="CV192" si="930">+CV190/CR190-1</f>
        <v>0.14906576676698369</v>
      </c>
      <c r="CW192" s="40">
        <f t="shared" ref="CW192" si="931">+CW190/CS190-1</f>
        <v>0.1542320204370593</v>
      </c>
      <c r="CX192" s="40">
        <f t="shared" ref="CX192" si="932">+CX190/CT190-1</f>
        <v>0.15634989281385403</v>
      </c>
      <c r="CY192" s="40">
        <f t="shared" ref="CY192" si="933">+CY190/CU190-1</f>
        <v>0.15057976939174567</v>
      </c>
      <c r="CZ192" s="40">
        <f t="shared" ref="CZ192" si="934">+CZ190/CV190-1</f>
        <v>0.15254916541934027</v>
      </c>
      <c r="DA192" s="40">
        <f t="shared" ref="DA192" si="935">+DA190/CW190-1</f>
        <v>0.15342344020847731</v>
      </c>
      <c r="DB192" s="40">
        <f t="shared" ref="DB192" si="936">+DB190/CX190-1</f>
        <v>0.15322151996626654</v>
      </c>
      <c r="DE192" s="122"/>
      <c r="DF192" s="38">
        <v>0.14242277156376826</v>
      </c>
    </row>
    <row r="193" spans="1:110" s="38" customFormat="1" x14ac:dyDescent="0.2">
      <c r="A193" s="39" t="s">
        <v>450</v>
      </c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40"/>
      <c r="AC193" s="40"/>
      <c r="AD193" s="40"/>
      <c r="AE193" s="40"/>
      <c r="AI193" s="39"/>
      <c r="AJ193" s="39">
        <f>+IF(AI190&lt;0,1-AJ190/AI190,AJ190/AI190-1)</f>
        <v>0.29401406827631327</v>
      </c>
      <c r="AK193" s="39">
        <f t="shared" ref="AK193:AM193" si="937">+IF(AJ190&lt;0,1-AK190/AJ190,AK190/AJ190-1)</f>
        <v>-0.1035743037695126</v>
      </c>
      <c r="AL193" s="39">
        <f t="shared" si="937"/>
        <v>0.69222332604808101</v>
      </c>
      <c r="AM193" s="39">
        <f t="shared" si="937"/>
        <v>-0.12041855309875649</v>
      </c>
      <c r="AN193" s="39">
        <f t="shared" ref="AN193" si="938">+IF(AM190&lt;0,1-AN190/AM190,AN190/AM190-1)</f>
        <v>0.33665983212660855</v>
      </c>
      <c r="AO193" s="39">
        <f t="shared" ref="AO193" si="939">+IF(AN190&lt;0,1-AO190/AN190,AO190/AN190-1)</f>
        <v>5.1802584536723151E-2</v>
      </c>
      <c r="AP193" s="39">
        <f t="shared" ref="AP193" si="940">+IF(AO190&lt;0,1-AP190/AO190,AP190/AO190-1)</f>
        <v>0.41993065023945375</v>
      </c>
      <c r="AQ193" s="39">
        <f t="shared" ref="AQ193" si="941">+IF(AP190&lt;0,1-AQ190/AP190,AQ190/AP190-1)</f>
        <v>-0.32837709162494022</v>
      </c>
      <c r="AR193" s="39">
        <f t="shared" ref="AR193" si="942">+IF(AQ190&lt;0,1-AR190/AQ190,AR190/AQ190-1)</f>
        <v>-7.0386019968061264E-2</v>
      </c>
      <c r="AS193" s="39">
        <f t="shared" ref="AS193" si="943">+IF(AR190&lt;0,1-AS190/AR190,AS190/AR190-1)</f>
        <v>0.23627943639767346</v>
      </c>
      <c r="AT193" s="39">
        <f t="shared" ref="AT193" si="944">+IF(AS190&lt;0,1-AT190/AS190,AT190/AS190-1)</f>
        <v>0.24586164716318781</v>
      </c>
      <c r="AU193" s="39">
        <f t="shared" ref="AU193" si="945">+IF(AT190&lt;0,1-AU190/AT190,AU190/AT190-1)</f>
        <v>-0.21227039595918973</v>
      </c>
      <c r="AV193" s="39">
        <f t="shared" ref="AV193" si="946">+IF(AU190&lt;0,1-AV190/AU190,AV190/AU190-1)</f>
        <v>0.30855819274470697</v>
      </c>
      <c r="AW193" s="39">
        <f t="shared" ref="AW193" si="947">+IF(AV190&lt;0,1-AW190/AV190,AW190/AV190-1)</f>
        <v>-9.9200759844792485E-2</v>
      </c>
      <c r="AX193" s="39">
        <f t="shared" ref="AX193" si="948">+IF(AW190&lt;0,1-AX190/AW190,AX190/AW190-1)</f>
        <v>0.7481772596289229</v>
      </c>
      <c r="AY193" s="39">
        <f t="shared" ref="AY193" si="949">+IF(AX190&lt;0,1-AY190/AX190,AY190/AX190-1)</f>
        <v>-0.44769434277803</v>
      </c>
      <c r="AZ193" s="39">
        <f t="shared" ref="AZ193" si="950">+IF(AY190&lt;0,1-AZ190/AY190,AZ190/AY190-1)</f>
        <v>0.13861880681289462</v>
      </c>
      <c r="BA193" s="39">
        <f t="shared" ref="BA193" si="951">+IF(AZ190&lt;0,1-BA190/AZ190,BA190/AZ190-1)</f>
        <v>4.5644408478220155E-2</v>
      </c>
      <c r="BB193" s="39">
        <f t="shared" ref="BB193" si="952">+IF(BA190&lt;0,1-BB190/BA190,BB190/BA190-1)</f>
        <v>0.49121723563761921</v>
      </c>
      <c r="BC193" s="39">
        <f t="shared" ref="BC193" si="953">+IF(BB190&lt;0,1-BC190/BB190,BC190/BB190-1)</f>
        <v>-0.39377291297525252</v>
      </c>
      <c r="BD193" s="39">
        <f t="shared" ref="BD193" si="954">+IF(BC190&lt;0,1-BD190/BC190,BD190/BC190-1)</f>
        <v>0.29206924779781285</v>
      </c>
      <c r="BE193" s="39">
        <f t="shared" ref="BE193" si="955">+IF(BD190&lt;0,1-BE190/BD190,BE190/BD190-1)</f>
        <v>4.17864831401773E-2</v>
      </c>
      <c r="BF193" s="39">
        <f t="shared" ref="BF193" si="956">+IF(BE190&lt;0,1-BF190/BE190,BF190/BE190-1)</f>
        <v>0.49666585293777543</v>
      </c>
      <c r="BG193" s="39">
        <f t="shared" ref="BG193" si="957">+IF(BF190&lt;0,1-BG190/BF190,BG190/BF190-1)</f>
        <v>-0.36863770206117485</v>
      </c>
      <c r="BH193" s="39">
        <f t="shared" ref="BH193" si="958">+IF(BG190&lt;0,1-BH190/BG190,BH190/BG190-1)</f>
        <v>0.20767642706442646</v>
      </c>
      <c r="BI193" s="39">
        <f t="shared" ref="BI193" si="959">+IF(BH190&lt;0,1-BI190/BH190,BI190/BH190-1)</f>
        <v>7.4766144694744741E-2</v>
      </c>
      <c r="BJ193" s="39">
        <f t="shared" ref="BJ193" si="960">+IF(BI190&lt;0,1-BJ190/BI190,BJ190/BI190-1)</f>
        <v>0.26506785576481628</v>
      </c>
      <c r="BK193" s="39">
        <f t="shared" ref="BK193" si="961">+IF(BJ190&lt;0,1-BK190/BJ190,BK190/BJ190-1)</f>
        <v>-0.28966061671674204</v>
      </c>
      <c r="BL193" s="39">
        <f t="shared" ref="BL193" si="962">+IF(BK190&lt;0,1-BL190/BK190,BL190/BK190-1)</f>
        <v>0.17450461145100804</v>
      </c>
      <c r="BM193" s="39">
        <f t="shared" ref="BM193" si="963">+IF(BL190&lt;0,1-BM190/BL190,BM190/BL190-1)</f>
        <v>1.2725925288745499E-2</v>
      </c>
      <c r="BN193" s="39">
        <f t="shared" ref="BN193" si="964">+IF(BM190&lt;0,1-BN190/BM190,BN190/BM190-1)</f>
        <v>0.15266078303580244</v>
      </c>
      <c r="BO193" s="39">
        <f t="shared" ref="BO193" si="965">+IF(BN190&lt;0,1-BO190/BN190,BO190/BN190-1)</f>
        <v>-0.47222131685341617</v>
      </c>
      <c r="BP193" s="39">
        <f t="shared" ref="BP193" si="966">+IF(BO190&lt;0,1-BP190/BO190,BP190/BO190-1)</f>
        <v>0.42830177533858138</v>
      </c>
      <c r="BQ193" s="39">
        <f t="shared" ref="BQ193" si="967">+IF(BP190&lt;0,1-BQ190/BP190,BQ190/BP190-1)</f>
        <v>0.14030051640094565</v>
      </c>
      <c r="BR193" s="39">
        <f t="shared" ref="BR193" si="968">+IF(BQ190&lt;0,1-BR190/BQ190,BR190/BQ190-1)</f>
        <v>0.35272773432863347</v>
      </c>
      <c r="BS193" s="39">
        <f t="shared" ref="BS193" si="969">+IF(BR190&lt;0,1-BS190/BR190,BS190/BR190-1)</f>
        <v>-0.4226652350943213</v>
      </c>
      <c r="BT193" s="39">
        <f t="shared" ref="BT193" si="970">+IF(BS190&lt;0,1-BT190/BS190,BT190/BS190-1)</f>
        <v>0.15810549513644911</v>
      </c>
      <c r="BU193" s="39">
        <f t="shared" ref="BU193" si="971">+IF(BT190&lt;0,1-BU190/BT190,BU190/BT190-1)</f>
        <v>9.0414799125818623E-2</v>
      </c>
      <c r="BV193" s="39">
        <f t="shared" ref="BV193" si="972">+IF(BU190&lt;0,1-BV190/BU190,BV190/BU190-1)</f>
        <v>0.33034062093070959</v>
      </c>
      <c r="BW193" s="39">
        <f t="shared" ref="BW193" si="973">+IF(BV190&lt;0,1-BW190/BV190,BW190/BV190-1)</f>
        <v>-0.32024713168671026</v>
      </c>
      <c r="BX193" s="39">
        <f t="shared" ref="BX193" si="974">+IF(BW190&lt;0,1-BX190/BW190,BX190/BW190-1)</f>
        <v>0.17603912884347372</v>
      </c>
      <c r="BY193" s="39">
        <f t="shared" ref="BY193" si="975">+IF(BX190&lt;0,1-BY190/BX190,BY190/BX190-1)</f>
        <v>4.5787908509061781E-2</v>
      </c>
      <c r="BZ193" s="39">
        <f t="shared" ref="BZ193" si="976">+IF(BY190&lt;0,1-BZ190/BY190,BZ190/BY190-1)</f>
        <v>0.25562150276472084</v>
      </c>
      <c r="CA193" s="39">
        <f t="shared" ref="CA193" si="977">+IF(BZ190&lt;0,1-CA190/BZ190,CA190/BZ190-1)</f>
        <v>-0.24393361933581093</v>
      </c>
      <c r="CB193" s="39">
        <f t="shared" ref="CB193" si="978">+IF(CA190&lt;0,1-CB190/CA190,CB190/CA190-1)</f>
        <v>0.11464039415106297</v>
      </c>
      <c r="CC193" s="39">
        <f t="shared" ref="CC193" si="979">+IF(CB190&lt;0,1-CC190/CB190,CC190/CB190-1)</f>
        <v>2.2467250055748123E-2</v>
      </c>
      <c r="CD193" s="39">
        <f t="shared" ref="CD193" si="980">+IF(CC190&lt;0,1-CD190/CC190,CD190/CC190-1)</f>
        <v>0.20203649295354098</v>
      </c>
      <c r="CE193" s="39">
        <f t="shared" ref="CE193" si="981">+IF(CD190&lt;0,1-CE190/CD190,CE190/CD190-1)</f>
        <v>-0.18574050275972298</v>
      </c>
      <c r="CF193" s="39">
        <f t="shared" ref="CF193" si="982">+IF(CE190&lt;0,1-CF190/CE190,CF190/CE190-1)</f>
        <v>0.1236520376620458</v>
      </c>
      <c r="CG193" s="39">
        <f t="shared" ref="CG193" si="983">+IF(CF190&lt;0,1-CG190/CF190,CG190/CF190-1)</f>
        <v>-2.3859897310244405E-3</v>
      </c>
      <c r="CH193" s="39">
        <f t="shared" ref="CH193:CI193" si="984">+IF(CG190&lt;0,1-CH190/CG190,CH190/CG190-1)</f>
        <v>0.25041022212768627</v>
      </c>
      <c r="CI193" s="39">
        <f t="shared" si="984"/>
        <v>-0.18751936524523305</v>
      </c>
      <c r="CJ193" s="39">
        <f>+IF(CI190&gt;1,CJ190/CI190-1,1-CJ190/CI190)</f>
        <v>6.0970761502042503E-2</v>
      </c>
      <c r="CK193" s="39">
        <f>+IF(CJ190&gt;1,CK190/CJ190-1,1-CK190/CJ190)</f>
        <v>7.9519665838153397E-2</v>
      </c>
      <c r="CL193" s="39">
        <f>+IF(CK190&gt;1,CL190/CK190-1,1-CL190/CK190)</f>
        <v>0.13370858772541627</v>
      </c>
      <c r="CM193" s="40">
        <f t="shared" ref="CM193" si="985">+CM190/CL190-1</f>
        <v>-0.16896456698783957</v>
      </c>
      <c r="CN193" s="40">
        <f t="shared" ref="CN193" si="986">+CN190/CM190-1</f>
        <v>4.9068273703031684E-2</v>
      </c>
      <c r="CO193" s="40">
        <f t="shared" ref="CO193" si="987">+CO190/CN190-1</f>
        <v>4.0885198811653645E-2</v>
      </c>
      <c r="CP193" s="40">
        <f t="shared" ref="CP193" si="988">+CP190/CO190-1</f>
        <v>0.13469854724404917</v>
      </c>
      <c r="CQ193" s="40">
        <f t="shared" ref="CQ193" si="989">+CQ190/CP190-1</f>
        <v>-9.7313104147932483E-2</v>
      </c>
      <c r="CR193" s="40">
        <f t="shared" ref="CR193" si="990">+CR190/CQ190-1</f>
        <v>5.8844256143313123E-2</v>
      </c>
      <c r="CS193" s="40">
        <f t="shared" ref="CS193" si="991">+CS190/CR190-1</f>
        <v>5.6502535974199075E-2</v>
      </c>
      <c r="CT193" s="40">
        <f t="shared" ref="CT193" si="992">+CT190/CS190-1</f>
        <v>0.1686102709194619</v>
      </c>
      <c r="CU193" s="40">
        <f t="shared" ref="CU193" si="993">+CU190/CT190-1</f>
        <v>-0.12584095417440644</v>
      </c>
      <c r="CV193" s="40">
        <f t="shared" ref="CV193" si="994">+CV190/CU190-1</f>
        <v>6.4667966643662922E-2</v>
      </c>
      <c r="CW193" s="40">
        <f t="shared" ref="CW193" si="995">+CW190/CV190-1</f>
        <v>6.1252621010043695E-2</v>
      </c>
      <c r="CX193" s="40">
        <f t="shared" ref="CX193" si="996">+CX190/CW190-1</f>
        <v>0.17075452559980042</v>
      </c>
      <c r="CY193" s="40">
        <f t="shared" ref="CY193" si="997">+CY190/CX190-1</f>
        <v>-0.13020296053278646</v>
      </c>
      <c r="CZ193" s="40">
        <f t="shared" ref="CZ193" si="998">+CZ190/CY190-1</f>
        <v>6.6490311273730285E-2</v>
      </c>
      <c r="DA193" s="40">
        <f t="shared" ref="DA193" si="999">+DA190/CZ190-1</f>
        <v>6.2057642122628431E-2</v>
      </c>
      <c r="DB193" s="40">
        <f t="shared" ref="DB193" si="1000">+DB190/DA190-1</f>
        <v>0.17054957134870974</v>
      </c>
      <c r="DE193" s="122"/>
    </row>
    <row r="194" spans="1:110" s="23" customFormat="1" x14ac:dyDescent="0.2">
      <c r="A194" s="23" t="s">
        <v>15</v>
      </c>
      <c r="B194" s="23">
        <f>'Annual Raw'!C27</f>
        <v>313.13</v>
      </c>
      <c r="C194" s="23">
        <f>'Annual Raw'!D27</f>
        <v>468.1</v>
      </c>
      <c r="D194" s="23">
        <f>'Annual Raw'!E27</f>
        <v>440.61</v>
      </c>
      <c r="E194" s="23">
        <f>'Annual Raw'!F27</f>
        <v>206.54</v>
      </c>
      <c r="F194" s="23">
        <f>'Annual Raw'!G27</f>
        <v>212.2</v>
      </c>
      <c r="G194" s="23">
        <f>'Annual Raw'!H27</f>
        <v>243.52</v>
      </c>
      <c r="H194" s="23">
        <f>'Annual Raw'!I27</f>
        <v>344.86</v>
      </c>
      <c r="I194" s="23">
        <f>'Annual Raw'!J27</f>
        <v>509.74</v>
      </c>
      <c r="J194" s="23">
        <f>'Annual Raw'!K27</f>
        <v>728.32</v>
      </c>
      <c r="K194" s="23">
        <f>'Annual Raw'!L27</f>
        <v>979.32</v>
      </c>
      <c r="L194" s="23">
        <f>'Annual Raw'!M27</f>
        <v>1318.88</v>
      </c>
      <c r="M194" s="23">
        <f>'Annual Raw'!N27</f>
        <v>1580.29</v>
      </c>
      <c r="N194" s="23">
        <f>'Annual Raw'!O27</f>
        <v>1637.07</v>
      </c>
      <c r="O194" s="23">
        <f>'Annual Raw'!P27</f>
        <v>1445.82</v>
      </c>
      <c r="P194" s="23">
        <f>'Annual Raw'!Q27</f>
        <v>2622.95</v>
      </c>
      <c r="Q194" s="23">
        <f>'Annual Raw'!R27</f>
        <v>1786.73</v>
      </c>
      <c r="R194" s="23">
        <f>'Annual Raw'!S27</f>
        <v>2369.9299999999998</v>
      </c>
      <c r="S194" s="23">
        <f>'Annual Raw'!T27</f>
        <v>1928.73</v>
      </c>
      <c r="T194" s="23">
        <f>'Annual Raw'!U27</f>
        <v>1923.03</v>
      </c>
      <c r="U194" s="23">
        <f>'Annual Raw'!V27</f>
        <v>2462.27</v>
      </c>
      <c r="V194" s="23">
        <f>'Annual Raw'!W27</f>
        <v>2904.21</v>
      </c>
      <c r="W194" s="23">
        <f>'Annual Raw'!X27</f>
        <v>2947.95</v>
      </c>
      <c r="X194" s="23">
        <f>'Annual Raw'!Y27</f>
        <v>3502.25</v>
      </c>
      <c r="Y194" s="23">
        <f>'Annual Raw'!Z27</f>
        <v>3682.33</v>
      </c>
      <c r="Z194" s="23">
        <f>'Annual Raw'!AA27</f>
        <v>4121.18</v>
      </c>
      <c r="AA194" s="23">
        <f>'Annual Raw'!AB27</f>
        <v>4364.75</v>
      </c>
      <c r="AB194" s="76">
        <f>+SUM(CM194:CP194)</f>
        <v>2196.6642080366996</v>
      </c>
      <c r="AC194" s="76">
        <f>+SUM(CQ194:CT194)</f>
        <v>2357.6369133592343</v>
      </c>
      <c r="AD194" s="76">
        <f>+SUM(CU194:CX194)</f>
        <v>2500.1448919875229</v>
      </c>
      <c r="AE194" s="76">
        <f>+SUM(CY194:DB194)</f>
        <v>2626.3061808347802</v>
      </c>
      <c r="AI194" s="23">
        <f>'QTR Raw'!C28</f>
        <v>191.94</v>
      </c>
      <c r="AJ194" s="23">
        <f>'QTR Raw'!D28</f>
        <v>203.96</v>
      </c>
      <c r="AK194" s="23">
        <f>'QTR Raw'!E28</f>
        <v>177.87</v>
      </c>
      <c r="AL194" s="23">
        <f>'QTR Raw'!F28</f>
        <v>196.85</v>
      </c>
      <c r="AM194" s="23">
        <f>'QTR Raw'!G28</f>
        <v>556.66</v>
      </c>
      <c r="AN194" s="23">
        <f>'QTR Raw'!H28</f>
        <v>587.29</v>
      </c>
      <c r="AO194" s="23">
        <f>'QTR Raw'!I28</f>
        <v>587.79</v>
      </c>
      <c r="AP194" s="23">
        <f>'QTR Raw'!J28</f>
        <v>-285.97000000000003</v>
      </c>
      <c r="AQ194" s="23">
        <f>'QTR Raw'!K28</f>
        <v>807.33</v>
      </c>
      <c r="AR194" s="23">
        <f>'QTR Raw'!L28</f>
        <v>548.57000000000005</v>
      </c>
      <c r="AS194" s="23">
        <f>'QTR Raw'!M28</f>
        <v>679.07</v>
      </c>
      <c r="AT194" s="23">
        <f>'QTR Raw'!N28</f>
        <v>588</v>
      </c>
      <c r="AU194" s="23">
        <f>'QTR Raw'!O28</f>
        <v>465.83</v>
      </c>
      <c r="AV194" s="23">
        <f>'QTR Raw'!P28</f>
        <v>528.54999999999995</v>
      </c>
      <c r="AW194" s="23">
        <f>'QTR Raw'!Q28</f>
        <v>367.97</v>
      </c>
      <c r="AX194" s="23">
        <f>'QTR Raw'!R28</f>
        <v>424.36</v>
      </c>
      <c r="AY194" s="23">
        <f>'QTR Raw'!S28</f>
        <v>464.78</v>
      </c>
      <c r="AZ194" s="23">
        <f>'QTR Raw'!T28</f>
        <v>460.15</v>
      </c>
      <c r="BA194" s="23">
        <f>'QTR Raw'!U28</f>
        <v>722.29</v>
      </c>
      <c r="BB194" s="23">
        <f>'QTR Raw'!V28</f>
        <v>722.7</v>
      </c>
      <c r="BC194" s="23">
        <f>'QTR Raw'!W28</f>
        <v>551.27</v>
      </c>
      <c r="BD194" s="23">
        <f>'QTR Raw'!X28</f>
        <v>430.59</v>
      </c>
      <c r="BE194" s="23">
        <f>'QTR Raw'!Y28</f>
        <v>454.49</v>
      </c>
      <c r="BF194" s="23">
        <f>'QTR Raw'!Z28</f>
        <v>492.39</v>
      </c>
      <c r="BG194" s="23">
        <f>'QTR Raw'!AA28</f>
        <v>604.72</v>
      </c>
      <c r="BH194" s="23">
        <f>'QTR Raw'!AB28</f>
        <v>477.6</v>
      </c>
      <c r="BI194" s="23">
        <f>'QTR Raw'!AC28</f>
        <v>405.28</v>
      </c>
      <c r="BJ194" s="23">
        <f>'QTR Raw'!AD28</f>
        <v>435.43</v>
      </c>
      <c r="BK194" s="23">
        <f>'QTR Raw'!AE28</f>
        <v>461.46</v>
      </c>
      <c r="BL194" s="23">
        <f>'QTR Raw'!AF28</f>
        <v>629.65</v>
      </c>
      <c r="BM194" s="23">
        <f>'QTR Raw'!AG28</f>
        <v>660.23</v>
      </c>
      <c r="BN194" s="23">
        <f>'QTR Raw'!AH28</f>
        <v>710.94</v>
      </c>
      <c r="BO194" s="23">
        <f>'QTR Raw'!AI28</f>
        <v>672.23</v>
      </c>
      <c r="BP194" s="23">
        <f>'QTR Raw'!AJ28</f>
        <v>713.12</v>
      </c>
      <c r="BQ194" s="23">
        <f>'QTR Raw'!AK28</f>
        <v>702.1</v>
      </c>
      <c r="BR194" s="23">
        <f>'QTR Raw'!AL28</f>
        <v>816.76</v>
      </c>
      <c r="BS194" s="23">
        <f>'QTR Raw'!AM28</f>
        <v>717.38</v>
      </c>
      <c r="BT194" s="23">
        <f>'QTR Raw'!AN28</f>
        <v>728.75</v>
      </c>
      <c r="BU194" s="23">
        <f>'QTR Raw'!AO28</f>
        <v>732.46</v>
      </c>
      <c r="BV194" s="23">
        <f>'QTR Raw'!AP28</f>
        <v>769.36</v>
      </c>
      <c r="BW194" s="23">
        <f>'QTR Raw'!AQ28</f>
        <v>963.4</v>
      </c>
      <c r="BX194" s="23">
        <f>'QTR Raw'!AR28</f>
        <v>860.17</v>
      </c>
      <c r="BY194" s="23">
        <f>'QTR Raw'!AS28</f>
        <v>825.18</v>
      </c>
      <c r="BZ194" s="23">
        <f>'QTR Raw'!AT28</f>
        <v>853.5</v>
      </c>
      <c r="CA194" s="23">
        <f>'QTR Raw'!AU28</f>
        <v>830.47</v>
      </c>
      <c r="CB194" s="23">
        <f>'QTR Raw'!AV28</f>
        <v>909.89</v>
      </c>
      <c r="CC194" s="23">
        <f>'QTR Raw'!AW28</f>
        <v>920.75</v>
      </c>
      <c r="CD194" s="23">
        <f>'QTR Raw'!AX28</f>
        <v>1021.2</v>
      </c>
      <c r="CE194" s="23">
        <f>'QTR Raw'!AY28</f>
        <v>997.92</v>
      </c>
      <c r="CF194" s="23">
        <f>'QTR Raw'!AZ28</f>
        <v>1023.84</v>
      </c>
      <c r="CG194" s="23">
        <f>'QTR Raw'!BA28</f>
        <v>1047</v>
      </c>
      <c r="CH194" s="23">
        <f>'QTR Raw'!BB28</f>
        <v>1052.42</v>
      </c>
      <c r="CI194" s="23">
        <f>'QTR Raw'!BC28</f>
        <v>1033.3</v>
      </c>
      <c r="CJ194" s="23">
        <f>'QTR Raw'!BD28</f>
        <v>1091.77</v>
      </c>
      <c r="CK194" s="23">
        <f>'QTR Raw'!BE28</f>
        <v>1071.74</v>
      </c>
      <c r="CL194" s="23">
        <f>'QTR Raw'!BF28</f>
        <v>1167.95</v>
      </c>
      <c r="CM194" s="24">
        <f t="shared" ref="CM194:DB194" si="1001">CM195*CL301</f>
        <v>532.97789999999998</v>
      </c>
      <c r="CN194" s="24">
        <f t="shared" si="1001"/>
        <v>543.98856299999989</v>
      </c>
      <c r="CO194" s="24">
        <f t="shared" si="1001"/>
        <v>554.66890610999997</v>
      </c>
      <c r="CP194" s="24">
        <f t="shared" si="1001"/>
        <v>565.0288389266999</v>
      </c>
      <c r="CQ194" s="24">
        <f t="shared" si="1001"/>
        <v>575.07797375889891</v>
      </c>
      <c r="CR194" s="24">
        <f t="shared" si="1001"/>
        <v>584.82563454613194</v>
      </c>
      <c r="CS194" s="24">
        <f t="shared" si="1001"/>
        <v>594.28086550974797</v>
      </c>
      <c r="CT194" s="24">
        <f t="shared" si="1001"/>
        <v>603.45243954445561</v>
      </c>
      <c r="CU194" s="24">
        <f t="shared" si="1001"/>
        <v>612.34886635812188</v>
      </c>
      <c r="CV194" s="24">
        <f t="shared" si="1001"/>
        <v>620.97840036737819</v>
      </c>
      <c r="CW194" s="24">
        <f t="shared" si="1001"/>
        <v>629.34904835635678</v>
      </c>
      <c r="CX194" s="24">
        <f t="shared" si="1001"/>
        <v>637.46857690566605</v>
      </c>
      <c r="CY194" s="24">
        <f t="shared" si="1001"/>
        <v>645.34451959849605</v>
      </c>
      <c r="CZ194" s="24">
        <f t="shared" si="1001"/>
        <v>652.98418401054107</v>
      </c>
      <c r="DA194" s="24">
        <f t="shared" si="1001"/>
        <v>660.39465849022486</v>
      </c>
      <c r="DB194" s="24">
        <f t="shared" si="1001"/>
        <v>667.58281873551812</v>
      </c>
      <c r="DE194" s="123"/>
      <c r="DF194" s="23">
        <v>4364.75</v>
      </c>
    </row>
    <row r="195" spans="1:110" s="46" customFormat="1" x14ac:dyDescent="0.2">
      <c r="A195" s="46" t="s">
        <v>483</v>
      </c>
      <c r="B195" s="46">
        <f t="shared" ref="B195:AE195" si="1002">+B194/B301</f>
        <v>6.8942968424899873E-2</v>
      </c>
      <c r="C195" s="46">
        <f t="shared" si="1002"/>
        <v>8.0849917267442062E-2</v>
      </c>
      <c r="D195" s="46">
        <f t="shared" si="1002"/>
        <v>7.9745240913484006E-2</v>
      </c>
      <c r="E195" s="46">
        <f t="shared" si="1002"/>
        <v>9.4421738852163734E-2</v>
      </c>
      <c r="F195" s="46">
        <f t="shared" si="1002"/>
        <v>9.7347487407217118E-2</v>
      </c>
      <c r="G195" s="46">
        <f t="shared" si="1002"/>
        <v>8.9564644915463051E-2</v>
      </c>
      <c r="H195" s="46">
        <f t="shared" si="1002"/>
        <v>8.5423550801821138E-2</v>
      </c>
      <c r="I195" s="46">
        <f t="shared" si="1002"/>
        <v>9.2922612493710852E-2</v>
      </c>
      <c r="J195" s="46">
        <f t="shared" si="1002"/>
        <v>7.8375920754574863E-2</v>
      </c>
      <c r="K195" s="46">
        <f t="shared" si="1002"/>
        <v>8.1124268442699349E-2</v>
      </c>
      <c r="L195" s="46">
        <f t="shared" si="1002"/>
        <v>8.922764048881443E-2</v>
      </c>
      <c r="M195" s="46">
        <f t="shared" si="1002"/>
        <v>8.5438584445137661E-2</v>
      </c>
      <c r="N195" s="46">
        <f t="shared" si="1002"/>
        <v>5.7596543088604804E-2</v>
      </c>
      <c r="O195" s="46">
        <f t="shared" si="1002"/>
        <v>4.7521132445329108E-2</v>
      </c>
      <c r="P195" s="46">
        <f t="shared" si="1002"/>
        <v>8.0272632233549773E-2</v>
      </c>
      <c r="Q195" s="46">
        <f t="shared" si="1002"/>
        <v>0.14121423072849734</v>
      </c>
      <c r="R195" s="46">
        <f t="shared" si="1002"/>
        <v>0.20419165288116903</v>
      </c>
      <c r="S195" s="46">
        <f t="shared" si="1002"/>
        <v>0.15335605769666552</v>
      </c>
      <c r="T195" s="46">
        <f t="shared" si="1002"/>
        <v>0.12816355093471959</v>
      </c>
      <c r="U195" s="46">
        <f t="shared" si="1002"/>
        <v>8.4599931214260696E-2</v>
      </c>
      <c r="V195" s="46">
        <f t="shared" si="1002"/>
        <v>9.636391870180909E-2</v>
      </c>
      <c r="W195" s="46">
        <f t="shared" si="1002"/>
        <v>0.10099662196885086</v>
      </c>
      <c r="X195" s="46">
        <f t="shared" si="1002"/>
        <v>0.11795797062106401</v>
      </c>
      <c r="Y195" s="46">
        <f t="shared" si="1002"/>
        <v>0.11696538554142621</v>
      </c>
      <c r="Z195" s="46">
        <f t="shared" si="1002"/>
        <v>0.12617744654455454</v>
      </c>
      <c r="AA195" s="46">
        <f t="shared" ref="AA195" si="1003">+AA194/AA301</f>
        <v>0.21693372829295937</v>
      </c>
      <c r="AB195" s="110">
        <f t="shared" si="1002"/>
        <v>0.11459302781213715</v>
      </c>
      <c r="AC195" s="110">
        <f t="shared" si="1002"/>
        <v>0.11550459433595538</v>
      </c>
      <c r="AD195" s="110">
        <f t="shared" si="1002"/>
        <v>0.11622372931328211</v>
      </c>
      <c r="AE195" s="110">
        <f t="shared" si="1002"/>
        <v>0.11680166390142849</v>
      </c>
      <c r="AI195" s="46" t="e">
        <f t="shared" ref="AI195:BN195" si="1004">+AI194/AH301</f>
        <v>#DIV/0!</v>
      </c>
      <c r="AJ195" s="46" t="e">
        <f t="shared" si="1004"/>
        <v>#DIV/0!</v>
      </c>
      <c r="AK195" s="46">
        <f t="shared" si="1004"/>
        <v>2.0353494205313169E-2</v>
      </c>
      <c r="AL195" s="46">
        <f t="shared" si="1004"/>
        <v>2.2525357476336071E-2</v>
      </c>
      <c r="AM195" s="46">
        <f t="shared" si="1004"/>
        <v>1.4049978306405428E-2</v>
      </c>
      <c r="AN195" s="46">
        <f t="shared" si="1004"/>
        <v>1.4823072898302094E-2</v>
      </c>
      <c r="AO195" s="46">
        <f t="shared" si="1004"/>
        <v>1.406005453327264E-2</v>
      </c>
      <c r="AP195" s="46">
        <f t="shared" si="1004"/>
        <v>-6.8404596792731717E-3</v>
      </c>
      <c r="AQ195" s="46">
        <f t="shared" si="1004"/>
        <v>1.816681934508721E-2</v>
      </c>
      <c r="AR195" s="46">
        <f t="shared" si="1004"/>
        <v>1.2344112182297811E-2</v>
      </c>
      <c r="AS195" s="46">
        <f t="shared" si="1004"/>
        <v>1.5199468543476967E-2</v>
      </c>
      <c r="AT195" s="46">
        <f t="shared" si="1004"/>
        <v>1.3161069556252604E-2</v>
      </c>
      <c r="AU195" s="46">
        <f t="shared" si="1004"/>
        <v>9.8036780997663095E-3</v>
      </c>
      <c r="AV195" s="46">
        <f t="shared" si="1004"/>
        <v>1.1123658973512833E-2</v>
      </c>
      <c r="AW195" s="46">
        <f t="shared" si="1004"/>
        <v>6.2627733549008155E-3</v>
      </c>
      <c r="AX195" s="46">
        <f t="shared" si="1004"/>
        <v>7.2225195012792075E-3</v>
      </c>
      <c r="AY195" s="46">
        <f t="shared" si="1004"/>
        <v>2.121056959766637E-2</v>
      </c>
      <c r="AZ195" s="46">
        <f t="shared" si="1004"/>
        <v>2.0999276217492535E-2</v>
      </c>
      <c r="BA195" s="46">
        <f t="shared" si="1004"/>
        <v>3.1560232245976587E-2</v>
      </c>
      <c r="BB195" s="46">
        <f t="shared" si="1004"/>
        <v>3.1578147065814681E-2</v>
      </c>
      <c r="BC195" s="46">
        <f t="shared" si="1004"/>
        <v>2.394908077965386E-2</v>
      </c>
      <c r="BD195" s="46">
        <f t="shared" si="1004"/>
        <v>1.870632302303981E-2</v>
      </c>
      <c r="BE195" s="46">
        <f t="shared" si="1004"/>
        <v>1.8933091606519625E-2</v>
      </c>
      <c r="BF195" s="46">
        <f t="shared" si="1004"/>
        <v>2.0511925402394326E-2</v>
      </c>
      <c r="BG195" s="46">
        <f t="shared" si="1004"/>
        <v>2.5225139542925747E-2</v>
      </c>
      <c r="BH195" s="46">
        <f t="shared" si="1004"/>
        <v>1.9922487507774402E-2</v>
      </c>
      <c r="BI195" s="46">
        <f t="shared" si="1004"/>
        <v>1.6336198053022506E-2</v>
      </c>
      <c r="BJ195" s="46">
        <f t="shared" si="1004"/>
        <v>1.7551497034710793E-2</v>
      </c>
      <c r="BK195" s="46">
        <f t="shared" si="1004"/>
        <v>1.7381838453541455E-2</v>
      </c>
      <c r="BL195" s="46">
        <f t="shared" si="1004"/>
        <v>2.3717060161817658E-2</v>
      </c>
      <c r="BM195" s="46">
        <f t="shared" si="1004"/>
        <v>2.2254566242752512E-2</v>
      </c>
      <c r="BN195" s="46">
        <f t="shared" si="1004"/>
        <v>2.3963863085019573E-2</v>
      </c>
      <c r="BO195" s="46">
        <f t="shared" ref="BO195:CL195" si="1005">+BO194/BN301</f>
        <v>2.2567936629967152E-2</v>
      </c>
      <c r="BP195" s="46">
        <f t="shared" si="1005"/>
        <v>2.394068543439325E-2</v>
      </c>
      <c r="BQ195" s="46">
        <f t="shared" si="1005"/>
        <v>2.3966301761716043E-2</v>
      </c>
      <c r="BR195" s="46">
        <f t="shared" si="1005"/>
        <v>2.7880240175045146E-2</v>
      </c>
      <c r="BS195" s="46">
        <f t="shared" si="1005"/>
        <v>2.337041842815709E-2</v>
      </c>
      <c r="BT195" s="46">
        <f t="shared" si="1005"/>
        <v>2.3740824151104685E-2</v>
      </c>
      <c r="BU195" s="46">
        <f t="shared" si="1005"/>
        <v>2.5003883067606342E-2</v>
      </c>
      <c r="BV195" s="46">
        <f t="shared" si="1005"/>
        <v>2.6263533130674189E-2</v>
      </c>
      <c r="BW195" s="46">
        <f t="shared" si="1005"/>
        <v>3.278367200266244E-2</v>
      </c>
      <c r="BX195" s="46">
        <f t="shared" si="1005"/>
        <v>2.9270844038333139E-2</v>
      </c>
      <c r="BY195" s="46">
        <f t="shared" si="1005"/>
        <v>2.8231222463456239E-2</v>
      </c>
      <c r="BZ195" s="46">
        <f t="shared" si="1005"/>
        <v>2.9200111942315494E-2</v>
      </c>
      <c r="CA195" s="46">
        <f t="shared" si="1005"/>
        <v>2.8189040736926498E-2</v>
      </c>
      <c r="CB195" s="46">
        <f t="shared" si="1005"/>
        <v>3.0884831813457501E-2</v>
      </c>
      <c r="CC195" s="46">
        <f t="shared" si="1005"/>
        <v>3.0296220203095723E-2</v>
      </c>
      <c r="CD195" s="46">
        <f t="shared" si="1005"/>
        <v>3.3601411970025911E-2</v>
      </c>
      <c r="CE195" s="46">
        <f t="shared" si="1005"/>
        <v>3.2368335780614613E-2</v>
      </c>
      <c r="CF195" s="46">
        <f t="shared" si="1005"/>
        <v>3.3209071774916291E-2</v>
      </c>
      <c r="CG195" s="46">
        <f t="shared" si="1005"/>
        <v>3.3878868322837465E-2</v>
      </c>
      <c r="CH195" s="46">
        <f t="shared" si="1005"/>
        <v>3.4054248901929901E-2</v>
      </c>
      <c r="CI195" s="46">
        <f t="shared" si="1005"/>
        <v>3.163636519503836E-2</v>
      </c>
      <c r="CJ195" s="46">
        <f t="shared" si="1005"/>
        <v>3.4518573134086745E-2</v>
      </c>
      <c r="CK195" s="46">
        <f t="shared" si="1005"/>
        <v>3.3928578212315263E-2</v>
      </c>
      <c r="CL195" s="46">
        <f t="shared" si="1005"/>
        <v>3.8147880317660025E-2</v>
      </c>
      <c r="CM195" s="47">
        <v>0.03</v>
      </c>
      <c r="CN195" s="47">
        <f t="shared" ref="CN195" si="1006">CM195</f>
        <v>0.03</v>
      </c>
      <c r="CO195" s="47">
        <f t="shared" ref="CO195" si="1007">CN195</f>
        <v>0.03</v>
      </c>
      <c r="CP195" s="47">
        <f t="shared" ref="CP195" si="1008">CO195</f>
        <v>0.03</v>
      </c>
      <c r="CQ195" s="47">
        <f t="shared" ref="CQ195" si="1009">CP195</f>
        <v>0.03</v>
      </c>
      <c r="CR195" s="47">
        <f t="shared" ref="CR195" si="1010">CQ195</f>
        <v>0.03</v>
      </c>
      <c r="CS195" s="47">
        <f t="shared" ref="CS195" si="1011">CR195</f>
        <v>0.03</v>
      </c>
      <c r="CT195" s="47">
        <f t="shared" ref="CT195" si="1012">CS195</f>
        <v>0.03</v>
      </c>
      <c r="CU195" s="47">
        <f t="shared" ref="CU195" si="1013">CT195</f>
        <v>0.03</v>
      </c>
      <c r="CV195" s="47">
        <f t="shared" ref="CV195" si="1014">CU195</f>
        <v>0.03</v>
      </c>
      <c r="CW195" s="47">
        <f t="shared" ref="CW195" si="1015">CV195</f>
        <v>0.03</v>
      </c>
      <c r="CX195" s="47">
        <f t="shared" ref="CX195" si="1016">CW195</f>
        <v>0.03</v>
      </c>
      <c r="CY195" s="47">
        <f t="shared" ref="CY195" si="1017">CX195</f>
        <v>0.03</v>
      </c>
      <c r="CZ195" s="47">
        <f t="shared" ref="CZ195" si="1018">CY195</f>
        <v>0.03</v>
      </c>
      <c r="DA195" s="47">
        <f t="shared" ref="DA195" si="1019">CZ195</f>
        <v>0.03</v>
      </c>
      <c r="DB195" s="47">
        <f t="shared" ref="DB195" si="1020">DA195</f>
        <v>0.03</v>
      </c>
      <c r="DE195" s="130"/>
      <c r="DF195" s="46">
        <v>0.21693372829295937</v>
      </c>
    </row>
    <row r="196" spans="1:110" s="26" customFormat="1" x14ac:dyDescent="0.2">
      <c r="A196" s="34" t="s">
        <v>16</v>
      </c>
      <c r="B196" s="26">
        <f>B190-B194</f>
        <v>519.16000000000088</v>
      </c>
      <c r="C196" s="26">
        <f t="shared" ref="C196:T196" si="1021">C190-C194</f>
        <v>685.17000000000041</v>
      </c>
      <c r="D196" s="26">
        <f>D190-D194</f>
        <v>559.99000000000035</v>
      </c>
      <c r="E196" s="26">
        <f t="shared" si="1021"/>
        <v>768.88000000000011</v>
      </c>
      <c r="F196" s="26">
        <f t="shared" si="1021"/>
        <v>1034.8999999999985</v>
      </c>
      <c r="G196" s="26">
        <f t="shared" si="1021"/>
        <v>1424.9599999999959</v>
      </c>
      <c r="H196" s="26">
        <f t="shared" si="1021"/>
        <v>2411.5900000000006</v>
      </c>
      <c r="I196" s="26">
        <f t="shared" si="1021"/>
        <v>3559.9500000000025</v>
      </c>
      <c r="J196" s="26">
        <f t="shared" si="1021"/>
        <v>4942.0899999999929</v>
      </c>
      <c r="K196" s="26">
        <f t="shared" si="1021"/>
        <v>6111.2999999999993</v>
      </c>
      <c r="L196" s="26">
        <f t="shared" si="1021"/>
        <v>7343.2500000000009</v>
      </c>
      <c r="M196" s="26">
        <f t="shared" si="1021"/>
        <v>8957.5900000000038</v>
      </c>
      <c r="N196" s="26">
        <f t="shared" si="1021"/>
        <v>10626.659999999996</v>
      </c>
      <c r="O196" s="26">
        <f t="shared" si="1021"/>
        <v>12416.79</v>
      </c>
      <c r="P196" s="26">
        <f t="shared" si="1021"/>
        <v>12767.389999999989</v>
      </c>
      <c r="Q196" s="26">
        <f t="shared" si="1021"/>
        <v>13636.580000000013</v>
      </c>
      <c r="R196" s="26">
        <f t="shared" si="1021"/>
        <v>14063.170000000006</v>
      </c>
      <c r="S196" s="26">
        <f t="shared" si="1021"/>
        <v>15212.28000000001</v>
      </c>
      <c r="T196" s="26">
        <f t="shared" si="1021"/>
        <v>20595.559999999969</v>
      </c>
      <c r="U196" s="26">
        <f t="shared" ref="U196:Z196" si="1022">U190-U194</f>
        <v>21738.84999999998</v>
      </c>
      <c r="V196" s="26">
        <f t="shared" si="1022"/>
        <v>20226.859999999993</v>
      </c>
      <c r="W196" s="26">
        <f t="shared" si="1022"/>
        <v>20916.850000000031</v>
      </c>
      <c r="X196" s="26">
        <f t="shared" si="1022"/>
        <v>22766.73000000001</v>
      </c>
      <c r="Y196" s="26">
        <f t="shared" si="1022"/>
        <v>25493.390000000029</v>
      </c>
      <c r="Z196" s="26">
        <f t="shared" si="1022"/>
        <v>28615.79</v>
      </c>
      <c r="AA196" s="26">
        <f t="shared" ref="AA196" si="1023">AA190-AA194</f>
        <v>33034.709999999934</v>
      </c>
      <c r="AB196" s="27">
        <f t="shared" ref="AB196:AD196" si="1024">AB190-AB194</f>
        <v>35728.524856149714</v>
      </c>
      <c r="AC196" s="27">
        <f t="shared" si="1024"/>
        <v>41074.820326717847</v>
      </c>
      <c r="AD196" s="27">
        <f t="shared" si="1024"/>
        <v>47493.923383716639</v>
      </c>
      <c r="AE196" s="27">
        <f t="shared" ref="AE196" si="1025">AE190-AE194</f>
        <v>54993.295444695039</v>
      </c>
      <c r="AI196" s="26">
        <f t="shared" ref="AI196" si="1026">AI190-AI194</f>
        <v>892.77000000000089</v>
      </c>
      <c r="AJ196" s="26">
        <f t="shared" ref="AJ196" si="1027">AJ190-AJ194</f>
        <v>1199.670000000001</v>
      </c>
      <c r="AK196" s="26">
        <f t="shared" ref="AK196:AM196" si="1028">AK190-AK194</f>
        <v>1080.3800000000001</v>
      </c>
      <c r="AL196" s="26">
        <f t="shared" si="1028"/>
        <v>1932.3899999999981</v>
      </c>
      <c r="AM196" s="26">
        <f t="shared" si="1028"/>
        <v>1316.1800000000021</v>
      </c>
      <c r="AN196" s="26">
        <f t="shared" ref="AN196:AO196" si="1029">AN190-AN194</f>
        <v>1916.0600000000004</v>
      </c>
      <c r="AO196" s="26">
        <f t="shared" si="1029"/>
        <v>2045.2400000000061</v>
      </c>
      <c r="AP196" s="26">
        <f t="shared" ref="AP196:CD196" si="1030">AP190-AP194</f>
        <v>4024.6899999999978</v>
      </c>
      <c r="AQ196" s="26">
        <f t="shared" si="1030"/>
        <v>1703.6800000000021</v>
      </c>
      <c r="AR196" s="26">
        <f t="shared" si="1030"/>
        <v>1785.7000000000003</v>
      </c>
      <c r="AS196" s="26">
        <f t="shared" si="1030"/>
        <v>2206.7399999999975</v>
      </c>
      <c r="AT196" s="26">
        <f t="shared" si="1030"/>
        <v>3007.3199999999961</v>
      </c>
      <c r="AU196" s="26">
        <f t="shared" si="1030"/>
        <v>2366.3100000000031</v>
      </c>
      <c r="AV196" s="26">
        <f t="shared" si="1030"/>
        <v>3177.4699999999984</v>
      </c>
      <c r="AW196" s="26">
        <f t="shared" si="1030"/>
        <v>2970.4100000000008</v>
      </c>
      <c r="AX196" s="26">
        <f t="shared" si="1030"/>
        <v>5411.7200000000057</v>
      </c>
      <c r="AY196" s="26">
        <f t="shared" si="1030"/>
        <v>2758.5199999999977</v>
      </c>
      <c r="AZ196" s="26">
        <f t="shared" si="1030"/>
        <v>3209.9600000000005</v>
      </c>
      <c r="BA196" s="26">
        <f t="shared" si="1030"/>
        <v>3115.3400000000011</v>
      </c>
      <c r="BB196" s="26">
        <f t="shared" si="1030"/>
        <v>5000.0399999999981</v>
      </c>
      <c r="BC196" s="26">
        <f t="shared" si="1030"/>
        <v>2918.0100000000025</v>
      </c>
      <c r="BD196" s="26">
        <f t="shared" si="1030"/>
        <v>4051.9599999999991</v>
      </c>
      <c r="BE196" s="26">
        <f t="shared" si="1030"/>
        <v>4215.3700000000008</v>
      </c>
      <c r="BF196" s="26">
        <f t="shared" si="1030"/>
        <v>6496.8300000000008</v>
      </c>
      <c r="BG196" s="26">
        <f t="shared" si="1030"/>
        <v>3808.0099999999957</v>
      </c>
      <c r="BH196" s="26">
        <f t="shared" si="1030"/>
        <v>4851.5500000000011</v>
      </c>
      <c r="BI196" s="26">
        <f t="shared" si="1030"/>
        <v>5322.31</v>
      </c>
      <c r="BJ196" s="26">
        <f t="shared" si="1030"/>
        <v>6810.3600000000042</v>
      </c>
      <c r="BK196" s="26">
        <f t="shared" si="1030"/>
        <v>4685.5100000000011</v>
      </c>
      <c r="BL196" s="26">
        <f t="shared" si="1030"/>
        <v>5415.4899999999961</v>
      </c>
      <c r="BM196" s="26">
        <f t="shared" si="1030"/>
        <v>5461.8400000000038</v>
      </c>
      <c r="BN196" s="26">
        <f t="shared" si="1030"/>
        <v>6345.7299999999977</v>
      </c>
      <c r="BO196" s="26">
        <f t="shared" si="1030"/>
        <v>3052.1300000000024</v>
      </c>
      <c r="BP196" s="26">
        <f t="shared" si="1030"/>
        <v>4606.3900000000021</v>
      </c>
      <c r="BQ196" s="26">
        <f t="shared" si="1030"/>
        <v>5363.7399999999961</v>
      </c>
      <c r="BR196" s="26">
        <f t="shared" si="1030"/>
        <v>7388.6699999999928</v>
      </c>
      <c r="BS196" s="26">
        <f t="shared" si="1030"/>
        <v>4019.8999999999987</v>
      </c>
      <c r="BT196" s="26">
        <f t="shared" si="1030"/>
        <v>4757.5199999999968</v>
      </c>
      <c r="BU196" s="26">
        <f t="shared" si="1030"/>
        <v>5249.8500000000013</v>
      </c>
      <c r="BV196" s="26">
        <f t="shared" si="1030"/>
        <v>7189.1499999999951</v>
      </c>
      <c r="BW196" s="26">
        <f t="shared" si="1030"/>
        <v>4446.4199999999964</v>
      </c>
      <c r="BX196" s="26">
        <f t="shared" si="1030"/>
        <v>5501.9899999999961</v>
      </c>
      <c r="BY196" s="26">
        <f t="shared" si="1030"/>
        <v>5828.2900000000081</v>
      </c>
      <c r="BZ196" s="26">
        <f t="shared" si="1030"/>
        <v>7500.739999999998</v>
      </c>
      <c r="CA196" s="26">
        <f t="shared" si="1030"/>
        <v>5485.8899999999931</v>
      </c>
      <c r="CB196" s="26">
        <f t="shared" si="1030"/>
        <v>6130.5800000000008</v>
      </c>
      <c r="CC196" s="26">
        <f t="shared" si="1030"/>
        <v>6277.8999999999942</v>
      </c>
      <c r="CD196" s="26">
        <f t="shared" si="1030"/>
        <v>7631.8400000000011</v>
      </c>
      <c r="CE196" s="26">
        <f t="shared" ref="CE196:CF196" si="1031">CE190-CE194</f>
        <v>6047.9000000000069</v>
      </c>
      <c r="CF196" s="26">
        <f t="shared" si="1031"/>
        <v>6893.2100000000028</v>
      </c>
      <c r="CG196" s="26">
        <f t="shared" ref="CG196:CH196" si="1032">CG190-CG194</f>
        <v>6851.1599999999962</v>
      </c>
      <c r="CH196" s="26">
        <f t="shared" si="1032"/>
        <v>8823.5200000000023</v>
      </c>
      <c r="CI196" s="26">
        <f t="shared" ref="CI196:CJ196" si="1033">CI190-CI194</f>
        <v>6990.7099999999946</v>
      </c>
      <c r="CJ196" s="26">
        <f t="shared" si="1033"/>
        <v>7421.4699999999975</v>
      </c>
      <c r="CK196" s="26">
        <f t="shared" ref="CK196:CL196" si="1034">CK190-CK194</f>
        <v>8118.4699999999993</v>
      </c>
      <c r="CL196" s="26">
        <f t="shared" si="1034"/>
        <v>9251.0699999999961</v>
      </c>
      <c r="CM196" s="27">
        <f t="shared" ref="CM196:DB196" si="1035">CM190-CM194</f>
        <v>8125.5968972623577</v>
      </c>
      <c r="CN196" s="27">
        <f t="shared" si="1035"/>
        <v>8539.4475522926004</v>
      </c>
      <c r="CO196" s="27">
        <f t="shared" si="1035"/>
        <v>8900.145300649292</v>
      </c>
      <c r="CP196" s="27">
        <f t="shared" si="1035"/>
        <v>10163.335105945465</v>
      </c>
      <c r="CQ196" s="27">
        <f t="shared" si="1035"/>
        <v>9109.275573208999</v>
      </c>
      <c r="CR196" s="27">
        <f t="shared" si="1035"/>
        <v>9669.3964931219471</v>
      </c>
      <c r="CS196" s="27">
        <f t="shared" si="1035"/>
        <v>10239.330816814325</v>
      </c>
      <c r="CT196" s="27">
        <f t="shared" si="1035"/>
        <v>12056.817443572529</v>
      </c>
      <c r="CU196" s="27">
        <f t="shared" si="1035"/>
        <v>10454.74057456192</v>
      </c>
      <c r="CV196" s="27">
        <f t="shared" si="1035"/>
        <v>11161.797211360514</v>
      </c>
      <c r="CW196" s="27">
        <f t="shared" si="1035"/>
        <v>11875.152452363089</v>
      </c>
      <c r="CX196" s="27">
        <f t="shared" si="1035"/>
        <v>14002.233145431121</v>
      </c>
      <c r="CY196" s="27">
        <f t="shared" si="1035"/>
        <v>12088.224697173107</v>
      </c>
      <c r="CZ196" s="27">
        <f t="shared" si="1035"/>
        <v>12927.244013609796</v>
      </c>
      <c r="DA196" s="27">
        <f t="shared" si="1035"/>
        <v>13762.590480561665</v>
      </c>
      <c r="DB196" s="27">
        <f t="shared" si="1035"/>
        <v>16215.236253350482</v>
      </c>
      <c r="DE196" s="121"/>
      <c r="DF196" s="26">
        <v>33034.709999999934</v>
      </c>
    </row>
    <row r="197" spans="1:110" s="23" customFormat="1" x14ac:dyDescent="0.2">
      <c r="A197" s="23" t="s">
        <v>17</v>
      </c>
      <c r="B197" s="23">
        <f>'Annual Raw'!C23</f>
        <v>312.58</v>
      </c>
      <c r="C197" s="23">
        <f>(((('Annual Raw'!D23)-0)-0)-0)-0</f>
        <v>263.72000000000003</v>
      </c>
      <c r="D197" s="23">
        <f>(((('Annual Raw'!E23)-0)-0)-0)-0</f>
        <v>321.07</v>
      </c>
      <c r="E197" s="23">
        <f>(((('Annual Raw'!F23)-0)-0)-0)-0</f>
        <v>362.64</v>
      </c>
      <c r="F197" s="23">
        <f>(((('Annual Raw'!G23)-0)-0)-0)-0</f>
        <v>578.14</v>
      </c>
      <c r="G197" s="23">
        <f>(((('Annual Raw'!H23)-0)-0)-0)-0</f>
        <v>515.63</v>
      </c>
      <c r="H197" s="23">
        <f>(((('Annual Raw'!I23)-0)-0)-0)-0</f>
        <v>893.72</v>
      </c>
      <c r="I197" s="23">
        <f>(((('Annual Raw'!J23)-0)-0)-0)-0</f>
        <v>425.15</v>
      </c>
      <c r="J197" s="23">
        <f>(((('Annual Raw'!K23)-83.57)-0)-0)-0</f>
        <v>584.02</v>
      </c>
      <c r="K197" s="23">
        <f>(((('Annual Raw'!L23)-29.8)-0)-0)-0</f>
        <v>2593.62</v>
      </c>
      <c r="L197" s="23">
        <f>(((('Annual Raw'!M23)-108.73)-0)-0)-0</f>
        <v>968.78</v>
      </c>
      <c r="M197" s="23">
        <f>(((('Annual Raw'!N23)-50.38)-0)-4.7)-0</f>
        <v>828.96999999999991</v>
      </c>
      <c r="N197" s="23">
        <f>(((('Annual Raw'!O23)-192.2)-0)-9.85)-0</f>
        <v>1055.68</v>
      </c>
      <c r="O197" s="23">
        <f>(((('Annual Raw'!P23)-57.96)-0)-0)-0</f>
        <v>982.5</v>
      </c>
      <c r="P197" s="23">
        <f>(((('Annual Raw'!Q23)-28.12)-0)-0)-0</f>
        <v>1074.74</v>
      </c>
      <c r="Q197" s="23">
        <f>(((('Annual Raw'!R23)-15.55)-0)-0)-0</f>
        <v>904.35</v>
      </c>
      <c r="R197" s="23">
        <f>(((('Annual Raw'!S23)-91.15)-0)-0)-0</f>
        <v>1401</v>
      </c>
      <c r="S197" s="23">
        <f>(((('Annual Raw'!T23)-2.28)-709.36)-0)-245.82</f>
        <v>3849.0699999999997</v>
      </c>
      <c r="T197" s="23">
        <f>(((('Annual Raw'!U23)-0)-1653.15)-0)-235.08</f>
        <v>2020.42</v>
      </c>
      <c r="U197" s="23">
        <f>(((('Annual Raw'!V23)-103.28)-1885.56)-0)-438.96</f>
        <v>2517.9299999999998</v>
      </c>
      <c r="V197" s="23">
        <f>(((('Annual Raw'!W23)-0)-2481.66)-0)-37.31</f>
        <v>3609.15</v>
      </c>
      <c r="W197" s="23">
        <f>(((('Annual Raw'!X23)-18.31)-3733.86)-0)-666</f>
        <v>2553.6199999999994</v>
      </c>
      <c r="X197" s="23">
        <f>(((('Annual Raw'!Y23)-125.9)-1706)-509.54)-550.08</f>
        <v>3439.5200000000004</v>
      </c>
      <c r="Y197" s="23">
        <f>(((('Annual Raw'!Z23)-0)-1567.9)-675.2)-145.2</f>
        <v>4190.8600000000006</v>
      </c>
      <c r="Z197" s="23">
        <f>(((('Annual Raw'!AA23)-89.11)-2759.9)-1934.73)-124.15</f>
        <v>4124.82</v>
      </c>
      <c r="AA197" s="23">
        <f>(((('Annual Raw'!AB23)-89.11)-2759.9)-1934.73)-124.15</f>
        <v>4657.57</v>
      </c>
      <c r="AB197" s="76">
        <f t="shared" ref="AB197:AB198" si="1036">+SUM(CM197:CP197)</f>
        <v>0</v>
      </c>
      <c r="AC197" s="76">
        <f t="shared" ref="AC197:AC198" si="1037">+SUM(CQ197:CT197)</f>
        <v>0</v>
      </c>
      <c r="AD197" s="76">
        <f t="shared" ref="AD197:AD198" si="1038">+SUM(CU197:CX197)</f>
        <v>0</v>
      </c>
      <c r="AE197" s="76">
        <f t="shared" ref="AE197:AE198" si="1039">+SUM(CY197:DB197)</f>
        <v>0</v>
      </c>
      <c r="AI197" s="23">
        <f>'QTR Raw'!C23</f>
        <v>608.12</v>
      </c>
      <c r="AJ197" s="23">
        <f>'QTR Raw'!D23</f>
        <v>331.14</v>
      </c>
      <c r="AK197" s="23">
        <f>'QTR Raw'!E23</f>
        <v>559.52</v>
      </c>
      <c r="AL197" s="23">
        <f>'QTR Raw'!F23</f>
        <v>389.48</v>
      </c>
      <c r="AM197" s="23">
        <f>'QTR Raw'!G23</f>
        <v>263.52999999999997</v>
      </c>
      <c r="AN197" s="23">
        <f>'QTR Raw'!H23</f>
        <v>253.01</v>
      </c>
      <c r="AO197" s="23">
        <f>'QTR Raw'!I23</f>
        <v>195.92</v>
      </c>
      <c r="AP197" s="23">
        <f>'QTR Raw'!J23</f>
        <v>269.27999999999997</v>
      </c>
      <c r="AQ197" s="23">
        <f>'QTR Raw'!K23</f>
        <v>277.04000000000002</v>
      </c>
      <c r="AR197" s="23">
        <f>'QTR Raw'!L23</f>
        <v>214.54</v>
      </c>
      <c r="AS197" s="23">
        <f>'QTR Raw'!M23</f>
        <v>236.73</v>
      </c>
      <c r="AT197" s="23">
        <f>'QTR Raw'!N23</f>
        <v>289.58999999999997</v>
      </c>
      <c r="AU197" s="23">
        <f>'QTR Raw'!O23</f>
        <v>283.27</v>
      </c>
      <c r="AV197" s="23">
        <f>'QTR Raw'!P23</f>
        <v>321.66000000000003</v>
      </c>
      <c r="AW197" s="23">
        <f>'QTR Raw'!Q23</f>
        <v>241.03</v>
      </c>
      <c r="AX197" s="23">
        <f>'QTR Raw'!R23</f>
        <v>145.03</v>
      </c>
      <c r="AY197" s="23">
        <f>'QTR Raw'!S23</f>
        <v>305.79000000000002</v>
      </c>
      <c r="AZ197" s="23">
        <f>'QTR Raw'!T23</f>
        <v>451.81</v>
      </c>
      <c r="BA197" s="23">
        <f>'QTR Raw'!U23</f>
        <v>274.27999999999997</v>
      </c>
      <c r="BB197" s="23">
        <f>'QTR Raw'!V23</f>
        <v>351.31</v>
      </c>
      <c r="BC197" s="23">
        <f>'QTR Raw'!W23</f>
        <v>365.73</v>
      </c>
      <c r="BD197" s="23">
        <f>'QTR Raw'!X23</f>
        <v>399.65</v>
      </c>
      <c r="BE197" s="23">
        <f>'QTR Raw'!Y23</f>
        <v>213.94</v>
      </c>
      <c r="BF197" s="23">
        <f>'QTR Raw'!Z23</f>
        <v>412.94</v>
      </c>
      <c r="BG197" s="23">
        <f>'QTR Raw'!AA23</f>
        <v>227.99</v>
      </c>
      <c r="BH197" s="23">
        <f>'QTR Raw'!AB23</f>
        <v>408.46</v>
      </c>
      <c r="BI197" s="23">
        <f>'QTR Raw'!AC23</f>
        <v>589.12</v>
      </c>
      <c r="BJ197" s="23">
        <f>'QTR Raw'!AD23</f>
        <v>610.97</v>
      </c>
      <c r="BK197" s="23">
        <f>'QTR Raw'!AE23</f>
        <v>634.99</v>
      </c>
      <c r="BL197" s="23">
        <f>'QTR Raw'!AF23</f>
        <v>596.44000000000005</v>
      </c>
      <c r="BM197" s="23">
        <f>'QTR Raw'!AG23</f>
        <v>469.01</v>
      </c>
      <c r="BN197" s="23">
        <f>'QTR Raw'!AH23</f>
        <v>660.48</v>
      </c>
      <c r="BO197" s="23">
        <f>'QTR Raw'!AI23</f>
        <v>777.4</v>
      </c>
      <c r="BP197" s="23">
        <f>'QTR Raw'!AJ23</f>
        <v>559.03</v>
      </c>
      <c r="BQ197" s="23">
        <f>'QTR Raw'!AK23</f>
        <v>1064.6600000000001</v>
      </c>
      <c r="BR197" s="23">
        <f>'QTR Raw'!AL23</f>
        <v>1028.26</v>
      </c>
      <c r="BS197" s="23">
        <f>'QTR Raw'!AM23</f>
        <v>647.97</v>
      </c>
      <c r="BT197" s="23">
        <f>'QTR Raw'!AN23</f>
        <v>532.14</v>
      </c>
      <c r="BU197" s="23">
        <f>'QTR Raw'!AO23</f>
        <v>571.39</v>
      </c>
      <c r="BV197" s="23">
        <f>'QTR Raw'!AP23</f>
        <v>515.59</v>
      </c>
      <c r="BW197" s="23">
        <f>'QTR Raw'!AQ23</f>
        <v>694.72</v>
      </c>
      <c r="BX197" s="23">
        <f>'QTR Raw'!AR23</f>
        <v>738.53</v>
      </c>
      <c r="BY197" s="23">
        <f>'QTR Raw'!AS23</f>
        <v>755.03</v>
      </c>
      <c r="BZ197" s="23">
        <f>'QTR Raw'!AT23</f>
        <v>740.91</v>
      </c>
      <c r="CA197" s="23">
        <f>'QTR Raw'!AU23</f>
        <v>1145.56</v>
      </c>
      <c r="CB197" s="23">
        <f>'QTR Raw'!AV23</f>
        <v>1132.98</v>
      </c>
      <c r="CC197" s="23">
        <f>'QTR Raw'!AW23</f>
        <v>837.75</v>
      </c>
      <c r="CD197" s="23">
        <f>'QTR Raw'!AX23</f>
        <v>1041.74</v>
      </c>
      <c r="CE197" s="23">
        <f>'QTR Raw'!AY23</f>
        <v>920.64</v>
      </c>
      <c r="CF197" s="23">
        <f>'QTR Raw'!AZ23</f>
        <v>1101.27</v>
      </c>
      <c r="CG197" s="23">
        <f>'QTR Raw'!BA23</f>
        <v>967.87</v>
      </c>
      <c r="CH197" s="23">
        <f>'QTR Raw'!BB23</f>
        <v>1135.05</v>
      </c>
      <c r="CI197" s="23">
        <f>'QTR Raw'!BC23</f>
        <v>1356.78</v>
      </c>
      <c r="CJ197" s="23">
        <f>'QTR Raw'!BD23</f>
        <v>1384.28</v>
      </c>
      <c r="CK197" s="23">
        <f>'QTR Raw'!BE23</f>
        <v>1441.04</v>
      </c>
      <c r="CL197" s="23">
        <f>'QTR Raw'!BF23</f>
        <v>1578.59</v>
      </c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E197" s="123"/>
      <c r="DF197" s="23">
        <v>4657.57</v>
      </c>
    </row>
    <row r="198" spans="1:110" s="23" customFormat="1" x14ac:dyDescent="0.2">
      <c r="A198" s="23" t="s">
        <v>18</v>
      </c>
      <c r="B198" s="23">
        <f>'Annual Raw'!C25</f>
        <v>493.04</v>
      </c>
      <c r="C198" s="23">
        <f>('Annual Raw'!D25)-29.14</f>
        <v>535.39</v>
      </c>
      <c r="D198" s="23">
        <f>('Annual Raw'!E25)-34.96</f>
        <v>401.16</v>
      </c>
      <c r="E198" s="23">
        <f>('Annual Raw'!F25)-36.56</f>
        <v>210.10999999999999</v>
      </c>
      <c r="F198" s="23">
        <f>('Annual Raw'!G25)-36.79</f>
        <v>207.81</v>
      </c>
      <c r="G198" s="23">
        <f>('Annual Raw'!H25)-45.69</f>
        <v>272.33999999999997</v>
      </c>
      <c r="H198" s="23">
        <f>('Annual Raw'!I25)-51.14</f>
        <v>300.28000000000003</v>
      </c>
      <c r="I198" s="23">
        <f>('Annual Raw'!J25)-59.23</f>
        <v>566.48</v>
      </c>
      <c r="J198" s="23">
        <f>('Annual Raw'!K25)-78.79</f>
        <v>1165.78</v>
      </c>
      <c r="K198" s="23">
        <f>('Annual Raw'!L25)-160.62</f>
        <v>1359.5700000000002</v>
      </c>
      <c r="L198" s="23">
        <f>('Annual Raw'!M25)-143.97</f>
        <v>1787.45</v>
      </c>
      <c r="M198" s="23">
        <f>('Annual Raw'!N25)-138.52</f>
        <v>2869.82</v>
      </c>
      <c r="N198" s="23">
        <f>('Annual Raw'!O25)-182.99</f>
        <v>4459.29</v>
      </c>
      <c r="O198" s="23">
        <f>('Annual Raw'!P25)-222.7</f>
        <v>6271.56</v>
      </c>
      <c r="P198" s="23">
        <f>('Annual Raw'!Q25)-293.19</f>
        <v>6972.59</v>
      </c>
      <c r="Q198" s="23">
        <f>('Annual Raw'!R25)-283.15</f>
        <v>6615.5300000000007</v>
      </c>
      <c r="R198" s="23">
        <f>('Annual Raw'!S25)-318.98</f>
        <v>6698.24</v>
      </c>
      <c r="S198" s="23">
        <f>('Annual Raw'!T25)-371.59</f>
        <v>7545.19</v>
      </c>
      <c r="T198" s="23">
        <f>('Annual Raw'!U25)-371.74</f>
        <v>9175.39</v>
      </c>
      <c r="U198" s="23">
        <f>('Annual Raw'!V25)-443.62</f>
        <v>10825.83</v>
      </c>
      <c r="V198" s="23">
        <f>('Annual Raw'!W25)-459.46</f>
        <v>11600.210000000001</v>
      </c>
      <c r="W198" s="23">
        <f>('Annual Raw'!X25)-479.72</f>
        <v>9072.43</v>
      </c>
      <c r="X198" s="23">
        <f>('Annual Raw'!Y25)-516.85</f>
        <v>9233.2099999999991</v>
      </c>
      <c r="Y198" s="23">
        <f>('Annual Raw'!Z25)-561.17</f>
        <v>9260.75</v>
      </c>
      <c r="Z198" s="23">
        <f>('Annual Raw'!AA25)-644.26</f>
        <v>9636.6</v>
      </c>
      <c r="AA198" s="23">
        <f>('Annual Raw'!AB25)-644.26</f>
        <v>9994.0300000000007</v>
      </c>
      <c r="AB198" s="76">
        <f t="shared" si="1036"/>
        <v>1339.2052109518318</v>
      </c>
      <c r="AC198" s="76">
        <f t="shared" si="1037"/>
        <v>729.19110917189516</v>
      </c>
      <c r="AD198" s="76">
        <f t="shared" si="1038"/>
        <v>105.08755439474255</v>
      </c>
      <c r="AE198" s="76">
        <f t="shared" si="1039"/>
        <v>-454.47206844012067</v>
      </c>
      <c r="AI198" s="23">
        <f>'QTR Raw'!C25</f>
        <v>228.41</v>
      </c>
      <c r="AJ198" s="23">
        <f>'QTR Raw'!D25</f>
        <v>235.02</v>
      </c>
      <c r="AK198" s="23">
        <f>'QTR Raw'!E25</f>
        <v>233.82</v>
      </c>
      <c r="AL198" s="23">
        <f>'QTR Raw'!F25</f>
        <v>263.37</v>
      </c>
      <c r="AM198" s="23">
        <f>'QTR Raw'!G25</f>
        <v>710.76</v>
      </c>
      <c r="AN198" s="23">
        <f>'QTR Raw'!H25</f>
        <v>773.68</v>
      </c>
      <c r="AO198" s="23">
        <f>'QTR Raw'!I25</f>
        <v>884.23</v>
      </c>
      <c r="AP198" s="23">
        <f>'QTR Raw'!J25</f>
        <v>787.51</v>
      </c>
      <c r="AQ198" s="23">
        <f>'QTR Raw'!K25</f>
        <v>774.42</v>
      </c>
      <c r="AR198" s="23">
        <f>'QTR Raw'!L25</f>
        <v>690.51</v>
      </c>
      <c r="AS198" s="23">
        <f>'QTR Raw'!M25</f>
        <v>918.25</v>
      </c>
      <c r="AT198" s="23">
        <f>'QTR Raw'!N25</f>
        <v>468.62</v>
      </c>
      <c r="AU198" s="23">
        <f>'QTR Raw'!O25</f>
        <v>1580.36</v>
      </c>
      <c r="AV198" s="23">
        <f>'QTR Raw'!P25</f>
        <v>2013.84</v>
      </c>
      <c r="AW198" s="23">
        <f>'QTR Raw'!Q25</f>
        <v>1616.6</v>
      </c>
      <c r="AX198" s="23">
        <f>'QTR Raw'!R25</f>
        <v>1780.75</v>
      </c>
      <c r="AY198" s="23">
        <f>'QTR Raw'!S25</f>
        <v>1659.14</v>
      </c>
      <c r="AZ198" s="23">
        <f>'QTR Raw'!T25</f>
        <v>1694.65</v>
      </c>
      <c r="BA198" s="23">
        <f>'QTR Raw'!U25</f>
        <v>1711.22</v>
      </c>
      <c r="BB198" s="23">
        <f>'QTR Raw'!V25</f>
        <v>1636.11</v>
      </c>
      <c r="BC198" s="23">
        <f>'QTR Raw'!W25</f>
        <v>1758.48</v>
      </c>
      <c r="BD198" s="23">
        <f>'QTR Raw'!X25</f>
        <v>1913.37</v>
      </c>
      <c r="BE198" s="23">
        <f>'QTR Raw'!Y25</f>
        <v>1889.38</v>
      </c>
      <c r="BF198" s="23">
        <f>'QTR Raw'!Z25</f>
        <v>1997.02</v>
      </c>
      <c r="BG198" s="23">
        <f>'QTR Raw'!AA25</f>
        <v>2018.75</v>
      </c>
      <c r="BH198" s="23">
        <f>'QTR Raw'!AB25</f>
        <v>2186</v>
      </c>
      <c r="BI198" s="23">
        <f>'QTR Raw'!AC25</f>
        <v>2510.21</v>
      </c>
      <c r="BJ198" s="23">
        <f>'QTR Raw'!AD25</f>
        <v>2473.23</v>
      </c>
      <c r="BK198" s="23">
        <f>'QTR Raw'!AE25</f>
        <v>2665.27</v>
      </c>
      <c r="BL198" s="23">
        <f>'QTR Raw'!AF25</f>
        <v>2709.18</v>
      </c>
      <c r="BM198" s="23">
        <f>'QTR Raw'!AG25</f>
        <v>2707.62</v>
      </c>
      <c r="BN198" s="23">
        <f>'QTR Raw'!AH25</f>
        <v>2756.47</v>
      </c>
      <c r="BO198" s="23">
        <f>'QTR Raw'!AI25</f>
        <v>3159.79</v>
      </c>
      <c r="BP198" s="23">
        <f>'QTR Raw'!AJ25</f>
        <v>3027.22</v>
      </c>
      <c r="BQ198" s="23">
        <f>'QTR Raw'!AK25</f>
        <v>2747.9</v>
      </c>
      <c r="BR198" s="23">
        <f>'QTR Raw'!AL25</f>
        <v>2669.57</v>
      </c>
      <c r="BS198" s="23">
        <f>'QTR Raw'!AM25</f>
        <v>2393.25</v>
      </c>
      <c r="BT198" s="23">
        <f>'QTR Raw'!AN25</f>
        <v>2270.7399999999998</v>
      </c>
      <c r="BU198" s="23">
        <f>'QTR Raw'!AO25</f>
        <v>2267.3200000000002</v>
      </c>
      <c r="BV198" s="23">
        <f>'QTR Raw'!AP25</f>
        <v>2146.9299999999998</v>
      </c>
      <c r="BW198" s="23">
        <f>'QTR Raw'!AQ25</f>
        <v>2212.46</v>
      </c>
      <c r="BX198" s="23">
        <f>'QTR Raw'!AR25</f>
        <v>2303.9699999999998</v>
      </c>
      <c r="BY198" s="23">
        <f>'QTR Raw'!AS25</f>
        <v>2382.88</v>
      </c>
      <c r="BZ198" s="23">
        <f>'QTR Raw'!AT25</f>
        <v>2334.29</v>
      </c>
      <c r="CA198" s="23">
        <f>'QTR Raw'!AU25</f>
        <v>2299.08</v>
      </c>
      <c r="CB198" s="23">
        <f>'QTR Raw'!AV25</f>
        <v>2272.4899999999998</v>
      </c>
      <c r="CC198" s="23">
        <f>'QTR Raw'!AW25</f>
        <v>2343.8200000000002</v>
      </c>
      <c r="CD198" s="23">
        <f>'QTR Raw'!AX25</f>
        <v>2345.35</v>
      </c>
      <c r="CE198" s="23">
        <f>'QTR Raw'!AY25</f>
        <v>2291.89</v>
      </c>
      <c r="CF198" s="23">
        <f>'QTR Raw'!AZ25</f>
        <v>2439.39</v>
      </c>
      <c r="CG198" s="23">
        <f>'QTR Raw'!BA25</f>
        <v>2486</v>
      </c>
      <c r="CH198" s="23">
        <f>'QTR Raw'!BB25</f>
        <v>2419.33</v>
      </c>
      <c r="CI198" s="23">
        <f>'QTR Raw'!BC25</f>
        <v>2487.96</v>
      </c>
      <c r="CJ198" s="23">
        <f>'QTR Raw'!BD25</f>
        <v>2469.64</v>
      </c>
      <c r="CK198" s="23">
        <f>'QTR Raw'!BE25</f>
        <v>2398.5300000000002</v>
      </c>
      <c r="CL198" s="23">
        <f>'QTR Raw'!BF25</f>
        <v>2488.0300000000002</v>
      </c>
      <c r="CM198" s="24">
        <f t="shared" ref="CM198:DB198" si="1040">CM199*CL335</f>
        <v>537.96935265523905</v>
      </c>
      <c r="CN198" s="24">
        <f t="shared" si="1040"/>
        <v>284.58586172021279</v>
      </c>
      <c r="CO198" s="24">
        <f t="shared" si="1040"/>
        <v>270.91909024402366</v>
      </c>
      <c r="CP198" s="24">
        <f t="shared" si="1040"/>
        <v>245.73090633235614</v>
      </c>
      <c r="CQ198" s="24">
        <f t="shared" si="1040"/>
        <v>428.01432515409505</v>
      </c>
      <c r="CR198" s="24">
        <f t="shared" si="1040"/>
        <v>103.35211000337074</v>
      </c>
      <c r="CS198" s="24">
        <f t="shared" si="1040"/>
        <v>103.59978809349316</v>
      </c>
      <c r="CT198" s="24">
        <f t="shared" si="1040"/>
        <v>94.224885920936259</v>
      </c>
      <c r="CU198" s="24">
        <f t="shared" si="1040"/>
        <v>267.3196312873589</v>
      </c>
      <c r="CV198" s="24">
        <f t="shared" si="1040"/>
        <v>-72.682830510378096</v>
      </c>
      <c r="CW198" s="24">
        <f t="shared" si="1040"/>
        <v>-51.444658988641919</v>
      </c>
      <c r="CX198" s="24">
        <f t="shared" si="1040"/>
        <v>-38.104587393596333</v>
      </c>
      <c r="CY198" s="24">
        <f t="shared" si="1040"/>
        <v>171.71714407935426</v>
      </c>
      <c r="CZ198" s="24">
        <f t="shared" si="1040"/>
        <v>-225.43402668613246</v>
      </c>
      <c r="DA198" s="24">
        <f t="shared" si="1040"/>
        <v>-205.5879866554462</v>
      </c>
      <c r="DB198" s="24">
        <f t="shared" si="1040"/>
        <v>-195.16719917789621</v>
      </c>
      <c r="DE198" s="123"/>
      <c r="DF198" s="23">
        <v>9994.0300000000007</v>
      </c>
    </row>
    <row r="199" spans="1:110" s="46" customFormat="1" x14ac:dyDescent="0.2">
      <c r="A199" s="46" t="s">
        <v>482</v>
      </c>
      <c r="B199" s="46">
        <f t="shared" ref="B199:AE199" si="1041">+B198/B295</f>
        <v>0.11564506179354929</v>
      </c>
      <c r="C199" s="46">
        <f t="shared" si="1041"/>
        <v>0.10754928094911903</v>
      </c>
      <c r="D199" s="46">
        <f t="shared" si="1041"/>
        <v>8.5337031923742104E-2</v>
      </c>
      <c r="E199" s="46">
        <f t="shared" si="1041"/>
        <v>7.5873350618585744E-2</v>
      </c>
      <c r="F199" s="46">
        <f t="shared" si="1041"/>
        <v>6.0167987422658324E-2</v>
      </c>
      <c r="G199" s="46">
        <f t="shared" si="1041"/>
        <v>7.7840563182219616E-2</v>
      </c>
      <c r="H199" s="46">
        <f t="shared" si="1041"/>
        <v>4.6683726613828518E-2</v>
      </c>
      <c r="I199" s="46">
        <f t="shared" si="1041"/>
        <v>4.5995714493343172E-2</v>
      </c>
      <c r="J199" s="46">
        <f t="shared" si="1041"/>
        <v>5.7230128168624113E-2</v>
      </c>
      <c r="K199" s="46">
        <f t="shared" si="1041"/>
        <v>5.5250632738550978E-2</v>
      </c>
      <c r="L199" s="46">
        <f t="shared" si="1041"/>
        <v>4.790811890444268E-2</v>
      </c>
      <c r="M199" s="46">
        <f t="shared" si="1041"/>
        <v>5.5651448822180531E-2</v>
      </c>
      <c r="N199" s="46">
        <f t="shared" si="1041"/>
        <v>6.6930569191036293E-2</v>
      </c>
      <c r="O199" s="46">
        <f t="shared" si="1041"/>
        <v>7.4828661722203677E-2</v>
      </c>
      <c r="P199" s="46">
        <f t="shared" si="1041"/>
        <v>7.4469972353813529E-2</v>
      </c>
      <c r="Q199" s="46">
        <f t="shared" si="1041"/>
        <v>7.5060909061718514E-2</v>
      </c>
      <c r="R199" s="46">
        <f t="shared" si="1041"/>
        <v>7.1292798227216625E-2</v>
      </c>
      <c r="S199" s="46">
        <f t="shared" si="1041"/>
        <v>7.017209540411784E-2</v>
      </c>
      <c r="T199" s="46">
        <f t="shared" si="1041"/>
        <v>7.3078551842986644E-2</v>
      </c>
      <c r="U199" s="46">
        <f t="shared" si="1041"/>
        <v>7.6775059301969997E-2</v>
      </c>
      <c r="V199" s="46">
        <f t="shared" si="1041"/>
        <v>8.7479259872496759E-2</v>
      </c>
      <c r="W199" s="46">
        <f t="shared" si="1041"/>
        <v>7.3479874134423084E-2</v>
      </c>
      <c r="X199" s="46">
        <f t="shared" si="1041"/>
        <v>7.790858719918374E-2</v>
      </c>
      <c r="Y199" s="46">
        <f t="shared" si="1041"/>
        <v>8.1206319514674566E-2</v>
      </c>
      <c r="Z199" s="46">
        <f t="shared" si="1041"/>
        <v>7.4379817001228934E-2</v>
      </c>
      <c r="AA199" s="46">
        <f t="shared" ref="AA199" si="1042">+AA198/AA295</f>
        <v>8.2131672931851959E-2</v>
      </c>
      <c r="AB199" s="110">
        <f t="shared" si="1041"/>
        <v>1.1005686832491764E-2</v>
      </c>
      <c r="AC199" s="110">
        <f t="shared" si="1041"/>
        <v>5.9925461183647092E-3</v>
      </c>
      <c r="AD199" s="110">
        <f t="shared" si="1041"/>
        <v>8.636172441704895E-4</v>
      </c>
      <c r="AE199" s="110">
        <f t="shared" si="1041"/>
        <v>-3.7348848544367218E-3</v>
      </c>
      <c r="AI199" s="46" t="e">
        <f t="shared" ref="AI199:BN199" si="1043">(AI198-AI197)/AH335</f>
        <v>#DIV/0!</v>
      </c>
      <c r="AJ199" s="46" t="e">
        <f t="shared" si="1043"/>
        <v>#DIV/0!</v>
      </c>
      <c r="AK199" s="46">
        <f t="shared" si="1043"/>
        <v>-6.5927170414752129E-2</v>
      </c>
      <c r="AL199" s="46">
        <f t="shared" si="1043"/>
        <v>-3.453070187582661E-2</v>
      </c>
      <c r="AM199" s="46">
        <f t="shared" si="1043"/>
        <v>8.6736053440719559E-3</v>
      </c>
      <c r="AN199" s="46">
        <f t="shared" si="1043"/>
        <v>1.030308394448743E-2</v>
      </c>
      <c r="AO199" s="46">
        <f t="shared" si="1043"/>
        <v>1.0906973880847123E-2</v>
      </c>
      <c r="AP199" s="46">
        <f t="shared" si="1043"/>
        <v>8.1143040053047177E-3</v>
      </c>
      <c r="AQ199" s="46">
        <f t="shared" si="1043"/>
        <v>7.1506143248637162E-3</v>
      </c>
      <c r="AR199" s="46">
        <f t="shared" si="1043"/>
        <v>7.2959181792446454E-3</v>
      </c>
      <c r="AS199" s="46">
        <f t="shared" si="1043"/>
        <v>9.2055921892403494E-3</v>
      </c>
      <c r="AT199" s="46">
        <f t="shared" si="1043"/>
        <v>2.3986130836251267E-3</v>
      </c>
      <c r="AU199" s="46">
        <f t="shared" si="1043"/>
        <v>1.6878379996148302E-2</v>
      </c>
      <c r="AV199" s="46">
        <f t="shared" si="1043"/>
        <v>2.3195171830567546E-2</v>
      </c>
      <c r="AW199" s="46">
        <f t="shared" si="1043"/>
        <v>1.6509346779214951E-2</v>
      </c>
      <c r="AX199" s="46">
        <f t="shared" si="1043"/>
        <v>1.9426456731692764E-2</v>
      </c>
      <c r="AY199" s="46">
        <f t="shared" si="1043"/>
        <v>1.7984385404708144E-2</v>
      </c>
      <c r="AZ199" s="46">
        <f t="shared" si="1043"/>
        <v>1.6949176024413367E-2</v>
      </c>
      <c r="BA199" s="46">
        <f t="shared" si="1043"/>
        <v>1.8992674760060425E-2</v>
      </c>
      <c r="BB199" s="46">
        <f t="shared" si="1043"/>
        <v>1.7139732854759834E-2</v>
      </c>
      <c r="BC199" s="46">
        <f t="shared" si="1043"/>
        <v>1.873290886868564E-2</v>
      </c>
      <c r="BD199" s="46">
        <f t="shared" si="1043"/>
        <v>2.0861740726373194E-2</v>
      </c>
      <c r="BE199" s="46">
        <f t="shared" si="1043"/>
        <v>2.0176181523013651E-2</v>
      </c>
      <c r="BF199" s="46">
        <f t="shared" si="1043"/>
        <v>1.9308432103211044E-2</v>
      </c>
      <c r="BG199" s="46">
        <f t="shared" si="1043"/>
        <v>1.9891343828691586E-2</v>
      </c>
      <c r="BH199" s="46">
        <f t="shared" si="1043"/>
        <v>2.0027254251328671E-2</v>
      </c>
      <c r="BI199" s="46">
        <f t="shared" si="1043"/>
        <v>1.883816431326488E-2</v>
      </c>
      <c r="BJ199" s="46">
        <f t="shared" si="1043"/>
        <v>1.8541704900629549E-2</v>
      </c>
      <c r="BK199" s="46">
        <f t="shared" si="1043"/>
        <v>2.0326630942116543E-2</v>
      </c>
      <c r="BL199" s="46">
        <f t="shared" si="1043"/>
        <v>2.1486975146321866E-2</v>
      </c>
      <c r="BM199" s="46">
        <f t="shared" si="1043"/>
        <v>1.9175608419824196E-2</v>
      </c>
      <c r="BN199" s="46">
        <f t="shared" si="1043"/>
        <v>1.8301896870868646E-2</v>
      </c>
      <c r="BO199" s="46">
        <f t="shared" ref="BO199:CL199" si="1044">(BO198-BO197)/BN335</f>
        <v>2.1047783634519746E-2</v>
      </c>
      <c r="BP199" s="46">
        <f t="shared" si="1044"/>
        <v>2.2153306219202095E-2</v>
      </c>
      <c r="BQ199" s="46">
        <f t="shared" si="1044"/>
        <v>1.6861634702246758E-2</v>
      </c>
      <c r="BR199" s="46">
        <f t="shared" si="1044"/>
        <v>1.6745674966121518E-2</v>
      </c>
      <c r="BS199" s="46">
        <f t="shared" si="1044"/>
        <v>2.0447900021241312E-2</v>
      </c>
      <c r="BT199" s="46">
        <f t="shared" si="1044"/>
        <v>2.0876772033999111E-2</v>
      </c>
      <c r="BU199" s="46">
        <f t="shared" si="1044"/>
        <v>2.1316991977893773E-2</v>
      </c>
      <c r="BV199" s="46">
        <f t="shared" si="1044"/>
        <v>2.0856236695286905E-2</v>
      </c>
      <c r="BW199" s="46">
        <f t="shared" si="1044"/>
        <v>2.0313594987277073E-2</v>
      </c>
      <c r="BX199" s="46">
        <f t="shared" si="1044"/>
        <v>2.1508376300659205E-2</v>
      </c>
      <c r="BY199" s="46">
        <f t="shared" si="1044"/>
        <v>2.0119218590486741E-2</v>
      </c>
      <c r="BZ199" s="46">
        <f t="shared" si="1044"/>
        <v>2.0190016247397389E-2</v>
      </c>
      <c r="CA199" s="46">
        <f t="shared" si="1044"/>
        <v>1.9091577739689069E-2</v>
      </c>
      <c r="CB199" s="46">
        <f t="shared" si="1044"/>
        <v>1.9780036979049176E-2</v>
      </c>
      <c r="CC199" s="46">
        <f t="shared" si="1044"/>
        <v>2.0806603869378736E-2</v>
      </c>
      <c r="CD199" s="46">
        <f t="shared" si="1044"/>
        <v>1.8557353178029021E-2</v>
      </c>
      <c r="CE199" s="46">
        <f t="shared" si="1044"/>
        <v>2.1518664548147274E-2</v>
      </c>
      <c r="CF199" s="46">
        <f t="shared" si="1044"/>
        <v>2.2094331721044483E-2</v>
      </c>
      <c r="CG199" s="46">
        <f t="shared" si="1044"/>
        <v>2.2282027267754346E-2</v>
      </c>
      <c r="CH199" s="46">
        <f t="shared" si="1044"/>
        <v>1.9721644842603952E-2</v>
      </c>
      <c r="CI199" s="46">
        <f t="shared" si="1044"/>
        <v>1.7888969401920314E-2</v>
      </c>
      <c r="CJ199" s="46">
        <f t="shared" si="1044"/>
        <v>2.6021765911452537E-2</v>
      </c>
      <c r="CK199" s="46">
        <f t="shared" si="1044"/>
        <v>1.418542161957873E-2</v>
      </c>
      <c r="CL199" s="46">
        <f t="shared" si="1044"/>
        <v>1.3022584642671612E-2</v>
      </c>
      <c r="CM199" s="47">
        <f>+CL199</f>
        <v>1.3022584642671612E-2</v>
      </c>
      <c r="CN199" s="47">
        <f t="shared" ref="CN199" si="1045">+CM199</f>
        <v>1.3022584642671612E-2</v>
      </c>
      <c r="CO199" s="47">
        <f t="shared" ref="CO199" si="1046">+CN199</f>
        <v>1.3022584642671612E-2</v>
      </c>
      <c r="CP199" s="47">
        <f t="shared" ref="CP199" si="1047">+CO199</f>
        <v>1.3022584642671612E-2</v>
      </c>
      <c r="CQ199" s="47">
        <f t="shared" ref="CQ199" si="1048">+CP199</f>
        <v>1.3022584642671612E-2</v>
      </c>
      <c r="CR199" s="47">
        <f t="shared" ref="CR199" si="1049">+CQ199</f>
        <v>1.3022584642671612E-2</v>
      </c>
      <c r="CS199" s="47">
        <f t="shared" ref="CS199" si="1050">+CR199</f>
        <v>1.3022584642671612E-2</v>
      </c>
      <c r="CT199" s="47">
        <f t="shared" ref="CT199" si="1051">+CS199</f>
        <v>1.3022584642671612E-2</v>
      </c>
      <c r="CU199" s="47">
        <f t="shared" ref="CU199" si="1052">+CT199</f>
        <v>1.3022584642671612E-2</v>
      </c>
      <c r="CV199" s="47">
        <f t="shared" ref="CV199" si="1053">+CU199</f>
        <v>1.3022584642671612E-2</v>
      </c>
      <c r="CW199" s="47">
        <f t="shared" ref="CW199" si="1054">+CV199</f>
        <v>1.3022584642671612E-2</v>
      </c>
      <c r="CX199" s="47">
        <f t="shared" ref="CX199" si="1055">+CW199</f>
        <v>1.3022584642671612E-2</v>
      </c>
      <c r="CY199" s="47">
        <f t="shared" ref="CY199" si="1056">+CX199</f>
        <v>1.3022584642671612E-2</v>
      </c>
      <c r="CZ199" s="47">
        <f t="shared" ref="CZ199" si="1057">+CY199</f>
        <v>1.3022584642671612E-2</v>
      </c>
      <c r="DA199" s="47">
        <f t="shared" ref="DA199" si="1058">+CZ199</f>
        <v>1.3022584642671612E-2</v>
      </c>
      <c r="DB199" s="47">
        <f t="shared" ref="DB199" si="1059">+DA199</f>
        <v>1.3022584642671612E-2</v>
      </c>
      <c r="DE199" s="130"/>
      <c r="DF199" s="46">
        <v>8.2131672931851959E-2</v>
      </c>
    </row>
    <row r="200" spans="1:110" s="26" customFormat="1" x14ac:dyDescent="0.2">
      <c r="A200" s="26" t="s">
        <v>20</v>
      </c>
      <c r="B200" s="26">
        <f t="shared" ref="B200:AE200" si="1060">B196+B197-B198</f>
        <v>338.7000000000009</v>
      </c>
      <c r="C200" s="26">
        <f t="shared" si="1060"/>
        <v>413.50000000000045</v>
      </c>
      <c r="D200" s="26">
        <f t="shared" si="1060"/>
        <v>479.90000000000038</v>
      </c>
      <c r="E200" s="26">
        <f t="shared" si="1060"/>
        <v>921.41</v>
      </c>
      <c r="F200" s="26">
        <f t="shared" si="1060"/>
        <v>1405.2299999999987</v>
      </c>
      <c r="G200" s="26">
        <f t="shared" si="1060"/>
        <v>1668.2499999999961</v>
      </c>
      <c r="H200" s="26">
        <f t="shared" si="1060"/>
        <v>3005.03</v>
      </c>
      <c r="I200" s="26">
        <f t="shared" si="1060"/>
        <v>3418.6200000000026</v>
      </c>
      <c r="J200" s="26">
        <f t="shared" si="1060"/>
        <v>4360.3299999999936</v>
      </c>
      <c r="K200" s="26">
        <f t="shared" si="1060"/>
        <v>7345.3499999999985</v>
      </c>
      <c r="L200" s="26">
        <f t="shared" si="1060"/>
        <v>6524.5800000000008</v>
      </c>
      <c r="M200" s="26">
        <f t="shared" si="1060"/>
        <v>6916.7400000000034</v>
      </c>
      <c r="N200" s="26">
        <f t="shared" si="1060"/>
        <v>7223.0499999999965</v>
      </c>
      <c r="O200" s="26">
        <f t="shared" si="1060"/>
        <v>7127.7300000000005</v>
      </c>
      <c r="P200" s="26">
        <f t="shared" si="1060"/>
        <v>6869.5399999999881</v>
      </c>
      <c r="Q200" s="26">
        <f t="shared" si="1060"/>
        <v>7925.4000000000124</v>
      </c>
      <c r="R200" s="26">
        <f t="shared" si="1060"/>
        <v>8765.9300000000057</v>
      </c>
      <c r="S200" s="26">
        <f t="shared" si="1060"/>
        <v>11516.160000000011</v>
      </c>
      <c r="T200" s="26">
        <f t="shared" si="1060"/>
        <v>13440.589999999967</v>
      </c>
      <c r="U200" s="26">
        <f t="shared" si="1060"/>
        <v>13430.949999999981</v>
      </c>
      <c r="V200" s="26">
        <f t="shared" si="1060"/>
        <v>12235.799999999994</v>
      </c>
      <c r="W200" s="26">
        <f t="shared" si="1060"/>
        <v>14398.04000000003</v>
      </c>
      <c r="X200" s="26">
        <f t="shared" si="1060"/>
        <v>16973.040000000012</v>
      </c>
      <c r="Y200" s="26">
        <f t="shared" si="1060"/>
        <v>20423.500000000029</v>
      </c>
      <c r="Z200" s="26">
        <f t="shared" si="1060"/>
        <v>23104.010000000002</v>
      </c>
      <c r="AA200" s="26">
        <f t="shared" ref="AA200" si="1061">AA196+AA197-AA198</f>
        <v>27698.249999999935</v>
      </c>
      <c r="AB200" s="27">
        <f t="shared" si="1060"/>
        <v>34389.31964519788</v>
      </c>
      <c r="AC200" s="27">
        <f t="shared" si="1060"/>
        <v>40345.629217545953</v>
      </c>
      <c r="AD200" s="27">
        <f t="shared" si="1060"/>
        <v>47388.835829321899</v>
      </c>
      <c r="AE200" s="27">
        <f t="shared" si="1060"/>
        <v>55447.767513135157</v>
      </c>
      <c r="AI200" s="26">
        <f t="shared" ref="AI200:BN200" si="1062">AI196+AI197-AI198</f>
        <v>1272.4800000000007</v>
      </c>
      <c r="AJ200" s="26">
        <f t="shared" si="1062"/>
        <v>1295.7900000000009</v>
      </c>
      <c r="AK200" s="26">
        <f t="shared" si="1062"/>
        <v>1406.0800000000002</v>
      </c>
      <c r="AL200" s="26">
        <f t="shared" si="1062"/>
        <v>2058.4999999999982</v>
      </c>
      <c r="AM200" s="26">
        <f t="shared" si="1062"/>
        <v>868.95000000000209</v>
      </c>
      <c r="AN200" s="26">
        <f t="shared" si="1062"/>
        <v>1395.3900000000008</v>
      </c>
      <c r="AO200" s="26">
        <f t="shared" si="1062"/>
        <v>1356.9300000000062</v>
      </c>
      <c r="AP200" s="26">
        <f t="shared" si="1062"/>
        <v>3506.4599999999973</v>
      </c>
      <c r="AQ200" s="26">
        <f t="shared" si="1062"/>
        <v>1206.300000000002</v>
      </c>
      <c r="AR200" s="26">
        <f t="shared" si="1062"/>
        <v>1309.7300000000002</v>
      </c>
      <c r="AS200" s="26">
        <f t="shared" si="1062"/>
        <v>1525.2199999999975</v>
      </c>
      <c r="AT200" s="26">
        <f t="shared" si="1062"/>
        <v>2828.2899999999963</v>
      </c>
      <c r="AU200" s="26">
        <f t="shared" si="1062"/>
        <v>1069.2200000000032</v>
      </c>
      <c r="AV200" s="26">
        <f t="shared" si="1062"/>
        <v>1485.2899999999984</v>
      </c>
      <c r="AW200" s="26">
        <f t="shared" si="1062"/>
        <v>1594.8400000000011</v>
      </c>
      <c r="AX200" s="26">
        <f t="shared" si="1062"/>
        <v>3776.0000000000055</v>
      </c>
      <c r="AY200" s="26">
        <f t="shared" si="1062"/>
        <v>1405.1699999999976</v>
      </c>
      <c r="AZ200" s="26">
        <f t="shared" si="1062"/>
        <v>1967.1200000000003</v>
      </c>
      <c r="BA200" s="26">
        <f t="shared" si="1062"/>
        <v>1678.4000000000008</v>
      </c>
      <c r="BB200" s="26">
        <f t="shared" si="1062"/>
        <v>3715.2399999999989</v>
      </c>
      <c r="BC200" s="26">
        <f t="shared" si="1062"/>
        <v>1525.2600000000025</v>
      </c>
      <c r="BD200" s="26">
        <f t="shared" si="1062"/>
        <v>2538.2399999999989</v>
      </c>
      <c r="BE200" s="26">
        <f t="shared" si="1062"/>
        <v>2539.9300000000003</v>
      </c>
      <c r="BF200" s="26">
        <f t="shared" si="1062"/>
        <v>4912.75</v>
      </c>
      <c r="BG200" s="26">
        <f t="shared" si="1062"/>
        <v>2017.2499999999955</v>
      </c>
      <c r="BH200" s="26">
        <f t="shared" si="1062"/>
        <v>3074.0100000000011</v>
      </c>
      <c r="BI200" s="26">
        <f t="shared" si="1062"/>
        <v>3401.2200000000003</v>
      </c>
      <c r="BJ200" s="26">
        <f t="shared" si="1062"/>
        <v>4948.100000000004</v>
      </c>
      <c r="BK200" s="26">
        <f t="shared" si="1062"/>
        <v>2655.2300000000009</v>
      </c>
      <c r="BL200" s="26">
        <f t="shared" si="1062"/>
        <v>3302.7499999999968</v>
      </c>
      <c r="BM200" s="26">
        <f t="shared" si="1062"/>
        <v>3223.2300000000041</v>
      </c>
      <c r="BN200" s="26">
        <f t="shared" si="1062"/>
        <v>4249.739999999998</v>
      </c>
      <c r="BO200" s="26">
        <f t="shared" ref="BO200:CT200" si="1063">BO196+BO197-BO198</f>
        <v>669.74000000000251</v>
      </c>
      <c r="BP200" s="26">
        <f t="shared" si="1063"/>
        <v>2138.2000000000021</v>
      </c>
      <c r="BQ200" s="26">
        <f t="shared" si="1063"/>
        <v>3680.4999999999959</v>
      </c>
      <c r="BR200" s="26">
        <f t="shared" si="1063"/>
        <v>5747.3599999999933</v>
      </c>
      <c r="BS200" s="26">
        <f t="shared" si="1063"/>
        <v>2274.619999999999</v>
      </c>
      <c r="BT200" s="26">
        <f t="shared" si="1063"/>
        <v>3018.9199999999973</v>
      </c>
      <c r="BU200" s="26">
        <f t="shared" si="1063"/>
        <v>3553.9200000000014</v>
      </c>
      <c r="BV200" s="26">
        <f t="shared" si="1063"/>
        <v>5557.8099999999959</v>
      </c>
      <c r="BW200" s="26">
        <f t="shared" si="1063"/>
        <v>2928.6799999999967</v>
      </c>
      <c r="BX200" s="26">
        <f t="shared" si="1063"/>
        <v>3936.5499999999961</v>
      </c>
      <c r="BY200" s="26">
        <f t="shared" si="1063"/>
        <v>4200.4400000000078</v>
      </c>
      <c r="BZ200" s="26">
        <f t="shared" si="1063"/>
        <v>5907.3599999999979</v>
      </c>
      <c r="CA200" s="26">
        <f t="shared" si="1063"/>
        <v>4332.3699999999935</v>
      </c>
      <c r="CB200" s="26">
        <f t="shared" si="1063"/>
        <v>4991.0700000000015</v>
      </c>
      <c r="CC200" s="26">
        <f t="shared" si="1063"/>
        <v>4771.8299999999945</v>
      </c>
      <c r="CD200" s="26">
        <f t="shared" si="1063"/>
        <v>6328.2300000000014</v>
      </c>
      <c r="CE200" s="26">
        <f t="shared" si="1063"/>
        <v>4676.6500000000069</v>
      </c>
      <c r="CF200" s="26">
        <f t="shared" si="1063"/>
        <v>5555.0900000000038</v>
      </c>
      <c r="CG200" s="26">
        <f t="shared" si="1063"/>
        <v>5333.0299999999961</v>
      </c>
      <c r="CH200" s="26">
        <f t="shared" si="1063"/>
        <v>7539.2400000000016</v>
      </c>
      <c r="CI200" s="26">
        <f t="shared" si="1063"/>
        <v>5859.5299999999943</v>
      </c>
      <c r="CJ200" s="26">
        <f t="shared" si="1063"/>
        <v>6336.1099999999988</v>
      </c>
      <c r="CK200" s="26">
        <f t="shared" si="1063"/>
        <v>7160.9799999999977</v>
      </c>
      <c r="CL200" s="26">
        <f t="shared" ref="CL200" si="1064">CL196+CL197-CL198</f>
        <v>8341.6299999999956</v>
      </c>
      <c r="CM200" s="27">
        <f t="shared" si="1063"/>
        <v>7587.6275446071186</v>
      </c>
      <c r="CN200" s="27">
        <f t="shared" si="1063"/>
        <v>8254.8616905723884</v>
      </c>
      <c r="CO200" s="27">
        <f t="shared" si="1063"/>
        <v>8629.2262104052679</v>
      </c>
      <c r="CP200" s="27">
        <f t="shared" si="1063"/>
        <v>9917.6041996131098</v>
      </c>
      <c r="CQ200" s="27">
        <f t="shared" si="1063"/>
        <v>8681.2612480549033</v>
      </c>
      <c r="CR200" s="27">
        <f t="shared" si="1063"/>
        <v>9566.0443831185767</v>
      </c>
      <c r="CS200" s="27">
        <f t="shared" si="1063"/>
        <v>10135.731028720831</v>
      </c>
      <c r="CT200" s="27">
        <f t="shared" si="1063"/>
        <v>11962.592557651593</v>
      </c>
      <c r="CU200" s="27">
        <f t="shared" ref="CU200:DB200" si="1065">CU196+CU197-CU198</f>
        <v>10187.420943274561</v>
      </c>
      <c r="CV200" s="27">
        <f t="shared" si="1065"/>
        <v>11234.480041870891</v>
      </c>
      <c r="CW200" s="27">
        <f t="shared" si="1065"/>
        <v>11926.59711135173</v>
      </c>
      <c r="CX200" s="27">
        <f t="shared" si="1065"/>
        <v>14040.337732824717</v>
      </c>
      <c r="CY200" s="27">
        <f t="shared" si="1065"/>
        <v>11916.507553093754</v>
      </c>
      <c r="CZ200" s="27">
        <f t="shared" si="1065"/>
        <v>13152.678040295928</v>
      </c>
      <c r="DA200" s="27">
        <f t="shared" si="1065"/>
        <v>13968.178467217111</v>
      </c>
      <c r="DB200" s="27">
        <f t="shared" si="1065"/>
        <v>16410.403452528379</v>
      </c>
      <c r="DE200" s="121"/>
      <c r="DF200" s="26">
        <v>27698.249999999935</v>
      </c>
    </row>
    <row r="201" spans="1:110" s="23" customFormat="1" x14ac:dyDescent="0.2">
      <c r="A201" s="23" t="s">
        <v>21</v>
      </c>
      <c r="B201" s="23">
        <f>'Annual Raw'!C30</f>
        <v>23.64</v>
      </c>
      <c r="C201" s="23">
        <f>'Annual Raw'!D30</f>
        <v>99.6</v>
      </c>
      <c r="D201" s="23">
        <f>'Annual Raw'!E30</f>
        <v>95.31</v>
      </c>
      <c r="E201" s="23">
        <f>'Annual Raw'!F30</f>
        <v>297.01</v>
      </c>
      <c r="F201" s="23">
        <f>'Annual Raw'!G30</f>
        <v>277.54000000000002</v>
      </c>
      <c r="G201" s="23">
        <f>'Annual Raw'!H30</f>
        <v>431.34</v>
      </c>
      <c r="H201" s="23">
        <f>'Annual Raw'!I30</f>
        <v>732.72</v>
      </c>
      <c r="I201" s="23">
        <f>'Annual Raw'!J30</f>
        <v>1147.1199999999999</v>
      </c>
      <c r="J201" s="23">
        <f>'Annual Raw'!K30</f>
        <v>1424.87</v>
      </c>
      <c r="K201" s="23">
        <f>'Annual Raw'!L30</f>
        <v>2037.4</v>
      </c>
      <c r="L201" s="23">
        <f>'Annual Raw'!M30</f>
        <v>2345.56</v>
      </c>
      <c r="M201" s="23">
        <f>'Annual Raw'!N30</f>
        <v>2282.5500000000002</v>
      </c>
      <c r="N201" s="23">
        <f>'Annual Raw'!O30</f>
        <v>2385.54</v>
      </c>
      <c r="O201" s="23">
        <f>'Annual Raw'!P30</f>
        <v>2607.58</v>
      </c>
      <c r="P201" s="23">
        <f>'Annual Raw'!Q30</f>
        <v>2253.2399999999998</v>
      </c>
      <c r="Q201" s="23">
        <f>'Annual Raw'!R30</f>
        <v>2436.96</v>
      </c>
      <c r="R201" s="23">
        <f>'Annual Raw'!S30</f>
        <v>2006.59</v>
      </c>
      <c r="S201" s="23">
        <f>'Annual Raw'!T30</f>
        <v>3198.87</v>
      </c>
      <c r="T201" s="23">
        <f>'Annual Raw'!U30</f>
        <v>4067.09</v>
      </c>
      <c r="U201" s="23">
        <f>'Annual Raw'!V30</f>
        <v>3263.2</v>
      </c>
      <c r="V201" s="23">
        <f>'Annual Raw'!W30</f>
        <v>4010.82</v>
      </c>
      <c r="W201" s="23">
        <f>'Annual Raw'!X30</f>
        <v>4203.92</v>
      </c>
      <c r="X201" s="23">
        <f>'Annual Raw'!Y30</f>
        <v>4484.16</v>
      </c>
      <c r="Y201" s="23">
        <f>'Annual Raw'!Z30</f>
        <v>4947.3900000000003</v>
      </c>
      <c r="Z201" s="23">
        <f>'Annual Raw'!AA30</f>
        <v>5891.4</v>
      </c>
      <c r="AA201" s="23">
        <f>'Annual Raw'!AB30</f>
        <v>6816.41</v>
      </c>
      <c r="AB201" s="24">
        <f>+SUM(CM201:CP201)</f>
        <v>8597.3299112994719</v>
      </c>
      <c r="AC201" s="24">
        <f>+SUM(CQ201:CT201)</f>
        <v>10086.407304386476</v>
      </c>
      <c r="AD201" s="24">
        <f>+SUM(CU201:CX201)</f>
        <v>11847.208957330475</v>
      </c>
      <c r="AE201" s="24">
        <f>+SUM(CY201:DB201)</f>
        <v>13861.941878283793</v>
      </c>
      <c r="AI201" s="23">
        <f>'QTR Raw'!C29</f>
        <v>370.49</v>
      </c>
      <c r="AJ201" s="23">
        <f>'QTR Raw'!D29</f>
        <v>425.66</v>
      </c>
      <c r="AK201" s="23">
        <f>'QTR Raw'!E29</f>
        <v>392.85</v>
      </c>
      <c r="AL201" s="23">
        <f>'QTR Raw'!F29</f>
        <v>467.31</v>
      </c>
      <c r="AM201" s="23">
        <f>'QTR Raw'!G29</f>
        <v>472.02</v>
      </c>
      <c r="AN201" s="23">
        <f>'QTR Raw'!H29</f>
        <v>598.79999999999995</v>
      </c>
      <c r="AO201" s="23">
        <f>'QTR Raw'!I29</f>
        <v>669.43</v>
      </c>
      <c r="AP201" s="23">
        <f>'QTR Raw'!J29</f>
        <v>888.14</v>
      </c>
      <c r="AQ201" s="23">
        <f>'QTR Raw'!K29</f>
        <v>448.98</v>
      </c>
      <c r="AR201" s="23">
        <f>'QTR Raw'!L29</f>
        <v>469.18</v>
      </c>
      <c r="AS201" s="23">
        <f>'QTR Raw'!M29</f>
        <v>569.30999999999995</v>
      </c>
      <c r="AT201" s="23">
        <f>'QTR Raw'!N29</f>
        <v>765.77</v>
      </c>
      <c r="AU201" s="23">
        <f>'QTR Raw'!O29</f>
        <v>428.24</v>
      </c>
      <c r="AV201" s="23">
        <f>'QTR Raw'!P29</f>
        <v>534.67999999999995</v>
      </c>
      <c r="AW201" s="23">
        <f>'QTR Raw'!Q29</f>
        <v>512.37</v>
      </c>
      <c r="AX201" s="23">
        <f>'QTR Raw'!R29</f>
        <v>1009.43</v>
      </c>
      <c r="AY201" s="23">
        <f>'QTR Raw'!S29</f>
        <v>548.79999999999995</v>
      </c>
      <c r="AZ201" s="23">
        <f>'QTR Raw'!T29</f>
        <v>680.71</v>
      </c>
      <c r="BA201" s="23">
        <f>'QTR Raw'!U29</f>
        <v>439.85</v>
      </c>
      <c r="BB201" s="23">
        <f>'QTR Raw'!V29</f>
        <v>337.22</v>
      </c>
      <c r="BC201" s="23">
        <f>'QTR Raw'!W29</f>
        <v>459.72</v>
      </c>
      <c r="BD201" s="23">
        <f>'QTR Raw'!X29</f>
        <v>543.94000000000005</v>
      </c>
      <c r="BE201" s="23">
        <f>'QTR Raw'!Y29</f>
        <v>737.24</v>
      </c>
      <c r="BF201" s="23">
        <f>'QTR Raw'!Z29</f>
        <v>1457.98</v>
      </c>
      <c r="BG201" s="23">
        <f>'QTR Raw'!AA29</f>
        <v>889.56</v>
      </c>
      <c r="BH201" s="23">
        <f>'QTR Raw'!AB29</f>
        <v>817.07</v>
      </c>
      <c r="BI201" s="23">
        <f>'QTR Raw'!AC29</f>
        <v>1126.07</v>
      </c>
      <c r="BJ201" s="23">
        <f>'QTR Raw'!AD29</f>
        <v>1234.3800000000001</v>
      </c>
      <c r="BK201" s="23">
        <f>'QTR Raw'!AE29</f>
        <v>794.79</v>
      </c>
      <c r="BL201" s="23">
        <f>'QTR Raw'!AF29</f>
        <v>791.12</v>
      </c>
      <c r="BM201" s="23">
        <f>'QTR Raw'!AG29</f>
        <v>711</v>
      </c>
      <c r="BN201" s="23">
        <f>'QTR Raw'!AH29</f>
        <v>966.29</v>
      </c>
      <c r="BO201" s="23">
        <f>'QTR Raw'!AI29</f>
        <v>256.44</v>
      </c>
      <c r="BP201" s="23">
        <f>'QTR Raw'!AJ29</f>
        <v>675.36</v>
      </c>
      <c r="BQ201" s="23">
        <f>'QTR Raw'!AK29</f>
        <v>1040.75</v>
      </c>
      <c r="BR201" s="23">
        <f>'QTR Raw'!AL29</f>
        <v>2086.71</v>
      </c>
      <c r="BS201" s="23">
        <f>'QTR Raw'!AM29</f>
        <v>718.44</v>
      </c>
      <c r="BT201" s="23">
        <f>'QTR Raw'!AN29</f>
        <v>884.52</v>
      </c>
      <c r="BU201" s="23">
        <f>'QTR Raw'!AO29</f>
        <v>1057.06</v>
      </c>
      <c r="BV201" s="23">
        <f>'QTR Raw'!AP29</f>
        <v>1551.15</v>
      </c>
      <c r="BW201" s="23">
        <f>'QTR Raw'!AQ29</f>
        <v>635.66999999999996</v>
      </c>
      <c r="BX201" s="23">
        <f>'QTR Raw'!AR29</f>
        <v>1117.3499999999999</v>
      </c>
      <c r="BY201" s="23">
        <f>'QTR Raw'!AS29</f>
        <v>1270.5</v>
      </c>
      <c r="BZ201" s="23">
        <f>'QTR Raw'!AT29</f>
        <v>1460.62</v>
      </c>
      <c r="CA201" s="23">
        <f>'QTR Raw'!AU29</f>
        <v>1216.25</v>
      </c>
      <c r="CB201" s="23">
        <f>'QTR Raw'!AV29</f>
        <v>1135.52</v>
      </c>
      <c r="CC201" s="23">
        <f>'QTR Raw'!AW29</f>
        <v>1177.32</v>
      </c>
      <c r="CD201" s="23">
        <f>'QTR Raw'!AX29</f>
        <v>1418.3</v>
      </c>
      <c r="CE201" s="23">
        <f>'QTR Raw'!AY29</f>
        <v>1236.54</v>
      </c>
      <c r="CF201" s="23">
        <f>'QTR Raw'!AZ29</f>
        <v>1442.28</v>
      </c>
      <c r="CG201" s="23">
        <f>'QTR Raw'!BA29</f>
        <v>1332</v>
      </c>
      <c r="CH201" s="23">
        <f>'QTR Raw'!BB29</f>
        <v>1880.58</v>
      </c>
      <c r="CI201" s="23">
        <f>'QTR Raw'!BC29</f>
        <v>1533.96</v>
      </c>
      <c r="CJ201" s="23">
        <f>'QTR Raw'!BD29</f>
        <v>1649.02</v>
      </c>
      <c r="CK201" s="23">
        <f>'QTR Raw'!BE29</f>
        <v>1987.99</v>
      </c>
      <c r="CL201" s="23">
        <f>'QTR Raw'!BF29</f>
        <v>2092.75</v>
      </c>
      <c r="CM201" s="24">
        <f t="shared" ref="CM201:DB201" si="1066">+CM200*CM202</f>
        <v>1896.9068861517796</v>
      </c>
      <c r="CN201" s="24">
        <f t="shared" si="1066"/>
        <v>2063.7154226430971</v>
      </c>
      <c r="CO201" s="24">
        <f t="shared" si="1066"/>
        <v>2157.306552601317</v>
      </c>
      <c r="CP201" s="24">
        <f t="shared" si="1066"/>
        <v>2479.4010499032775</v>
      </c>
      <c r="CQ201" s="24">
        <f t="shared" si="1066"/>
        <v>2170.3153120137258</v>
      </c>
      <c r="CR201" s="24">
        <f t="shared" si="1066"/>
        <v>2391.5110957796442</v>
      </c>
      <c r="CS201" s="24">
        <f t="shared" si="1066"/>
        <v>2533.9327571802078</v>
      </c>
      <c r="CT201" s="24">
        <f t="shared" si="1066"/>
        <v>2990.6481394128982</v>
      </c>
      <c r="CU201" s="24">
        <f t="shared" si="1066"/>
        <v>2546.8552358186403</v>
      </c>
      <c r="CV201" s="24">
        <f t="shared" si="1066"/>
        <v>2808.6200104677228</v>
      </c>
      <c r="CW201" s="24">
        <f t="shared" si="1066"/>
        <v>2981.6492778379325</v>
      </c>
      <c r="CX201" s="24">
        <f t="shared" si="1066"/>
        <v>3510.0844332061793</v>
      </c>
      <c r="CY201" s="24">
        <f t="shared" si="1066"/>
        <v>2979.1268882734385</v>
      </c>
      <c r="CZ201" s="24">
        <f t="shared" si="1066"/>
        <v>3288.1695100739821</v>
      </c>
      <c r="DA201" s="24">
        <f t="shared" si="1066"/>
        <v>3492.0446168042777</v>
      </c>
      <c r="DB201" s="24">
        <f t="shared" si="1066"/>
        <v>4102.6008631320947</v>
      </c>
      <c r="DE201" s="123"/>
      <c r="DF201" s="23">
        <v>6816.41</v>
      </c>
    </row>
    <row r="202" spans="1:110" s="90" customFormat="1" x14ac:dyDescent="0.2">
      <c r="A202" s="90" t="s">
        <v>106</v>
      </c>
      <c r="B202" s="90">
        <f t="shared" ref="B202:E202" si="1067">B201/B200</f>
        <v>6.9796279893711066E-2</v>
      </c>
      <c r="C202" s="90">
        <f t="shared" si="1067"/>
        <v>0.24087061668681956</v>
      </c>
      <c r="D202" s="90">
        <f t="shared" si="1067"/>
        <v>0.19860387580745972</v>
      </c>
      <c r="E202" s="90">
        <f t="shared" si="1067"/>
        <v>0.3223429309427942</v>
      </c>
      <c r="F202" s="90">
        <f t="shared" ref="F202:T202" si="1068">F201/F200</f>
        <v>0.19750503476299275</v>
      </c>
      <c r="G202" s="90">
        <f t="shared" si="1068"/>
        <v>0.25855836954892908</v>
      </c>
      <c r="H202" s="90">
        <f t="shared" si="1068"/>
        <v>0.24383117639424565</v>
      </c>
      <c r="I202" s="90">
        <f t="shared" si="1068"/>
        <v>0.33555060228981254</v>
      </c>
      <c r="J202" s="90">
        <f t="shared" si="1068"/>
        <v>0.32678031249928374</v>
      </c>
      <c r="K202" s="90">
        <f t="shared" si="1068"/>
        <v>0.27737275963704938</v>
      </c>
      <c r="L202" s="90">
        <f t="shared" si="1068"/>
        <v>0.35949593690321824</v>
      </c>
      <c r="M202" s="90">
        <f t="shared" si="1068"/>
        <v>0.33000373008093392</v>
      </c>
      <c r="N202" s="90">
        <f t="shared" si="1068"/>
        <v>0.33026768470383028</v>
      </c>
      <c r="O202" s="90">
        <f t="shared" si="1068"/>
        <v>0.36583596741178465</v>
      </c>
      <c r="P202" s="90">
        <f t="shared" si="1068"/>
        <v>0.32800449520637537</v>
      </c>
      <c r="Q202" s="90">
        <f t="shared" si="1068"/>
        <v>0.30748731925202466</v>
      </c>
      <c r="R202" s="90">
        <f t="shared" si="1068"/>
        <v>0.22890782837645277</v>
      </c>
      <c r="S202" s="90">
        <f t="shared" si="1068"/>
        <v>0.27777227825941952</v>
      </c>
      <c r="T202" s="90">
        <f t="shared" si="1068"/>
        <v>0.30259757942173743</v>
      </c>
      <c r="U202" s="90">
        <f t="shared" ref="U202:Z202" si="1069">U201/U200</f>
        <v>0.24296122016685376</v>
      </c>
      <c r="V202" s="90">
        <f t="shared" si="1069"/>
        <v>0.32779385083116774</v>
      </c>
      <c r="W202" s="90">
        <f t="shared" si="1069"/>
        <v>0.29197863042469607</v>
      </c>
      <c r="X202" s="90">
        <f t="shared" si="1069"/>
        <v>0.26419309681706971</v>
      </c>
      <c r="Y202" s="90">
        <f t="shared" si="1069"/>
        <v>0.24224006658995731</v>
      </c>
      <c r="Z202" s="90">
        <f t="shared" si="1069"/>
        <v>0.25499469572597999</v>
      </c>
      <c r="AA202" s="90">
        <f t="shared" ref="AA202" si="1070">AA201/AA200</f>
        <v>0.24609533093246022</v>
      </c>
      <c r="AB202" s="91">
        <f t="shared" ref="AB202:AD202" si="1071">AB201/AB200</f>
        <v>0.25000000000000006</v>
      </c>
      <c r="AC202" s="91">
        <f t="shared" si="1071"/>
        <v>0.24999999999999969</v>
      </c>
      <c r="AD202" s="91">
        <f t="shared" si="1071"/>
        <v>0.25</v>
      </c>
      <c r="AE202" s="91">
        <f t="shared" ref="AE202" si="1072">AE201/AE200</f>
        <v>0.25000000000000006</v>
      </c>
      <c r="AI202" s="90">
        <f t="shared" ref="AI202" si="1073">AI201/AI200</f>
        <v>0.29115585313718079</v>
      </c>
      <c r="AJ202" s="90">
        <f t="shared" ref="AJ202" si="1074">AJ201/AJ200</f>
        <v>0.32849458631414019</v>
      </c>
      <c r="AK202" s="90">
        <f t="shared" ref="AK202:AM202" si="1075">AK201/AK200</f>
        <v>0.27939377560309514</v>
      </c>
      <c r="AL202" s="90">
        <f t="shared" si="1075"/>
        <v>0.22701481661403955</v>
      </c>
      <c r="AM202" s="90">
        <f t="shared" si="1075"/>
        <v>0.54320731917831733</v>
      </c>
      <c r="AN202" s="90">
        <f t="shared" ref="AN202:AO202" si="1076">AN201/AN200</f>
        <v>0.42912734074344777</v>
      </c>
      <c r="AO202" s="90">
        <f t="shared" si="1076"/>
        <v>0.49334158725947314</v>
      </c>
      <c r="AP202" s="90">
        <f t="shared" ref="AP202:CD202" si="1077">AP201/AP200</f>
        <v>0.25328679066637028</v>
      </c>
      <c r="AQ202" s="90">
        <f t="shared" si="1077"/>
        <v>0.37219597115145425</v>
      </c>
      <c r="AR202" s="90">
        <f t="shared" si="1077"/>
        <v>0.35822650469944178</v>
      </c>
      <c r="AS202" s="90">
        <f t="shared" si="1077"/>
        <v>0.37326418483890905</v>
      </c>
      <c r="AT202" s="90">
        <f t="shared" si="1077"/>
        <v>0.27075370630310219</v>
      </c>
      <c r="AU202" s="90">
        <f t="shared" si="1077"/>
        <v>0.40051626419258779</v>
      </c>
      <c r="AV202" s="90">
        <f t="shared" si="1077"/>
        <v>0.35998357223168576</v>
      </c>
      <c r="AW202" s="90">
        <f t="shared" si="1077"/>
        <v>0.32126733716234834</v>
      </c>
      <c r="AX202" s="90">
        <f t="shared" si="1077"/>
        <v>0.26732786016949112</v>
      </c>
      <c r="AY202" s="90">
        <f t="shared" si="1077"/>
        <v>0.39055772611143202</v>
      </c>
      <c r="AZ202" s="90">
        <f t="shared" si="1077"/>
        <v>0.34604396274756999</v>
      </c>
      <c r="BA202" s="90">
        <f t="shared" si="1077"/>
        <v>0.26206506196377494</v>
      </c>
      <c r="BB202" s="90">
        <f t="shared" si="1077"/>
        <v>9.0766679945306392E-2</v>
      </c>
      <c r="BC202" s="90">
        <f t="shared" si="1077"/>
        <v>0.30140435073364491</v>
      </c>
      <c r="BD202" s="90">
        <f t="shared" si="1077"/>
        <v>0.21429809631870914</v>
      </c>
      <c r="BE202" s="90">
        <f t="shared" si="1077"/>
        <v>0.29025996779438801</v>
      </c>
      <c r="BF202" s="90">
        <f t="shared" si="1077"/>
        <v>0.29677471884382473</v>
      </c>
      <c r="BG202" s="90">
        <f t="shared" si="1077"/>
        <v>0.44097657702317611</v>
      </c>
      <c r="BH202" s="90">
        <f t="shared" si="1077"/>
        <v>0.26579939557776316</v>
      </c>
      <c r="BI202" s="90">
        <f t="shared" si="1077"/>
        <v>0.3310782601537095</v>
      </c>
      <c r="BJ202" s="90">
        <f t="shared" si="1077"/>
        <v>0.24946545138538007</v>
      </c>
      <c r="BK202" s="90">
        <f t="shared" si="1077"/>
        <v>0.29933000154412226</v>
      </c>
      <c r="BL202" s="90">
        <f t="shared" si="1077"/>
        <v>0.23953372189841821</v>
      </c>
      <c r="BM202" s="90">
        <f t="shared" si="1077"/>
        <v>0.22058618218370984</v>
      </c>
      <c r="BN202" s="90">
        <f t="shared" si="1077"/>
        <v>0.22737626301844358</v>
      </c>
      <c r="BO202" s="90">
        <f t="shared" si="1077"/>
        <v>0.38289485471974055</v>
      </c>
      <c r="BP202" s="90">
        <f t="shared" si="1077"/>
        <v>0.31585445701992299</v>
      </c>
      <c r="BQ202" s="90">
        <f t="shared" si="1077"/>
        <v>0.28277407960874912</v>
      </c>
      <c r="BR202" s="90">
        <f t="shared" si="1077"/>
        <v>0.36307278472202931</v>
      </c>
      <c r="BS202" s="90">
        <f t="shared" si="1077"/>
        <v>0.31585055965392039</v>
      </c>
      <c r="BT202" s="90">
        <f t="shared" si="1077"/>
        <v>0.29299219588462122</v>
      </c>
      <c r="BU202" s="90">
        <f t="shared" si="1077"/>
        <v>0.29743494507473422</v>
      </c>
      <c r="BV202" s="90">
        <f t="shared" si="1077"/>
        <v>0.27909374375878293</v>
      </c>
      <c r="BW202" s="90">
        <f t="shared" si="1077"/>
        <v>0.21705000204870478</v>
      </c>
      <c r="BX202" s="90">
        <f t="shared" si="1077"/>
        <v>0.28383991058160091</v>
      </c>
      <c r="BY202" s="90">
        <f t="shared" si="1077"/>
        <v>0.30246831284341585</v>
      </c>
      <c r="BZ202" s="90">
        <f t="shared" si="1077"/>
        <v>0.2472542726361692</v>
      </c>
      <c r="CA202" s="90">
        <f t="shared" si="1077"/>
        <v>0.28073548658124808</v>
      </c>
      <c r="CB202" s="90">
        <f t="shared" si="1077"/>
        <v>0.22751033345555155</v>
      </c>
      <c r="CC202" s="90">
        <f t="shared" si="1077"/>
        <v>0.2467229553441764</v>
      </c>
      <c r="CD202" s="90">
        <f t="shared" si="1077"/>
        <v>0.22412270097641832</v>
      </c>
      <c r="CE202" s="90">
        <f t="shared" ref="CE202:CF202" si="1078">CE201/CE200</f>
        <v>0.26440721456598165</v>
      </c>
      <c r="CF202" s="90">
        <f t="shared" si="1078"/>
        <v>0.25963215717477106</v>
      </c>
      <c r="CG202" s="90">
        <f t="shared" ref="CG202:CH202" si="1079">CG201/CG200</f>
        <v>0.24976420533917884</v>
      </c>
      <c r="CH202" s="90">
        <f t="shared" si="1079"/>
        <v>0.24943893548951879</v>
      </c>
      <c r="CI202" s="90">
        <f t="shared" ref="CI202:CJ202" si="1080">CI201/CI200</f>
        <v>0.26178891481057381</v>
      </c>
      <c r="CJ202" s="90">
        <f t="shared" si="1080"/>
        <v>0.26025747659052639</v>
      </c>
      <c r="CK202" s="90">
        <f t="shared" ref="CK202:CL202" si="1081">CK201/CK200</f>
        <v>0.27761423715748412</v>
      </c>
      <c r="CL202" s="90">
        <f t="shared" si="1081"/>
        <v>0.25088022364933488</v>
      </c>
      <c r="CM202" s="91">
        <v>0.25</v>
      </c>
      <c r="CN202" s="91">
        <f t="shared" ref="CN202:DB202" si="1082">+CM202</f>
        <v>0.25</v>
      </c>
      <c r="CO202" s="91">
        <f t="shared" si="1082"/>
        <v>0.25</v>
      </c>
      <c r="CP202" s="91">
        <f t="shared" si="1082"/>
        <v>0.25</v>
      </c>
      <c r="CQ202" s="91">
        <f t="shared" si="1082"/>
        <v>0.25</v>
      </c>
      <c r="CR202" s="91">
        <f t="shared" si="1082"/>
        <v>0.25</v>
      </c>
      <c r="CS202" s="91">
        <f t="shared" si="1082"/>
        <v>0.25</v>
      </c>
      <c r="CT202" s="91">
        <f t="shared" si="1082"/>
        <v>0.25</v>
      </c>
      <c r="CU202" s="91">
        <f t="shared" si="1082"/>
        <v>0.25</v>
      </c>
      <c r="CV202" s="91">
        <f t="shared" si="1082"/>
        <v>0.25</v>
      </c>
      <c r="CW202" s="91">
        <f t="shared" si="1082"/>
        <v>0.25</v>
      </c>
      <c r="CX202" s="91">
        <f t="shared" si="1082"/>
        <v>0.25</v>
      </c>
      <c r="CY202" s="91">
        <f t="shared" si="1082"/>
        <v>0.25</v>
      </c>
      <c r="CZ202" s="91">
        <f t="shared" si="1082"/>
        <v>0.25</v>
      </c>
      <c r="DA202" s="91">
        <f t="shared" si="1082"/>
        <v>0.25</v>
      </c>
      <c r="DB202" s="91">
        <f t="shared" si="1082"/>
        <v>0.25</v>
      </c>
      <c r="DE202" s="127"/>
      <c r="DF202" s="90">
        <v>0.24609533093246022</v>
      </c>
    </row>
    <row r="203" spans="1:110" s="26" customFormat="1" x14ac:dyDescent="0.2">
      <c r="A203" s="26" t="s">
        <v>22</v>
      </c>
      <c r="B203" s="26">
        <f t="shared" ref="B203:E203" si="1083">B200-B201</f>
        <v>315.06000000000091</v>
      </c>
      <c r="C203" s="26">
        <f t="shared" si="1083"/>
        <v>313.90000000000043</v>
      </c>
      <c r="D203" s="26">
        <f t="shared" si="1083"/>
        <v>384.59000000000037</v>
      </c>
      <c r="E203" s="26">
        <f t="shared" si="1083"/>
        <v>624.4</v>
      </c>
      <c r="F203" s="26">
        <f t="shared" ref="F203:T203" si="1084">F200-F201</f>
        <v>1127.6899999999987</v>
      </c>
      <c r="G203" s="26">
        <f t="shared" si="1084"/>
        <v>1236.9099999999962</v>
      </c>
      <c r="H203" s="26">
        <f t="shared" si="1084"/>
        <v>2272.3100000000004</v>
      </c>
      <c r="I203" s="26">
        <f t="shared" si="1084"/>
        <v>2271.5000000000027</v>
      </c>
      <c r="J203" s="26">
        <f t="shared" si="1084"/>
        <v>2935.4599999999937</v>
      </c>
      <c r="K203" s="26">
        <f t="shared" si="1084"/>
        <v>5307.9499999999989</v>
      </c>
      <c r="L203" s="26">
        <f t="shared" si="1084"/>
        <v>4179.0200000000004</v>
      </c>
      <c r="M203" s="26">
        <f t="shared" si="1084"/>
        <v>4634.1900000000032</v>
      </c>
      <c r="N203" s="26">
        <f t="shared" si="1084"/>
        <v>4837.5099999999966</v>
      </c>
      <c r="O203" s="26">
        <f t="shared" si="1084"/>
        <v>4520.1500000000005</v>
      </c>
      <c r="P203" s="26">
        <f t="shared" si="1084"/>
        <v>4616.2999999999884</v>
      </c>
      <c r="Q203" s="26">
        <f t="shared" si="1084"/>
        <v>5488.4400000000123</v>
      </c>
      <c r="R203" s="26">
        <f t="shared" si="1084"/>
        <v>6759.3400000000056</v>
      </c>
      <c r="S203" s="26">
        <f t="shared" si="1084"/>
        <v>8317.2900000000118</v>
      </c>
      <c r="T203" s="26">
        <f t="shared" si="1084"/>
        <v>9373.4999999999673</v>
      </c>
      <c r="U203" s="26">
        <f t="shared" ref="U203:Z203" si="1085">U200-U201</f>
        <v>10167.749999999982</v>
      </c>
      <c r="V203" s="26">
        <f t="shared" si="1085"/>
        <v>8224.9799999999941</v>
      </c>
      <c r="W203" s="26">
        <f t="shared" si="1085"/>
        <v>10194.12000000003</v>
      </c>
      <c r="X203" s="26">
        <f t="shared" si="1085"/>
        <v>12488.880000000012</v>
      </c>
      <c r="Y203" s="26">
        <f t="shared" si="1085"/>
        <v>15476.11000000003</v>
      </c>
      <c r="Z203" s="26">
        <f t="shared" si="1085"/>
        <v>17212.61</v>
      </c>
      <c r="AA203" s="26">
        <f t="shared" ref="AA203" si="1086">AA200-AA201</f>
        <v>20881.839999999935</v>
      </c>
      <c r="AB203" s="27">
        <f t="shared" ref="AB203:AD203" si="1087">AB200-AB201</f>
        <v>25791.989733898408</v>
      </c>
      <c r="AC203" s="27">
        <f t="shared" si="1087"/>
        <v>30259.221913159476</v>
      </c>
      <c r="AD203" s="27">
        <f t="shared" si="1087"/>
        <v>35541.626871991422</v>
      </c>
      <c r="AE203" s="27">
        <f t="shared" ref="AE203" si="1088">AE200-AE201</f>
        <v>41585.825634851368</v>
      </c>
      <c r="AI203" s="26">
        <f>AI200-AI201</f>
        <v>901.99000000000069</v>
      </c>
      <c r="AJ203" s="26">
        <f t="shared" ref="AJ203" si="1089">AJ200-AJ201</f>
        <v>870.13000000000079</v>
      </c>
      <c r="AK203" s="26">
        <f t="shared" ref="AK203:AM203" si="1090">AK200-AK201</f>
        <v>1013.2300000000001</v>
      </c>
      <c r="AL203" s="26">
        <f t="shared" si="1090"/>
        <v>1591.1899999999982</v>
      </c>
      <c r="AM203" s="26">
        <f t="shared" si="1090"/>
        <v>396.93000000000211</v>
      </c>
      <c r="AN203" s="26">
        <f t="shared" ref="AN203:AO203" si="1091">AN200-AN201</f>
        <v>796.59000000000083</v>
      </c>
      <c r="AO203" s="26">
        <f t="shared" si="1091"/>
        <v>687.50000000000625</v>
      </c>
      <c r="AP203" s="26">
        <f t="shared" ref="AP203:CD203" si="1092">AP200-AP201</f>
        <v>2618.3199999999974</v>
      </c>
      <c r="AQ203" s="26">
        <f t="shared" si="1092"/>
        <v>757.32000000000198</v>
      </c>
      <c r="AR203" s="26">
        <f t="shared" si="1092"/>
        <v>840.55000000000018</v>
      </c>
      <c r="AS203" s="26">
        <f t="shared" si="1092"/>
        <v>955.90999999999758</v>
      </c>
      <c r="AT203" s="26">
        <f t="shared" si="1092"/>
        <v>2062.5199999999963</v>
      </c>
      <c r="AU203" s="26">
        <f t="shared" si="1092"/>
        <v>640.9800000000032</v>
      </c>
      <c r="AV203" s="26">
        <f t="shared" si="1092"/>
        <v>950.60999999999842</v>
      </c>
      <c r="AW203" s="26">
        <f t="shared" si="1092"/>
        <v>1082.4700000000012</v>
      </c>
      <c r="AX203" s="26">
        <f t="shared" si="1092"/>
        <v>2766.5700000000056</v>
      </c>
      <c r="AY203" s="26">
        <f t="shared" si="1092"/>
        <v>856.36999999999762</v>
      </c>
      <c r="AZ203" s="26">
        <f t="shared" si="1092"/>
        <v>1286.4100000000003</v>
      </c>
      <c r="BA203" s="26">
        <f t="shared" si="1092"/>
        <v>1238.5500000000006</v>
      </c>
      <c r="BB203" s="26">
        <f t="shared" si="1092"/>
        <v>3378.0199999999986</v>
      </c>
      <c r="BC203" s="26">
        <f t="shared" si="1092"/>
        <v>1065.5400000000025</v>
      </c>
      <c r="BD203" s="26">
        <f t="shared" si="1092"/>
        <v>1994.2999999999988</v>
      </c>
      <c r="BE203" s="26">
        <f t="shared" si="1092"/>
        <v>1802.6900000000003</v>
      </c>
      <c r="BF203" s="26">
        <f t="shared" si="1092"/>
        <v>3454.77</v>
      </c>
      <c r="BG203" s="26">
        <f t="shared" si="1092"/>
        <v>1127.6899999999955</v>
      </c>
      <c r="BH203" s="26">
        <f t="shared" si="1092"/>
        <v>2256.940000000001</v>
      </c>
      <c r="BI203" s="26">
        <f t="shared" si="1092"/>
        <v>2275.1500000000005</v>
      </c>
      <c r="BJ203" s="26">
        <f t="shared" si="1092"/>
        <v>3713.7200000000039</v>
      </c>
      <c r="BK203" s="26">
        <f t="shared" si="1092"/>
        <v>1860.440000000001</v>
      </c>
      <c r="BL203" s="26">
        <f t="shared" si="1092"/>
        <v>2511.6299999999969</v>
      </c>
      <c r="BM203" s="26">
        <f t="shared" si="1092"/>
        <v>2512.2300000000041</v>
      </c>
      <c r="BN203" s="26">
        <f t="shared" si="1092"/>
        <v>3283.449999999998</v>
      </c>
      <c r="BO203" s="26">
        <f t="shared" si="1092"/>
        <v>413.30000000000251</v>
      </c>
      <c r="BP203" s="26">
        <f t="shared" si="1092"/>
        <v>1462.840000000002</v>
      </c>
      <c r="BQ203" s="26">
        <f t="shared" si="1092"/>
        <v>2639.7499999999959</v>
      </c>
      <c r="BR203" s="26">
        <f t="shared" si="1092"/>
        <v>3660.6499999999933</v>
      </c>
      <c r="BS203" s="26">
        <f t="shared" si="1092"/>
        <v>1556.1799999999989</v>
      </c>
      <c r="BT203" s="26">
        <f t="shared" si="1092"/>
        <v>2134.3999999999974</v>
      </c>
      <c r="BU203" s="26">
        <f t="shared" si="1092"/>
        <v>2496.8600000000015</v>
      </c>
      <c r="BV203" s="26">
        <f t="shared" si="1092"/>
        <v>4006.6599999999958</v>
      </c>
      <c r="BW203" s="26">
        <f t="shared" si="1092"/>
        <v>2293.0099999999966</v>
      </c>
      <c r="BX203" s="26">
        <f t="shared" si="1092"/>
        <v>2819.1999999999962</v>
      </c>
      <c r="BY203" s="26">
        <f t="shared" si="1092"/>
        <v>2929.9400000000078</v>
      </c>
      <c r="BZ203" s="26">
        <f t="shared" si="1092"/>
        <v>4446.739999999998</v>
      </c>
      <c r="CA203" s="26">
        <f t="shared" si="1092"/>
        <v>3116.1199999999935</v>
      </c>
      <c r="CB203" s="26">
        <f t="shared" si="1092"/>
        <v>3855.5500000000015</v>
      </c>
      <c r="CC203" s="26">
        <f t="shared" si="1092"/>
        <v>3594.5099999999948</v>
      </c>
      <c r="CD203" s="26">
        <f t="shared" si="1092"/>
        <v>4909.9300000000012</v>
      </c>
      <c r="CE203" s="26">
        <f t="shared" ref="CE203:CF203" si="1093">CE200-CE201</f>
        <v>3440.1100000000069</v>
      </c>
      <c r="CF203" s="26">
        <f t="shared" si="1093"/>
        <v>4112.810000000004</v>
      </c>
      <c r="CG203" s="26">
        <f t="shared" ref="CG203:CH203" si="1094">CG200-CG201</f>
        <v>4001.0299999999961</v>
      </c>
      <c r="CH203" s="26">
        <f t="shared" si="1094"/>
        <v>5658.6600000000017</v>
      </c>
      <c r="CI203" s="26">
        <f t="shared" ref="CI203:CJ203" si="1095">CI200-CI201</f>
        <v>4325.5699999999943</v>
      </c>
      <c r="CJ203" s="26">
        <f t="shared" si="1095"/>
        <v>4687.0899999999983</v>
      </c>
      <c r="CK203" s="26">
        <f t="shared" ref="CK203:CL203" si="1096">CK200-CK201</f>
        <v>5172.989999999998</v>
      </c>
      <c r="CL203" s="26">
        <f t="shared" si="1096"/>
        <v>6248.8799999999956</v>
      </c>
      <c r="CM203" s="27">
        <f t="shared" ref="CM203:DB203" si="1097">CM200-CM201</f>
        <v>5690.7206584553387</v>
      </c>
      <c r="CN203" s="27">
        <f t="shared" si="1097"/>
        <v>6191.1462679292908</v>
      </c>
      <c r="CO203" s="27">
        <f t="shared" si="1097"/>
        <v>6471.9196578039509</v>
      </c>
      <c r="CP203" s="27">
        <f t="shared" si="1097"/>
        <v>7438.2031497098324</v>
      </c>
      <c r="CQ203" s="27">
        <f t="shared" si="1097"/>
        <v>6510.9459360411774</v>
      </c>
      <c r="CR203" s="27">
        <f t="shared" si="1097"/>
        <v>7174.5332873389325</v>
      </c>
      <c r="CS203" s="27">
        <f t="shared" si="1097"/>
        <v>7601.7982715406233</v>
      </c>
      <c r="CT203" s="27">
        <f t="shared" si="1097"/>
        <v>8971.9444182386942</v>
      </c>
      <c r="CU203" s="27">
        <f t="shared" si="1097"/>
        <v>7640.5657074559203</v>
      </c>
      <c r="CV203" s="27">
        <f t="shared" si="1097"/>
        <v>8425.8600314031683</v>
      </c>
      <c r="CW203" s="27">
        <f t="shared" si="1097"/>
        <v>8944.9478335137974</v>
      </c>
      <c r="CX203" s="27">
        <f t="shared" si="1097"/>
        <v>10530.253299618538</v>
      </c>
      <c r="CY203" s="27">
        <f t="shared" si="1097"/>
        <v>8937.3806648203154</v>
      </c>
      <c r="CZ203" s="27">
        <f t="shared" si="1097"/>
        <v>9864.5085302219468</v>
      </c>
      <c r="DA203" s="27">
        <f t="shared" si="1097"/>
        <v>10476.133850412833</v>
      </c>
      <c r="DB203" s="27">
        <f t="shared" si="1097"/>
        <v>12307.802589396284</v>
      </c>
      <c r="DE203" s="121"/>
      <c r="DF203" s="26">
        <v>20881.839999999935</v>
      </c>
    </row>
    <row r="204" spans="1:110" s="45" customFormat="1" x14ac:dyDescent="0.2">
      <c r="A204" s="45" t="s">
        <v>107</v>
      </c>
      <c r="B204" s="45">
        <f t="shared" ref="B204:AE204" si="1098">+B203/B166</f>
        <v>4.2698867679047098E-2</v>
      </c>
      <c r="C204" s="45">
        <f t="shared" si="1098"/>
        <v>3.6124639789351619E-2</v>
      </c>
      <c r="D204" s="45">
        <f t="shared" si="1098"/>
        <v>3.7400309440663186E-2</v>
      </c>
      <c r="E204" s="45">
        <f t="shared" si="1098"/>
        <v>5.6899263517220133E-2</v>
      </c>
      <c r="F204" s="45">
        <f t="shared" si="1098"/>
        <v>7.7788408410355517E-2</v>
      </c>
      <c r="G204" s="45">
        <f t="shared" si="1098"/>
        <v>7.468672466127356E-2</v>
      </c>
      <c r="H204" s="45">
        <f t="shared" si="1098"/>
        <v>0.11077489925831895</v>
      </c>
      <c r="I204" s="45">
        <f t="shared" si="1098"/>
        <v>7.711279379838655E-2</v>
      </c>
      <c r="J204" s="45">
        <f t="shared" si="1098"/>
        <v>7.2460705792442695E-2</v>
      </c>
      <c r="K204" s="45">
        <f t="shared" si="1098"/>
        <v>0.12071808377568238</v>
      </c>
      <c r="L204" s="45">
        <f t="shared" si="1098"/>
        <v>8.0298164353165752E-2</v>
      </c>
      <c r="M204" s="45">
        <f t="shared" si="1098"/>
        <v>7.2056692640116507E-2</v>
      </c>
      <c r="N204" s="45">
        <f t="shared" si="1098"/>
        <v>6.493476334935161E-2</v>
      </c>
      <c r="O204" s="45">
        <f t="shared" si="1098"/>
        <v>5.3098026040663292E-2</v>
      </c>
      <c r="P204" s="45">
        <f t="shared" si="1098"/>
        <v>5.0174676086777295E-2</v>
      </c>
      <c r="Q204" s="45">
        <f t="shared" si="1098"/>
        <v>5.4275172048786902E-2</v>
      </c>
      <c r="R204" s="45">
        <f t="shared" si="1098"/>
        <v>6.1835404609986842E-2</v>
      </c>
      <c r="S204" s="45">
        <f t="shared" si="1098"/>
        <v>6.9494237952941851E-2</v>
      </c>
      <c r="T204" s="45">
        <f t="shared" si="1098"/>
        <v>6.932021814181856E-2</v>
      </c>
      <c r="U204" s="45">
        <f t="shared" si="1098"/>
        <v>6.9904331562581606E-2</v>
      </c>
      <c r="V204" s="45">
        <f t="shared" si="1098"/>
        <v>6.0487120697948753E-2</v>
      </c>
      <c r="W204" s="45">
        <f t="shared" si="1098"/>
        <v>6.5129311851178456E-2</v>
      </c>
      <c r="X204" s="45">
        <f t="shared" si="1098"/>
        <v>6.8118426514134675E-2</v>
      </c>
      <c r="Y204" s="45">
        <f t="shared" si="1098"/>
        <v>6.9991887854942661E-2</v>
      </c>
      <c r="Z204" s="45">
        <f t="shared" si="1098"/>
        <v>6.7306575238494468E-2</v>
      </c>
      <c r="AA204" s="45">
        <f t="shared" ref="AA204" si="1099">+AA203/AA166</f>
        <v>7.304551551947483E-2</v>
      </c>
      <c r="AB204" s="48">
        <f t="shared" si="1098"/>
        <v>7.8421817605320687E-2</v>
      </c>
      <c r="AC204" s="48">
        <f t="shared" si="1098"/>
        <v>7.9846483718295169E-2</v>
      </c>
      <c r="AD204" s="48">
        <f t="shared" si="1098"/>
        <v>8.1357482698443506E-2</v>
      </c>
      <c r="AE204" s="48">
        <f t="shared" si="1098"/>
        <v>8.2571187472857327E-2</v>
      </c>
      <c r="AI204" s="45">
        <f t="shared" ref="AI204:BN204" si="1100">+AI203/AI166</f>
        <v>7.5446557398988798E-2</v>
      </c>
      <c r="AJ204" s="45">
        <f t="shared" si="1100"/>
        <v>6.5942768712633326E-2</v>
      </c>
      <c r="AK204" s="45">
        <f t="shared" si="1100"/>
        <v>7.8732087270986711E-2</v>
      </c>
      <c r="AL204" s="45">
        <f t="shared" si="1100"/>
        <v>8.8029719622031821E-2</v>
      </c>
      <c r="AM204" s="45">
        <f t="shared" si="1100"/>
        <v>2.3022259548962656E-2</v>
      </c>
      <c r="AN204" s="45">
        <f t="shared" si="1100"/>
        <v>4.1639202185798106E-2</v>
      </c>
      <c r="AO204" s="45">
        <f t="shared" si="1100"/>
        <v>3.1634866914991074E-2</v>
      </c>
      <c r="AP204" s="45">
        <f t="shared" si="1100"/>
        <v>9.6888189596412599E-2</v>
      </c>
      <c r="AQ204" s="45">
        <f t="shared" si="1100"/>
        <v>3.9911988300241216E-2</v>
      </c>
      <c r="AR204" s="45">
        <f t="shared" si="1100"/>
        <v>3.9724755250043139E-2</v>
      </c>
      <c r="AS204" s="45">
        <f t="shared" si="1100"/>
        <v>4.0083680464410548E-2</v>
      </c>
      <c r="AT204" s="45">
        <f t="shared" si="1100"/>
        <v>7.3601968695289607E-2</v>
      </c>
      <c r="AU204" s="45">
        <f t="shared" si="1100"/>
        <v>3.1971883816235398E-2</v>
      </c>
      <c r="AV204" s="45">
        <f t="shared" si="1100"/>
        <v>4.1110161619271772E-2</v>
      </c>
      <c r="AW204" s="45">
        <f t="shared" si="1100"/>
        <v>4.1748961646586161E-2</v>
      </c>
      <c r="AX204" s="45">
        <f t="shared" si="1100"/>
        <v>8.4152915042230686E-2</v>
      </c>
      <c r="AY204" s="45">
        <f t="shared" si="1100"/>
        <v>3.9415866224380869E-2</v>
      </c>
      <c r="AZ204" s="45">
        <f t="shared" si="1100"/>
        <v>5.1754151987212851E-2</v>
      </c>
      <c r="BA204" s="45">
        <f t="shared" si="1100"/>
        <v>4.7435157971657274E-2</v>
      </c>
      <c r="BB204" s="45">
        <f t="shared" si="1100"/>
        <v>9.224839522058921E-2</v>
      </c>
      <c r="BC204" s="45">
        <f t="shared" si="1100"/>
        <v>4.4750187414561111E-2</v>
      </c>
      <c r="BD204" s="45">
        <f t="shared" si="1100"/>
        <v>7.5408102920735812E-2</v>
      </c>
      <c r="BE204" s="45">
        <f t="shared" si="1100"/>
        <v>6.2707822780803169E-2</v>
      </c>
      <c r="BF204" s="45">
        <f t="shared" si="1100"/>
        <v>8.4929482940451995E-2</v>
      </c>
      <c r="BG204" s="45">
        <f t="shared" si="1100"/>
        <v>4.1758918887292711E-2</v>
      </c>
      <c r="BH204" s="45">
        <f t="shared" si="1100"/>
        <v>7.3568369388877383E-2</v>
      </c>
      <c r="BI204" s="45">
        <f t="shared" si="1100"/>
        <v>6.645886131782594E-2</v>
      </c>
      <c r="BJ204" s="45">
        <f t="shared" si="1100"/>
        <v>8.5760471464134541E-2</v>
      </c>
      <c r="BK204" s="45">
        <f t="shared" si="1100"/>
        <v>6.2776458996590317E-2</v>
      </c>
      <c r="BL204" s="45">
        <f t="shared" si="1100"/>
        <v>7.1093693609541236E-2</v>
      </c>
      <c r="BM204" s="45">
        <f t="shared" si="1100"/>
        <v>6.9316893783793146E-2</v>
      </c>
      <c r="BN204" s="45">
        <f t="shared" si="1100"/>
        <v>7.4210175639073769E-2</v>
      </c>
      <c r="BO204" s="45">
        <f t="shared" ref="BO204:CT204" si="1101">+BO203/BO166</f>
        <v>1.9440290837663576E-2</v>
      </c>
      <c r="BP204" s="45">
        <f t="shared" si="1101"/>
        <v>4.7135564854095827E-2</v>
      </c>
      <c r="BQ204" s="45">
        <f t="shared" si="1101"/>
        <v>7.4157738334360485E-2</v>
      </c>
      <c r="BR204" s="45">
        <f t="shared" si="1101"/>
        <v>7.6124139336506552E-2</v>
      </c>
      <c r="BS204" s="45">
        <f t="shared" si="1101"/>
        <v>5.3049065050198144E-2</v>
      </c>
      <c r="BT204" s="45">
        <f t="shared" si="1101"/>
        <v>6.138113300875099E-2</v>
      </c>
      <c r="BU204" s="45">
        <f t="shared" si="1101"/>
        <v>6.3111115155302031E-2</v>
      </c>
      <c r="BV204" s="45">
        <f t="shared" si="1101"/>
        <v>7.5810959444790313E-2</v>
      </c>
      <c r="BW204" s="45">
        <f t="shared" si="1101"/>
        <v>6.39555186147958E-2</v>
      </c>
      <c r="BX204" s="45">
        <f t="shared" si="1101"/>
        <v>6.5926752366144079E-2</v>
      </c>
      <c r="BY204" s="45">
        <f t="shared" si="1101"/>
        <v>6.3159251661790747E-2</v>
      </c>
      <c r="BZ204" s="45">
        <f t="shared" si="1101"/>
        <v>7.6227454630698604E-2</v>
      </c>
      <c r="CA204" s="45">
        <f t="shared" si="1101"/>
        <v>6.5078650033404642E-2</v>
      </c>
      <c r="CB204" s="45">
        <f t="shared" si="1101"/>
        <v>7.5563401094856486E-2</v>
      </c>
      <c r="CC204" s="45">
        <f t="shared" si="1101"/>
        <v>6.5203195047436935E-2</v>
      </c>
      <c r="CD204" s="45">
        <f t="shared" si="1101"/>
        <v>7.3196580493235727E-2</v>
      </c>
      <c r="CE204" s="45">
        <f t="shared" si="1101"/>
        <v>6.2411488281347925E-2</v>
      </c>
      <c r="CF204" s="45">
        <f t="shared" si="1101"/>
        <v>6.6815661807781063E-2</v>
      </c>
      <c r="CG204" s="45">
        <f t="shared" si="1101"/>
        <v>6.1870532744436199E-2</v>
      </c>
      <c r="CH204" s="45">
        <f t="shared" si="1101"/>
        <v>7.6065150846297516E-2</v>
      </c>
      <c r="CI204" s="45">
        <f t="shared" si="1101"/>
        <v>6.7927816614980194E-2</v>
      </c>
      <c r="CJ204" s="45">
        <f t="shared" si="1101"/>
        <v>6.8944492879378261E-2</v>
      </c>
      <c r="CK204" s="45">
        <f t="shared" si="1101"/>
        <v>7.2400443948679949E-2</v>
      </c>
      <c r="CL204" s="45">
        <f t="shared" ref="CL204" si="1102">+CL203/CL166</f>
        <v>7.5504070942565962E-2</v>
      </c>
      <c r="CM204" s="48">
        <f t="shared" si="1101"/>
        <v>7.8098087799229582E-2</v>
      </c>
      <c r="CN204" s="48">
        <f t="shared" si="1101"/>
        <v>7.9777716512596478E-2</v>
      </c>
      <c r="CO204" s="48">
        <f t="shared" si="1101"/>
        <v>7.8710769418060877E-2</v>
      </c>
      <c r="CP204" s="48">
        <f t="shared" si="1101"/>
        <v>7.7326158643061332E-2</v>
      </c>
      <c r="CQ204" s="48">
        <f t="shared" si="1101"/>
        <v>7.7718683993659429E-2</v>
      </c>
      <c r="CR204" s="48">
        <f t="shared" si="1101"/>
        <v>8.0315391494778385E-2</v>
      </c>
      <c r="CS204" s="48">
        <f t="shared" si="1101"/>
        <v>8.0151517535039102E-2</v>
      </c>
      <c r="CT204" s="48">
        <f t="shared" si="1101"/>
        <v>8.0814248273711503E-2</v>
      </c>
      <c r="CU204" s="48">
        <f t="shared" ref="CU204:DB204" si="1103">+CU203/CU166</f>
        <v>7.9161930606732628E-2</v>
      </c>
      <c r="CV204" s="48">
        <f t="shared" si="1103"/>
        <v>8.1828481907886746E-2</v>
      </c>
      <c r="CW204" s="48">
        <f t="shared" si="1103"/>
        <v>8.1791112849098235E-2</v>
      </c>
      <c r="CX204" s="48">
        <f t="shared" si="1103"/>
        <v>8.2263600982498131E-2</v>
      </c>
      <c r="CY204" s="48">
        <f t="shared" si="1103"/>
        <v>8.0329462595544188E-2</v>
      </c>
      <c r="CZ204" s="48">
        <f t="shared" si="1103"/>
        <v>8.3096078153657937E-2</v>
      </c>
      <c r="DA204" s="48">
        <f t="shared" si="1103"/>
        <v>8.3085758577710972E-2</v>
      </c>
      <c r="DB204" s="48">
        <f t="shared" si="1103"/>
        <v>8.3399367015113329E-2</v>
      </c>
      <c r="DE204" s="129"/>
      <c r="DF204" s="45">
        <v>7.304551551947483E-2</v>
      </c>
    </row>
    <row r="205" spans="1:110" s="39" customFormat="1" x14ac:dyDescent="0.2">
      <c r="A205" s="39" t="s">
        <v>451</v>
      </c>
      <c r="C205" s="39">
        <f t="shared" ref="C205:E205" si="1104">+IF(B203&lt;0,1-C203/B203,C203/B203-1)</f>
        <v>-3.6818383799925858E-3</v>
      </c>
      <c r="D205" s="39">
        <f t="shared" si="1104"/>
        <v>0.2251991079961766</v>
      </c>
      <c r="E205" s="39">
        <f t="shared" si="1104"/>
        <v>0.62354715411216977</v>
      </c>
      <c r="F205" s="39">
        <f t="shared" ref="F205:AE205" si="1105">+IF(E203&lt;0,1-F203/E203,F203/E203-1)</f>
        <v>0.80603779628443095</v>
      </c>
      <c r="G205" s="39">
        <f t="shared" si="1105"/>
        <v>9.685285849834413E-2</v>
      </c>
      <c r="H205" s="39">
        <f t="shared" si="1105"/>
        <v>0.83708596421728942</v>
      </c>
      <c r="I205" s="39">
        <f t="shared" si="1105"/>
        <v>-3.5646544705503214E-4</v>
      </c>
      <c r="J205" s="39">
        <f t="shared" si="1105"/>
        <v>0.29230024213074635</v>
      </c>
      <c r="K205" s="39">
        <f t="shared" si="1105"/>
        <v>0.80821745143861956</v>
      </c>
      <c r="L205" s="39">
        <f t="shared" si="1105"/>
        <v>-0.21268663043171065</v>
      </c>
      <c r="M205" s="39">
        <f t="shared" si="1105"/>
        <v>0.1089178802685804</v>
      </c>
      <c r="N205" s="39">
        <f t="shared" si="1105"/>
        <v>4.38739024511281E-2</v>
      </c>
      <c r="O205" s="39">
        <f t="shared" si="1105"/>
        <v>-6.5603998751422976E-2</v>
      </c>
      <c r="P205" s="39">
        <f t="shared" si="1105"/>
        <v>2.1271417983913743E-2</v>
      </c>
      <c r="Q205" s="39">
        <f t="shared" si="1105"/>
        <v>0.18892619630440532</v>
      </c>
      <c r="R205" s="39">
        <f t="shared" si="1105"/>
        <v>0.23155942307832289</v>
      </c>
      <c r="S205" s="39">
        <f t="shared" si="1105"/>
        <v>0.23048847964446306</v>
      </c>
      <c r="T205" s="39">
        <f t="shared" si="1105"/>
        <v>0.12698968053295645</v>
      </c>
      <c r="U205" s="39">
        <f t="shared" si="1105"/>
        <v>8.4733557369180978E-2</v>
      </c>
      <c r="V205" s="39">
        <f t="shared" si="1105"/>
        <v>-0.19107177104078987</v>
      </c>
      <c r="W205" s="39">
        <f t="shared" si="1105"/>
        <v>0.23940970069228573</v>
      </c>
      <c r="X205" s="39">
        <f t="shared" si="1105"/>
        <v>0.22510623771350291</v>
      </c>
      <c r="Y205" s="39">
        <f t="shared" si="1105"/>
        <v>0.23919118447771259</v>
      </c>
      <c r="Z205" s="39">
        <f t="shared" ref="Z205:AA205" si="1106">+IF(Y203&lt;0,1-Z203/Y203,Z203/Y203-1)</f>
        <v>0.11220519885164726</v>
      </c>
      <c r="AA205" s="39">
        <f t="shared" si="1106"/>
        <v>0.21317104146320243</v>
      </c>
      <c r="AB205" s="40">
        <f t="shared" si="1105"/>
        <v>0.23513970674511864</v>
      </c>
      <c r="AC205" s="40">
        <f t="shared" si="1105"/>
        <v>0.17320230914134505</v>
      </c>
      <c r="AD205" s="40">
        <f t="shared" si="1105"/>
        <v>0.17457173796444092</v>
      </c>
      <c r="AE205" s="40">
        <f t="shared" si="1105"/>
        <v>0.17005971011481957</v>
      </c>
      <c r="AM205" s="39">
        <f>+IF(AI203&lt;0,1-AM203/AI203,AM203/AI203-1)</f>
        <v>-0.55993968891007462</v>
      </c>
      <c r="AN205" s="39">
        <f t="shared" ref="AN205" si="1107">+IF(AJ203&lt;0,1-AN203/AJ203,AN203/AJ203-1)</f>
        <v>-8.4516106788640633E-2</v>
      </c>
      <c r="AO205" s="39">
        <f t="shared" ref="AO205" si="1108">+IF(AK203&lt;0,1-AO203/AK203,AO203/AK203-1)</f>
        <v>-0.32147686112727991</v>
      </c>
      <c r="AP205" s="39">
        <f t="shared" ref="AP205" si="1109">+IF(AL203&lt;0,1-AP203/AL203,AP203/AL203-1)</f>
        <v>0.64551059270106048</v>
      </c>
      <c r="AQ205" s="39">
        <f t="shared" ref="AQ205" si="1110">+IF(AM203&lt;0,1-AQ203/AM203,AQ203/AM203-1)</f>
        <v>0.90794346610233023</v>
      </c>
      <c r="AR205" s="39">
        <f t="shared" ref="AR205" si="1111">+IF(AN203&lt;0,1-AR203/AN203,AR203/AN203-1)</f>
        <v>5.5185227030215334E-2</v>
      </c>
      <c r="AS205" s="39">
        <f t="shared" ref="AS205" si="1112">+IF(AO203&lt;0,1-AS203/AO203,AS203/AO203-1)</f>
        <v>0.39041454545452936</v>
      </c>
      <c r="AT205" s="39">
        <f t="shared" ref="AT205" si="1113">+IF(AP203&lt;0,1-AT203/AP203,AT203/AP203-1)</f>
        <v>-0.21227351889761437</v>
      </c>
      <c r="AU205" s="39">
        <f t="shared" ref="AU205" si="1114">+IF(AQ203&lt;0,1-AU203/AQ203,AU203/AQ203-1)</f>
        <v>-0.15362066233560245</v>
      </c>
      <c r="AV205" s="39">
        <f t="shared" ref="AV205" si="1115">+IF(AR203&lt;0,1-AV203/AR203,AV203/AR203-1)</f>
        <v>0.13093807625958975</v>
      </c>
      <c r="AW205" s="39">
        <f t="shared" ref="AW205" si="1116">+IF(AS203&lt;0,1-AW203/AS203,AW203/AS203-1)</f>
        <v>0.1323974014290088</v>
      </c>
      <c r="AX205" s="39">
        <f t="shared" ref="AX205" si="1117">+IF(AT203&lt;0,1-AX203/AT203,AX203/AT203-1)</f>
        <v>0.34135426565561078</v>
      </c>
      <c r="AY205" s="39">
        <f t="shared" ref="AY205" si="1118">+IF(AU203&lt;0,1-AY203/AU203,AY203/AU203-1)</f>
        <v>0.33603232550156537</v>
      </c>
      <c r="AZ205" s="39">
        <f t="shared" ref="AZ205" si="1119">+IF(AV203&lt;0,1-AZ203/AV203,AZ203/AV203-1)</f>
        <v>0.35324686254089732</v>
      </c>
      <c r="BA205" s="39">
        <f t="shared" ref="BA205" si="1120">+IF(AW203&lt;0,1-BA203/AW203,BA203/AW203-1)</f>
        <v>0.14418875349894167</v>
      </c>
      <c r="BB205" s="39">
        <f t="shared" ref="BB205" si="1121">+IF(AX203&lt;0,1-BB203/AX203,BB203/AX203-1)</f>
        <v>0.22101374626342074</v>
      </c>
      <c r="BC205" s="39">
        <f t="shared" ref="BC205" si="1122">+IF(AY203&lt;0,1-BC203/AY203,BC203/AY203-1)</f>
        <v>0.24425190046359102</v>
      </c>
      <c r="BD205" s="39">
        <f t="shared" ref="BD205" si="1123">+IF(AZ203&lt;0,1-BD203/AZ203,BD203/AZ203-1)</f>
        <v>0.55028334667796286</v>
      </c>
      <c r="BE205" s="39">
        <f t="shared" ref="BE205" si="1124">+IF(BA203&lt;0,1-BE203/BA203,BE203/BA203-1)</f>
        <v>0.45548423559807794</v>
      </c>
      <c r="BF205" s="39">
        <f t="shared" ref="BF205" si="1125">+IF(BB203&lt;0,1-BF203/BB203,BF203/BB203-1)</f>
        <v>2.2720410181112483E-2</v>
      </c>
      <c r="BG205" s="39">
        <f t="shared" ref="BG205" si="1126">+IF(BC203&lt;0,1-BG203/BC203,BG203/BC203-1)</f>
        <v>5.8327233139997547E-2</v>
      </c>
      <c r="BH205" s="39">
        <f t="shared" ref="BH205" si="1127">+IF(BD203&lt;0,1-BH203/BD203,BH203/BD203-1)</f>
        <v>0.13169533169533287</v>
      </c>
      <c r="BI205" s="39">
        <f t="shared" ref="BI205" si="1128">+IF(BE203&lt;0,1-BI203/BE203,BI203/BE203-1)</f>
        <v>0.26208610465471049</v>
      </c>
      <c r="BJ205" s="39">
        <f t="shared" ref="BJ205" si="1129">+IF(BF203&lt;0,1-BJ203/BF203,BJ203/BF203-1)</f>
        <v>7.4954338494314765E-2</v>
      </c>
      <c r="BK205" s="39">
        <f t="shared" ref="BK205" si="1130">+IF(BG203&lt;0,1-BK203/BG203,BK203/BG203-1)</f>
        <v>0.64977963802109473</v>
      </c>
      <c r="BL205" s="39">
        <f t="shared" ref="BL205" si="1131">+IF(BH203&lt;0,1-BL203/BH203,BL203/BH203-1)</f>
        <v>0.11284748376119702</v>
      </c>
      <c r="BM205" s="39">
        <f t="shared" ref="BM205" si="1132">+IF(BI203&lt;0,1-BM203/BI203,BM203/BI203-1)</f>
        <v>0.10420411840977661</v>
      </c>
      <c r="BN205" s="39">
        <f t="shared" ref="BN205" si="1133">+IF(BJ203&lt;0,1-BN203/BJ203,BN203/BJ203-1)</f>
        <v>-0.11585956938056863</v>
      </c>
      <c r="BO205" s="39">
        <f t="shared" ref="BO205" si="1134">+IF(BK203&lt;0,1-BO203/BK203,BO203/BK203-1)</f>
        <v>-0.77784825095138665</v>
      </c>
      <c r="BP205" s="39">
        <f t="shared" ref="BP205" si="1135">+IF(BL203&lt;0,1-BP203/BL203,BP203/BL203-1)</f>
        <v>-0.41757344831842125</v>
      </c>
      <c r="BQ205" s="39">
        <f t="shared" ref="BQ205" si="1136">+IF(BM203&lt;0,1-BQ203/BM203,BQ203/BM203-1)</f>
        <v>5.0759683627690011E-2</v>
      </c>
      <c r="BR205" s="39">
        <f t="shared" ref="BR205" si="1137">+IF(BN203&lt;0,1-BR203/BN203,BR203/BN203-1)</f>
        <v>0.11487916673011478</v>
      </c>
      <c r="BS205" s="39">
        <f t="shared" ref="BS205" si="1138">+IF(BO203&lt;0,1-BS203/BO203,BS203/BO203-1)</f>
        <v>2.7652552625211455</v>
      </c>
      <c r="BT205" s="39">
        <f t="shared" ref="BT205" si="1139">+IF(BP203&lt;0,1-BT203/BP203,BT203/BP203-1)</f>
        <v>0.45907959858904213</v>
      </c>
      <c r="BU205" s="39">
        <f t="shared" ref="BU205" si="1140">+IF(BQ203&lt;0,1-BU203/BQ203,BU203/BQ203-1)</f>
        <v>-5.4130125958895547E-2</v>
      </c>
      <c r="BV205" s="39">
        <f t="shared" ref="BV205" si="1141">+IF(BR203&lt;0,1-BV203/BR203,BV203/BR203-1)</f>
        <v>9.4521464767187036E-2</v>
      </c>
      <c r="BW205" s="39">
        <f t="shared" ref="BW205" si="1142">+IF(BS203&lt;0,1-BW203/BS203,BW203/BS203-1)</f>
        <v>0.47348635761929736</v>
      </c>
      <c r="BX205" s="39">
        <f t="shared" ref="BX205" si="1143">+IF(BT203&lt;0,1-BX203/BT203,BX203/BT203-1)</f>
        <v>0.32083958020989489</v>
      </c>
      <c r="BY205" s="39">
        <f t="shared" ref="BY205" si="1144">+IF(BU203&lt;0,1-BY203/BU203,BY203/BU203-1)</f>
        <v>0.17344985301538984</v>
      </c>
      <c r="BZ205" s="39">
        <f t="shared" ref="BZ205" si="1145">+IF(BV203&lt;0,1-BZ203/BV203,BZ203/BV203-1)</f>
        <v>0.10983712119321387</v>
      </c>
      <c r="CA205" s="39">
        <f t="shared" ref="CA205" si="1146">+IF(BW203&lt;0,1-CA203/BW203,CA203/BW203-1)</f>
        <v>0.35896485405645784</v>
      </c>
      <c r="CB205" s="39">
        <f t="shared" ref="CB205" si="1147">+IF(BX203&lt;0,1-CB203/BX203,CB203/BX203-1)</f>
        <v>0.36760428490352104</v>
      </c>
      <c r="CC205" s="39">
        <f t="shared" ref="CC205" si="1148">+IF(BY203&lt;0,1-CC203/BY203,CC203/BY203-1)</f>
        <v>0.22682034444390853</v>
      </c>
      <c r="CD205" s="39">
        <f t="shared" ref="CD205" si="1149">+IF(BZ203&lt;0,1-CD203/BZ203,CD203/BZ203-1)</f>
        <v>0.10416394932017692</v>
      </c>
      <c r="CE205" s="39">
        <f t="shared" ref="CE205" si="1150">+IF(CA203&lt;0,1-CE203/CA203,CE203/CA203-1)</f>
        <v>0.10397224753861023</v>
      </c>
      <c r="CF205" s="39">
        <f t="shared" ref="CF205" si="1151">+IF(CB203&lt;0,1-CF203/CB203,CF203/CB203-1)</f>
        <v>6.6724591822179047E-2</v>
      </c>
      <c r="CG205" s="39">
        <f t="shared" ref="CG205" si="1152">+IF(CC203&lt;0,1-CG203/CC203,CG203/CC203-1)</f>
        <v>0.11309469162695396</v>
      </c>
      <c r="CH205" s="39">
        <f t="shared" ref="CH205:CL205" si="1153">+IF(CD203&lt;0,1-CH203/CD203,CH203/CD203-1)</f>
        <v>0.1524930090653025</v>
      </c>
      <c r="CI205" s="39">
        <f t="shared" si="1153"/>
        <v>0.25739293220274506</v>
      </c>
      <c r="CJ205" s="39">
        <f t="shared" si="1153"/>
        <v>0.13963202773772521</v>
      </c>
      <c r="CK205" s="39">
        <f t="shared" si="1153"/>
        <v>0.29291457449706781</v>
      </c>
      <c r="CL205" s="39">
        <f t="shared" si="1153"/>
        <v>0.10430384578681062</v>
      </c>
      <c r="CM205" s="40">
        <f t="shared" ref="CM205" si="1154">+CM203/CI203-1</f>
        <v>0.31560017719175648</v>
      </c>
      <c r="CN205" s="40">
        <f t="shared" ref="CN205" si="1155">+CN203/CJ203-1</f>
        <v>0.32089340463470784</v>
      </c>
      <c r="CO205" s="40">
        <f t="shared" ref="CO205" si="1156">+CO203/CK203-1</f>
        <v>0.25109842814386907</v>
      </c>
      <c r="CP205" s="40">
        <f t="shared" ref="CP205" si="1157">+CP203/CL203-1</f>
        <v>0.19032581033878682</v>
      </c>
      <c r="CQ205" s="40">
        <f t="shared" ref="CQ205" si="1158">+CQ203/CM203-1</f>
        <v>0.14413381482135112</v>
      </c>
      <c r="CR205" s="40">
        <f t="shared" ref="CR205" si="1159">+CR203/CN203-1</f>
        <v>0.15883763310579124</v>
      </c>
      <c r="CS205" s="40">
        <f t="shared" ref="CS205" si="1160">+CS203/CO203-1</f>
        <v>0.17458168108966632</v>
      </c>
      <c r="CT205" s="40">
        <f t="shared" ref="CT205" si="1161">+CT203/CP203-1</f>
        <v>0.20619781923927327</v>
      </c>
      <c r="CU205" s="40">
        <f t="shared" ref="CU205" si="1162">+CU203/CQ203-1</f>
        <v>0.17349549243862716</v>
      </c>
      <c r="CV205" s="40">
        <f t="shared" ref="CV205" si="1163">+CV203/CR203-1</f>
        <v>0.17441228494576522</v>
      </c>
      <c r="CW205" s="40">
        <f t="shared" ref="CW205" si="1164">+CW203/CS203-1</f>
        <v>0.17668839845456241</v>
      </c>
      <c r="CX205" s="40">
        <f t="shared" ref="CX205" si="1165">+CX203/CT203-1</f>
        <v>0.17368686304074976</v>
      </c>
      <c r="CY205" s="40">
        <f t="shared" ref="CY205" si="1166">+CY203/CU203-1</f>
        <v>0.16972761010338799</v>
      </c>
      <c r="CZ205" s="40">
        <f t="shared" ref="CZ205" si="1167">+CZ203/CV203-1</f>
        <v>0.17074203623807382</v>
      </c>
      <c r="DA205" s="40">
        <f t="shared" ref="DA205" si="1168">+DA203/CW203-1</f>
        <v>0.1711788649188295</v>
      </c>
      <c r="DB205" s="40">
        <f t="shared" ref="DB205" si="1169">+DB203/CX203-1</f>
        <v>0.16880403910532116</v>
      </c>
      <c r="DE205" s="122"/>
      <c r="DF205" s="39">
        <v>0.21317104146320243</v>
      </c>
    </row>
    <row r="206" spans="1:110" s="39" customFormat="1" x14ac:dyDescent="0.2">
      <c r="A206" s="39" t="s">
        <v>452</v>
      </c>
      <c r="AB206" s="40"/>
      <c r="AC206" s="40"/>
      <c r="AD206" s="40"/>
      <c r="AE206" s="40"/>
      <c r="AJ206" s="39">
        <f>+IF(AI203&lt;0,1-AJ203/AI203,AJ203/AI203-1)</f>
        <v>-3.5321899355868602E-2</v>
      </c>
      <c r="AK206" s="39">
        <f t="shared" ref="AK206:AM206" si="1170">+IF(AJ203&lt;0,1-AK203/AJ203,AK203/AJ203-1)</f>
        <v>0.16445818440922522</v>
      </c>
      <c r="AL206" s="39">
        <f t="shared" si="1170"/>
        <v>0.57041343031690528</v>
      </c>
      <c r="AM206" s="39">
        <f t="shared" si="1170"/>
        <v>-0.75054518944940418</v>
      </c>
      <c r="AN206" s="39">
        <f t="shared" ref="AN206" si="1171">+IF(AM203&lt;0,1-AN203/AM203,AN203/AM203-1)</f>
        <v>1.006877787015334</v>
      </c>
      <c r="AO206" s="39">
        <f t="shared" ref="AO206" si="1172">+IF(AN203&lt;0,1-AO203/AN203,AO203/AN203-1)</f>
        <v>-0.1369462333195175</v>
      </c>
      <c r="AP206" s="39">
        <f t="shared" ref="AP206" si="1173">+IF(AO203&lt;0,1-AP203/AO203,AP203/AO203-1)</f>
        <v>2.808465454545416</v>
      </c>
      <c r="AQ206" s="39">
        <f t="shared" ref="AQ206" si="1174">+IF(AP203&lt;0,1-AQ203/AP203,AQ203/AP203-1)</f>
        <v>-0.71076109871978876</v>
      </c>
      <c r="AR206" s="39">
        <f t="shared" ref="AR206" si="1175">+IF(AQ203&lt;0,1-AR203/AQ203,AR203/AQ203-1)</f>
        <v>0.10990070247715367</v>
      </c>
      <c r="AS206" s="39">
        <f t="shared" ref="AS206" si="1176">+IF(AR203&lt;0,1-AS203/AR203,AS203/AR203-1)</f>
        <v>0.13724347153649075</v>
      </c>
      <c r="AT206" s="39">
        <f t="shared" ref="AT206" si="1177">+IF(AS203&lt;0,1-AT203/AS203,AT203/AS203-1)</f>
        <v>1.1576508248684516</v>
      </c>
      <c r="AU206" s="39">
        <f t="shared" ref="AU206" si="1178">+IF(AT203&lt;0,1-AU203/AT203,AU203/AT203-1)</f>
        <v>-0.68922483175920513</v>
      </c>
      <c r="AV206" s="39">
        <f t="shared" ref="AV206" si="1179">+IF(AU203&lt;0,1-AV203/AU203,AV203/AU203-1)</f>
        <v>0.4830571936721797</v>
      </c>
      <c r="AW206" s="39">
        <f t="shared" ref="AW206" si="1180">+IF(AV203&lt;0,1-AW203/AV203,AW203/AV203-1)</f>
        <v>0.13871093297987924</v>
      </c>
      <c r="AX206" s="39">
        <f t="shared" ref="AX206" si="1181">+IF(AW203&lt;0,1-AX203/AW203,AX203/AW203-1)</f>
        <v>1.5557936940515695</v>
      </c>
      <c r="AY206" s="39">
        <f t="shared" ref="AY206" si="1182">+IF(AX203&lt;0,1-AY203/AX203,AY203/AX203-1)</f>
        <v>-0.69045785937099158</v>
      </c>
      <c r="AZ206" s="39">
        <f t="shared" ref="AZ206" si="1183">+IF(AY203&lt;0,1-AZ203/AY203,AZ203/AY203-1)</f>
        <v>0.50216611978467696</v>
      </c>
      <c r="BA206" s="39">
        <f t="shared" ref="BA206" si="1184">+IF(AZ203&lt;0,1-BA203/AZ203,BA203/AZ203-1)</f>
        <v>-3.7204312777419091E-2</v>
      </c>
      <c r="BB206" s="39">
        <f t="shared" ref="BB206" si="1185">+IF(BA203&lt;0,1-BB203/BA203,BB203/BA203-1)</f>
        <v>1.7273989746074014</v>
      </c>
      <c r="BC206" s="39">
        <f t="shared" ref="BC206" si="1186">+IF(BB203&lt;0,1-BC203/BB203,BC203/BB203-1)</f>
        <v>-0.68456669883541155</v>
      </c>
      <c r="BD206" s="39">
        <f t="shared" ref="BD206" si="1187">+IF(BC203&lt;0,1-BD203/BC203,BD203/BC203-1)</f>
        <v>0.87163316252791478</v>
      </c>
      <c r="BE206" s="39">
        <f t="shared" ref="BE206" si="1188">+IF(BD203&lt;0,1-BE203/BD203,BE203/BD203-1)</f>
        <v>-9.6078824650252526E-2</v>
      </c>
      <c r="BF206" s="39">
        <f t="shared" ref="BF206" si="1189">+IF(BE203&lt;0,1-BF203/BE203,BF203/BE203-1)</f>
        <v>0.91645263467373717</v>
      </c>
      <c r="BG206" s="39">
        <f t="shared" ref="BG206" si="1190">+IF(BF203&lt;0,1-BG203/BF203,BG203/BF203-1)</f>
        <v>-0.67358463805115953</v>
      </c>
      <c r="BH206" s="39">
        <f t="shared" ref="BH206" si="1191">+IF(BG203&lt;0,1-BH203/BG203,BH203/BG203-1)</f>
        <v>1.0013833589018346</v>
      </c>
      <c r="BI206" s="39">
        <f t="shared" ref="BI206" si="1192">+IF(BH203&lt;0,1-BI203/BH203,BI203/BH203-1)</f>
        <v>8.0684466578639924E-3</v>
      </c>
      <c r="BJ206" s="39">
        <f t="shared" ref="BJ206" si="1193">+IF(BI203&lt;0,1-BJ203/BI203,BJ203/BI203-1)</f>
        <v>0.63229677164143161</v>
      </c>
      <c r="BK206" s="39">
        <f t="shared" ref="BK206" si="1194">+IF(BJ203&lt;0,1-BK203/BJ203,BK203/BJ203-1)</f>
        <v>-0.49903600702260831</v>
      </c>
      <c r="BL206" s="39">
        <f t="shared" ref="BL206" si="1195">+IF(BK203&lt;0,1-BL203/BK203,BL203/BK203-1)</f>
        <v>0.3500193502612261</v>
      </c>
      <c r="BM206" s="39">
        <f t="shared" ref="BM206" si="1196">+IF(BL203&lt;0,1-BM203/BL203,BM203/BL203-1)</f>
        <v>2.3888868981791767E-4</v>
      </c>
      <c r="BN206" s="39">
        <f t="shared" ref="BN206" si="1197">+IF(BM203&lt;0,1-BN203/BM203,BN203/BM203-1)</f>
        <v>0.30698622339514792</v>
      </c>
      <c r="BO206" s="39">
        <f t="shared" ref="BO206" si="1198">+IF(BN203&lt;0,1-BO203/BN203,BO203/BN203-1)</f>
        <v>-0.87412630008070691</v>
      </c>
      <c r="BP206" s="39">
        <f t="shared" ref="BP206" si="1199">+IF(BO203&lt;0,1-BP203/BO203,BP203/BO203-1)</f>
        <v>2.5394144689087663</v>
      </c>
      <c r="BQ206" s="39">
        <f t="shared" ref="BQ206" si="1200">+IF(BP203&lt;0,1-BQ203/BP203,BQ203/BP203-1)</f>
        <v>0.80453774848923487</v>
      </c>
      <c r="BR206" s="39">
        <f t="shared" ref="BR206" si="1201">+IF(BQ203&lt;0,1-BR203/BQ203,BR203/BQ203-1)</f>
        <v>0.38674116867127539</v>
      </c>
      <c r="BS206" s="39">
        <f t="shared" ref="BS206" si="1202">+IF(BR203&lt;0,1-BS203/BR203,BS203/BR203-1)</f>
        <v>-0.57488970538019157</v>
      </c>
      <c r="BT206" s="39">
        <f t="shared" ref="BT206" si="1203">+IF(BS203&lt;0,1-BT203/BS203,BT203/BS203-1)</f>
        <v>0.37156370085722656</v>
      </c>
      <c r="BU206" s="39">
        <f t="shared" ref="BU206" si="1204">+IF(BT203&lt;0,1-BU203/BT203,BU203/BT203-1)</f>
        <v>0.16981821589205603</v>
      </c>
      <c r="BV206" s="39">
        <f t="shared" ref="BV206" si="1205">+IF(BU203&lt;0,1-BV203/BU203,BV203/BU203-1)</f>
        <v>0.60467947742364148</v>
      </c>
      <c r="BW206" s="39">
        <f t="shared" ref="BW206" si="1206">+IF(BV203&lt;0,1-BW203/BV203,BW203/BV203-1)</f>
        <v>-0.42770037886918311</v>
      </c>
      <c r="BX206" s="39">
        <f t="shared" ref="BX206" si="1207">+IF(BW203&lt;0,1-BX203/BW203,BX203/BW203-1)</f>
        <v>0.22947566735426372</v>
      </c>
      <c r="BY206" s="39">
        <f t="shared" ref="BY206" si="1208">+IF(BX203&lt;0,1-BY203/BX203,BY203/BX203-1)</f>
        <v>3.9280646992058577E-2</v>
      </c>
      <c r="BZ206" s="39">
        <f t="shared" ref="BZ206" si="1209">+IF(BY203&lt;0,1-BZ203/BY203,BZ203/BY203-1)</f>
        <v>0.51768978204331351</v>
      </c>
      <c r="CA206" s="39">
        <f t="shared" ref="CA206" si="1210">+IF(BZ203&lt;0,1-CA203/BZ203,CA203/BZ203-1)</f>
        <v>-0.29923494515083071</v>
      </c>
      <c r="CB206" s="39">
        <f t="shared" ref="CB206" si="1211">+IF(CA203&lt;0,1-CB203/CA203,CB203/CA203-1)</f>
        <v>0.23729188863073625</v>
      </c>
      <c r="CC206" s="39">
        <f t="shared" ref="CC206" si="1212">+IF(CB203&lt;0,1-CC203/CB203,CC203/CB203-1)</f>
        <v>-6.7704996693080499E-2</v>
      </c>
      <c r="CD206" s="39">
        <f t="shared" ref="CD206" si="1213">+IF(CC203&lt;0,1-CD203/CC203,CD203/CC203-1)</f>
        <v>0.36595252204055861</v>
      </c>
      <c r="CE206" s="39">
        <f t="shared" ref="CE206" si="1214">+IF(CD203&lt;0,1-CE203/CD203,CE203/CD203-1)</f>
        <v>-0.29935660997203506</v>
      </c>
      <c r="CF206" s="39">
        <f t="shared" ref="CF206" si="1215">+IF(CE203&lt;0,1-CF203/CE203,CF203/CE203-1)</f>
        <v>0.19554607265465229</v>
      </c>
      <c r="CG206" s="39">
        <f t="shared" ref="CG206" si="1216">+IF(CF203&lt;0,1-CG203/CF203,CG203/CF203-1)</f>
        <v>-2.7178498398906736E-2</v>
      </c>
      <c r="CH206" s="39">
        <f t="shared" ref="CH206:CL206" si="1217">+IF(CG203&lt;0,1-CH203/CG203,CH203/CG203-1)</f>
        <v>0.41430081753948533</v>
      </c>
      <c r="CI206" s="39">
        <f t="shared" si="1217"/>
        <v>-0.23558404286527324</v>
      </c>
      <c r="CJ206" s="39">
        <f t="shared" si="1217"/>
        <v>8.357742447816241E-2</v>
      </c>
      <c r="CK206" s="39">
        <f t="shared" si="1217"/>
        <v>0.1036677341378125</v>
      </c>
      <c r="CL206" s="39">
        <f t="shared" si="1217"/>
        <v>0.20798223077949074</v>
      </c>
      <c r="CM206" s="40">
        <f t="shared" ref="CM206" si="1218">+CM203/CL203-1</f>
        <v>-8.9321501060135144E-2</v>
      </c>
      <c r="CN206" s="40">
        <f t="shared" ref="CN206" si="1219">+CN203/CM203-1</f>
        <v>8.793712422527955E-2</v>
      </c>
      <c r="CO206" s="40">
        <f t="shared" ref="CO206" si="1220">+CO203/CN203-1</f>
        <v>4.5350792522717898E-2</v>
      </c>
      <c r="CP206" s="40">
        <f t="shared" ref="CP206" si="1221">+CP203/CO203-1</f>
        <v>0.14930399989448584</v>
      </c>
      <c r="CQ206" s="40">
        <f t="shared" ref="CQ206" si="1222">+CQ203/CP203-1</f>
        <v>-0.12466145317701194</v>
      </c>
      <c r="CR206" s="40">
        <f t="shared" ref="CR206" si="1223">+CR203/CQ203-1</f>
        <v>0.10191873159696874</v>
      </c>
      <c r="CS206" s="40">
        <f t="shared" ref="CS206" si="1224">+CS203/CR203-1</f>
        <v>5.9553000465646377E-2</v>
      </c>
      <c r="CT206" s="40">
        <f t="shared" ref="CT206" si="1225">+CT203/CS203-1</f>
        <v>0.1802397403555922</v>
      </c>
      <c r="CU206" s="40">
        <f t="shared" ref="CU206" si="1226">+CU203/CT203-1</f>
        <v>-0.14839355313841107</v>
      </c>
      <c r="CV206" s="40">
        <f t="shared" ref="CV206" si="1227">+CV203/CU203-1</f>
        <v>0.10277960481132054</v>
      </c>
      <c r="CW206" s="40">
        <f t="shared" ref="CW206" si="1228">+CW203/CV203-1</f>
        <v>6.160650665641132E-2</v>
      </c>
      <c r="CX206" s="40">
        <f t="shared" ref="CX206" si="1229">+CX203/CW203-1</f>
        <v>0.1772291460622184</v>
      </c>
      <c r="CY206" s="40">
        <f t="shared" ref="CY206" si="1230">+CY203/CX203-1</f>
        <v>-0.15126631710330507</v>
      </c>
      <c r="CZ206" s="40">
        <f t="shared" ref="CZ206" si="1231">+CZ203/CY203-1</f>
        <v>0.10373597144083058</v>
      </c>
      <c r="DA206" s="40">
        <f t="shared" ref="DA206" si="1232">+DA203/CZ203-1</f>
        <v>6.2002614556725844E-2</v>
      </c>
      <c r="DB206" s="40">
        <f t="shared" ref="DB206" si="1233">+DB203/DA203-1</f>
        <v>0.17484205195710345</v>
      </c>
      <c r="DE206" s="122"/>
    </row>
    <row r="207" spans="1:110" s="75" customFormat="1" x14ac:dyDescent="0.2">
      <c r="A207" s="23" t="s">
        <v>23</v>
      </c>
      <c r="B207" s="75">
        <f>'Annual Raw'!C32</f>
        <v>0</v>
      </c>
      <c r="C207" s="75">
        <f>'Annual Raw'!D32</f>
        <v>-20.190000000000001</v>
      </c>
      <c r="D207" s="75">
        <f>'Annual Raw'!E32</f>
        <v>-20.07</v>
      </c>
      <c r="E207" s="75">
        <f>'Annual Raw'!F32</f>
        <v>-28.03</v>
      </c>
      <c r="F207" s="75">
        <f>'Annual Raw'!G32</f>
        <v>-63.85</v>
      </c>
      <c r="G207" s="75">
        <f>'Annual Raw'!H32</f>
        <v>-44.99</v>
      </c>
      <c r="H207" s="75">
        <f>'Annual Raw'!I32</f>
        <v>-116.15</v>
      </c>
      <c r="I207" s="75">
        <f>'Annual Raw'!J32</f>
        <v>-68.290000000000006</v>
      </c>
      <c r="J207" s="75">
        <f>'Annual Raw'!K32</f>
        <v>31.44</v>
      </c>
      <c r="K207" s="75">
        <f>'Annual Raw'!L32</f>
        <v>-97.53</v>
      </c>
      <c r="L207" s="75">
        <f>'Annual Raw'!M32</f>
        <v>-78.56</v>
      </c>
      <c r="M207" s="75">
        <f>'Annual Raw'!N32</f>
        <v>-34.76</v>
      </c>
      <c r="N207" s="75">
        <f>'Annual Raw'!O32</f>
        <v>-72.180000000000007</v>
      </c>
      <c r="O207" s="75">
        <f>'Annual Raw'!P32</f>
        <v>38.159999999999997</v>
      </c>
      <c r="P207" s="75">
        <f>'Annual Raw'!Q32</f>
        <v>-201.32</v>
      </c>
      <c r="Q207" s="75">
        <f>'Annual Raw'!R32</f>
        <v>-311.82</v>
      </c>
      <c r="R207" s="75">
        <f>'Annual Raw'!S32</f>
        <v>-444.27</v>
      </c>
      <c r="S207" s="75">
        <f>'Annual Raw'!T32</f>
        <v>-634.57000000000005</v>
      </c>
      <c r="T207" s="75">
        <f>'Annual Raw'!U32</f>
        <v>-1311.45</v>
      </c>
      <c r="U207" s="75">
        <f>'Annual Raw'!V32</f>
        <v>-1345.25</v>
      </c>
      <c r="V207" s="75">
        <f>'Annual Raw'!W32</f>
        <v>-1338.35</v>
      </c>
      <c r="W207" s="75">
        <f>'Annual Raw'!X32</f>
        <v>-1749.91</v>
      </c>
      <c r="X207" s="75">
        <f>'Annual Raw'!Y32</f>
        <v>-2059.9</v>
      </c>
      <c r="Y207" s="75">
        <f>'Annual Raw'!Z32</f>
        <v>-2487.9899999999998</v>
      </c>
      <c r="Z207" s="75">
        <f>'Annual Raw'!AA32</f>
        <v>-2636.22</v>
      </c>
      <c r="AA207" s="75">
        <f>'Annual Raw'!AB32</f>
        <v>-2869.89</v>
      </c>
      <c r="AB207" s="76">
        <f t="shared" ref="AB207:AB208" si="1234">+SUM(CM207:CP207)</f>
        <v>-3229.84</v>
      </c>
      <c r="AC207" s="76">
        <f t="shared" ref="AC207:AC208" si="1235">+SUM(CQ207:CT207)</f>
        <v>-3229.84</v>
      </c>
      <c r="AD207" s="76">
        <f t="shared" ref="AD207:AD208" si="1236">+SUM(CU207:CX207)</f>
        <v>-3229.84</v>
      </c>
      <c r="AE207" s="76">
        <f t="shared" ref="AE207:AE208" si="1237">+SUM(CY207:DB207)</f>
        <v>-3229.84</v>
      </c>
      <c r="AI207" s="75">
        <f>'QTR Raw'!C34</f>
        <v>0</v>
      </c>
      <c r="AJ207" s="75">
        <f>'QTR Raw'!D34</f>
        <v>0</v>
      </c>
      <c r="AK207" s="75">
        <f>'QTR Raw'!E34</f>
        <v>0</v>
      </c>
      <c r="AL207" s="75">
        <f>'QTR Raw'!F34</f>
        <v>0</v>
      </c>
      <c r="AM207" s="75">
        <f>'QTR Raw'!G34</f>
        <v>59.97</v>
      </c>
      <c r="AN207" s="75">
        <f>'QTR Raw'!H34</f>
        <v>13.2</v>
      </c>
      <c r="AO207" s="75">
        <f>'QTR Raw'!I34</f>
        <v>42.98</v>
      </c>
      <c r="AP207" s="75">
        <f>'QTR Raw'!J34</f>
        <v>-77.989999999999995</v>
      </c>
      <c r="AQ207" s="75">
        <f>'QTR Raw'!K34</f>
        <v>-41.27</v>
      </c>
      <c r="AR207" s="75">
        <f>'QTR Raw'!L34</f>
        <v>20.52</v>
      </c>
      <c r="AS207" s="75">
        <f>'QTR Raw'!M34</f>
        <v>-91.06</v>
      </c>
      <c r="AT207" s="75">
        <f>'QTR Raw'!N34</f>
        <v>-89.51</v>
      </c>
      <c r="AU207" s="75">
        <f>'QTR Raw'!O34</f>
        <v>-25.75</v>
      </c>
      <c r="AV207" s="75">
        <f>'QTR Raw'!P34</f>
        <v>-51.03</v>
      </c>
      <c r="AW207" s="75">
        <f>'QTR Raw'!Q34</f>
        <v>-87.92</v>
      </c>
      <c r="AX207" s="75">
        <f>'QTR Raw'!R34</f>
        <v>-147.12</v>
      </c>
      <c r="AY207" s="75">
        <f>'QTR Raw'!S34</f>
        <v>-73.209999999999994</v>
      </c>
      <c r="AZ207" s="75">
        <f>'QTR Raw'!T34</f>
        <v>-97.52</v>
      </c>
      <c r="BA207" s="75">
        <f>'QTR Raw'!U34</f>
        <v>-117.74</v>
      </c>
      <c r="BB207" s="75">
        <f>'QTR Raw'!V34</f>
        <v>-155.80000000000001</v>
      </c>
      <c r="BC207" s="75">
        <f>'QTR Raw'!W34</f>
        <v>-135.76</v>
      </c>
      <c r="BD207" s="75">
        <f>'QTR Raw'!X34</f>
        <v>-200.42</v>
      </c>
      <c r="BE207" s="75">
        <f>'QTR Raw'!Y34</f>
        <v>-127.9</v>
      </c>
      <c r="BF207" s="75">
        <f>'QTR Raw'!Z34</f>
        <v>-170.48</v>
      </c>
      <c r="BG207" s="75">
        <f>'QTR Raw'!AA34</f>
        <v>-257.22000000000003</v>
      </c>
      <c r="BH207" s="75">
        <f>'QTR Raw'!AB34</f>
        <v>-362.92</v>
      </c>
      <c r="BI207" s="75">
        <f>'QTR Raw'!AC34</f>
        <v>-320.66000000000003</v>
      </c>
      <c r="BJ207" s="75">
        <f>'QTR Raw'!AD34</f>
        <v>-370.65</v>
      </c>
      <c r="BK207" s="75">
        <f>'QTR Raw'!AE34</f>
        <v>-337.12</v>
      </c>
      <c r="BL207" s="75">
        <f>'QTR Raw'!AF34</f>
        <v>-243.17</v>
      </c>
      <c r="BM207" s="75">
        <f>'QTR Raw'!AG34</f>
        <v>-399.54</v>
      </c>
      <c r="BN207" s="75">
        <f>'QTR Raw'!AH34</f>
        <v>-365.42</v>
      </c>
      <c r="BO207" s="75">
        <f>'QTR Raw'!AI34</f>
        <v>-240.79</v>
      </c>
      <c r="BP207" s="75">
        <f>'QTR Raw'!AJ34</f>
        <v>-303.72000000000003</v>
      </c>
      <c r="BQ207" s="75">
        <f>'QTR Raw'!AK34</f>
        <v>-390.95</v>
      </c>
      <c r="BR207" s="75">
        <f>'QTR Raw'!AL34</f>
        <v>-402.89</v>
      </c>
      <c r="BS207" s="75">
        <f>'QTR Raw'!AM34</f>
        <v>-357.22</v>
      </c>
      <c r="BT207" s="75">
        <f>'QTR Raw'!AN34</f>
        <v>-412.51</v>
      </c>
      <c r="BU207" s="75">
        <f>'QTR Raw'!AO34</f>
        <v>-462.4</v>
      </c>
      <c r="BV207" s="75">
        <f>'QTR Raw'!AP34</f>
        <v>-517.78</v>
      </c>
      <c r="BW207" s="75">
        <f>'QTR Raw'!AQ34</f>
        <v>-526.26</v>
      </c>
      <c r="BX207" s="75">
        <f>'QTR Raw'!AR34</f>
        <v>-556.29</v>
      </c>
      <c r="BY207" s="75">
        <f>'QTR Raw'!AS34</f>
        <v>-505.54</v>
      </c>
      <c r="BZ207" s="75">
        <f>'QTR Raw'!AT34</f>
        <v>-471.8</v>
      </c>
      <c r="CA207" s="75">
        <f>'QTR Raw'!AU34</f>
        <v>-602.59</v>
      </c>
      <c r="CB207" s="75">
        <f>'QTR Raw'!AV34</f>
        <v>-622.87</v>
      </c>
      <c r="CC207" s="75">
        <f>'QTR Raw'!AW34</f>
        <v>-645.48</v>
      </c>
      <c r="CD207" s="75">
        <f>'QTR Raw'!AX34</f>
        <v>-617.04999999999995</v>
      </c>
      <c r="CE207" s="75">
        <f>'QTR Raw'!AY34</f>
        <v>-658.96</v>
      </c>
      <c r="CF207" s="75">
        <f>'QTR Raw'!AZ34</f>
        <v>-703.55</v>
      </c>
      <c r="CG207" s="75">
        <f>'QTR Raw'!BA34</f>
        <v>-615.14</v>
      </c>
      <c r="CH207" s="75">
        <f>'QTR Raw'!BB34</f>
        <v>-658.56</v>
      </c>
      <c r="CI207" s="75">
        <f>'QTR Raw'!BC34</f>
        <v>-700.98</v>
      </c>
      <c r="CJ207" s="75">
        <f>'QTR Raw'!BD34</f>
        <v>-751.92</v>
      </c>
      <c r="CK207" s="75">
        <f>'QTR Raw'!BE34</f>
        <v>-609.54</v>
      </c>
      <c r="CL207" s="75">
        <f>'QTR Raw'!BF34</f>
        <v>-807.46</v>
      </c>
      <c r="CM207" s="76">
        <f t="shared" ref="CM207:CM208" si="1238">+CL207</f>
        <v>-807.46</v>
      </c>
      <c r="CN207" s="76">
        <f t="shared" ref="CN207:CN208" si="1239">+CM207</f>
        <v>-807.46</v>
      </c>
      <c r="CO207" s="76">
        <f t="shared" ref="CO207:CO208" si="1240">+CN207</f>
        <v>-807.46</v>
      </c>
      <c r="CP207" s="76">
        <f t="shared" ref="CP207:CP208" si="1241">+CO207</f>
        <v>-807.46</v>
      </c>
      <c r="CQ207" s="76">
        <f t="shared" ref="CQ207:CQ208" si="1242">+CP207</f>
        <v>-807.46</v>
      </c>
      <c r="CR207" s="76">
        <f t="shared" ref="CR207:CR208" si="1243">+CQ207</f>
        <v>-807.46</v>
      </c>
      <c r="CS207" s="76">
        <f t="shared" ref="CS207:CS208" si="1244">+CR207</f>
        <v>-807.46</v>
      </c>
      <c r="CT207" s="76">
        <f t="shared" ref="CT207:CT208" si="1245">+CS207</f>
        <v>-807.46</v>
      </c>
      <c r="CU207" s="76">
        <f t="shared" ref="CU207:CU208" si="1246">+CT207</f>
        <v>-807.46</v>
      </c>
      <c r="CV207" s="76">
        <f t="shared" ref="CV207:CV208" si="1247">+CU207</f>
        <v>-807.46</v>
      </c>
      <c r="CW207" s="76">
        <f t="shared" ref="CW207:CW208" si="1248">+CV207</f>
        <v>-807.46</v>
      </c>
      <c r="CX207" s="76">
        <f t="shared" ref="CX207:CX208" si="1249">+CW207</f>
        <v>-807.46</v>
      </c>
      <c r="CY207" s="76">
        <f t="shared" ref="CY207:CY208" si="1250">+CX207</f>
        <v>-807.46</v>
      </c>
      <c r="CZ207" s="76">
        <f t="shared" ref="CZ207:CZ208" si="1251">+CY207</f>
        <v>-807.46</v>
      </c>
      <c r="DA207" s="76">
        <f t="shared" ref="DA207:DA208" si="1252">+CZ207</f>
        <v>-807.46</v>
      </c>
      <c r="DB207" s="76">
        <f t="shared" ref="DB207:DB208" si="1253">+DA207</f>
        <v>-807.46</v>
      </c>
      <c r="DE207" s="131"/>
      <c r="DF207" s="75">
        <v>-2869.89</v>
      </c>
    </row>
    <row r="208" spans="1:110" s="75" customFormat="1" x14ac:dyDescent="0.2">
      <c r="A208" s="23" t="s">
        <v>24</v>
      </c>
      <c r="B208" s="75">
        <f>'Annual Raw'!C33+'Annual Raw'!C28</f>
        <v>0</v>
      </c>
      <c r="C208" s="75">
        <f>'Annual Raw'!D33+'Annual Raw'!D28</f>
        <v>0</v>
      </c>
      <c r="D208" s="75">
        <f>'Annual Raw'!E33+'Annual Raw'!E28</f>
        <v>15.66</v>
      </c>
      <c r="E208" s="75">
        <f>'Annual Raw'!F33+'Annual Raw'!F28</f>
        <v>7.39</v>
      </c>
      <c r="F208" s="75">
        <f>'Annual Raw'!G33+'Annual Raw'!G28</f>
        <v>-3.8</v>
      </c>
      <c r="G208" s="75">
        <f>'Annual Raw'!H33+'Annual Raw'!H28</f>
        <v>71.52</v>
      </c>
      <c r="H208" s="75">
        <f>'Annual Raw'!I33+'Annual Raw'!I28</f>
        <v>95.08</v>
      </c>
      <c r="I208" s="75">
        <f>'Annual Raw'!J33+'Annual Raw'!J28</f>
        <v>135.83000000000001</v>
      </c>
      <c r="J208" s="75">
        <f>'Annual Raw'!K33+'Annual Raw'!K28</f>
        <v>50.9</v>
      </c>
      <c r="K208" s="75">
        <f>'Annual Raw'!L33+'Annual Raw'!L28</f>
        <v>105.95</v>
      </c>
      <c r="L208" s="75">
        <f>'Annual Raw'!M33+'Annual Raw'!M28</f>
        <v>87.07</v>
      </c>
      <c r="M208" s="75">
        <f>'Annual Raw'!N33+'Annual Raw'!N28</f>
        <v>46.16</v>
      </c>
      <c r="N208" s="75">
        <f>'Annual Raw'!O33+'Annual Raw'!O28</f>
        <v>38.43</v>
      </c>
      <c r="O208" s="75">
        <f>'Annual Raw'!P33+'Annual Raw'!P28</f>
        <v>9.25</v>
      </c>
      <c r="P208" s="75">
        <f>'Annual Raw'!Q33+'Annual Raw'!Q28</f>
        <v>2.14</v>
      </c>
      <c r="Q208" s="75">
        <f>'Annual Raw'!R33+'Annual Raw'!R28</f>
        <v>-990.16</v>
      </c>
      <c r="R208" s="75">
        <f>'Annual Raw'!S33+'Annual Raw'!S28</f>
        <v>-395.27</v>
      </c>
      <c r="S208" s="75">
        <f>'Annual Raw'!T33+'Annual Raw'!T28</f>
        <v>-435.86</v>
      </c>
      <c r="T208" s="75">
        <f>'Annual Raw'!U33+'Annual Raw'!U28</f>
        <v>-21</v>
      </c>
      <c r="U208" s="75">
        <f>'Annual Raw'!V33+'Annual Raw'!V28</f>
        <v>71.959999999999994</v>
      </c>
      <c r="V208" s="75">
        <f>'Annual Raw'!W33+'Annual Raw'!W28</f>
        <v>14.4</v>
      </c>
      <c r="W208" s="75">
        <f>'Annual Raw'!X33+'Annual Raw'!X28</f>
        <v>128.19</v>
      </c>
      <c r="X208" s="75">
        <f>'Annual Raw'!Y33+'Annual Raw'!Y28</f>
        <v>-94.25</v>
      </c>
      <c r="Y208" s="75">
        <f>'Annual Raw'!Z33+'Annual Raw'!Z28</f>
        <v>-22.62</v>
      </c>
      <c r="Z208" s="75">
        <f>'Annual Raw'!AA33+'Annual Raw'!AA28</f>
        <v>-14.06</v>
      </c>
      <c r="AA208" s="75">
        <f>'Annual Raw'!AB33+'Annual Raw'!AB28</f>
        <v>-205.52</v>
      </c>
      <c r="AB208" s="76">
        <f t="shared" si="1234"/>
        <v>-737.88</v>
      </c>
      <c r="AC208" s="76">
        <f t="shared" si="1235"/>
        <v>-737.88</v>
      </c>
      <c r="AD208" s="76">
        <f t="shared" si="1236"/>
        <v>-737.88</v>
      </c>
      <c r="AE208" s="76">
        <f t="shared" si="1237"/>
        <v>-737.88</v>
      </c>
      <c r="AI208" s="75">
        <f>'QTR Raw'!C35</f>
        <v>0</v>
      </c>
      <c r="AJ208" s="75">
        <f>'QTR Raw'!D35</f>
        <v>0</v>
      </c>
      <c r="AK208" s="75">
        <f>'QTR Raw'!E35</f>
        <v>0</v>
      </c>
      <c r="AL208" s="75">
        <f>'QTR Raw'!F35</f>
        <v>0</v>
      </c>
      <c r="AM208" s="75">
        <f>'QTR Raw'!G35</f>
        <v>1.69</v>
      </c>
      <c r="AN208" s="75">
        <f>'QTR Raw'!H35</f>
        <v>3.12</v>
      </c>
      <c r="AO208" s="75">
        <f>'QTR Raw'!I35</f>
        <v>-0.88</v>
      </c>
      <c r="AP208" s="75">
        <f>'QTR Raw'!J35</f>
        <v>5.32</v>
      </c>
      <c r="AQ208" s="75">
        <f>'QTR Raw'!K35</f>
        <v>1.56</v>
      </c>
      <c r="AR208" s="75">
        <f>'QTR Raw'!L35</f>
        <v>0.68</v>
      </c>
      <c r="AS208" s="75">
        <f>'QTR Raw'!M35</f>
        <v>1.69</v>
      </c>
      <c r="AT208" s="75">
        <f>'QTR Raw'!N35</f>
        <v>-1.79</v>
      </c>
      <c r="AU208" s="75">
        <f>'QTR Raw'!O35</f>
        <v>-196.29</v>
      </c>
      <c r="AV208" s="75">
        <f>'QTR Raw'!P35</f>
        <v>-166.9</v>
      </c>
      <c r="AW208" s="75">
        <f>'QTR Raw'!Q35</f>
        <v>-294.20999999999998</v>
      </c>
      <c r="AX208" s="75">
        <f>'QTR Raw'!R35</f>
        <v>-332.77</v>
      </c>
      <c r="AY208" s="75">
        <f>'QTR Raw'!S35</f>
        <v>-173.56</v>
      </c>
      <c r="AZ208" s="75">
        <f>'QTR Raw'!T35</f>
        <v>-156.69</v>
      </c>
      <c r="BA208" s="75">
        <f>'QTR Raw'!U35</f>
        <v>-148.41</v>
      </c>
      <c r="BB208" s="75">
        <f>'QTR Raw'!V35</f>
        <v>83.39</v>
      </c>
      <c r="BC208" s="75">
        <f>'QTR Raw'!W35</f>
        <v>-37.24</v>
      </c>
      <c r="BD208" s="75">
        <f>'QTR Raw'!X35</f>
        <v>-110.74</v>
      </c>
      <c r="BE208" s="75">
        <f>'QTR Raw'!Y35</f>
        <v>-171.06</v>
      </c>
      <c r="BF208" s="75">
        <f>'QTR Raw'!Z35</f>
        <v>-116.82</v>
      </c>
      <c r="BG208" s="75">
        <f>'QTR Raw'!AA35</f>
        <v>258.93</v>
      </c>
      <c r="BH208" s="75">
        <f>'QTR Raw'!AB35</f>
        <v>-96.22</v>
      </c>
      <c r="BI208" s="75">
        <f>'QTR Raw'!AC35</f>
        <v>-56.47</v>
      </c>
      <c r="BJ208" s="75">
        <f>'QTR Raw'!AD35</f>
        <v>-127.24</v>
      </c>
      <c r="BK208" s="75">
        <f>'QTR Raw'!AE35</f>
        <v>-162.82</v>
      </c>
      <c r="BL208" s="75">
        <f>'QTR Raw'!AF35</f>
        <v>40.04</v>
      </c>
      <c r="BM208" s="75">
        <f>'QTR Raw'!AG35</f>
        <v>48.09</v>
      </c>
      <c r="BN208" s="75">
        <f>'QTR Raw'!AH35</f>
        <v>146.65</v>
      </c>
      <c r="BO208" s="75">
        <f>'QTR Raw'!AI35</f>
        <v>-101.14</v>
      </c>
      <c r="BP208" s="75">
        <f>'QTR Raw'!AJ35</f>
        <v>-52.55</v>
      </c>
      <c r="BQ208" s="75">
        <f>'QTR Raw'!AK35</f>
        <v>8.58</v>
      </c>
      <c r="BR208" s="75">
        <f>'QTR Raw'!AL35</f>
        <v>159.51</v>
      </c>
      <c r="BS208" s="75">
        <f>'QTR Raw'!AM35</f>
        <v>-24.52</v>
      </c>
      <c r="BT208" s="75">
        <f>'QTR Raw'!AN35</f>
        <v>0.63</v>
      </c>
      <c r="BU208" s="75">
        <f>'QTR Raw'!AO35</f>
        <v>20.28</v>
      </c>
      <c r="BV208" s="75">
        <f>'QTR Raw'!AP35</f>
        <v>131.81</v>
      </c>
      <c r="BW208" s="75">
        <f>'QTR Raw'!AQ35</f>
        <v>-64.680000000000007</v>
      </c>
      <c r="BX208" s="75">
        <f>'QTR Raw'!AR35</f>
        <v>-33.94</v>
      </c>
      <c r="BY208" s="75">
        <f>'QTR Raw'!AS35</f>
        <v>-7.47</v>
      </c>
      <c r="BZ208" s="75">
        <f>'QTR Raw'!AT35</f>
        <v>11.84</v>
      </c>
      <c r="CA208" s="75">
        <f>'QTR Raw'!AU35</f>
        <v>-20.53</v>
      </c>
      <c r="CB208" s="75">
        <f>'QTR Raw'!AV35</f>
        <v>-10.050000000000001</v>
      </c>
      <c r="CC208" s="75">
        <f>'QTR Raw'!AW35</f>
        <v>-1.67</v>
      </c>
      <c r="CD208" s="75">
        <f>'QTR Raw'!AX35</f>
        <v>9.6300000000000008</v>
      </c>
      <c r="CE208" s="75">
        <f>'QTR Raw'!AY35</f>
        <v>4.57</v>
      </c>
      <c r="CF208" s="75">
        <f>'QTR Raw'!AZ35</f>
        <v>-13.97</v>
      </c>
      <c r="CG208" s="75">
        <f>'QTR Raw'!BA35</f>
        <v>-27.05</v>
      </c>
      <c r="CH208" s="75">
        <f>'QTR Raw'!BB35</f>
        <v>22.38</v>
      </c>
      <c r="CI208" s="75">
        <f>'QTR Raw'!BC35</f>
        <v>-7.4</v>
      </c>
      <c r="CJ208" s="75">
        <f>'QTR Raw'!BD35</f>
        <v>-9.08</v>
      </c>
      <c r="CK208" s="75">
        <f>'QTR Raw'!BE35</f>
        <v>-4.58</v>
      </c>
      <c r="CL208" s="75">
        <f>'QTR Raw'!BF35</f>
        <v>-184.47</v>
      </c>
      <c r="CM208" s="76">
        <f t="shared" si="1238"/>
        <v>-184.47</v>
      </c>
      <c r="CN208" s="76">
        <f t="shared" si="1239"/>
        <v>-184.47</v>
      </c>
      <c r="CO208" s="76">
        <f t="shared" si="1240"/>
        <v>-184.47</v>
      </c>
      <c r="CP208" s="76">
        <f t="shared" si="1241"/>
        <v>-184.47</v>
      </c>
      <c r="CQ208" s="76">
        <f t="shared" si="1242"/>
        <v>-184.47</v>
      </c>
      <c r="CR208" s="76">
        <f t="shared" si="1243"/>
        <v>-184.47</v>
      </c>
      <c r="CS208" s="76">
        <f t="shared" si="1244"/>
        <v>-184.47</v>
      </c>
      <c r="CT208" s="76">
        <f t="shared" si="1245"/>
        <v>-184.47</v>
      </c>
      <c r="CU208" s="76">
        <f t="shared" si="1246"/>
        <v>-184.47</v>
      </c>
      <c r="CV208" s="76">
        <f t="shared" si="1247"/>
        <v>-184.47</v>
      </c>
      <c r="CW208" s="76">
        <f t="shared" si="1248"/>
        <v>-184.47</v>
      </c>
      <c r="CX208" s="76">
        <f t="shared" si="1249"/>
        <v>-184.47</v>
      </c>
      <c r="CY208" s="76">
        <f t="shared" si="1250"/>
        <v>-184.47</v>
      </c>
      <c r="CZ208" s="76">
        <f t="shared" si="1251"/>
        <v>-184.47</v>
      </c>
      <c r="DA208" s="76">
        <f t="shared" si="1252"/>
        <v>-184.47</v>
      </c>
      <c r="DB208" s="76">
        <f t="shared" si="1253"/>
        <v>-184.47</v>
      </c>
      <c r="DE208" s="131"/>
      <c r="DF208" s="75">
        <v>-205.52</v>
      </c>
    </row>
    <row r="209" spans="1:110" s="23" customFormat="1" x14ac:dyDescent="0.2">
      <c r="A209" s="23" t="s">
        <v>19</v>
      </c>
      <c r="B209" s="75">
        <f>'Annual Raw'!C29+'Annual Raw'!C31+'Annual Raw'!C34+'Annual Raw'!C36</f>
        <v>0</v>
      </c>
      <c r="C209" s="75">
        <f>'Annual Raw'!D29+'Annual Raw'!D31+'Annual Raw'!D34+'Annual Raw'!D36</f>
        <v>0</v>
      </c>
      <c r="D209" s="75">
        <f>'Annual Raw'!E29+'Annual Raw'!E31+'Annual Raw'!E34+'Annual Raw'!E36</f>
        <v>0</v>
      </c>
      <c r="E209" s="75">
        <f>'Annual Raw'!F29+'Annual Raw'!F31+'Annual Raw'!F34+'Annual Raw'!F36</f>
        <v>143.04999999999998</v>
      </c>
      <c r="F209" s="75">
        <f>'Annual Raw'!G29+'Annual Raw'!G31+'Annual Raw'!G34+'Annual Raw'!G36</f>
        <v>-10.53</v>
      </c>
      <c r="G209" s="75">
        <f>'Annual Raw'!H29+'Annual Raw'!H31+'Annual Raw'!H34+'Annual Raw'!H36</f>
        <v>53.769999999999996</v>
      </c>
      <c r="H209" s="75">
        <f>'Annual Raw'!I29+'Annual Raw'!I31+'Annual Raw'!I34+'Annual Raw'!I36</f>
        <v>-11.1</v>
      </c>
      <c r="I209" s="75">
        <f>'Annual Raw'!J29+'Annual Raw'!J31+'Annual Raw'!J34+'Annual Raw'!J36</f>
        <v>-13.68</v>
      </c>
      <c r="J209" s="75">
        <f>'Annual Raw'!K29+'Annual Raw'!K31+'Annual Raw'!K34+'Annual Raw'!K36</f>
        <v>771.66000000000008</v>
      </c>
      <c r="K209" s="75">
        <f>'Annual Raw'!L29+'Annual Raw'!L31+'Annual Raw'!L34+'Annual Raw'!L36</f>
        <v>134.37</v>
      </c>
      <c r="L209" s="75">
        <f>'Annual Raw'!M29+'Annual Raw'!M31+'Annual Raw'!M34+'Annual Raw'!M36</f>
        <v>268.64</v>
      </c>
      <c r="M209" s="75">
        <f>'Annual Raw'!N29+'Annual Raw'!N31+'Annual Raw'!N34+'Annual Raw'!N36</f>
        <v>48.1</v>
      </c>
      <c r="N209" s="75">
        <f>'Annual Raw'!O29+'Annual Raw'!O31+'Annual Raw'!O34+'Annual Raw'!O36</f>
        <v>401.91</v>
      </c>
      <c r="O209" s="75">
        <f>'Annual Raw'!P29+'Annual Raw'!P31+'Annual Raw'!P34+'Annual Raw'!P36</f>
        <v>334.44</v>
      </c>
      <c r="P209" s="75">
        <f>'Annual Raw'!Q29+'Annual Raw'!Q31+'Annual Raw'!Q34+'Annual Raw'!Q36</f>
        <v>347.7</v>
      </c>
      <c r="Q209" s="75">
        <f>'Annual Raw'!R29+'Annual Raw'!R31+'Annual Raw'!R34+'Annual Raw'!R36</f>
        <v>46.42</v>
      </c>
      <c r="R209" s="75">
        <f>'Annual Raw'!S29+'Annual Raw'!S31+'Annual Raw'!S34+'Annual Raw'!S36</f>
        <v>121.43</v>
      </c>
      <c r="S209" s="75">
        <f>'Annual Raw'!T29+'Annual Raw'!T31+'Annual Raw'!T34+'Annual Raw'!T36</f>
        <v>123</v>
      </c>
      <c r="T209" s="75">
        <f>'Annual Raw'!U29+'Annual Raw'!U31+'Annual Raw'!U34+'Annual Raw'!U36</f>
        <v>864.08</v>
      </c>
      <c r="U209" s="75">
        <f>'Annual Raw'!V29+'Annual Raw'!V31+'Annual Raw'!V34+'Annual Raw'!V36</f>
        <v>654.57000000000005</v>
      </c>
      <c r="V209" s="75">
        <f>'Annual Raw'!W29+'Annual Raw'!W31+'Annual Raw'!W34+'Annual Raw'!W36</f>
        <v>4681.8999999999996</v>
      </c>
      <c r="W209" s="75">
        <f>'Annual Raw'!X29+'Annual Raw'!X31+'Annual Raw'!X34+'Annual Raw'!X36</f>
        <v>96.93</v>
      </c>
      <c r="X209" s="75">
        <f>'Annual Raw'!Y29+'Annual Raw'!Y31+'Annual Raw'!Y34+'Annual Raw'!Y36</f>
        <v>135.99</v>
      </c>
      <c r="Y209" s="75">
        <f>'Annual Raw'!Z29+'Annual Raw'!Z31+'Annual Raw'!Z34+'Annual Raw'!Z36</f>
        <v>93.61</v>
      </c>
      <c r="Z209" s="75">
        <f>'Annual Raw'!AA29+'Annual Raw'!AA31+'Annual Raw'!AA34+'Annual Raw'!AA36</f>
        <v>474.78</v>
      </c>
      <c r="AA209" s="75">
        <f>'Annual Raw'!AB29+'Annual Raw'!AB31+'Annual Raw'!AB34+'Annual Raw'!AB36</f>
        <v>-1722.44</v>
      </c>
      <c r="AB209" s="76">
        <f>+SUM(CM209:CP209)</f>
        <v>0</v>
      </c>
      <c r="AC209" s="76">
        <f>+SUM(CQ209:CT209)</f>
        <v>0</v>
      </c>
      <c r="AD209" s="76">
        <f>+SUM(CU209:CX209)</f>
        <v>0</v>
      </c>
      <c r="AE209" s="76">
        <f>+SUM(CY209:DB209)</f>
        <v>0</v>
      </c>
      <c r="AI209" s="75">
        <f>'QTR Raw'!C26+'QTR Raw'!C31+'QTR Raw'!C32+'QTR Raw'!C33+'QTR Raw'!C36+'QTR Raw'!C37+'QTR Raw'!C39</f>
        <v>-38.340000000000003</v>
      </c>
      <c r="AJ209" s="75">
        <f>'QTR Raw'!D26+'QTR Raw'!D31+'QTR Raw'!D32+'QTR Raw'!D33+'QTR Raw'!D36+'QTR Raw'!D37+'QTR Raw'!D39</f>
        <v>267.18</v>
      </c>
      <c r="AK209" s="75">
        <f>'QTR Raw'!E26+'QTR Raw'!E31+'QTR Raw'!E32+'QTR Raw'!E33+'QTR Raw'!E36+'QTR Raw'!E37+'QTR Raw'!E39</f>
        <v>0</v>
      </c>
      <c r="AL209" s="75">
        <f>'QTR Raw'!F26+'QTR Raw'!F31+'QTR Raw'!F32+'QTR Raw'!F33+'QTR Raw'!F36+'QTR Raw'!F37+'QTR Raw'!F39</f>
        <v>196.75</v>
      </c>
      <c r="AM209" s="75">
        <f>'QTR Raw'!G26+'QTR Raw'!G31+'QTR Raw'!G32+'QTR Raw'!G33+'QTR Raw'!G36+'QTR Raw'!G37+'QTR Raw'!G39</f>
        <v>0</v>
      </c>
      <c r="AN209" s="75">
        <f>'QTR Raw'!H26+'QTR Raw'!H31+'QTR Raw'!H32+'QTR Raw'!H33+'QTR Raw'!H36+'QTR Raw'!H37+'QTR Raw'!H39</f>
        <v>-6.56</v>
      </c>
      <c r="AO209" s="75">
        <f>'QTR Raw'!I26+'QTR Raw'!I31+'QTR Raw'!I32+'QTR Raw'!I33+'QTR Raw'!I36+'QTR Raw'!I37+'QTR Raw'!I39</f>
        <v>67.06</v>
      </c>
      <c r="AP209" s="75">
        <f>'QTR Raw'!J26+'QTR Raw'!J31+'QTR Raw'!J32+'QTR Raw'!J33+'QTR Raw'!J36+'QTR Raw'!J37+'QTR Raw'!J39</f>
        <v>294.75</v>
      </c>
      <c r="AQ209" s="75">
        <f>'QTR Raw'!K26+'QTR Raw'!K31+'QTR Raw'!K32+'QTR Raw'!K33+'QTR Raw'!K36+'QTR Raw'!K37+'QTR Raw'!K39</f>
        <v>249.28</v>
      </c>
      <c r="AR209" s="75">
        <f>'QTR Raw'!L26+'QTR Raw'!L31+'QTR Raw'!L32+'QTR Raw'!L33+'QTR Raw'!L36+'QTR Raw'!L37+'QTR Raw'!L39</f>
        <v>0</v>
      </c>
      <c r="AS209" s="75">
        <f>'QTR Raw'!M26+'QTR Raw'!M31+'QTR Raw'!M32+'QTR Raw'!M33+'QTR Raw'!M36+'QTR Raw'!M37+'QTR Raw'!M39</f>
        <v>0</v>
      </c>
      <c r="AT209" s="75">
        <f>'QTR Raw'!N26+'QTR Raw'!N31+'QTR Raw'!N32+'QTR Raw'!N33+'QTR Raw'!N36+'QTR Raw'!N37+'QTR Raw'!N39</f>
        <v>98.42</v>
      </c>
      <c r="AU209" s="75">
        <f>'QTR Raw'!O26+'QTR Raw'!O31+'QTR Raw'!O32+'QTR Raw'!O33+'QTR Raw'!O36+'QTR Raw'!O37+'QTR Raw'!O39</f>
        <v>0</v>
      </c>
      <c r="AV209" s="75">
        <f>'QTR Raw'!P26+'QTR Raw'!P31+'QTR Raw'!P32+'QTR Raw'!P33+'QTR Raw'!P36+'QTR Raw'!P37+'QTR Raw'!P39</f>
        <v>45.69</v>
      </c>
      <c r="AW209" s="75">
        <f>'QTR Raw'!Q26+'QTR Raw'!Q31+'QTR Raw'!Q32+'QTR Raw'!Q33+'QTR Raw'!Q36+'QTR Raw'!Q37+'QTR Raw'!Q39</f>
        <v>0</v>
      </c>
      <c r="AX209" s="75">
        <f>'QTR Raw'!R26+'QTR Raw'!R31+'QTR Raw'!R32+'QTR Raw'!R33+'QTR Raw'!R36+'QTR Raw'!R37+'QTR Raw'!R39</f>
        <v>48.52</v>
      </c>
      <c r="AY209" s="75">
        <f>'QTR Raw'!S26+'QTR Raw'!S31+'QTR Raw'!S32+'QTR Raw'!S33+'QTR Raw'!S36+'QTR Raw'!S37+'QTR Raw'!S39</f>
        <v>0</v>
      </c>
      <c r="AZ209" s="75">
        <f>'QTR Raw'!T26+'QTR Raw'!T31+'QTR Raw'!T32+'QTR Raw'!T33+'QTR Raw'!T36+'QTR Raw'!T37+'QTR Raw'!T39</f>
        <v>402.43</v>
      </c>
      <c r="BA209" s="75">
        <f>'QTR Raw'!U26+'QTR Raw'!U31+'QTR Raw'!U32+'QTR Raw'!U33+'QTR Raw'!U36+'QTR Raw'!U37+'QTR Raw'!U39</f>
        <v>0</v>
      </c>
      <c r="BB209" s="75">
        <f>'QTR Raw'!V26+'QTR Raw'!V31+'QTR Raw'!V32+'QTR Raw'!V33+'QTR Raw'!V36+'QTR Raw'!V37+'QTR Raw'!V39</f>
        <v>-281</v>
      </c>
      <c r="BC209" s="75">
        <f>'QTR Raw'!W26+'QTR Raw'!W31+'QTR Raw'!W32+'QTR Raw'!W33+'QTR Raw'!W36+'QTR Raw'!W37+'QTR Raw'!W39</f>
        <v>0</v>
      </c>
      <c r="BD209" s="75">
        <f>'QTR Raw'!X26+'QTR Raw'!X31+'QTR Raw'!X32+'QTR Raw'!X33+'QTR Raw'!X36+'QTR Raw'!X37+'QTR Raw'!X39</f>
        <v>136.74</v>
      </c>
      <c r="BE209" s="75">
        <f>'QTR Raw'!Y26+'QTR Raw'!Y31+'QTR Raw'!Y32+'QTR Raw'!Y33+'QTR Raw'!Y36+'QTR Raw'!Y37+'QTR Raw'!Y39</f>
        <v>-13.75</v>
      </c>
      <c r="BF209" s="75">
        <f>'QTR Raw'!Z26+'QTR Raw'!Z31+'QTR Raw'!Z32+'QTR Raw'!Z33+'QTR Raw'!Z36+'QTR Raw'!Z37+'QTR Raw'!Z39</f>
        <v>0</v>
      </c>
      <c r="BG209" s="75">
        <f>'QTR Raw'!AA26+'QTR Raw'!AA31+'QTR Raw'!AA32+'QTR Raw'!AA33+'QTR Raw'!AA36+'QTR Raw'!AA37+'QTR Raw'!AA39</f>
        <v>85.38</v>
      </c>
      <c r="BH209" s="75">
        <f>'QTR Raw'!AB26+'QTR Raw'!AB31+'QTR Raw'!AB32+'QTR Raw'!AB33+'QTR Raw'!AB36+'QTR Raw'!AB37+'QTR Raw'!AB39</f>
        <v>432.69</v>
      </c>
      <c r="BI209" s="75">
        <f>'QTR Raw'!AC26+'QTR Raw'!AC31+'QTR Raw'!AC32+'QTR Raw'!AC33+'QTR Raw'!AC36+'QTR Raw'!AC37+'QTR Raw'!AC39</f>
        <v>143.6</v>
      </c>
      <c r="BJ209" s="75">
        <f>'QTR Raw'!AD26+'QTR Raw'!AD31+'QTR Raw'!AD32+'QTR Raw'!AD33+'QTR Raw'!AD36+'QTR Raw'!AD37+'QTR Raw'!AD39</f>
        <v>202.41</v>
      </c>
      <c r="BK209" s="75">
        <f>'QTR Raw'!AE26+'QTR Raw'!AE31+'QTR Raw'!AE32+'QTR Raw'!AE33+'QTR Raw'!AE36+'QTR Raw'!AE37+'QTR Raw'!AE39</f>
        <v>112.08</v>
      </c>
      <c r="BL209" s="75">
        <f>'QTR Raw'!AF26+'QTR Raw'!AF31+'QTR Raw'!AF32+'QTR Raw'!AF33+'QTR Raw'!AF36+'QTR Raw'!AF37+'QTR Raw'!AF39</f>
        <v>218.76</v>
      </c>
      <c r="BM209" s="75">
        <f>'QTR Raw'!AG26+'QTR Raw'!AG31+'QTR Raw'!AG32+'QTR Raw'!AG33+'QTR Raw'!AG36+'QTR Raw'!AG37+'QTR Raw'!AG39</f>
        <v>191.34</v>
      </c>
      <c r="BN209" s="75">
        <f>'QTR Raw'!AH26+'QTR Raw'!AH31+'QTR Raw'!AH32+'QTR Raw'!AH33+'QTR Raw'!AH36+'QTR Raw'!AH37+'QTR Raw'!AH39</f>
        <v>132.38999999999999</v>
      </c>
      <c r="BO209" s="75">
        <f>'QTR Raw'!AI26+'QTR Raw'!AI31+'QTR Raw'!AI32+'QTR Raw'!AI33+'QTR Raw'!AI36+'QTR Raw'!AI37+'QTR Raw'!AI39</f>
        <v>231.77</v>
      </c>
      <c r="BP209" s="75">
        <f>'QTR Raw'!AJ26+'QTR Raw'!AJ31+'QTR Raw'!AJ32+'QTR Raw'!AJ33+'QTR Raw'!AJ36+'QTR Raw'!AJ37+'QTR Raw'!AJ39</f>
        <v>4413.7</v>
      </c>
      <c r="BQ209" s="75">
        <f>'QTR Raw'!AK26+'QTR Raw'!AK31+'QTR Raw'!AK32+'QTR Raw'!AK33+'QTR Raw'!AK36+'QTR Raw'!AK37+'QTR Raw'!AK39</f>
        <v>209.33</v>
      </c>
      <c r="BR209" s="75">
        <f>'QTR Raw'!AL26+'QTR Raw'!AL31+'QTR Raw'!AL32+'QTR Raw'!AL33+'QTR Raw'!AL36+'QTR Raw'!AL37+'QTR Raw'!AL39</f>
        <v>-124.46</v>
      </c>
      <c r="BS209" s="75">
        <f>'QTR Raw'!AM26+'QTR Raw'!AM31+'QTR Raw'!AM32+'QTR Raw'!AM33+'QTR Raw'!AM36+'QTR Raw'!AM37+'QTR Raw'!AM39</f>
        <v>0</v>
      </c>
      <c r="BT209" s="75">
        <f>'QTR Raw'!AN26+'QTR Raw'!AN31+'QTR Raw'!AN32+'QTR Raw'!AN33+'QTR Raw'!AN36+'QTR Raw'!AN37+'QTR Raw'!AN39</f>
        <v>96.93</v>
      </c>
      <c r="BU209" s="75">
        <f>'QTR Raw'!AO26+'QTR Raw'!AO31+'QTR Raw'!AO32+'QTR Raw'!AO33+'QTR Raw'!AO36+'QTR Raw'!AO37+'QTR Raw'!AO39</f>
        <v>0</v>
      </c>
      <c r="BV209" s="75">
        <f>'QTR Raw'!AP26+'QTR Raw'!AP31+'QTR Raw'!AP32+'QTR Raw'!AP33+'QTR Raw'!AP36+'QTR Raw'!AP37+'QTR Raw'!AP39</f>
        <v>0</v>
      </c>
      <c r="BW209" s="75">
        <f>'QTR Raw'!AQ26+'QTR Raw'!AQ31+'QTR Raw'!AQ32+'QTR Raw'!AQ33+'QTR Raw'!AQ36+'QTR Raw'!AQ37+'QTR Raw'!AQ39</f>
        <v>0</v>
      </c>
      <c r="BX209" s="75">
        <f>'QTR Raw'!AR26+'QTR Raw'!AR31+'QTR Raw'!AR32+'QTR Raw'!AR33+'QTR Raw'!AR36+'QTR Raw'!AR37+'QTR Raw'!AR39</f>
        <v>0</v>
      </c>
      <c r="BY209" s="75">
        <f>'QTR Raw'!AS26+'QTR Raw'!AS31+'QTR Raw'!AS32+'QTR Raw'!AS33+'QTR Raw'!AS36+'QTR Raw'!AS37+'QTR Raw'!AS39</f>
        <v>135.99</v>
      </c>
      <c r="BZ209" s="75">
        <f>'QTR Raw'!AT26+'QTR Raw'!AT31+'QTR Raw'!AT32+'QTR Raw'!AT33+'QTR Raw'!AT36+'QTR Raw'!AT37+'QTR Raw'!AT39</f>
        <v>0</v>
      </c>
      <c r="CA209" s="75">
        <f>'QTR Raw'!AU26+'QTR Raw'!AU31+'QTR Raw'!AU32+'QTR Raw'!AU33+'QTR Raw'!AU36+'QTR Raw'!AU37+'QTR Raw'!AU39</f>
        <v>0</v>
      </c>
      <c r="CB209" s="75">
        <f>'QTR Raw'!AV26+'QTR Raw'!AV31+'QTR Raw'!AV32+'QTR Raw'!AV33+'QTR Raw'!AV36+'QTR Raw'!AV37+'QTR Raw'!AV39</f>
        <v>0</v>
      </c>
      <c r="CC209" s="75">
        <f>'QTR Raw'!AW26+'QTR Raw'!AW31+'QTR Raw'!AW32+'QTR Raw'!AW33+'QTR Raw'!AW36+'QTR Raw'!AW37+'QTR Raw'!AW39</f>
        <v>0</v>
      </c>
      <c r="CD209" s="75">
        <f>'QTR Raw'!AX26+'QTR Raw'!AX31+'QTR Raw'!AX32+'QTR Raw'!AX33+'QTR Raw'!AX36+'QTR Raw'!AX37+'QTR Raw'!AX39</f>
        <v>93.61</v>
      </c>
      <c r="CE209" s="75">
        <f>'QTR Raw'!AY26+'QTR Raw'!AY31+'QTR Raw'!AY32+'QTR Raw'!AY33+'QTR Raw'!AY36+'QTR Raw'!AY37+'QTR Raw'!AY39</f>
        <v>0</v>
      </c>
      <c r="CF209" s="75">
        <f>'QTR Raw'!AZ26+'QTR Raw'!AZ31+'QTR Raw'!AZ32+'QTR Raw'!AZ33+'QTR Raw'!AZ36+'QTR Raw'!AZ37+'QTR Raw'!AZ39</f>
        <v>0</v>
      </c>
      <c r="CG209" s="75">
        <f>'QTR Raw'!BA26+'QTR Raw'!BA31+'QTR Raw'!BA32+'QTR Raw'!BA33+'QTR Raw'!BA36+'QTR Raw'!BA37+'QTR Raw'!BA39</f>
        <v>0</v>
      </c>
      <c r="CH209" s="75">
        <f>'QTR Raw'!BB26+'QTR Raw'!BB31+'QTR Raw'!BB32+'QTR Raw'!BB33+'QTR Raw'!BB36+'QTR Raw'!BB37+'QTR Raw'!BB39</f>
        <v>474.78</v>
      </c>
      <c r="CI209" s="75">
        <f>'QTR Raw'!BC26+'QTR Raw'!BC31+'QTR Raw'!BC32+'QTR Raw'!BC33+'QTR Raw'!BC36+'QTR Raw'!BC37+'QTR Raw'!BC39</f>
        <v>0</v>
      </c>
      <c r="CJ209" s="75">
        <f>'QTR Raw'!BD26+'QTR Raw'!BD31+'QTR Raw'!BD32+'QTR Raw'!BD33+'QTR Raw'!BD36+'QTR Raw'!BD37+'QTR Raw'!BD39</f>
        <v>0</v>
      </c>
      <c r="CK209" s="75">
        <f>'QTR Raw'!BE26+'QTR Raw'!BE31+'QTR Raw'!BE32+'QTR Raw'!BE33+'QTR Raw'!BE36+'QTR Raw'!BE37+'QTR Raw'!BE39</f>
        <v>-1343.76</v>
      </c>
      <c r="CL209" s="75">
        <f>'QTR Raw'!BF26+'QTR Raw'!BF31+'QTR Raw'!BF32+'QTR Raw'!BF33+'QTR Raw'!BF36+'QTR Raw'!BF37+'QTR Raw'!BF39</f>
        <v>68.650000000000006</v>
      </c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E209" s="123"/>
      <c r="DF209" s="23">
        <v>-1722.44</v>
      </c>
    </row>
    <row r="210" spans="1:110" s="26" customFormat="1" x14ac:dyDescent="0.2">
      <c r="A210" s="35" t="s">
        <v>25</v>
      </c>
      <c r="B210" s="26">
        <f>B203+B207+B208+B209</f>
        <v>315.06000000000091</v>
      </c>
      <c r="C210" s="26">
        <f>C203+C207+C208+C209</f>
        <v>293.71000000000043</v>
      </c>
      <c r="D210" s="26">
        <f>D203+D207+D208+D209</f>
        <v>380.1800000000004</v>
      </c>
      <c r="E210" s="26">
        <f t="shared" ref="E210:U210" si="1254">E203+E207+E208+E209</f>
        <v>746.81</v>
      </c>
      <c r="F210" s="26">
        <f t="shared" si="1254"/>
        <v>1049.5099999999989</v>
      </c>
      <c r="G210" s="26">
        <f t="shared" si="1254"/>
        <v>1317.2099999999962</v>
      </c>
      <c r="H210" s="26">
        <f t="shared" si="1254"/>
        <v>2240.1400000000003</v>
      </c>
      <c r="I210" s="26">
        <f t="shared" si="1254"/>
        <v>2325.3600000000029</v>
      </c>
      <c r="J210" s="26">
        <f t="shared" si="1254"/>
        <v>3789.4599999999937</v>
      </c>
      <c r="K210" s="26">
        <f t="shared" si="1254"/>
        <v>5450.7399999999989</v>
      </c>
      <c r="L210" s="26">
        <f t="shared" si="1254"/>
        <v>4456.17</v>
      </c>
      <c r="M210" s="26">
        <f t="shared" si="1254"/>
        <v>4693.6900000000032</v>
      </c>
      <c r="N210" s="26">
        <f t="shared" si="1254"/>
        <v>5205.6699999999964</v>
      </c>
      <c r="O210" s="26">
        <f t="shared" si="1254"/>
        <v>4902</v>
      </c>
      <c r="P210" s="26">
        <f t="shared" si="1254"/>
        <v>4764.8199999999888</v>
      </c>
      <c r="Q210" s="26">
        <f t="shared" si="1254"/>
        <v>4232.8800000000128</v>
      </c>
      <c r="R210" s="26">
        <f t="shared" si="1254"/>
        <v>6041.230000000005</v>
      </c>
      <c r="S210" s="26">
        <f t="shared" si="1254"/>
        <v>7369.8600000000124</v>
      </c>
      <c r="T210" s="26">
        <f t="shared" si="1254"/>
        <v>8905.1299999999683</v>
      </c>
      <c r="U210" s="26">
        <f t="shared" si="1254"/>
        <v>9549.0299999999806</v>
      </c>
      <c r="V210" s="26">
        <f t="shared" ref="V210:AA210" si="1255">V203+V207+V208+V209</f>
        <v>11582.929999999993</v>
      </c>
      <c r="W210" s="26">
        <f t="shared" si="1255"/>
        <v>8669.3300000000309</v>
      </c>
      <c r="X210" s="26">
        <f t="shared" si="1255"/>
        <v>10470.720000000012</v>
      </c>
      <c r="Y210" s="26">
        <f t="shared" si="1255"/>
        <v>13059.11000000003</v>
      </c>
      <c r="Z210" s="26">
        <f t="shared" si="1255"/>
        <v>15037.110000000002</v>
      </c>
      <c r="AA210" s="26">
        <f t="shared" ref="AA210" si="1256">AA203+AA207+AA208+AA209</f>
        <v>16083.989999999934</v>
      </c>
      <c r="AB210" s="27">
        <f t="shared" ref="AB210:AD210" si="1257">AB203+AB207+AB208+AB209</f>
        <v>21824.269733898407</v>
      </c>
      <c r="AC210" s="27">
        <f t="shared" si="1257"/>
        <v>26291.501913159474</v>
      </c>
      <c r="AD210" s="27">
        <f t="shared" si="1257"/>
        <v>31573.906871991421</v>
      </c>
      <c r="AE210" s="27">
        <f t="shared" ref="AE210" si="1258">AE203+AE207+AE208+AE209</f>
        <v>37618.105634851374</v>
      </c>
      <c r="AI210" s="26">
        <f t="shared" ref="AI210" si="1259">AI203+AI207+AI208+AI209</f>
        <v>863.65000000000066</v>
      </c>
      <c r="AJ210" s="26">
        <f t="shared" ref="AJ210" si="1260">AJ203+AJ207+AJ208+AJ209</f>
        <v>1137.3100000000009</v>
      </c>
      <c r="AK210" s="26">
        <f t="shared" ref="AK210:AM210" si="1261">AK203+AK207+AK208+AK209</f>
        <v>1013.2300000000001</v>
      </c>
      <c r="AL210" s="26">
        <f t="shared" si="1261"/>
        <v>1787.9399999999982</v>
      </c>
      <c r="AM210" s="26">
        <f t="shared" si="1261"/>
        <v>458.59000000000214</v>
      </c>
      <c r="AN210" s="26">
        <f t="shared" ref="AN210:AO210" si="1262">AN203+AN207+AN208+AN209</f>
        <v>806.35000000000093</v>
      </c>
      <c r="AO210" s="26">
        <f t="shared" si="1262"/>
        <v>796.66000000000622</v>
      </c>
      <c r="AP210" s="26">
        <f t="shared" ref="AP210:CD210" si="1263">AP203+AP207+AP208+AP209</f>
        <v>2840.3999999999978</v>
      </c>
      <c r="AQ210" s="26">
        <f t="shared" si="1263"/>
        <v>966.89000000000192</v>
      </c>
      <c r="AR210" s="26">
        <f t="shared" si="1263"/>
        <v>861.75000000000011</v>
      </c>
      <c r="AS210" s="26">
        <f t="shared" si="1263"/>
        <v>866.53999999999769</v>
      </c>
      <c r="AT210" s="26">
        <f t="shared" si="1263"/>
        <v>2069.6399999999962</v>
      </c>
      <c r="AU210" s="26">
        <f t="shared" si="1263"/>
        <v>418.94000000000324</v>
      </c>
      <c r="AV210" s="26">
        <f t="shared" si="1263"/>
        <v>778.36999999999853</v>
      </c>
      <c r="AW210" s="26">
        <f t="shared" si="1263"/>
        <v>700.34000000000128</v>
      </c>
      <c r="AX210" s="26">
        <f t="shared" si="1263"/>
        <v>2335.2000000000057</v>
      </c>
      <c r="AY210" s="26">
        <f t="shared" si="1263"/>
        <v>609.59999999999764</v>
      </c>
      <c r="AZ210" s="26">
        <f t="shared" si="1263"/>
        <v>1434.6300000000003</v>
      </c>
      <c r="BA210" s="26">
        <f t="shared" si="1263"/>
        <v>972.40000000000066</v>
      </c>
      <c r="BB210" s="26">
        <f t="shared" si="1263"/>
        <v>3024.6099999999983</v>
      </c>
      <c r="BC210" s="26">
        <f t="shared" si="1263"/>
        <v>892.54000000000246</v>
      </c>
      <c r="BD210" s="26">
        <f t="shared" si="1263"/>
        <v>1819.8799999999987</v>
      </c>
      <c r="BE210" s="26">
        <f t="shared" si="1263"/>
        <v>1489.9800000000002</v>
      </c>
      <c r="BF210" s="26">
        <f t="shared" si="1263"/>
        <v>3167.47</v>
      </c>
      <c r="BG210" s="26">
        <f t="shared" si="1263"/>
        <v>1214.7799999999957</v>
      </c>
      <c r="BH210" s="26">
        <f t="shared" si="1263"/>
        <v>2230.4900000000007</v>
      </c>
      <c r="BI210" s="26">
        <f t="shared" si="1263"/>
        <v>2041.6200000000003</v>
      </c>
      <c r="BJ210" s="26">
        <f t="shared" si="1263"/>
        <v>3418.2400000000039</v>
      </c>
      <c r="BK210" s="26">
        <f t="shared" si="1263"/>
        <v>1472.5800000000011</v>
      </c>
      <c r="BL210" s="26">
        <f t="shared" si="1263"/>
        <v>2527.2599999999966</v>
      </c>
      <c r="BM210" s="26">
        <f t="shared" si="1263"/>
        <v>2352.1200000000044</v>
      </c>
      <c r="BN210" s="26">
        <f t="shared" si="1263"/>
        <v>3197.0699999999979</v>
      </c>
      <c r="BO210" s="26">
        <f t="shared" si="1263"/>
        <v>303.14000000000254</v>
      </c>
      <c r="BP210" s="26">
        <f t="shared" si="1263"/>
        <v>5520.2700000000023</v>
      </c>
      <c r="BQ210" s="26">
        <f t="shared" si="1263"/>
        <v>2466.7099999999959</v>
      </c>
      <c r="BR210" s="26">
        <f t="shared" si="1263"/>
        <v>3292.8099999999931</v>
      </c>
      <c r="BS210" s="26">
        <f t="shared" si="1263"/>
        <v>1174.4399999999989</v>
      </c>
      <c r="BT210" s="26">
        <f t="shared" si="1263"/>
        <v>1819.4499999999975</v>
      </c>
      <c r="BU210" s="26">
        <f t="shared" si="1263"/>
        <v>2054.7400000000016</v>
      </c>
      <c r="BV210" s="26">
        <f t="shared" si="1263"/>
        <v>3620.6899999999955</v>
      </c>
      <c r="BW210" s="26">
        <f t="shared" si="1263"/>
        <v>1702.0699999999965</v>
      </c>
      <c r="BX210" s="26">
        <f t="shared" si="1263"/>
        <v>2228.9699999999962</v>
      </c>
      <c r="BY210" s="26">
        <f t="shared" si="1263"/>
        <v>2552.9200000000083</v>
      </c>
      <c r="BZ210" s="26">
        <f t="shared" si="1263"/>
        <v>3986.7799999999979</v>
      </c>
      <c r="CA210" s="26">
        <f t="shared" si="1263"/>
        <v>2492.9999999999932</v>
      </c>
      <c r="CB210" s="26">
        <f t="shared" si="1263"/>
        <v>3222.6300000000015</v>
      </c>
      <c r="CC210" s="26">
        <f t="shared" si="1263"/>
        <v>2947.3599999999947</v>
      </c>
      <c r="CD210" s="26">
        <f t="shared" si="1263"/>
        <v>4396.1200000000008</v>
      </c>
      <c r="CE210" s="26">
        <f t="shared" ref="CE210:CF210" si="1264">CE203+CE207+CE208+CE209</f>
        <v>2785.7200000000071</v>
      </c>
      <c r="CF210" s="26">
        <f t="shared" si="1264"/>
        <v>3395.2900000000041</v>
      </c>
      <c r="CG210" s="26">
        <f t="shared" ref="CG210:CH210" si="1265">CG203+CG207+CG208+CG209</f>
        <v>3358.8399999999961</v>
      </c>
      <c r="CH210" s="26">
        <f t="shared" si="1265"/>
        <v>5497.260000000002</v>
      </c>
      <c r="CI210" s="26">
        <f t="shared" ref="CI210:CJ210" si="1266">CI203+CI207+CI208+CI209</f>
        <v>3617.1899999999941</v>
      </c>
      <c r="CJ210" s="26">
        <f t="shared" si="1266"/>
        <v>3926.0899999999983</v>
      </c>
      <c r="CK210" s="26">
        <f t="shared" ref="CK210:CL210" si="1267">CK203+CK207+CK208+CK209</f>
        <v>3215.1099999999979</v>
      </c>
      <c r="CL210" s="26">
        <f t="shared" si="1267"/>
        <v>5325.5999999999949</v>
      </c>
      <c r="CM210" s="27">
        <f t="shared" ref="CM210:DB210" si="1268">CM203+CM207+CM208+CM209</f>
        <v>4698.7906584553384</v>
      </c>
      <c r="CN210" s="27">
        <f t="shared" si="1268"/>
        <v>5199.2162679292906</v>
      </c>
      <c r="CO210" s="27">
        <f t="shared" si="1268"/>
        <v>5479.9896578039506</v>
      </c>
      <c r="CP210" s="27">
        <f t="shared" si="1268"/>
        <v>6446.2731497098321</v>
      </c>
      <c r="CQ210" s="27">
        <f t="shared" si="1268"/>
        <v>5519.0159360411772</v>
      </c>
      <c r="CR210" s="27">
        <f t="shared" si="1268"/>
        <v>6182.6032873389322</v>
      </c>
      <c r="CS210" s="27">
        <f t="shared" si="1268"/>
        <v>6609.868271540623</v>
      </c>
      <c r="CT210" s="27">
        <f t="shared" si="1268"/>
        <v>7980.0144182386939</v>
      </c>
      <c r="CU210" s="27">
        <f t="shared" si="1268"/>
        <v>6648.6357074559201</v>
      </c>
      <c r="CV210" s="27">
        <f t="shared" si="1268"/>
        <v>7433.930031403168</v>
      </c>
      <c r="CW210" s="27">
        <f t="shared" si="1268"/>
        <v>7953.0178335137971</v>
      </c>
      <c r="CX210" s="27">
        <f t="shared" si="1268"/>
        <v>9538.3232996185379</v>
      </c>
      <c r="CY210" s="27">
        <f t="shared" si="1268"/>
        <v>7945.4506648203151</v>
      </c>
      <c r="CZ210" s="27">
        <f t="shared" si="1268"/>
        <v>8872.5785302219465</v>
      </c>
      <c r="DA210" s="27">
        <f t="shared" si="1268"/>
        <v>9484.2038504128341</v>
      </c>
      <c r="DB210" s="27">
        <f t="shared" si="1268"/>
        <v>11315.872589396286</v>
      </c>
      <c r="DE210" s="121"/>
      <c r="DF210" s="26">
        <v>16083.989999999934</v>
      </c>
    </row>
    <row r="211" spans="1:110" s="25" customFormat="1" x14ac:dyDescent="0.2">
      <c r="A211" s="151" t="s">
        <v>486</v>
      </c>
      <c r="AB211" s="17"/>
      <c r="AC211" s="17"/>
      <c r="AD211" s="17"/>
      <c r="AE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E211" s="119"/>
    </row>
    <row r="212" spans="1:110" s="1" customFormat="1" x14ac:dyDescent="0.2">
      <c r="AB212" s="20"/>
      <c r="AC212" s="20"/>
      <c r="AD212" s="20"/>
      <c r="AE212" s="20"/>
      <c r="BV212" s="183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E212" s="119"/>
    </row>
    <row r="213" spans="1:110" s="22" customFormat="1" x14ac:dyDescent="0.2">
      <c r="A213" s="22" t="s">
        <v>434</v>
      </c>
      <c r="B213" s="22">
        <f>'Annual Raw'!C35</f>
        <v>315.06</v>
      </c>
      <c r="C213" s="22">
        <f>'Annual Raw'!D35</f>
        <v>293.70999999999998</v>
      </c>
      <c r="D213" s="22">
        <f>'Annual Raw'!E35</f>
        <v>380.18</v>
      </c>
      <c r="E213" s="22">
        <f>'Annual Raw'!F35</f>
        <v>746.81</v>
      </c>
      <c r="F213" s="22">
        <f>'Annual Raw'!G35</f>
        <v>1049.51</v>
      </c>
      <c r="G213" s="22">
        <f>'Annual Raw'!H35</f>
        <v>1317.21</v>
      </c>
      <c r="H213" s="22">
        <f>'Annual Raw'!I35</f>
        <v>2240.14</v>
      </c>
      <c r="I213" s="22">
        <f>'Annual Raw'!J35</f>
        <v>2325.36</v>
      </c>
      <c r="J213" s="22">
        <f>'Annual Raw'!K35</f>
        <v>3789.46</v>
      </c>
      <c r="K213" s="22">
        <f>'Annual Raw'!L35</f>
        <v>5450.74</v>
      </c>
      <c r="L213" s="22">
        <f>'Annual Raw'!M35</f>
        <v>4456.17</v>
      </c>
      <c r="M213" s="22">
        <f>'Annual Raw'!N35</f>
        <v>4693.6899999999996</v>
      </c>
      <c r="N213" s="22">
        <f>'Annual Raw'!O35</f>
        <v>5205.67</v>
      </c>
      <c r="O213" s="22">
        <f>'Annual Raw'!P35</f>
        <v>4902</v>
      </c>
      <c r="P213" s="22">
        <f>'Annual Raw'!Q35</f>
        <v>4764.82</v>
      </c>
      <c r="Q213" s="22">
        <f>'Annual Raw'!R35</f>
        <v>4232.88</v>
      </c>
      <c r="R213" s="22">
        <f>'Annual Raw'!S35</f>
        <v>6041.23</v>
      </c>
      <c r="S213" s="22">
        <f>'Annual Raw'!T35</f>
        <v>7369.86</v>
      </c>
      <c r="T213" s="22">
        <f>'Annual Raw'!U35</f>
        <v>8905.1299999999992</v>
      </c>
      <c r="U213" s="22">
        <f>'Annual Raw'!V35</f>
        <v>9549.0300000000007</v>
      </c>
      <c r="V213" s="22">
        <f>'Annual Raw'!W35</f>
        <v>11582.93</v>
      </c>
      <c r="W213" s="22">
        <f>'Annual Raw'!X35</f>
        <v>8669.33</v>
      </c>
      <c r="X213" s="22">
        <f>'Annual Raw'!Y35</f>
        <v>10470.719999999999</v>
      </c>
      <c r="Y213" s="22">
        <f>'Annual Raw'!Z35</f>
        <v>13059.11</v>
      </c>
      <c r="Z213" s="22">
        <f>'Annual Raw'!AA35</f>
        <v>15037.11</v>
      </c>
      <c r="AA213" s="22">
        <f>'Annual Raw'!AB35</f>
        <v>16083.99</v>
      </c>
      <c r="AB213" s="21">
        <f t="shared" ref="AB213:AD213" si="1269">+AB210</f>
        <v>21824.269733898407</v>
      </c>
      <c r="AC213" s="21">
        <f t="shared" si="1269"/>
        <v>26291.501913159474</v>
      </c>
      <c r="AD213" s="21">
        <f t="shared" si="1269"/>
        <v>31573.906871991421</v>
      </c>
      <c r="AE213" s="21">
        <f t="shared" ref="AE213" si="1270">+AE210</f>
        <v>37618.105634851374</v>
      </c>
      <c r="AI213" s="22">
        <f>'QTR Raw'!C42</f>
        <v>863.65</v>
      </c>
      <c r="AJ213" s="22">
        <f>'QTR Raw'!D42</f>
        <v>1137.31</v>
      </c>
      <c r="AK213" s="22">
        <f>'QTR Raw'!E42</f>
        <v>1013.23</v>
      </c>
      <c r="AL213" s="22">
        <f>'QTR Raw'!F42</f>
        <v>1787.94</v>
      </c>
      <c r="AM213" s="22">
        <f>'QTR Raw'!G42</f>
        <v>458.59</v>
      </c>
      <c r="AN213" s="22">
        <f>'QTR Raw'!H42</f>
        <v>806.35</v>
      </c>
      <c r="AO213" s="22">
        <f>'QTR Raw'!I42</f>
        <v>796.66</v>
      </c>
      <c r="AP213" s="22">
        <f>'QTR Raw'!J42</f>
        <v>2840.4</v>
      </c>
      <c r="AQ213" s="22">
        <f>'QTR Raw'!K42</f>
        <v>966.89</v>
      </c>
      <c r="AR213" s="22">
        <f>'QTR Raw'!L42</f>
        <v>861.75</v>
      </c>
      <c r="AS213" s="22">
        <f>'QTR Raw'!M42</f>
        <v>866.54</v>
      </c>
      <c r="AT213" s="22">
        <f>'QTR Raw'!N42</f>
        <v>2069.64</v>
      </c>
      <c r="AU213" s="22">
        <f>'QTR Raw'!O42</f>
        <v>418.94</v>
      </c>
      <c r="AV213" s="22">
        <f>'QTR Raw'!P42</f>
        <v>778.37</v>
      </c>
      <c r="AW213" s="22">
        <f>'QTR Raw'!Q42</f>
        <v>700.34</v>
      </c>
      <c r="AX213" s="22">
        <f>'QTR Raw'!R42</f>
        <v>2335.1999999999998</v>
      </c>
      <c r="AY213" s="22">
        <f>'QTR Raw'!S42</f>
        <v>609.6</v>
      </c>
      <c r="AZ213" s="22">
        <f>'QTR Raw'!T42</f>
        <v>1434.63</v>
      </c>
      <c r="BA213" s="22">
        <f>'QTR Raw'!U42</f>
        <v>972.4</v>
      </c>
      <c r="BB213" s="22">
        <f>'QTR Raw'!V42</f>
        <v>3024.61</v>
      </c>
      <c r="BC213" s="22">
        <f>'QTR Raw'!W42</f>
        <v>892.54</v>
      </c>
      <c r="BD213" s="22">
        <f>'QTR Raw'!X42</f>
        <v>1819.88</v>
      </c>
      <c r="BE213" s="22">
        <f>'QTR Raw'!Y42</f>
        <v>1489.98</v>
      </c>
      <c r="BF213" s="22">
        <f>'QTR Raw'!Z42</f>
        <v>3167.47</v>
      </c>
      <c r="BG213" s="22">
        <f>'QTR Raw'!AA42</f>
        <v>1214.78</v>
      </c>
      <c r="BH213" s="22">
        <f>'QTR Raw'!AB42</f>
        <v>2230.4899999999998</v>
      </c>
      <c r="BI213" s="22">
        <f>'QTR Raw'!AC42</f>
        <v>2041.62</v>
      </c>
      <c r="BJ213" s="22">
        <f>'QTR Raw'!AD42</f>
        <v>3418.24</v>
      </c>
      <c r="BK213" s="22">
        <f>'QTR Raw'!AE42</f>
        <v>1472.58</v>
      </c>
      <c r="BL213" s="22">
        <f>'QTR Raw'!AF42</f>
        <v>2527.2600000000002</v>
      </c>
      <c r="BM213" s="22">
        <f>'QTR Raw'!AG42</f>
        <v>2352.12</v>
      </c>
      <c r="BN213" s="22">
        <f>'QTR Raw'!AH42</f>
        <v>3197.07</v>
      </c>
      <c r="BO213" s="22">
        <f>'QTR Raw'!AI42</f>
        <v>303.14</v>
      </c>
      <c r="BP213" s="22">
        <f>'QTR Raw'!AJ42</f>
        <v>5520.27</v>
      </c>
      <c r="BQ213" s="22">
        <f>'QTR Raw'!AK42</f>
        <v>2466.71</v>
      </c>
      <c r="BR213" s="22">
        <f>'QTR Raw'!AL42</f>
        <v>3292.81</v>
      </c>
      <c r="BS213" s="22">
        <f>'QTR Raw'!AM42</f>
        <v>1174.44</v>
      </c>
      <c r="BT213" s="22">
        <f>'QTR Raw'!AN42</f>
        <v>1819.45</v>
      </c>
      <c r="BU213" s="22">
        <f>'QTR Raw'!AO42</f>
        <v>2054.7399999999998</v>
      </c>
      <c r="BV213" s="22">
        <f>'QTR Raw'!AP42</f>
        <v>3620.69</v>
      </c>
      <c r="BW213" s="22">
        <f>'QTR Raw'!AQ42</f>
        <v>1702.07</v>
      </c>
      <c r="BX213" s="22">
        <f>'QTR Raw'!AR42</f>
        <v>2228.9699999999998</v>
      </c>
      <c r="BY213" s="22">
        <f>'QTR Raw'!AS42</f>
        <v>2552.92</v>
      </c>
      <c r="BZ213" s="22">
        <f>'QTR Raw'!AT42</f>
        <v>3986.78</v>
      </c>
      <c r="CA213" s="22">
        <f>'QTR Raw'!AU42</f>
        <v>2493</v>
      </c>
      <c r="CB213" s="22">
        <f>'QTR Raw'!AV42</f>
        <v>3222.63</v>
      </c>
      <c r="CC213" s="22">
        <f>'QTR Raw'!AW42</f>
        <v>2947.36</v>
      </c>
      <c r="CD213" s="22">
        <f>'QTR Raw'!AX42</f>
        <v>4396.12</v>
      </c>
      <c r="CE213" s="22">
        <f>'QTR Raw'!AY42</f>
        <v>2785.72</v>
      </c>
      <c r="CF213" s="22">
        <f>'QTR Raw'!AZ42</f>
        <v>3395.29</v>
      </c>
      <c r="CG213" s="22">
        <f>'QTR Raw'!BA42</f>
        <v>3358.84</v>
      </c>
      <c r="CH213" s="22">
        <f>'QTR Raw'!BB42</f>
        <v>5497.26</v>
      </c>
      <c r="CI213" s="22">
        <f>'QTR Raw'!BC42</f>
        <v>3617.19</v>
      </c>
      <c r="CJ213" s="22">
        <f>'QTR Raw'!BD42</f>
        <v>3926.09</v>
      </c>
      <c r="CK213" s="22">
        <f>'QTR Raw'!BE42</f>
        <v>3215.11</v>
      </c>
      <c r="CL213" s="22">
        <f>'QTR Raw'!BF42</f>
        <v>5325.6</v>
      </c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E213" s="119"/>
      <c r="DF213" s="22">
        <v>16083.99</v>
      </c>
    </row>
    <row r="214" spans="1:110" s="25" customFormat="1" x14ac:dyDescent="0.2">
      <c r="A214" s="36" t="s">
        <v>435</v>
      </c>
      <c r="B214" s="25">
        <f t="shared" ref="B214:V214" si="1271">B213-B210</f>
        <v>-9.0949470177292824E-13</v>
      </c>
      <c r="C214" s="25">
        <f>C213-C210</f>
        <v>-4.5474735088646412E-13</v>
      </c>
      <c r="D214" s="25">
        <f t="shared" si="1271"/>
        <v>0</v>
      </c>
      <c r="E214" s="25">
        <f t="shared" si="1271"/>
        <v>0</v>
      </c>
      <c r="F214" s="25">
        <f t="shared" si="1271"/>
        <v>0</v>
      </c>
      <c r="G214" s="25">
        <f t="shared" si="1271"/>
        <v>3.865352482534945E-12</v>
      </c>
      <c r="H214" s="25">
        <f t="shared" si="1271"/>
        <v>0</v>
      </c>
      <c r="I214" s="25">
        <f t="shared" si="1271"/>
        <v>0</v>
      </c>
      <c r="J214" s="25">
        <f t="shared" si="1271"/>
        <v>6.3664629124104977E-12</v>
      </c>
      <c r="K214" s="25">
        <f t="shared" si="1271"/>
        <v>0</v>
      </c>
      <c r="L214" s="25">
        <f t="shared" si="1271"/>
        <v>0</v>
      </c>
      <c r="M214" s="25">
        <f t="shared" si="1271"/>
        <v>0</v>
      </c>
      <c r="N214" s="25">
        <f t="shared" si="1271"/>
        <v>0</v>
      </c>
      <c r="O214" s="25">
        <f t="shared" si="1271"/>
        <v>0</v>
      </c>
      <c r="P214" s="25">
        <f t="shared" si="1271"/>
        <v>1.0913936421275139E-11</v>
      </c>
      <c r="Q214" s="25">
        <f t="shared" si="1271"/>
        <v>-1.2732925824820995E-11</v>
      </c>
      <c r="R214" s="25">
        <f t="shared" si="1271"/>
        <v>0</v>
      </c>
      <c r="S214" s="25">
        <f t="shared" si="1271"/>
        <v>-1.2732925824820995E-11</v>
      </c>
      <c r="T214" s="25">
        <f t="shared" si="1271"/>
        <v>3.092281986027956E-11</v>
      </c>
      <c r="U214" s="25">
        <f t="shared" si="1271"/>
        <v>2.0008883439004421E-11</v>
      </c>
      <c r="V214" s="25">
        <f t="shared" si="1271"/>
        <v>0</v>
      </c>
      <c r="W214" s="25">
        <f t="shared" ref="W214" si="1272">W213-W210</f>
        <v>-3.092281986027956E-11</v>
      </c>
      <c r="X214" s="25">
        <f t="shared" ref="X214:Y214" si="1273">X213-X210</f>
        <v>0</v>
      </c>
      <c r="Y214" s="25">
        <f t="shared" si="1273"/>
        <v>-2.9103830456733704E-11</v>
      </c>
      <c r="Z214" s="25">
        <f t="shared" ref="Z214:AA214" si="1274">Z213-Z210</f>
        <v>0</v>
      </c>
      <c r="AA214" s="25">
        <f t="shared" si="1274"/>
        <v>6.5483618527650833E-11</v>
      </c>
      <c r="AB214" s="17">
        <f t="shared" ref="AB214:AD214" si="1275">AB213-AB210</f>
        <v>0</v>
      </c>
      <c r="AC214" s="17">
        <f t="shared" si="1275"/>
        <v>0</v>
      </c>
      <c r="AD214" s="17">
        <f t="shared" si="1275"/>
        <v>0</v>
      </c>
      <c r="AE214" s="17">
        <f t="shared" ref="AE214" si="1276">AE213-AE210</f>
        <v>0</v>
      </c>
      <c r="AI214" s="25">
        <f t="shared" ref="AI214" si="1277">AI213-AI210</f>
        <v>0</v>
      </c>
      <c r="AJ214" s="25">
        <f t="shared" ref="AJ214" si="1278">AJ213-AJ210</f>
        <v>0</v>
      </c>
      <c r="AK214" s="25">
        <f t="shared" ref="AK214:AM214" si="1279">AK213-AK210</f>
        <v>0</v>
      </c>
      <c r="AL214" s="25">
        <f t="shared" si="1279"/>
        <v>1.8189894035458565E-12</v>
      </c>
      <c r="AM214" s="25">
        <f t="shared" si="1279"/>
        <v>-2.1600499167107046E-12</v>
      </c>
      <c r="AN214" s="25">
        <f t="shared" ref="AN214:AO214" si="1280">AN213-AN210</f>
        <v>-9.0949470177292824E-13</v>
      </c>
      <c r="AO214" s="25">
        <f t="shared" si="1280"/>
        <v>-6.2527760746888816E-12</v>
      </c>
      <c r="AP214" s="25">
        <f t="shared" ref="AP214:CD214" si="1281">AP213-AP210</f>
        <v>0</v>
      </c>
      <c r="AQ214" s="25">
        <f t="shared" si="1281"/>
        <v>-1.9326762412674725E-12</v>
      </c>
      <c r="AR214" s="25">
        <f t="shared" si="1281"/>
        <v>0</v>
      </c>
      <c r="AS214" s="25">
        <f t="shared" si="1281"/>
        <v>2.2737367544323206E-12</v>
      </c>
      <c r="AT214" s="25">
        <f t="shared" si="1281"/>
        <v>3.637978807091713E-12</v>
      </c>
      <c r="AU214" s="25">
        <f t="shared" si="1281"/>
        <v>-3.2400748750660568E-12</v>
      </c>
      <c r="AV214" s="25">
        <f t="shared" si="1281"/>
        <v>1.4779288903810084E-12</v>
      </c>
      <c r="AW214" s="25">
        <f t="shared" si="1281"/>
        <v>-1.2505552149377763E-12</v>
      </c>
      <c r="AX214" s="25">
        <f t="shared" si="1281"/>
        <v>-5.9117155615240335E-12</v>
      </c>
      <c r="AY214" s="25">
        <f t="shared" si="1281"/>
        <v>2.3874235921539366E-12</v>
      </c>
      <c r="AZ214" s="25">
        <f t="shared" si="1281"/>
        <v>0</v>
      </c>
      <c r="BA214" s="25">
        <f t="shared" si="1281"/>
        <v>0</v>
      </c>
      <c r="BB214" s="25">
        <f t="shared" si="1281"/>
        <v>0</v>
      </c>
      <c r="BC214" s="25">
        <f t="shared" si="1281"/>
        <v>-2.5011104298755527E-12</v>
      </c>
      <c r="BD214" s="25">
        <f t="shared" si="1281"/>
        <v>0</v>
      </c>
      <c r="BE214" s="25">
        <f t="shared" si="1281"/>
        <v>0</v>
      </c>
      <c r="BF214" s="25">
        <f t="shared" si="1281"/>
        <v>0</v>
      </c>
      <c r="BG214" s="25">
        <f t="shared" si="1281"/>
        <v>4.3200998334214091E-12</v>
      </c>
      <c r="BH214" s="25">
        <f t="shared" si="1281"/>
        <v>0</v>
      </c>
      <c r="BI214" s="25">
        <f t="shared" si="1281"/>
        <v>0</v>
      </c>
      <c r="BJ214" s="25">
        <f t="shared" si="1281"/>
        <v>-4.0927261579781771E-12</v>
      </c>
      <c r="BK214" s="25">
        <f t="shared" si="1281"/>
        <v>0</v>
      </c>
      <c r="BL214" s="25">
        <f t="shared" si="1281"/>
        <v>3.637978807091713E-12</v>
      </c>
      <c r="BM214" s="25">
        <f t="shared" si="1281"/>
        <v>-4.5474735088646412E-12</v>
      </c>
      <c r="BN214" s="25">
        <f t="shared" si="1281"/>
        <v>0</v>
      </c>
      <c r="BO214" s="25">
        <f t="shared" si="1281"/>
        <v>-2.5579538487363607E-12</v>
      </c>
      <c r="BP214" s="25">
        <f t="shared" si="1281"/>
        <v>0</v>
      </c>
      <c r="BQ214" s="25">
        <f t="shared" si="1281"/>
        <v>4.0927261579781771E-12</v>
      </c>
      <c r="BR214" s="25">
        <f t="shared" si="1281"/>
        <v>6.8212102632969618E-12</v>
      </c>
      <c r="BS214" s="25">
        <f t="shared" si="1281"/>
        <v>0</v>
      </c>
      <c r="BT214" s="25">
        <f t="shared" si="1281"/>
        <v>2.5011104298755527E-12</v>
      </c>
      <c r="BU214" s="25">
        <f t="shared" si="1281"/>
        <v>0</v>
      </c>
      <c r="BV214" s="25">
        <f t="shared" si="1281"/>
        <v>4.5474735088646412E-12</v>
      </c>
      <c r="BW214" s="25">
        <f t="shared" si="1281"/>
        <v>3.4106051316484809E-12</v>
      </c>
      <c r="BX214" s="25">
        <f t="shared" si="1281"/>
        <v>3.637978807091713E-12</v>
      </c>
      <c r="BY214" s="25">
        <f t="shared" si="1281"/>
        <v>-8.1854523159563541E-12</v>
      </c>
      <c r="BZ214" s="25">
        <f t="shared" si="1281"/>
        <v>0</v>
      </c>
      <c r="CA214" s="25">
        <f t="shared" si="1281"/>
        <v>6.8212102632969618E-12</v>
      </c>
      <c r="CB214" s="25">
        <f t="shared" si="1281"/>
        <v>0</v>
      </c>
      <c r="CC214" s="25">
        <f t="shared" si="1281"/>
        <v>5.4569682106375694E-12</v>
      </c>
      <c r="CD214" s="25">
        <f t="shared" si="1281"/>
        <v>0</v>
      </c>
      <c r="CE214" s="25">
        <f t="shared" ref="CE214:CF214" si="1282">CE213-CE210</f>
        <v>-7.2759576141834259E-12</v>
      </c>
      <c r="CF214" s="25">
        <f t="shared" si="1282"/>
        <v>-4.0927261579781771E-12</v>
      </c>
      <c r="CG214" s="25">
        <f t="shared" ref="CG214:CH214" si="1283">CG213-CG210</f>
        <v>4.0927261579781771E-12</v>
      </c>
      <c r="CH214" s="25">
        <f t="shared" si="1283"/>
        <v>0</v>
      </c>
      <c r="CI214" s="25">
        <f t="shared" ref="CI214:CJ214" si="1284">CI213-CI210</f>
        <v>5.9117155615240335E-12</v>
      </c>
      <c r="CJ214" s="25">
        <f t="shared" si="1284"/>
        <v>0</v>
      </c>
      <c r="CK214" s="25">
        <f t="shared" ref="CK214:CL214" si="1285">CK213-CK210</f>
        <v>0</v>
      </c>
      <c r="CL214" s="25">
        <f t="shared" si="1285"/>
        <v>0</v>
      </c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E214" s="119"/>
      <c r="DF214" s="25">
        <v>6.5483618527650833E-11</v>
      </c>
    </row>
    <row r="215" spans="1:110" s="1" customFormat="1" x14ac:dyDescent="0.2">
      <c r="A215" s="150" t="s">
        <v>487</v>
      </c>
      <c r="AB215" s="20"/>
      <c r="AC215" s="20"/>
      <c r="AD215" s="20"/>
      <c r="AE215" s="20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E215" s="119"/>
    </row>
    <row r="216" spans="1:110" s="38" customFormat="1" x14ac:dyDescent="0.2">
      <c r="A216" s="38" t="s">
        <v>350</v>
      </c>
      <c r="B216" s="39">
        <f t="shared" ref="B216:AE216" si="1286">(B210-B209)/B287</f>
        <v>7.8776619551384056E-2</v>
      </c>
      <c r="C216" s="39">
        <f t="shared" si="1286"/>
        <v>9.3610958834253508E-2</v>
      </c>
      <c r="D216" s="39">
        <f t="shared" si="1286"/>
        <v>0.1181931231735374</v>
      </c>
      <c r="E216" s="39">
        <f t="shared" si="1286"/>
        <v>0.22806460873638243</v>
      </c>
      <c r="F216" s="39">
        <f t="shared" si="1286"/>
        <v>0.31968105478704278</v>
      </c>
      <c r="G216" s="39">
        <f t="shared" si="1286"/>
        <v>0.25449593915173313</v>
      </c>
      <c r="H216" s="39">
        <f t="shared" si="1286"/>
        <v>0.32525084699236445</v>
      </c>
      <c r="I216" s="39">
        <f t="shared" si="1286"/>
        <v>0.21595570537091791</v>
      </c>
      <c r="J216" s="39">
        <f t="shared" si="1286"/>
        <v>0.21574669173631073</v>
      </c>
      <c r="K216" s="39">
        <f t="shared" si="1286"/>
        <v>0.25326588303894093</v>
      </c>
      <c r="L216" s="39">
        <f t="shared" si="1286"/>
        <v>0.16716319601765231</v>
      </c>
      <c r="M216" s="39">
        <f t="shared" si="1286"/>
        <v>0.1580843494932076</v>
      </c>
      <c r="N216" s="39">
        <f t="shared" si="1286"/>
        <v>0.14187253338704509</v>
      </c>
      <c r="O216" s="39">
        <f t="shared" si="1286"/>
        <v>0.12111813841944166</v>
      </c>
      <c r="P216" s="39">
        <f t="shared" si="1286"/>
        <v>0.10797409963120622</v>
      </c>
      <c r="Q216" s="39">
        <f t="shared" si="1286"/>
        <v>9.4758394906696394E-2</v>
      </c>
      <c r="R216" s="39">
        <f t="shared" si="1286"/>
        <v>0.11788550859358643</v>
      </c>
      <c r="S216" s="39">
        <f t="shared" si="1286"/>
        <v>0.13199267806241882</v>
      </c>
      <c r="T216" s="39">
        <f t="shared" si="1286"/>
        <v>0.12891504261336259</v>
      </c>
      <c r="U216" s="39">
        <f t="shared" si="1286"/>
        <v>0.13330381837087571</v>
      </c>
      <c r="V216" s="39">
        <f t="shared" si="1286"/>
        <v>9.0960375797448478E-2</v>
      </c>
      <c r="W216" s="39">
        <f t="shared" si="1286"/>
        <v>0.10402431036144007</v>
      </c>
      <c r="X216" s="39">
        <f t="shared" si="1286"/>
        <v>0.11569683837675404</v>
      </c>
      <c r="Y216" s="39">
        <f t="shared" si="1286"/>
        <v>0.15013448474071828</v>
      </c>
      <c r="Z216" s="39">
        <f t="shared" si="1286"/>
        <v>0.1491192517377396</v>
      </c>
      <c r="AA216" s="39">
        <f t="shared" ref="AA216" si="1287">(AA210-AA209)/AA287</f>
        <v>0.16292856240930018</v>
      </c>
      <c r="AB216" s="40">
        <f t="shared" si="1286"/>
        <v>0.1664525384513782</v>
      </c>
      <c r="AC216" s="40">
        <f t="shared" si="1286"/>
        <v>0.16703031308263674</v>
      </c>
      <c r="AD216" s="40">
        <f t="shared" si="1286"/>
        <v>0.16707584929021146</v>
      </c>
      <c r="AE216" s="40">
        <f t="shared" si="1286"/>
        <v>0.16601282743289048</v>
      </c>
      <c r="AF216" s="39"/>
      <c r="AG216" s="39"/>
      <c r="AH216" s="39"/>
      <c r="AI216" s="39"/>
      <c r="AJ216" s="39"/>
      <c r="AK216" s="39"/>
      <c r="AL216" s="39">
        <f t="shared" ref="AL216:BQ216" si="1288">(SUM(AI210:AL210)-SUM(AI209:AL209))/AL287</f>
        <v>0.12925517038106371</v>
      </c>
      <c r="AM216" s="39">
        <f t="shared" si="1288"/>
        <v>0.11460772509577989</v>
      </c>
      <c r="AN216" s="39">
        <f t="shared" si="1288"/>
        <v>0.11083921833288771</v>
      </c>
      <c r="AO216" s="39">
        <f t="shared" si="1288"/>
        <v>0.10044006082955356</v>
      </c>
      <c r="AP216" s="39">
        <f t="shared" si="1288"/>
        <v>0.12056631896649353</v>
      </c>
      <c r="AQ216" s="39">
        <f t="shared" si="1288"/>
        <v>0.12424913065398109</v>
      </c>
      <c r="AR216" s="39">
        <f t="shared" si="1288"/>
        <v>0.12253274196544692</v>
      </c>
      <c r="AS216" s="39">
        <f t="shared" si="1288"/>
        <v>0.12329253346019375</v>
      </c>
      <c r="AT216" s="39">
        <f t="shared" si="1288"/>
        <v>0.10797409963120637</v>
      </c>
      <c r="AU216" s="39">
        <f t="shared" si="1288"/>
        <v>9.9652753665129198E-2</v>
      </c>
      <c r="AV216" s="39">
        <f t="shared" si="1288"/>
        <v>9.4568035445530801E-2</v>
      </c>
      <c r="AW216" s="39">
        <f t="shared" si="1288"/>
        <v>8.9148276473961063E-2</v>
      </c>
      <c r="AX216" s="39">
        <f t="shared" si="1288"/>
        <v>9.3676013504643427E-2</v>
      </c>
      <c r="AY216" s="39">
        <f t="shared" si="1288"/>
        <v>9.6657822422703724E-2</v>
      </c>
      <c r="AZ216" s="39">
        <f t="shared" si="1288"/>
        <v>0.10010280995124216</v>
      </c>
      <c r="BA216" s="39">
        <f t="shared" si="1288"/>
        <v>0.10380348149431542</v>
      </c>
      <c r="BB216" s="39">
        <f t="shared" si="1288"/>
        <v>0.11788570773124057</v>
      </c>
      <c r="BC216" s="39">
        <f t="shared" si="1288"/>
        <v>0.12136302252477353</v>
      </c>
      <c r="BD216" s="39">
        <f t="shared" si="1288"/>
        <v>0.13485792250375631</v>
      </c>
      <c r="BE216" s="39">
        <f t="shared" si="1288"/>
        <v>0.14117382130214479</v>
      </c>
      <c r="BF216" s="39">
        <f t="shared" si="1288"/>
        <v>0.1319930423379202</v>
      </c>
      <c r="BG216" s="39">
        <f t="shared" si="1288"/>
        <v>0.13335654620918519</v>
      </c>
      <c r="BH216" s="39">
        <f t="shared" si="1288"/>
        <v>0.13485093881340965</v>
      </c>
      <c r="BI216" s="39">
        <f t="shared" si="1288"/>
        <v>0.13688860161662572</v>
      </c>
      <c r="BJ216" s="39">
        <f t="shared" si="1288"/>
        <v>0.12891504261336309</v>
      </c>
      <c r="BK216" s="39">
        <f t="shared" si="1288"/>
        <v>0.12956130697923712</v>
      </c>
      <c r="BL216" s="39">
        <f t="shared" si="1288"/>
        <v>0.13883516524164419</v>
      </c>
      <c r="BM216" s="39">
        <f t="shared" si="1288"/>
        <v>0.13786284478818342</v>
      </c>
      <c r="BN216" s="39">
        <f t="shared" si="1288"/>
        <v>0.13330381837087596</v>
      </c>
      <c r="BO216" s="39">
        <f t="shared" si="1288"/>
        <v>0.11346774612257031</v>
      </c>
      <c r="BP216" s="39">
        <f t="shared" si="1288"/>
        <v>8.8533407071998971E-2</v>
      </c>
      <c r="BQ216" s="39">
        <f t="shared" si="1288"/>
        <v>8.6905122736104831E-2</v>
      </c>
      <c r="BR216" s="39">
        <f t="shared" ref="BR216:CW216" si="1289">(SUM(BO210:BR210)-SUM(BO209:BR209))/BR287</f>
        <v>9.0321902902296816E-2</v>
      </c>
      <c r="BS216" s="39">
        <f t="shared" si="1289"/>
        <v>0.10326263382629186</v>
      </c>
      <c r="BT216" s="39">
        <f t="shared" si="1289"/>
        <v>0.11198996486631846</v>
      </c>
      <c r="BU216" s="39">
        <f t="shared" si="1289"/>
        <v>0.10648380413576984</v>
      </c>
      <c r="BV216" s="39">
        <f t="shared" si="1289"/>
        <v>0.10402418901349698</v>
      </c>
      <c r="BW216" s="39">
        <f t="shared" si="1289"/>
        <v>0.10819223887652467</v>
      </c>
      <c r="BX216" s="39">
        <f t="shared" si="1289"/>
        <v>0.11738839605390937</v>
      </c>
      <c r="BY216" s="39">
        <f t="shared" si="1289"/>
        <v>0.11812910485681345</v>
      </c>
      <c r="BZ216" s="39">
        <f t="shared" si="1289"/>
        <v>0.11569706227585597</v>
      </c>
      <c r="CA216" s="39">
        <f t="shared" si="1289"/>
        <v>0.12116975853023797</v>
      </c>
      <c r="CB216" s="39">
        <f t="shared" si="1289"/>
        <v>0.15456021462084071</v>
      </c>
      <c r="CC216" s="39">
        <f t="shared" si="1289"/>
        <v>0.15548064488890168</v>
      </c>
      <c r="CD216" s="39">
        <f t="shared" si="1289"/>
        <v>0.15013448474071786</v>
      </c>
      <c r="CE216" s="39">
        <f t="shared" si="1289"/>
        <v>0.14872652363072467</v>
      </c>
      <c r="CF216" s="39">
        <f t="shared" si="1289"/>
        <v>0.15051999963689297</v>
      </c>
      <c r="CG216" s="39">
        <f t="shared" si="1289"/>
        <v>0.14950375699153826</v>
      </c>
      <c r="CH216" s="39">
        <f t="shared" si="1289"/>
        <v>0.14911925173773968</v>
      </c>
      <c r="CI216" s="39">
        <f t="shared" si="1289"/>
        <v>0.15200331698178751</v>
      </c>
      <c r="CJ216" s="39">
        <f t="shared" si="1289"/>
        <v>0.15707281901255174</v>
      </c>
      <c r="CK216" s="39">
        <f t="shared" si="1289"/>
        <v>0.16371748930626828</v>
      </c>
      <c r="CL216" s="39">
        <f t="shared" si="1289"/>
        <v>0.15883549974471528</v>
      </c>
      <c r="CM216" s="40">
        <f t="shared" si="1289"/>
        <v>0.16177672302054602</v>
      </c>
      <c r="CN216" s="40">
        <f t="shared" si="1289"/>
        <v>0.16540137313341713</v>
      </c>
      <c r="CO216" s="40">
        <f t="shared" si="1289"/>
        <v>0.16551946171803655</v>
      </c>
      <c r="CP216" s="40">
        <f t="shared" si="1289"/>
        <v>0.16645253845137822</v>
      </c>
      <c r="CQ216" s="40">
        <f t="shared" si="1289"/>
        <v>0.1657321497238661</v>
      </c>
      <c r="CR216" s="40">
        <f t="shared" si="1289"/>
        <v>0.16544318207197722</v>
      </c>
      <c r="CS216" s="40">
        <f t="shared" si="1289"/>
        <v>0.16568625276543814</v>
      </c>
      <c r="CT216" s="40">
        <f t="shared" si="1289"/>
        <v>0.16703031308263641</v>
      </c>
      <c r="CU216" s="40">
        <f t="shared" si="1289"/>
        <v>0.16714671404506173</v>
      </c>
      <c r="CV216" s="40">
        <f t="shared" si="1289"/>
        <v>0.16719785324925379</v>
      </c>
      <c r="CW216" s="40">
        <f t="shared" si="1289"/>
        <v>0.16727265244088976</v>
      </c>
      <c r="CX216" s="40">
        <f t="shared" ref="CX216:DB216" si="1290">(SUM(CU210:CX210)-SUM(CU209:CX209))/CX287</f>
        <v>0.16707584929021146</v>
      </c>
      <c r="CY216" s="40">
        <f t="shared" si="1290"/>
        <v>0.16692006423759739</v>
      </c>
      <c r="CZ216" s="40">
        <f t="shared" si="1290"/>
        <v>0.16671421684969875</v>
      </c>
      <c r="DA216" s="40">
        <f t="shared" si="1290"/>
        <v>0.16648212281764038</v>
      </c>
      <c r="DB216" s="40">
        <f t="shared" si="1290"/>
        <v>0.1660128274328905</v>
      </c>
      <c r="DE216" s="122"/>
      <c r="DF216" s="38">
        <v>0.16292856240930018</v>
      </c>
    </row>
    <row r="217" spans="1:110" s="38" customFormat="1" x14ac:dyDescent="0.2">
      <c r="A217" s="38" t="s">
        <v>351</v>
      </c>
      <c r="B217" s="39">
        <f t="shared" ref="B217:AE217" si="1291">+B196/B296</f>
        <v>6.283100159752153E-2</v>
      </c>
      <c r="C217" s="39">
        <f t="shared" si="1291"/>
        <v>8.39663972647227E-2</v>
      </c>
      <c r="D217" s="39">
        <f t="shared" si="1291"/>
        <v>7.0283044916688048E-2</v>
      </c>
      <c r="E217" s="39">
        <f t="shared" si="1291"/>
        <v>0.1405471409090743</v>
      </c>
      <c r="F217" s="39">
        <f t="shared" si="1291"/>
        <v>0.1505412006348068</v>
      </c>
      <c r="G217" s="39">
        <f t="shared" si="1291"/>
        <v>0.16627692594926324</v>
      </c>
      <c r="H217" s="39">
        <f t="shared" si="1291"/>
        <v>0.17226294995453403</v>
      </c>
      <c r="I217" s="39">
        <f t="shared" si="1291"/>
        <v>0.14790196454789983</v>
      </c>
      <c r="J217" s="39">
        <f t="shared" si="1291"/>
        <v>0.13954273058296265</v>
      </c>
      <c r="K217" s="39">
        <f t="shared" si="1291"/>
        <v>0.13090267432323682</v>
      </c>
      <c r="L217" s="39">
        <f t="shared" si="1291"/>
        <v>0.11584878233554745</v>
      </c>
      <c r="M217" s="39">
        <f t="shared" si="1291"/>
        <v>0.1083038047472802</v>
      </c>
      <c r="N217" s="39">
        <f t="shared" si="1291"/>
        <v>0.1030332417183667</v>
      </c>
      <c r="O217" s="39">
        <f t="shared" si="1291"/>
        <v>9.9570852551653516E-2</v>
      </c>
      <c r="P217" s="39">
        <f t="shared" si="1291"/>
        <v>9.1498083235701022E-2</v>
      </c>
      <c r="Q217" s="39">
        <f t="shared" si="1291"/>
        <v>0.10085579558532824</v>
      </c>
      <c r="R217" s="39">
        <f t="shared" si="1291"/>
        <v>9.5192463052023168E-2</v>
      </c>
      <c r="S217" s="39">
        <f t="shared" si="1291"/>
        <v>9.074968586881238E-2</v>
      </c>
      <c r="T217" s="39">
        <f t="shared" si="1291"/>
        <v>0.10575053677399943</v>
      </c>
      <c r="U217" s="39">
        <f t="shared" si="1291"/>
        <v>0.10006321254794615</v>
      </c>
      <c r="V217" s="39">
        <f t="shared" si="1291"/>
        <v>9.1721259037284217E-2</v>
      </c>
      <c r="W217" s="39">
        <f t="shared" si="1291"/>
        <v>9.5579705098601878E-2</v>
      </c>
      <c r="X217" s="39">
        <f t="shared" si="1291"/>
        <v>0.10251561820348112</v>
      </c>
      <c r="Y217" s="39">
        <f t="shared" si="1291"/>
        <v>0.11770375867372672</v>
      </c>
      <c r="Z217" s="39">
        <f t="shared" si="1291"/>
        <v>0.11681677503812615</v>
      </c>
      <c r="AA217" s="39">
        <f t="shared" ref="AA217" si="1292">+AA196/AA296</f>
        <v>0.13202610027245507</v>
      </c>
      <c r="AB217" s="40">
        <f t="shared" si="1291"/>
        <v>0.13133664313536855</v>
      </c>
      <c r="AC217" s="40">
        <f t="shared" si="1291"/>
        <v>0.1376828457147472</v>
      </c>
      <c r="AD217" s="40">
        <f t="shared" si="1291"/>
        <v>0.14396322726014235</v>
      </c>
      <c r="AE217" s="40">
        <f t="shared" si="1291"/>
        <v>0.14963296224859099</v>
      </c>
      <c r="AF217" s="39"/>
      <c r="AG217" s="39"/>
      <c r="AH217" s="39"/>
      <c r="AI217" s="39"/>
      <c r="AJ217" s="39"/>
      <c r="AK217" s="39"/>
      <c r="AL217" s="39">
        <f t="shared" ref="AL217:BQ217" si="1293">+SUM(AI196:AL196)/AL296</f>
        <v>5.1472013836076094E-2</v>
      </c>
      <c r="AM217" s="39">
        <f t="shared" si="1293"/>
        <v>5.5484401378604657E-2</v>
      </c>
      <c r="AN217" s="39">
        <f t="shared" si="1293"/>
        <v>5.587116425389213E-2</v>
      </c>
      <c r="AO217" s="39">
        <f t="shared" si="1293"/>
        <v>6.4046828758699506E-2</v>
      </c>
      <c r="AP217" s="39">
        <f t="shared" si="1293"/>
        <v>7.6737167547783369E-2</v>
      </c>
      <c r="AQ217" s="39">
        <f t="shared" si="1293"/>
        <v>7.9301277121408054E-2</v>
      </c>
      <c r="AR217" s="39">
        <f t="shared" si="1293"/>
        <v>7.4370196124317403E-2</v>
      </c>
      <c r="AS217" s="39">
        <f t="shared" si="1293"/>
        <v>7.5120217107157453E-2</v>
      </c>
      <c r="AT217" s="39">
        <f t="shared" si="1293"/>
        <v>6.3771547179400201E-2</v>
      </c>
      <c r="AU217" s="39">
        <f t="shared" si="1293"/>
        <v>6.8416732068463534E-2</v>
      </c>
      <c r="AV217" s="39">
        <f t="shared" si="1293"/>
        <v>7.3433237150152764E-2</v>
      </c>
      <c r="AW217" s="39">
        <f t="shared" si="1293"/>
        <v>7.8271882785825753E-2</v>
      </c>
      <c r="AX217" s="39">
        <f t="shared" si="1293"/>
        <v>0.1029956728373007</v>
      </c>
      <c r="AY217" s="39">
        <f t="shared" si="1293"/>
        <v>0.10542114762304845</v>
      </c>
      <c r="AZ217" s="39">
        <f t="shared" si="1293"/>
        <v>0.10234938555179099</v>
      </c>
      <c r="BA217" s="39">
        <f t="shared" si="1293"/>
        <v>0.10267098952447859</v>
      </c>
      <c r="BB217" s="39">
        <f t="shared" si="1293"/>
        <v>9.5332511992663543E-2</v>
      </c>
      <c r="BC217" s="39">
        <f t="shared" si="1293"/>
        <v>9.5833108216624205E-2</v>
      </c>
      <c r="BD217" s="39">
        <f t="shared" si="1293"/>
        <v>9.5608996480580438E-2</v>
      </c>
      <c r="BE217" s="39">
        <f t="shared" si="1293"/>
        <v>0.10162120472390319</v>
      </c>
      <c r="BF217" s="39">
        <f t="shared" si="1293"/>
        <v>0.10548394934743099</v>
      </c>
      <c r="BG217" s="39">
        <f t="shared" si="1293"/>
        <v>0.10999616864795558</v>
      </c>
      <c r="BH217" s="39">
        <f t="shared" si="1293"/>
        <v>0.10416214997814781</v>
      </c>
      <c r="BI217" s="39">
        <f t="shared" si="1293"/>
        <v>0.10891849092786468</v>
      </c>
      <c r="BJ217" s="39">
        <f t="shared" si="1293"/>
        <v>0.10676036404100969</v>
      </c>
      <c r="BK217" s="39">
        <f t="shared" si="1293"/>
        <v>0.11043101451133595</v>
      </c>
      <c r="BL217" s="39">
        <f t="shared" si="1293"/>
        <v>0.10823655192970764</v>
      </c>
      <c r="BM217" s="39">
        <f t="shared" si="1293"/>
        <v>0.10768278752739034</v>
      </c>
      <c r="BN217" s="39">
        <f t="shared" si="1293"/>
        <v>0.10084442813357461</v>
      </c>
      <c r="BO217" s="39">
        <f t="shared" si="1293"/>
        <v>9.3195993221186935E-2</v>
      </c>
      <c r="BP217" s="39">
        <f t="shared" si="1293"/>
        <v>8.4959390027046292E-2</v>
      </c>
      <c r="BQ217" s="39">
        <f t="shared" si="1293"/>
        <v>8.3630871932604739E-2</v>
      </c>
      <c r="BR217" s="39">
        <f t="shared" ref="BR217:CW217" si="1294">+SUM(BO196:BR196)/BR296</f>
        <v>9.2555947770532623E-2</v>
      </c>
      <c r="BS217" s="39">
        <f t="shared" si="1294"/>
        <v>9.6430866682038735E-2</v>
      </c>
      <c r="BT217" s="39">
        <f t="shared" si="1294"/>
        <v>0.10051259963162511</v>
      </c>
      <c r="BU217" s="39">
        <f t="shared" si="1294"/>
        <v>9.9030935924964494E-2</v>
      </c>
      <c r="BV217" s="39">
        <f t="shared" si="1294"/>
        <v>9.6948592491129193E-2</v>
      </c>
      <c r="BW217" s="39">
        <f t="shared" si="1294"/>
        <v>9.8134327190810791E-2</v>
      </c>
      <c r="BX217" s="39">
        <f t="shared" si="1294"/>
        <v>0.10071686854959563</v>
      </c>
      <c r="BY217" s="39">
        <f t="shared" si="1294"/>
        <v>0.10214600524939425</v>
      </c>
      <c r="BZ217" s="39">
        <f t="shared" si="1294"/>
        <v>0.10481527877716468</v>
      </c>
      <c r="CA217" s="39">
        <f t="shared" si="1294"/>
        <v>0.10828035886675903</v>
      </c>
      <c r="CB217" s="39">
        <f t="shared" si="1294"/>
        <v>0.11701276091340829</v>
      </c>
      <c r="CC217" s="39">
        <f t="shared" si="1294"/>
        <v>0.11749732838743972</v>
      </c>
      <c r="CD217" s="39">
        <f t="shared" si="1294"/>
        <v>0.11785528961408683</v>
      </c>
      <c r="CE217" s="39">
        <f t="shared" si="1294"/>
        <v>0.11892057965544411</v>
      </c>
      <c r="CF217" s="39">
        <f t="shared" si="1294"/>
        <v>0.11697036905444497</v>
      </c>
      <c r="CG217" s="39">
        <f t="shared" si="1294"/>
        <v>0.11774480615849583</v>
      </c>
      <c r="CH217" s="39">
        <f t="shared" si="1294"/>
        <v>0.11681677503812618</v>
      </c>
      <c r="CI217" s="39">
        <f t="shared" si="1294"/>
        <v>0.11890970725304316</v>
      </c>
      <c r="CJ217" s="39">
        <f t="shared" si="1294"/>
        <v>0.12014132554190027</v>
      </c>
      <c r="CK217" s="39">
        <f t="shared" si="1294"/>
        <v>0.12361486478628055</v>
      </c>
      <c r="CL217" s="39">
        <f t="shared" si="1294"/>
        <v>0.12701841643383877</v>
      </c>
      <c r="CM217" s="40">
        <f t="shared" si="1294"/>
        <v>0.12912915809127812</v>
      </c>
      <c r="CN217" s="40">
        <f t="shared" si="1294"/>
        <v>0.13084614159768823</v>
      </c>
      <c r="CO217" s="40">
        <f t="shared" si="1294"/>
        <v>0.13108952214122732</v>
      </c>
      <c r="CP217" s="40">
        <f t="shared" si="1294"/>
        <v>0.13133664313536855</v>
      </c>
      <c r="CQ217" s="40">
        <f t="shared" si="1294"/>
        <v>0.13226917183403547</v>
      </c>
      <c r="CR217" s="40">
        <f t="shared" si="1294"/>
        <v>0.13336941085050288</v>
      </c>
      <c r="CS217" s="40">
        <f t="shared" si="1294"/>
        <v>0.13494555165031349</v>
      </c>
      <c r="CT217" s="40">
        <f t="shared" si="1294"/>
        <v>0.13768284571474707</v>
      </c>
      <c r="CU217" s="40">
        <f t="shared" si="1294"/>
        <v>0.13909298702289308</v>
      </c>
      <c r="CV217" s="40">
        <f t="shared" si="1294"/>
        <v>0.14056025925570131</v>
      </c>
      <c r="CW217" s="40">
        <f t="shared" si="1294"/>
        <v>0.14217698909014173</v>
      </c>
      <c r="CX217" s="40">
        <f t="shared" ref="CX217:DB217" si="1295">+SUM(CU196:CX196)/CX296</f>
        <v>0.14396322726014235</v>
      </c>
      <c r="CY217" s="40">
        <f t="shared" si="1295"/>
        <v>0.14541249000551873</v>
      </c>
      <c r="CZ217" s="40">
        <f t="shared" si="1295"/>
        <v>0.14678322557704113</v>
      </c>
      <c r="DA217" s="40">
        <f t="shared" si="1295"/>
        <v>0.14817376038289931</v>
      </c>
      <c r="DB217" s="40">
        <f t="shared" si="1295"/>
        <v>0.14963296224859102</v>
      </c>
      <c r="DE217" s="122"/>
      <c r="DF217" s="38">
        <v>0.13202610027245507</v>
      </c>
    </row>
    <row r="218" spans="1:110" s="1" customFormat="1" x14ac:dyDescent="0.2">
      <c r="A218" s="150" t="s">
        <v>488</v>
      </c>
      <c r="AB218" s="20"/>
      <c r="AC218" s="20"/>
      <c r="AD218" s="20"/>
      <c r="AE218" s="20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E218" s="119"/>
    </row>
    <row r="219" spans="1:110" s="8" customFormat="1" x14ac:dyDescent="0.2">
      <c r="A219" s="12" t="s">
        <v>26</v>
      </c>
      <c r="AB219" s="58"/>
      <c r="AC219" s="58"/>
      <c r="AD219" s="58"/>
      <c r="AE219" s="58"/>
      <c r="CM219" s="54"/>
      <c r="CN219" s="54"/>
      <c r="CO219" s="54"/>
      <c r="CP219" s="54"/>
      <c r="CQ219" s="54"/>
      <c r="CR219" s="54"/>
      <c r="CS219" s="54"/>
      <c r="CT219" s="54"/>
      <c r="CU219" s="54"/>
      <c r="CV219" s="54"/>
      <c r="CW219" s="54"/>
      <c r="CX219" s="54"/>
      <c r="CY219" s="54"/>
      <c r="CZ219" s="54"/>
      <c r="DA219" s="54"/>
      <c r="DB219" s="54"/>
      <c r="DE219" s="132"/>
    </row>
    <row r="220" spans="1:110" s="9" customFormat="1" x14ac:dyDescent="0.2">
      <c r="A220" s="9" t="s">
        <v>453</v>
      </c>
      <c r="U220" s="9">
        <f>U166-SUM(BK166:BN166)</f>
        <v>0</v>
      </c>
      <c r="V220" s="9">
        <f>V166-SUM(BO166:BR166)</f>
        <v>0</v>
      </c>
      <c r="W220" s="9">
        <f>W166-SUM(BS166:BV166)</f>
        <v>1.0000000009313226E-2</v>
      </c>
      <c r="X220" s="9">
        <f>X166-SUM(BW166:BZ166)</f>
        <v>2.0000000018626451E-2</v>
      </c>
      <c r="Y220" s="9">
        <f>Y166-SUM(CA166:CD166)</f>
        <v>0</v>
      </c>
      <c r="Z220" s="9">
        <f>Z166-SUM(CE166:CH166)</f>
        <v>-9.9999999802093953E-3</v>
      </c>
      <c r="AA220" s="9">
        <f>AA166-SUM(CF166:CI166)</f>
        <v>21580.799999999988</v>
      </c>
      <c r="AB220" s="15">
        <f>AB166-SUM(CM166:CP166)</f>
        <v>0</v>
      </c>
      <c r="AC220" s="15">
        <f>AC166-SUM(CQ166:CT166)</f>
        <v>0</v>
      </c>
      <c r="AD220" s="15">
        <f>AD166-SUM(CU166:CX166)</f>
        <v>0</v>
      </c>
      <c r="AE220" s="15">
        <f>AE166-SUM(CY166:DB166)</f>
        <v>0</v>
      </c>
      <c r="CM220" s="59"/>
      <c r="CN220" s="59"/>
      <c r="CO220" s="59"/>
      <c r="CP220" s="59"/>
      <c r="CQ220" s="59"/>
      <c r="CR220" s="59"/>
      <c r="CS220" s="59"/>
      <c r="CT220" s="59"/>
      <c r="CU220" s="59"/>
      <c r="CV220" s="59"/>
      <c r="CW220" s="59"/>
      <c r="CX220" s="59"/>
      <c r="CY220" s="59"/>
      <c r="CZ220" s="59"/>
      <c r="DA220" s="59"/>
      <c r="DB220" s="59"/>
      <c r="DE220" s="133"/>
      <c r="DF220" s="9">
        <v>21580.799999999988</v>
      </c>
    </row>
    <row r="221" spans="1:110" s="9" customFormat="1" x14ac:dyDescent="0.2">
      <c r="A221" s="9" t="s">
        <v>454</v>
      </c>
      <c r="U221" s="9">
        <f>U172-SUM(BK172:BN172)</f>
        <v>-83.360000000044238</v>
      </c>
      <c r="V221" s="9">
        <f>V172-SUM(BO172:BR172)</f>
        <v>1.0000000009313226E-2</v>
      </c>
      <c r="W221" s="9">
        <f>W172-SUM(BS172:BV172)</f>
        <v>-9.9999999802093953E-3</v>
      </c>
      <c r="X221" s="9">
        <f>X172-SUM(BW172:BZ172)</f>
        <v>0</v>
      </c>
      <c r="Y221" s="9">
        <f>Y172-SUM(CA172:CD172)</f>
        <v>1.0000000009313226E-2</v>
      </c>
      <c r="Z221" s="9">
        <f>Z172-SUM(CE172:CH172)</f>
        <v>2.0000000018626451E-2</v>
      </c>
      <c r="AA221" s="9">
        <f>AA172-SUM(CF172:CI172)</f>
        <v>19016.549999999959</v>
      </c>
      <c r="AB221" s="15">
        <f>AB172-SUM(CM172:CP172)</f>
        <v>0</v>
      </c>
      <c r="AC221" s="15">
        <f>AC172-SUM(CQ172:CT172)</f>
        <v>0</v>
      </c>
      <c r="AD221" s="15">
        <f>AD172-SUM(CU172:CX172)</f>
        <v>0</v>
      </c>
      <c r="AE221" s="15">
        <f>AE172-SUM(CY172:DB172)</f>
        <v>0</v>
      </c>
      <c r="CM221" s="59"/>
      <c r="CN221" s="59"/>
      <c r="CO221" s="59"/>
      <c r="CP221" s="59"/>
      <c r="CQ221" s="59"/>
      <c r="CR221" s="59"/>
      <c r="CS221" s="59"/>
      <c r="CT221" s="59"/>
      <c r="CU221" s="59"/>
      <c r="CV221" s="59"/>
      <c r="CW221" s="59"/>
      <c r="CX221" s="59"/>
      <c r="CY221" s="59"/>
      <c r="CZ221" s="59"/>
      <c r="DA221" s="59"/>
      <c r="DB221" s="59"/>
      <c r="DE221" s="133"/>
      <c r="DF221" s="9">
        <v>19016.549999999959</v>
      </c>
    </row>
    <row r="222" spans="1:110" s="9" customFormat="1" x14ac:dyDescent="0.2">
      <c r="A222" s="9" t="s">
        <v>455</v>
      </c>
      <c r="U222" s="9">
        <f>U190-SUM(BK190:BN190)</f>
        <v>-169.73000000001775</v>
      </c>
      <c r="V222" s="9">
        <f>V190-SUM(BO190:BR190)</f>
        <v>-184.06999999999971</v>
      </c>
      <c r="W222" s="9">
        <f>W190-SUM(BS190:BV190)</f>
        <v>-299.56999999995969</v>
      </c>
      <c r="X222" s="9">
        <f>X190-SUM(BW190:BZ190)</f>
        <v>-510.70999999998821</v>
      </c>
      <c r="Y222" s="9">
        <f>Y190-SUM(CA190:CD190)</f>
        <v>-32.799999999959255</v>
      </c>
      <c r="Z222" s="9">
        <f>Z190-SUM(CE190:CH190)</f>
        <v>0</v>
      </c>
      <c r="AA222" s="9">
        <f>AA190-SUM(CF190:CI190)</f>
        <v>3684.2999999999374</v>
      </c>
      <c r="AB222" s="15">
        <f>AB190-SUM(CM190:CP190)</f>
        <v>0</v>
      </c>
      <c r="AC222" s="15">
        <f>AC190-SUM(CQ190:CT190)</f>
        <v>0</v>
      </c>
      <c r="AD222" s="15">
        <f>AD190-SUM(CU190:CX190)</f>
        <v>0</v>
      </c>
      <c r="AE222" s="15">
        <f>AE190-SUM(CY190:DB190)</f>
        <v>0</v>
      </c>
      <c r="CM222" s="59"/>
      <c r="CN222" s="59"/>
      <c r="CO222" s="59"/>
      <c r="CP222" s="59"/>
      <c r="CQ222" s="59"/>
      <c r="CR222" s="59"/>
      <c r="CS222" s="59"/>
      <c r="CT222" s="59"/>
      <c r="CU222" s="59"/>
      <c r="CV222" s="59"/>
      <c r="CW222" s="59"/>
      <c r="CX222" s="59"/>
      <c r="CY222" s="59"/>
      <c r="CZ222" s="59"/>
      <c r="DA222" s="59"/>
      <c r="DB222" s="59"/>
      <c r="DE222" s="133"/>
      <c r="DF222" s="9">
        <v>3684.2999999999374</v>
      </c>
    </row>
    <row r="223" spans="1:110" s="9" customFormat="1" x14ac:dyDescent="0.2">
      <c r="A223" s="9" t="s">
        <v>456</v>
      </c>
      <c r="U223" s="9">
        <f>U210-SUM(BK210:BN210)</f>
        <v>-1.8189894035458565E-11</v>
      </c>
      <c r="V223" s="9">
        <f>V210-SUM(BO210:BR210)</f>
        <v>0</v>
      </c>
      <c r="W223" s="9">
        <f>W203-SUM(BS203:BV203)</f>
        <v>2.0000000036816346E-2</v>
      </c>
      <c r="X223" s="9">
        <f>X203-SUM(BW203:BZ203)</f>
        <v>-9.9999999874853529E-3</v>
      </c>
      <c r="Y223" s="9">
        <f>Y203-SUM(CA203:CD203)</f>
        <v>4.0017766878008842E-11</v>
      </c>
      <c r="Z223" s="9">
        <f>Z203-SUM(CE203:CH203)</f>
        <v>0</v>
      </c>
      <c r="AA223" s="9">
        <f>AA203-SUM(CF203:CI203)</f>
        <v>2783.7699999999386</v>
      </c>
      <c r="AB223" s="15">
        <f>AB203-SUM(CM203:CP203)</f>
        <v>0</v>
      </c>
      <c r="AC223" s="15">
        <f>AC203-SUM(CQ203:CT203)</f>
        <v>5.0931703299283981E-11</v>
      </c>
      <c r="AD223" s="15">
        <f>AD203-SUM(CU203:CX203)</f>
        <v>0</v>
      </c>
      <c r="AE223" s="15">
        <f>AE203-SUM(CY203:DB203)</f>
        <v>0</v>
      </c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E223" s="133"/>
      <c r="DF223" s="9">
        <v>2783.7699999999386</v>
      </c>
    </row>
    <row r="224" spans="1:110" s="8" customFormat="1" x14ac:dyDescent="0.2">
      <c r="A224" s="149" t="s">
        <v>489</v>
      </c>
      <c r="AB224" s="58"/>
      <c r="AC224" s="58"/>
      <c r="AD224" s="58"/>
      <c r="AE224" s="58"/>
      <c r="CM224" s="54"/>
      <c r="CN224" s="54"/>
      <c r="CO224" s="54"/>
      <c r="CP224" s="54"/>
      <c r="CQ224" s="54"/>
      <c r="CR224" s="54"/>
      <c r="CS224" s="54"/>
      <c r="CT224" s="54"/>
      <c r="CU224" s="54"/>
      <c r="CV224" s="54"/>
      <c r="CW224" s="54"/>
      <c r="CX224" s="54"/>
      <c r="CY224" s="54"/>
      <c r="CZ224" s="54"/>
      <c r="DA224" s="54"/>
      <c r="DB224" s="54"/>
      <c r="DE224" s="132"/>
    </row>
    <row r="225" spans="1:110" s="3" customFormat="1" x14ac:dyDescent="0.2">
      <c r="A225" s="3" t="s">
        <v>27</v>
      </c>
      <c r="B225" s="3">
        <f>'Annual Raw'!C104</f>
        <v>248.65</v>
      </c>
      <c r="C225" s="3">
        <f>'Annual Raw'!D104</f>
        <v>248.66</v>
      </c>
      <c r="D225" s="3">
        <f>'Annual Raw'!E104</f>
        <v>248.67</v>
      </c>
      <c r="E225" s="3">
        <f t="shared" ref="E225:Y225" si="1296">+F225</f>
        <v>275.13</v>
      </c>
      <c r="F225" s="3">
        <f t="shared" si="1296"/>
        <v>275.13</v>
      </c>
      <c r="G225" s="3">
        <f t="shared" si="1296"/>
        <v>275.13</v>
      </c>
      <c r="H225" s="3">
        <f t="shared" si="1296"/>
        <v>275.13</v>
      </c>
      <c r="I225" s="3">
        <f t="shared" si="1296"/>
        <v>275.13</v>
      </c>
      <c r="J225" s="3">
        <f t="shared" si="1296"/>
        <v>275.13</v>
      </c>
      <c r="K225" s="3">
        <f t="shared" si="1296"/>
        <v>275.13</v>
      </c>
      <c r="L225" s="3">
        <f t="shared" si="1296"/>
        <v>275.13</v>
      </c>
      <c r="M225" s="3">
        <f t="shared" si="1296"/>
        <v>275.13</v>
      </c>
      <c r="N225" s="3">
        <f t="shared" si="1296"/>
        <v>275.13</v>
      </c>
      <c r="O225" s="3">
        <f t="shared" si="1296"/>
        <v>275.13</v>
      </c>
      <c r="P225" s="3">
        <f t="shared" si="1296"/>
        <v>275.13</v>
      </c>
      <c r="Q225" s="3">
        <f t="shared" si="1296"/>
        <v>275.13</v>
      </c>
      <c r="R225" s="3">
        <f t="shared" si="1296"/>
        <v>275.13</v>
      </c>
      <c r="S225" s="3">
        <f t="shared" si="1296"/>
        <v>275.13</v>
      </c>
      <c r="T225" s="3">
        <f t="shared" si="1296"/>
        <v>275.13</v>
      </c>
      <c r="U225" s="3">
        <f t="shared" si="1296"/>
        <v>275.13</v>
      </c>
      <c r="V225" s="3">
        <f t="shared" si="1296"/>
        <v>275.13</v>
      </c>
      <c r="W225" s="3">
        <f t="shared" si="1296"/>
        <v>275.13</v>
      </c>
      <c r="X225" s="3">
        <f t="shared" si="1296"/>
        <v>275.13</v>
      </c>
      <c r="Y225" s="3">
        <f t="shared" si="1296"/>
        <v>275.13</v>
      </c>
      <c r="Z225" s="3">
        <f>+AA225</f>
        <v>275.13</v>
      </c>
      <c r="AA225" s="3">
        <f>+AB225</f>
        <v>275.13</v>
      </c>
      <c r="AB225" s="37">
        <f>CP225</f>
        <v>275.13</v>
      </c>
      <c r="AC225" s="37">
        <f>CT225</f>
        <v>275.13</v>
      </c>
      <c r="AD225" s="37">
        <f>CX225</f>
        <v>275.13</v>
      </c>
      <c r="AE225" s="37">
        <f>DB225</f>
        <v>275.13</v>
      </c>
      <c r="AI225" s="3">
        <f t="shared" ref="AI225:CH225" si="1297">+AJ225</f>
        <v>275.11</v>
      </c>
      <c r="AJ225" s="3">
        <f t="shared" si="1297"/>
        <v>275.11</v>
      </c>
      <c r="AK225" s="3">
        <f t="shared" si="1297"/>
        <v>275.11</v>
      </c>
      <c r="AL225" s="3">
        <f t="shared" si="1297"/>
        <v>275.11</v>
      </c>
      <c r="AM225" s="3">
        <f t="shared" si="1297"/>
        <v>275.11</v>
      </c>
      <c r="AN225" s="3">
        <f t="shared" si="1297"/>
        <v>275.11</v>
      </c>
      <c r="AO225" s="3">
        <f t="shared" si="1297"/>
        <v>275.11</v>
      </c>
      <c r="AP225" s="3">
        <f t="shared" si="1297"/>
        <v>275.11</v>
      </c>
      <c r="AQ225" s="3">
        <f t="shared" si="1297"/>
        <v>275.11</v>
      </c>
      <c r="AR225" s="3">
        <f t="shared" si="1297"/>
        <v>275.11</v>
      </c>
      <c r="AS225" s="3">
        <f t="shared" si="1297"/>
        <v>275.11</v>
      </c>
      <c r="AT225" s="3">
        <f t="shared" si="1297"/>
        <v>275.11</v>
      </c>
      <c r="AU225" s="3">
        <f t="shared" si="1297"/>
        <v>275.11</v>
      </c>
      <c r="AV225" s="3">
        <f t="shared" si="1297"/>
        <v>275.11</v>
      </c>
      <c r="AW225" s="3">
        <f t="shared" si="1297"/>
        <v>275.11</v>
      </c>
      <c r="AX225" s="3">
        <f t="shared" si="1297"/>
        <v>275.11</v>
      </c>
      <c r="AY225" s="3">
        <f t="shared" si="1297"/>
        <v>275.11</v>
      </c>
      <c r="AZ225" s="3">
        <f t="shared" si="1297"/>
        <v>275.11</v>
      </c>
      <c r="BA225" s="3">
        <f t="shared" si="1297"/>
        <v>275.11</v>
      </c>
      <c r="BB225" s="3">
        <f t="shared" si="1297"/>
        <v>275.11</v>
      </c>
      <c r="BC225" s="3">
        <f t="shared" si="1297"/>
        <v>275.11</v>
      </c>
      <c r="BD225" s="3">
        <f t="shared" si="1297"/>
        <v>275.11</v>
      </c>
      <c r="BE225" s="3">
        <f t="shared" si="1297"/>
        <v>275.11</v>
      </c>
      <c r="BF225" s="3">
        <f t="shared" si="1297"/>
        <v>275.11</v>
      </c>
      <c r="BG225" s="3">
        <f t="shared" si="1297"/>
        <v>275.11</v>
      </c>
      <c r="BH225" s="3">
        <f t="shared" si="1297"/>
        <v>275.11</v>
      </c>
      <c r="BI225" s="3">
        <f t="shared" si="1297"/>
        <v>275.11</v>
      </c>
      <c r="BJ225" s="3">
        <f t="shared" si="1297"/>
        <v>275.11</v>
      </c>
      <c r="BK225" s="3">
        <f t="shared" si="1297"/>
        <v>275.11</v>
      </c>
      <c r="BL225" s="3">
        <f t="shared" si="1297"/>
        <v>275.11</v>
      </c>
      <c r="BM225" s="3">
        <f t="shared" si="1297"/>
        <v>275.11</v>
      </c>
      <c r="BN225" s="3">
        <f t="shared" si="1297"/>
        <v>275.11</v>
      </c>
      <c r="BO225" s="3">
        <f t="shared" si="1297"/>
        <v>275.11</v>
      </c>
      <c r="BP225" s="3">
        <f t="shared" si="1297"/>
        <v>275.11</v>
      </c>
      <c r="BQ225" s="3">
        <f t="shared" si="1297"/>
        <v>275.11</v>
      </c>
      <c r="BR225" s="3">
        <f t="shared" si="1297"/>
        <v>275.11</v>
      </c>
      <c r="BS225" s="3">
        <f t="shared" si="1297"/>
        <v>275.11</v>
      </c>
      <c r="BT225" s="3">
        <f t="shared" si="1297"/>
        <v>275.11</v>
      </c>
      <c r="BU225" s="3">
        <f t="shared" si="1297"/>
        <v>275.11</v>
      </c>
      <c r="BV225" s="3">
        <f t="shared" si="1297"/>
        <v>275.11</v>
      </c>
      <c r="BW225" s="3">
        <f t="shared" si="1297"/>
        <v>275.11</v>
      </c>
      <c r="BX225" s="3">
        <f t="shared" si="1297"/>
        <v>275.11</v>
      </c>
      <c r="BY225" s="3">
        <f t="shared" si="1297"/>
        <v>275.11</v>
      </c>
      <c r="BZ225" s="3">
        <f t="shared" si="1297"/>
        <v>275.11</v>
      </c>
      <c r="CA225" s="3">
        <f t="shared" si="1297"/>
        <v>275.11</v>
      </c>
      <c r="CB225" s="3">
        <f t="shared" si="1297"/>
        <v>275.11</v>
      </c>
      <c r="CC225" s="3">
        <f t="shared" si="1297"/>
        <v>275.11</v>
      </c>
      <c r="CD225" s="3">
        <f t="shared" si="1297"/>
        <v>275.11</v>
      </c>
      <c r="CE225" s="3">
        <f t="shared" si="1297"/>
        <v>275.11</v>
      </c>
      <c r="CF225" s="3">
        <f t="shared" si="1297"/>
        <v>275.11</v>
      </c>
      <c r="CG225" s="3">
        <f t="shared" si="1297"/>
        <v>275.11</v>
      </c>
      <c r="CH225" s="3">
        <f t="shared" si="1297"/>
        <v>275.11</v>
      </c>
      <c r="CI225" s="3">
        <f>+CJ225</f>
        <v>275.11</v>
      </c>
      <c r="CJ225" s="3">
        <f>'QTR Raw'!BD45</f>
        <v>275.11</v>
      </c>
      <c r="CK225" s="3">
        <f>'QTR Raw'!BE45</f>
        <v>275.12</v>
      </c>
      <c r="CL225" s="3">
        <f>'QTR Raw'!BF45</f>
        <v>275.13</v>
      </c>
      <c r="CM225" s="37">
        <f t="shared" ref="CM225:CM226" si="1298">+CL225</f>
        <v>275.13</v>
      </c>
      <c r="CN225" s="37">
        <f t="shared" ref="CN225:CN226" si="1299">+CM225</f>
        <v>275.13</v>
      </c>
      <c r="CO225" s="37">
        <f t="shared" ref="CO225:CO226" si="1300">+CN225</f>
        <v>275.13</v>
      </c>
      <c r="CP225" s="37">
        <f t="shared" ref="CP225:CP226" si="1301">+CO225</f>
        <v>275.13</v>
      </c>
      <c r="CQ225" s="37">
        <f t="shared" ref="CQ225:CQ226" si="1302">+CP225</f>
        <v>275.13</v>
      </c>
      <c r="CR225" s="37">
        <f t="shared" ref="CR225:CR226" si="1303">+CQ225</f>
        <v>275.13</v>
      </c>
      <c r="CS225" s="37">
        <f t="shared" ref="CS225:CS226" si="1304">+CR225</f>
        <v>275.13</v>
      </c>
      <c r="CT225" s="37">
        <f t="shared" ref="CT225:CT226" si="1305">+CS225</f>
        <v>275.13</v>
      </c>
      <c r="CU225" s="37">
        <f t="shared" ref="CU225:CU226" si="1306">+CT225</f>
        <v>275.13</v>
      </c>
      <c r="CV225" s="37">
        <f t="shared" ref="CV225:CV226" si="1307">+CU225</f>
        <v>275.13</v>
      </c>
      <c r="CW225" s="37">
        <f t="shared" ref="CW225:CW226" si="1308">+CV225</f>
        <v>275.13</v>
      </c>
      <c r="CX225" s="37">
        <f t="shared" ref="CX225:CX226" si="1309">+CW225</f>
        <v>275.13</v>
      </c>
      <c r="CY225" s="37">
        <f t="shared" ref="CY225:CY226" si="1310">+CX225</f>
        <v>275.13</v>
      </c>
      <c r="CZ225" s="37">
        <f t="shared" ref="CZ225:CZ226" si="1311">+CY225</f>
        <v>275.13</v>
      </c>
      <c r="DA225" s="37">
        <f t="shared" ref="DA225:DA226" si="1312">+CZ225</f>
        <v>275.13</v>
      </c>
      <c r="DB225" s="37">
        <f t="shared" ref="DB225:DB226" si="1313">+DA225</f>
        <v>275.13</v>
      </c>
      <c r="DE225" s="134"/>
      <c r="DF225" s="3">
        <v>275.13</v>
      </c>
    </row>
    <row r="226" spans="1:110" s="3" customFormat="1" x14ac:dyDescent="0.2">
      <c r="A226" s="3" t="s">
        <v>28</v>
      </c>
      <c r="B226" s="3">
        <f>'Annual Raw'!C105</f>
        <v>10</v>
      </c>
      <c r="C226" s="3">
        <f>'Annual Raw'!D105</f>
        <v>10</v>
      </c>
      <c r="D226" s="3">
        <f>'Annual Raw'!E105</f>
        <v>10</v>
      </c>
      <c r="E226" s="3">
        <f t="shared" ref="E226:Y226" si="1314">+F226</f>
        <v>2</v>
      </c>
      <c r="F226" s="3">
        <f t="shared" si="1314"/>
        <v>2</v>
      </c>
      <c r="G226" s="3">
        <f t="shared" si="1314"/>
        <v>2</v>
      </c>
      <c r="H226" s="3">
        <f t="shared" si="1314"/>
        <v>2</v>
      </c>
      <c r="I226" s="3">
        <f t="shared" si="1314"/>
        <v>2</v>
      </c>
      <c r="J226" s="3">
        <f t="shared" si="1314"/>
        <v>2</v>
      </c>
      <c r="K226" s="3">
        <f t="shared" si="1314"/>
        <v>2</v>
      </c>
      <c r="L226" s="3">
        <f t="shared" si="1314"/>
        <v>2</v>
      </c>
      <c r="M226" s="3">
        <f t="shared" si="1314"/>
        <v>2</v>
      </c>
      <c r="N226" s="3">
        <f t="shared" si="1314"/>
        <v>2</v>
      </c>
      <c r="O226" s="3">
        <f t="shared" si="1314"/>
        <v>2</v>
      </c>
      <c r="P226" s="3">
        <f t="shared" si="1314"/>
        <v>2</v>
      </c>
      <c r="Q226" s="3">
        <f t="shared" si="1314"/>
        <v>2</v>
      </c>
      <c r="R226" s="3">
        <f t="shared" si="1314"/>
        <v>2</v>
      </c>
      <c r="S226" s="3">
        <f t="shared" si="1314"/>
        <v>2</v>
      </c>
      <c r="T226" s="3">
        <f t="shared" si="1314"/>
        <v>2</v>
      </c>
      <c r="U226" s="3">
        <f t="shared" si="1314"/>
        <v>2</v>
      </c>
      <c r="V226" s="3">
        <f t="shared" si="1314"/>
        <v>2</v>
      </c>
      <c r="W226" s="3">
        <f t="shared" si="1314"/>
        <v>2</v>
      </c>
      <c r="X226" s="3">
        <f t="shared" si="1314"/>
        <v>2</v>
      </c>
      <c r="Y226" s="3">
        <f t="shared" si="1314"/>
        <v>2</v>
      </c>
      <c r="Z226" s="3">
        <f>+AA226</f>
        <v>2</v>
      </c>
      <c r="AA226" s="3">
        <f>+AB226</f>
        <v>2</v>
      </c>
      <c r="AB226" s="37">
        <f>CP226</f>
        <v>2</v>
      </c>
      <c r="AC226" s="37">
        <f>CT226</f>
        <v>2</v>
      </c>
      <c r="AD226" s="37">
        <f>CX226</f>
        <v>2</v>
      </c>
      <c r="AE226" s="37">
        <f>DB226</f>
        <v>2</v>
      </c>
      <c r="AI226" s="3">
        <f t="shared" ref="AI226:CH226" si="1315">AJ226</f>
        <v>2</v>
      </c>
      <c r="AJ226" s="3">
        <f t="shared" si="1315"/>
        <v>2</v>
      </c>
      <c r="AK226" s="3">
        <f t="shared" si="1315"/>
        <v>2</v>
      </c>
      <c r="AL226" s="3">
        <f t="shared" si="1315"/>
        <v>2</v>
      </c>
      <c r="AM226" s="3">
        <f t="shared" si="1315"/>
        <v>2</v>
      </c>
      <c r="AN226" s="3">
        <f t="shared" si="1315"/>
        <v>2</v>
      </c>
      <c r="AO226" s="3">
        <f t="shared" si="1315"/>
        <v>2</v>
      </c>
      <c r="AP226" s="3">
        <f t="shared" si="1315"/>
        <v>2</v>
      </c>
      <c r="AQ226" s="3">
        <f t="shared" si="1315"/>
        <v>2</v>
      </c>
      <c r="AR226" s="3">
        <f t="shared" si="1315"/>
        <v>2</v>
      </c>
      <c r="AS226" s="3">
        <f t="shared" si="1315"/>
        <v>2</v>
      </c>
      <c r="AT226" s="3">
        <f t="shared" si="1315"/>
        <v>2</v>
      </c>
      <c r="AU226" s="3">
        <f t="shared" si="1315"/>
        <v>2</v>
      </c>
      <c r="AV226" s="3">
        <f t="shared" si="1315"/>
        <v>2</v>
      </c>
      <c r="AW226" s="3">
        <f t="shared" si="1315"/>
        <v>2</v>
      </c>
      <c r="AX226" s="3">
        <f t="shared" si="1315"/>
        <v>2</v>
      </c>
      <c r="AY226" s="3">
        <f t="shared" si="1315"/>
        <v>2</v>
      </c>
      <c r="AZ226" s="3">
        <f t="shared" si="1315"/>
        <v>2</v>
      </c>
      <c r="BA226" s="3">
        <f t="shared" si="1315"/>
        <v>2</v>
      </c>
      <c r="BB226" s="3">
        <f t="shared" si="1315"/>
        <v>2</v>
      </c>
      <c r="BC226" s="3">
        <f t="shared" si="1315"/>
        <v>2</v>
      </c>
      <c r="BD226" s="3">
        <f t="shared" si="1315"/>
        <v>2</v>
      </c>
      <c r="BE226" s="3">
        <f t="shared" si="1315"/>
        <v>2</v>
      </c>
      <c r="BF226" s="3">
        <f t="shared" si="1315"/>
        <v>2</v>
      </c>
      <c r="BG226" s="3">
        <f t="shared" si="1315"/>
        <v>2</v>
      </c>
      <c r="BH226" s="3">
        <f t="shared" si="1315"/>
        <v>2</v>
      </c>
      <c r="BI226" s="3">
        <f t="shared" si="1315"/>
        <v>2</v>
      </c>
      <c r="BJ226" s="3">
        <f t="shared" si="1315"/>
        <v>2</v>
      </c>
      <c r="BK226" s="3">
        <f t="shared" si="1315"/>
        <v>2</v>
      </c>
      <c r="BL226" s="3">
        <f t="shared" si="1315"/>
        <v>2</v>
      </c>
      <c r="BM226" s="3">
        <f t="shared" si="1315"/>
        <v>2</v>
      </c>
      <c r="BN226" s="3">
        <f t="shared" si="1315"/>
        <v>2</v>
      </c>
      <c r="BO226" s="3">
        <f t="shared" si="1315"/>
        <v>2</v>
      </c>
      <c r="BP226" s="3">
        <f t="shared" si="1315"/>
        <v>2</v>
      </c>
      <c r="BQ226" s="3">
        <f t="shared" si="1315"/>
        <v>2</v>
      </c>
      <c r="BR226" s="3">
        <f t="shared" si="1315"/>
        <v>2</v>
      </c>
      <c r="BS226" s="3">
        <f t="shared" si="1315"/>
        <v>2</v>
      </c>
      <c r="BT226" s="3">
        <f t="shared" si="1315"/>
        <v>2</v>
      </c>
      <c r="BU226" s="3">
        <f t="shared" si="1315"/>
        <v>2</v>
      </c>
      <c r="BV226" s="3">
        <f t="shared" si="1315"/>
        <v>2</v>
      </c>
      <c r="BW226" s="3">
        <f t="shared" si="1315"/>
        <v>2</v>
      </c>
      <c r="BX226" s="3">
        <f t="shared" si="1315"/>
        <v>2</v>
      </c>
      <c r="BY226" s="3">
        <f t="shared" si="1315"/>
        <v>2</v>
      </c>
      <c r="BZ226" s="3">
        <f t="shared" si="1315"/>
        <v>2</v>
      </c>
      <c r="CA226" s="3">
        <f t="shared" si="1315"/>
        <v>2</v>
      </c>
      <c r="CB226" s="3">
        <f t="shared" si="1315"/>
        <v>2</v>
      </c>
      <c r="CC226" s="3">
        <f t="shared" si="1315"/>
        <v>2</v>
      </c>
      <c r="CD226" s="3">
        <f t="shared" si="1315"/>
        <v>2</v>
      </c>
      <c r="CE226" s="3">
        <f t="shared" si="1315"/>
        <v>2</v>
      </c>
      <c r="CF226" s="3">
        <f t="shared" si="1315"/>
        <v>2</v>
      </c>
      <c r="CG226" s="3">
        <f t="shared" si="1315"/>
        <v>2</v>
      </c>
      <c r="CH226" s="3">
        <f t="shared" si="1315"/>
        <v>2</v>
      </c>
      <c r="CI226" s="3">
        <f>CJ226</f>
        <v>2</v>
      </c>
      <c r="CJ226" s="3">
        <f>'QTR Raw'!BD46</f>
        <v>2</v>
      </c>
      <c r="CK226" s="3">
        <f>'QTR Raw'!BE46</f>
        <v>2</v>
      </c>
      <c r="CL226" s="3">
        <f>'QTR Raw'!BF46</f>
        <v>2</v>
      </c>
      <c r="CM226" s="37">
        <f t="shared" si="1298"/>
        <v>2</v>
      </c>
      <c r="CN226" s="37">
        <f t="shared" si="1299"/>
        <v>2</v>
      </c>
      <c r="CO226" s="37">
        <f t="shared" si="1300"/>
        <v>2</v>
      </c>
      <c r="CP226" s="37">
        <f t="shared" si="1301"/>
        <v>2</v>
      </c>
      <c r="CQ226" s="37">
        <f t="shared" si="1302"/>
        <v>2</v>
      </c>
      <c r="CR226" s="37">
        <f t="shared" si="1303"/>
        <v>2</v>
      </c>
      <c r="CS226" s="37">
        <f t="shared" si="1304"/>
        <v>2</v>
      </c>
      <c r="CT226" s="37">
        <f t="shared" si="1305"/>
        <v>2</v>
      </c>
      <c r="CU226" s="37">
        <f t="shared" si="1306"/>
        <v>2</v>
      </c>
      <c r="CV226" s="37">
        <f t="shared" si="1307"/>
        <v>2</v>
      </c>
      <c r="CW226" s="37">
        <f t="shared" si="1308"/>
        <v>2</v>
      </c>
      <c r="CX226" s="37">
        <f t="shared" si="1309"/>
        <v>2</v>
      </c>
      <c r="CY226" s="37">
        <f t="shared" si="1310"/>
        <v>2</v>
      </c>
      <c r="CZ226" s="37">
        <f t="shared" si="1311"/>
        <v>2</v>
      </c>
      <c r="DA226" s="37">
        <f t="shared" si="1312"/>
        <v>2</v>
      </c>
      <c r="DB226" s="37">
        <f t="shared" si="1313"/>
        <v>2</v>
      </c>
      <c r="DE226" s="134"/>
      <c r="DF226" s="3">
        <v>2</v>
      </c>
    </row>
    <row r="227" spans="1:110" s="3" customFormat="1" x14ac:dyDescent="0.2">
      <c r="A227" s="3" t="s">
        <v>29</v>
      </c>
      <c r="B227" s="3">
        <f>B225/B226</f>
        <v>24.865000000000002</v>
      </c>
      <c r="C227" s="3">
        <f t="shared" ref="C227:W227" si="1316">C225/C226</f>
        <v>24.866</v>
      </c>
      <c r="D227" s="3">
        <f t="shared" si="1316"/>
        <v>24.866999999999997</v>
      </c>
      <c r="E227" s="3">
        <f t="shared" si="1316"/>
        <v>137.565</v>
      </c>
      <c r="F227" s="3">
        <f t="shared" si="1316"/>
        <v>137.565</v>
      </c>
      <c r="G227" s="3">
        <f t="shared" si="1316"/>
        <v>137.565</v>
      </c>
      <c r="H227" s="3">
        <f t="shared" si="1316"/>
        <v>137.565</v>
      </c>
      <c r="I227" s="3">
        <f t="shared" si="1316"/>
        <v>137.565</v>
      </c>
      <c r="J227" s="3">
        <f t="shared" si="1316"/>
        <v>137.565</v>
      </c>
      <c r="K227" s="3">
        <f t="shared" si="1316"/>
        <v>137.565</v>
      </c>
      <c r="L227" s="3">
        <f t="shared" si="1316"/>
        <v>137.565</v>
      </c>
      <c r="M227" s="3">
        <f t="shared" si="1316"/>
        <v>137.565</v>
      </c>
      <c r="N227" s="3">
        <f t="shared" si="1316"/>
        <v>137.565</v>
      </c>
      <c r="O227" s="3">
        <f t="shared" si="1316"/>
        <v>137.565</v>
      </c>
      <c r="P227" s="3">
        <f t="shared" si="1316"/>
        <v>137.565</v>
      </c>
      <c r="Q227" s="3">
        <f t="shared" si="1316"/>
        <v>137.565</v>
      </c>
      <c r="R227" s="3">
        <f t="shared" si="1316"/>
        <v>137.565</v>
      </c>
      <c r="S227" s="3">
        <f t="shared" si="1316"/>
        <v>137.565</v>
      </c>
      <c r="T227" s="3">
        <f t="shared" si="1316"/>
        <v>137.565</v>
      </c>
      <c r="U227" s="3">
        <f t="shared" si="1316"/>
        <v>137.565</v>
      </c>
      <c r="V227" s="3">
        <f>V225/V226</f>
        <v>137.565</v>
      </c>
      <c r="W227" s="3">
        <f t="shared" si="1316"/>
        <v>137.565</v>
      </c>
      <c r="X227" s="3">
        <f t="shared" ref="X227:Y227" si="1317">X225/X226</f>
        <v>137.565</v>
      </c>
      <c r="Y227" s="3">
        <f t="shared" si="1317"/>
        <v>137.565</v>
      </c>
      <c r="Z227" s="3">
        <f t="shared" ref="Z227:AA227" si="1318">Z225/Z226</f>
        <v>137.565</v>
      </c>
      <c r="AA227" s="3">
        <f t="shared" si="1318"/>
        <v>137.565</v>
      </c>
      <c r="AB227" s="37">
        <f t="shared" ref="AB227:AD227" si="1319">AB225/AB226</f>
        <v>137.565</v>
      </c>
      <c r="AC227" s="37">
        <f t="shared" si="1319"/>
        <v>137.565</v>
      </c>
      <c r="AD227" s="37">
        <f t="shared" si="1319"/>
        <v>137.565</v>
      </c>
      <c r="AE227" s="37">
        <f t="shared" ref="AE227" si="1320">AE225/AE226</f>
        <v>137.565</v>
      </c>
      <c r="AI227" s="3">
        <f t="shared" ref="AI227" si="1321">AI225/AI226</f>
        <v>137.55500000000001</v>
      </c>
      <c r="AJ227" s="3">
        <f t="shared" ref="AJ227" si="1322">AJ225/AJ226</f>
        <v>137.55500000000001</v>
      </c>
      <c r="AK227" s="3">
        <f t="shared" ref="AK227:AM227" si="1323">AK225/AK226</f>
        <v>137.55500000000001</v>
      </c>
      <c r="AL227" s="3">
        <f t="shared" si="1323"/>
        <v>137.55500000000001</v>
      </c>
      <c r="AM227" s="3">
        <f t="shared" si="1323"/>
        <v>137.55500000000001</v>
      </c>
      <c r="AN227" s="3">
        <f t="shared" ref="AN227:AO227" si="1324">AN225/AN226</f>
        <v>137.55500000000001</v>
      </c>
      <c r="AO227" s="3">
        <f t="shared" si="1324"/>
        <v>137.55500000000001</v>
      </c>
      <c r="AP227" s="3">
        <f t="shared" ref="AP227:CD227" si="1325">AP225/AP226</f>
        <v>137.55500000000001</v>
      </c>
      <c r="AQ227" s="3">
        <f t="shared" si="1325"/>
        <v>137.55500000000001</v>
      </c>
      <c r="AR227" s="3">
        <f t="shared" si="1325"/>
        <v>137.55500000000001</v>
      </c>
      <c r="AS227" s="3">
        <f t="shared" si="1325"/>
        <v>137.55500000000001</v>
      </c>
      <c r="AT227" s="3">
        <f t="shared" si="1325"/>
        <v>137.55500000000001</v>
      </c>
      <c r="AU227" s="3">
        <f t="shared" si="1325"/>
        <v>137.55500000000001</v>
      </c>
      <c r="AV227" s="3">
        <f t="shared" si="1325"/>
        <v>137.55500000000001</v>
      </c>
      <c r="AW227" s="3">
        <f t="shared" si="1325"/>
        <v>137.55500000000001</v>
      </c>
      <c r="AX227" s="3">
        <f t="shared" si="1325"/>
        <v>137.55500000000001</v>
      </c>
      <c r="AY227" s="3">
        <f t="shared" si="1325"/>
        <v>137.55500000000001</v>
      </c>
      <c r="AZ227" s="3">
        <f t="shared" si="1325"/>
        <v>137.55500000000001</v>
      </c>
      <c r="BA227" s="3">
        <f t="shared" si="1325"/>
        <v>137.55500000000001</v>
      </c>
      <c r="BB227" s="3">
        <f t="shared" si="1325"/>
        <v>137.55500000000001</v>
      </c>
      <c r="BC227" s="3">
        <f t="shared" si="1325"/>
        <v>137.55500000000001</v>
      </c>
      <c r="BD227" s="3">
        <f t="shared" si="1325"/>
        <v>137.55500000000001</v>
      </c>
      <c r="BE227" s="3">
        <f t="shared" si="1325"/>
        <v>137.55500000000001</v>
      </c>
      <c r="BF227" s="3">
        <f t="shared" si="1325"/>
        <v>137.55500000000001</v>
      </c>
      <c r="BG227" s="3">
        <f t="shared" si="1325"/>
        <v>137.55500000000001</v>
      </c>
      <c r="BH227" s="3">
        <f t="shared" si="1325"/>
        <v>137.55500000000001</v>
      </c>
      <c r="BI227" s="3">
        <f t="shared" si="1325"/>
        <v>137.55500000000001</v>
      </c>
      <c r="BJ227" s="3">
        <f t="shared" si="1325"/>
        <v>137.55500000000001</v>
      </c>
      <c r="BK227" s="3">
        <f t="shared" si="1325"/>
        <v>137.55500000000001</v>
      </c>
      <c r="BL227" s="3">
        <f t="shared" si="1325"/>
        <v>137.55500000000001</v>
      </c>
      <c r="BM227" s="3">
        <f t="shared" si="1325"/>
        <v>137.55500000000001</v>
      </c>
      <c r="BN227" s="3">
        <f t="shared" si="1325"/>
        <v>137.55500000000001</v>
      </c>
      <c r="BO227" s="3">
        <f t="shared" si="1325"/>
        <v>137.55500000000001</v>
      </c>
      <c r="BP227" s="3">
        <f t="shared" si="1325"/>
        <v>137.55500000000001</v>
      </c>
      <c r="BQ227" s="3">
        <f t="shared" si="1325"/>
        <v>137.55500000000001</v>
      </c>
      <c r="BR227" s="3">
        <f t="shared" si="1325"/>
        <v>137.55500000000001</v>
      </c>
      <c r="BS227" s="3">
        <f t="shared" si="1325"/>
        <v>137.55500000000001</v>
      </c>
      <c r="BT227" s="3">
        <f t="shared" si="1325"/>
        <v>137.55500000000001</v>
      </c>
      <c r="BU227" s="3">
        <f t="shared" si="1325"/>
        <v>137.55500000000001</v>
      </c>
      <c r="BV227" s="3">
        <f t="shared" si="1325"/>
        <v>137.55500000000001</v>
      </c>
      <c r="BW227" s="3">
        <f t="shared" si="1325"/>
        <v>137.55500000000001</v>
      </c>
      <c r="BX227" s="3">
        <f t="shared" si="1325"/>
        <v>137.55500000000001</v>
      </c>
      <c r="BY227" s="3">
        <f t="shared" si="1325"/>
        <v>137.55500000000001</v>
      </c>
      <c r="BZ227" s="3">
        <f t="shared" si="1325"/>
        <v>137.55500000000001</v>
      </c>
      <c r="CA227" s="3">
        <f t="shared" si="1325"/>
        <v>137.55500000000001</v>
      </c>
      <c r="CB227" s="3">
        <f t="shared" si="1325"/>
        <v>137.55500000000001</v>
      </c>
      <c r="CC227" s="3">
        <f t="shared" si="1325"/>
        <v>137.55500000000001</v>
      </c>
      <c r="CD227" s="3">
        <f t="shared" si="1325"/>
        <v>137.55500000000001</v>
      </c>
      <c r="CE227" s="3">
        <f t="shared" ref="CE227:CF227" si="1326">CE225/CE226</f>
        <v>137.55500000000001</v>
      </c>
      <c r="CF227" s="3">
        <f t="shared" si="1326"/>
        <v>137.55500000000001</v>
      </c>
      <c r="CG227" s="3">
        <f t="shared" ref="CG227:CH227" si="1327">CG225/CG226</f>
        <v>137.55500000000001</v>
      </c>
      <c r="CH227" s="3">
        <f t="shared" si="1327"/>
        <v>137.55500000000001</v>
      </c>
      <c r="CI227" s="3">
        <f t="shared" ref="CI227:CJ227" si="1328">CI225/CI226</f>
        <v>137.55500000000001</v>
      </c>
      <c r="CJ227" s="3">
        <f t="shared" si="1328"/>
        <v>137.55500000000001</v>
      </c>
      <c r="CK227" s="3">
        <f t="shared" ref="CK227:CL227" si="1329">CK225/CK226</f>
        <v>137.56</v>
      </c>
      <c r="CL227" s="3">
        <f t="shared" si="1329"/>
        <v>137.565</v>
      </c>
      <c r="CM227" s="37">
        <f t="shared" ref="CM227:DB227" si="1330">CM225/CM226</f>
        <v>137.565</v>
      </c>
      <c r="CN227" s="37">
        <f t="shared" si="1330"/>
        <v>137.565</v>
      </c>
      <c r="CO227" s="37">
        <f t="shared" si="1330"/>
        <v>137.565</v>
      </c>
      <c r="CP227" s="37">
        <f t="shared" si="1330"/>
        <v>137.565</v>
      </c>
      <c r="CQ227" s="37">
        <f t="shared" si="1330"/>
        <v>137.565</v>
      </c>
      <c r="CR227" s="37">
        <f t="shared" si="1330"/>
        <v>137.565</v>
      </c>
      <c r="CS227" s="37">
        <f t="shared" si="1330"/>
        <v>137.565</v>
      </c>
      <c r="CT227" s="37">
        <f t="shared" si="1330"/>
        <v>137.565</v>
      </c>
      <c r="CU227" s="37">
        <f t="shared" si="1330"/>
        <v>137.565</v>
      </c>
      <c r="CV227" s="37">
        <f t="shared" si="1330"/>
        <v>137.565</v>
      </c>
      <c r="CW227" s="37">
        <f t="shared" si="1330"/>
        <v>137.565</v>
      </c>
      <c r="CX227" s="37">
        <f t="shared" si="1330"/>
        <v>137.565</v>
      </c>
      <c r="CY227" s="37">
        <f t="shared" si="1330"/>
        <v>137.565</v>
      </c>
      <c r="CZ227" s="37">
        <f t="shared" si="1330"/>
        <v>137.565</v>
      </c>
      <c r="DA227" s="37">
        <f t="shared" si="1330"/>
        <v>137.565</v>
      </c>
      <c r="DB227" s="37">
        <f t="shared" si="1330"/>
        <v>137.565</v>
      </c>
      <c r="DE227" s="134"/>
      <c r="DF227" s="3">
        <v>137.565</v>
      </c>
    </row>
    <row r="228" spans="1:110" s="53" customFormat="1" x14ac:dyDescent="0.2">
      <c r="A228" s="53" t="s">
        <v>30</v>
      </c>
      <c r="B228" s="53">
        <f t="shared" ref="B228:AE228" si="1331">(B210-B209)/B227</f>
        <v>12.67082244118242</v>
      </c>
      <c r="C228" s="53">
        <f t="shared" si="1331"/>
        <v>11.811710769725748</v>
      </c>
      <c r="D228" s="53">
        <f t="shared" si="1331"/>
        <v>15.288535006233179</v>
      </c>
      <c r="E228" s="53">
        <f t="shared" si="1331"/>
        <v>4.3889070621160906</v>
      </c>
      <c r="F228" s="53">
        <f t="shared" si="1331"/>
        <v>7.7057391051502844</v>
      </c>
      <c r="G228" s="53">
        <f t="shared" si="1331"/>
        <v>9.1843128702794772</v>
      </c>
      <c r="H228" s="53">
        <f t="shared" si="1331"/>
        <v>16.364918402209867</v>
      </c>
      <c r="I228" s="53">
        <f t="shared" si="1331"/>
        <v>17.003162141533114</v>
      </c>
      <c r="J228" s="53">
        <f t="shared" si="1331"/>
        <v>21.937266019699734</v>
      </c>
      <c r="K228" s="53">
        <f t="shared" si="1331"/>
        <v>38.646239959291961</v>
      </c>
      <c r="L228" s="53">
        <f t="shared" si="1331"/>
        <v>30.440373641551265</v>
      </c>
      <c r="M228" s="53">
        <f t="shared" si="1331"/>
        <v>33.770145022353091</v>
      </c>
      <c r="N228" s="53">
        <f t="shared" si="1331"/>
        <v>34.919928760949347</v>
      </c>
      <c r="O228" s="53">
        <f t="shared" si="1331"/>
        <v>33.202922254934037</v>
      </c>
      <c r="P228" s="53">
        <f t="shared" si="1331"/>
        <v>32.109330134845266</v>
      </c>
      <c r="Q228" s="53">
        <f t="shared" si="1331"/>
        <v>30.432595500309038</v>
      </c>
      <c r="R228" s="53">
        <f t="shared" si="1331"/>
        <v>43.032748155417472</v>
      </c>
      <c r="S228" s="53">
        <f t="shared" si="1331"/>
        <v>52.679533311525553</v>
      </c>
      <c r="T228" s="53">
        <f t="shared" si="1331"/>
        <v>58.452731436048182</v>
      </c>
      <c r="U228" s="53">
        <f t="shared" si="1331"/>
        <v>64.656416966524773</v>
      </c>
      <c r="V228" s="53">
        <f t="shared" si="1331"/>
        <v>50.165594446261721</v>
      </c>
      <c r="W228" s="53">
        <f t="shared" si="1331"/>
        <v>62.31526914549508</v>
      </c>
      <c r="X228" s="53">
        <f t="shared" si="1331"/>
        <v>75.126158543234197</v>
      </c>
      <c r="Y228" s="53">
        <f t="shared" si="1331"/>
        <v>94.249990913386611</v>
      </c>
      <c r="Z228" s="53">
        <f t="shared" si="1331"/>
        <v>105.85781267037402</v>
      </c>
      <c r="AA228" s="53">
        <f t="shared" ref="AA228" si="1332">(AA210-AA209)/AA227</f>
        <v>129.44011921636996</v>
      </c>
      <c r="AB228" s="54">
        <f t="shared" si="1331"/>
        <v>158.64696495401017</v>
      </c>
      <c r="AC228" s="54">
        <f t="shared" si="1331"/>
        <v>191.1205750965687</v>
      </c>
      <c r="AD228" s="54">
        <f t="shared" si="1331"/>
        <v>229.51991329183602</v>
      </c>
      <c r="AE228" s="54">
        <f t="shared" si="1331"/>
        <v>273.45695223967851</v>
      </c>
      <c r="AI228" s="53">
        <f t="shared" ref="AI228:BN228" si="1333">(AI210-AI209)/AI227</f>
        <v>6.5573043509868825</v>
      </c>
      <c r="AJ228" s="53">
        <f t="shared" si="1333"/>
        <v>6.3256879066555252</v>
      </c>
      <c r="AK228" s="53">
        <f t="shared" si="1333"/>
        <v>7.3659990549234857</v>
      </c>
      <c r="AL228" s="53">
        <f t="shared" si="1333"/>
        <v>11.567663843553474</v>
      </c>
      <c r="AM228" s="53">
        <f t="shared" si="1333"/>
        <v>3.333866453418648</v>
      </c>
      <c r="AN228" s="53">
        <f t="shared" si="1333"/>
        <v>5.9097088437352392</v>
      </c>
      <c r="AO228" s="53">
        <f t="shared" si="1333"/>
        <v>5.3040601941042222</v>
      </c>
      <c r="AP228" s="53">
        <f t="shared" si="1333"/>
        <v>18.506415615571935</v>
      </c>
      <c r="AQ228" s="53">
        <f t="shared" si="1333"/>
        <v>5.2168950601577686</v>
      </c>
      <c r="AR228" s="53">
        <f t="shared" si="1333"/>
        <v>6.2647668205445104</v>
      </c>
      <c r="AS228" s="53">
        <f t="shared" si="1333"/>
        <v>6.2995892552069908</v>
      </c>
      <c r="AT228" s="53">
        <f t="shared" si="1333"/>
        <v>14.330413289229734</v>
      </c>
      <c r="AU228" s="53">
        <f t="shared" si="1333"/>
        <v>3.0456181163898313</v>
      </c>
      <c r="AV228" s="53">
        <f t="shared" si="1333"/>
        <v>5.3264512376867321</v>
      </c>
      <c r="AW228" s="53">
        <f t="shared" si="1333"/>
        <v>5.0913452800697989</v>
      </c>
      <c r="AX228" s="53">
        <f t="shared" si="1333"/>
        <v>16.623750499800121</v>
      </c>
      <c r="AY228" s="53">
        <f t="shared" si="1333"/>
        <v>4.4316818727054459</v>
      </c>
      <c r="AZ228" s="53">
        <f t="shared" si="1333"/>
        <v>7.5039075278979332</v>
      </c>
      <c r="BA228" s="53">
        <f t="shared" si="1333"/>
        <v>7.0691723310675778</v>
      </c>
      <c r="BB228" s="53">
        <f t="shared" si="1333"/>
        <v>24.031187524989992</v>
      </c>
      <c r="BC228" s="53">
        <f t="shared" si="1333"/>
        <v>6.4886045581767471</v>
      </c>
      <c r="BD228" s="53">
        <f t="shared" si="1333"/>
        <v>12.236123732325241</v>
      </c>
      <c r="BE228" s="53">
        <f t="shared" si="1333"/>
        <v>10.931845443640727</v>
      </c>
      <c r="BF228" s="53">
        <f t="shared" si="1333"/>
        <v>23.026934680673182</v>
      </c>
      <c r="BG228" s="53">
        <f t="shared" si="1333"/>
        <v>8.2105339682308571</v>
      </c>
      <c r="BH228" s="53">
        <f t="shared" si="1333"/>
        <v>13.069681218421726</v>
      </c>
      <c r="BI228" s="53">
        <f t="shared" si="1333"/>
        <v>13.79826251317655</v>
      </c>
      <c r="BJ228" s="53">
        <f t="shared" si="1333"/>
        <v>23.378503144196895</v>
      </c>
      <c r="BK228" s="53">
        <f t="shared" si="1333"/>
        <v>9.8905892188579188</v>
      </c>
      <c r="BL228" s="53">
        <f t="shared" si="1333"/>
        <v>16.78237795790772</v>
      </c>
      <c r="BM228" s="53">
        <f t="shared" si="1333"/>
        <v>15.70848024426596</v>
      </c>
      <c r="BN228" s="53">
        <f t="shared" si="1333"/>
        <v>22.279669950201722</v>
      </c>
      <c r="BO228" s="53">
        <f t="shared" ref="BO228:CT228" si="1334">(BO210-BO209)/BO227</f>
        <v>0.51884700665190309</v>
      </c>
      <c r="BP228" s="53">
        <f t="shared" si="1334"/>
        <v>8.044563992584802</v>
      </c>
      <c r="BQ228" s="53">
        <f t="shared" si="1334"/>
        <v>16.410744792991864</v>
      </c>
      <c r="BR228" s="53">
        <f t="shared" si="1334"/>
        <v>24.842935553051454</v>
      </c>
      <c r="BS228" s="53">
        <f t="shared" si="1334"/>
        <v>8.5379666315291978</v>
      </c>
      <c r="BT228" s="53">
        <f t="shared" si="1334"/>
        <v>12.52240921813091</v>
      </c>
      <c r="BU228" s="53">
        <f t="shared" si="1334"/>
        <v>14.937588600923277</v>
      </c>
      <c r="BV228" s="53">
        <f t="shared" si="1334"/>
        <v>26.32176220420919</v>
      </c>
      <c r="BW228" s="53">
        <f t="shared" si="1334"/>
        <v>12.373741412525872</v>
      </c>
      <c r="BX228" s="53">
        <f t="shared" si="1334"/>
        <v>16.204209225400721</v>
      </c>
      <c r="BY228" s="53">
        <f t="shared" si="1334"/>
        <v>17.570644469484993</v>
      </c>
      <c r="BZ228" s="53">
        <f t="shared" si="1334"/>
        <v>28.983170368216335</v>
      </c>
      <c r="CA228" s="53">
        <f t="shared" si="1334"/>
        <v>18.123659627058217</v>
      </c>
      <c r="CB228" s="53">
        <f t="shared" si="1334"/>
        <v>23.427937915742802</v>
      </c>
      <c r="CC228" s="53">
        <f t="shared" si="1334"/>
        <v>21.426774744647556</v>
      </c>
      <c r="CD228" s="53">
        <f t="shared" si="1334"/>
        <v>31.278470430009822</v>
      </c>
      <c r="CE228" s="53">
        <f t="shared" si="1334"/>
        <v>20.25168114572358</v>
      </c>
      <c r="CF228" s="53">
        <f t="shared" si="1334"/>
        <v>24.683144923848669</v>
      </c>
      <c r="CG228" s="53">
        <f t="shared" si="1334"/>
        <v>24.418160008723753</v>
      </c>
      <c r="CH228" s="53">
        <f t="shared" si="1334"/>
        <v>36.512522263821758</v>
      </c>
      <c r="CI228" s="53">
        <f t="shared" si="1334"/>
        <v>26.296317836501718</v>
      </c>
      <c r="CJ228" s="53">
        <f t="shared" si="1334"/>
        <v>28.541965032168935</v>
      </c>
      <c r="CK228" s="53">
        <f t="shared" ref="CK228:CL228" si="1335">(CK210-CK209)/CK227</f>
        <v>33.140956673451569</v>
      </c>
      <c r="CL228" s="53">
        <f t="shared" si="1335"/>
        <v>38.214298695162256</v>
      </c>
      <c r="CM228" s="54">
        <f t="shared" si="1334"/>
        <v>34.156876083708347</v>
      </c>
      <c r="CN228" s="54">
        <f t="shared" si="1334"/>
        <v>37.794615403113369</v>
      </c>
      <c r="CO228" s="54">
        <f t="shared" si="1334"/>
        <v>39.835638845665329</v>
      </c>
      <c r="CP228" s="54">
        <f t="shared" si="1334"/>
        <v>46.859834621523149</v>
      </c>
      <c r="CQ228" s="54">
        <f t="shared" si="1334"/>
        <v>40.119332214161865</v>
      </c>
      <c r="CR228" s="54">
        <f t="shared" si="1334"/>
        <v>44.943141695481643</v>
      </c>
      <c r="CS228" s="54">
        <f t="shared" si="1334"/>
        <v>48.04905514877057</v>
      </c>
      <c r="CT228" s="54">
        <f t="shared" si="1334"/>
        <v>58.009046038154281</v>
      </c>
      <c r="CU228" s="54">
        <f t="shared" ref="CU228:DB228" si="1336">(CU210-CU209)/CU227</f>
        <v>48.330866917136774</v>
      </c>
      <c r="CV228" s="54">
        <f t="shared" si="1336"/>
        <v>54.039399784852023</v>
      </c>
      <c r="CW228" s="54">
        <f t="shared" si="1336"/>
        <v>57.812800011004235</v>
      </c>
      <c r="CX228" s="54">
        <f t="shared" si="1336"/>
        <v>69.336846578843009</v>
      </c>
      <c r="CY228" s="54">
        <f t="shared" si="1336"/>
        <v>57.757792060628177</v>
      </c>
      <c r="CZ228" s="54">
        <f t="shared" si="1336"/>
        <v>64.497354197811561</v>
      </c>
      <c r="DA228" s="54">
        <f t="shared" si="1336"/>
        <v>68.943436560264857</v>
      </c>
      <c r="DB228" s="54">
        <f t="shared" si="1336"/>
        <v>82.258369420973978</v>
      </c>
      <c r="DE228" s="132"/>
      <c r="DF228" s="53">
        <v>129.44011921636996</v>
      </c>
    </row>
    <row r="229" spans="1:110" s="3" customFormat="1" x14ac:dyDescent="0.2">
      <c r="A229" s="3" t="s">
        <v>31</v>
      </c>
      <c r="B229" s="3">
        <f>'Annual Raw'!C110</f>
        <v>0.72222222222222199</v>
      </c>
      <c r="C229" s="3">
        <f>'Annual Raw'!D110</f>
        <v>0.77777777777777801</v>
      </c>
      <c r="D229" s="3">
        <f>'Annual Raw'!E110</f>
        <v>0.83333333333333304</v>
      </c>
      <c r="E229" s="3">
        <f>'Annual Raw'!F110</f>
        <v>1.7777777777777799</v>
      </c>
      <c r="F229" s="3">
        <f>'Annual Raw'!G110</f>
        <v>3.0555555555555598</v>
      </c>
      <c r="G229" s="3">
        <f>'Annual Raw'!H110</f>
        <v>2.4444444444444402</v>
      </c>
      <c r="H229" s="3">
        <f>'Annual Raw'!I110</f>
        <v>2.8888888888888902</v>
      </c>
      <c r="I229" s="3">
        <f>'Annual Raw'!J110</f>
        <v>3.7777777777777799</v>
      </c>
      <c r="J229" s="3">
        <f>'Annual Raw'!K110</f>
        <v>4.6666666666666696</v>
      </c>
      <c r="K229" s="3">
        <f>'Annual Raw'!L110</f>
        <v>5.5555555555555598</v>
      </c>
      <c r="L229" s="3">
        <f>'Annual Raw'!M110</f>
        <v>6.4444444444444402</v>
      </c>
      <c r="M229" s="3">
        <f>'Annual Raw'!N110</f>
        <v>7.3333333333333304</v>
      </c>
      <c r="N229" s="3">
        <f>'Annual Raw'!O110</f>
        <v>8.2222222222222197</v>
      </c>
      <c r="O229" s="3">
        <f>'Annual Raw'!P110</f>
        <v>9.5</v>
      </c>
      <c r="P229" s="3">
        <f>'Annual Raw'!Q110</f>
        <v>10.8333333333333</v>
      </c>
      <c r="Q229" s="3">
        <f>'Annual Raw'!R110</f>
        <v>12.1666666666667</v>
      </c>
      <c r="R229" s="3">
        <f>'Annual Raw'!S110</f>
        <v>14</v>
      </c>
      <c r="S229" s="3">
        <f>'Annual Raw'!T110</f>
        <v>16</v>
      </c>
      <c r="T229" s="3">
        <f>'Annual Raw'!U110</f>
        <v>18</v>
      </c>
      <c r="U229" s="3">
        <f>'Annual Raw'!V110</f>
        <v>18</v>
      </c>
      <c r="V229" s="3">
        <f>'Annual Raw'!W110</f>
        <v>36</v>
      </c>
      <c r="W229" s="3">
        <f>'Annual Raw'!X110</f>
        <v>22</v>
      </c>
      <c r="X229" s="3">
        <f>'Annual Raw'!Y110</f>
        <v>24</v>
      </c>
      <c r="Y229" s="3">
        <f>'Annual Raw'!Z110</f>
        <v>34</v>
      </c>
      <c r="Z229" s="3">
        <f>'Annual Raw'!AA110</f>
        <v>34</v>
      </c>
      <c r="AA229" s="3">
        <f>'Annual Raw'!AB110</f>
        <v>38</v>
      </c>
      <c r="AB229" s="37"/>
      <c r="AC229" s="37"/>
      <c r="AD229" s="37"/>
      <c r="AE229" s="37"/>
      <c r="CM229" s="37"/>
      <c r="CN229" s="37"/>
      <c r="CO229" s="37"/>
      <c r="CP229" s="37"/>
      <c r="CQ229" s="37"/>
      <c r="CR229" s="37"/>
      <c r="CS229" s="37"/>
      <c r="CT229" s="37"/>
      <c r="CU229" s="37"/>
      <c r="CV229" s="37"/>
      <c r="CW229" s="37"/>
      <c r="CX229" s="37"/>
      <c r="CY229" s="37"/>
      <c r="CZ229" s="37"/>
      <c r="DA229" s="37"/>
      <c r="DB229" s="37"/>
      <c r="DE229" s="134"/>
      <c r="DF229" s="3">
        <v>38</v>
      </c>
    </row>
    <row r="230" spans="1:110" s="3" customFormat="1" x14ac:dyDescent="0.2">
      <c r="A230" s="3" t="s">
        <v>32</v>
      </c>
      <c r="B230" s="3">
        <f>B229/B228</f>
        <v>5.6998843253842128E-2</v>
      </c>
      <c r="C230" s="3">
        <f t="shared" ref="C230:U230" si="1337">C229/C228</f>
        <v>6.5848020912540259E-2</v>
      </c>
      <c r="D230" s="3">
        <f t="shared" si="1337"/>
        <v>5.4507075595770338E-2</v>
      </c>
      <c r="E230" s="3">
        <f t="shared" si="1337"/>
        <v>0.4050616138863129</v>
      </c>
      <c r="F230" s="3">
        <f t="shared" si="1337"/>
        <v>0.39652984793026774</v>
      </c>
      <c r="G230" s="3">
        <f t="shared" si="1337"/>
        <v>0.26615430887101915</v>
      </c>
      <c r="H230" s="3">
        <f t="shared" si="1337"/>
        <v>0.17652937936426152</v>
      </c>
      <c r="I230" s="3">
        <f t="shared" si="1337"/>
        <v>0.2221808947260413</v>
      </c>
      <c r="J230" s="3">
        <f t="shared" si="1337"/>
        <v>0.21272781496454427</v>
      </c>
      <c r="K230" s="3">
        <f t="shared" si="1337"/>
        <v>0.14375410289351584</v>
      </c>
      <c r="L230" s="3">
        <f t="shared" si="1337"/>
        <v>0.21170714000854907</v>
      </c>
      <c r="M230" s="3">
        <f t="shared" si="1337"/>
        <v>0.21715433346464044</v>
      </c>
      <c r="N230" s="3">
        <f t="shared" si="1337"/>
        <v>0.23545930687628033</v>
      </c>
      <c r="O230" s="3">
        <f t="shared" si="1337"/>
        <v>0.2861193941623098</v>
      </c>
      <c r="P230" s="3">
        <f t="shared" si="1337"/>
        <v>0.33738895479407377</v>
      </c>
      <c r="Q230" s="3">
        <f t="shared" si="1337"/>
        <v>0.39979063456954073</v>
      </c>
      <c r="R230" s="3">
        <f t="shared" si="1337"/>
        <v>0.32533362613601785</v>
      </c>
      <c r="S230" s="3">
        <f t="shared" si="1337"/>
        <v>0.30372326773250707</v>
      </c>
      <c r="T230" s="3">
        <f t="shared" si="1337"/>
        <v>0.30794112709161237</v>
      </c>
      <c r="U230" s="3">
        <f t="shared" si="1337"/>
        <v>0.27839464115865442</v>
      </c>
      <c r="V230" s="3">
        <f>V229/V228</f>
        <v>0.71762331130280621</v>
      </c>
      <c r="W230" s="3">
        <f t="shared" ref="W230" si="1338">W229/W228</f>
        <v>0.35304348840464622</v>
      </c>
      <c r="X230" s="3">
        <f t="shared" ref="X230:Y230" si="1339">X229/X228</f>
        <v>0.31946262747067372</v>
      </c>
      <c r="Y230" s="3">
        <f t="shared" si="1339"/>
        <v>0.36074274034938797</v>
      </c>
      <c r="Z230" s="3">
        <f t="shared" ref="Z230:AA230" si="1340">Z229/Z228</f>
        <v>0.32118555203734561</v>
      </c>
      <c r="AA230" s="3">
        <f t="shared" si="1340"/>
        <v>0.293572041110993</v>
      </c>
      <c r="AB230" s="37">
        <f t="shared" ref="AB230:AD230" si="1341">AB229/AB228</f>
        <v>0</v>
      </c>
      <c r="AC230" s="37">
        <f t="shared" si="1341"/>
        <v>0</v>
      </c>
      <c r="AD230" s="37">
        <f t="shared" si="1341"/>
        <v>0</v>
      </c>
      <c r="AE230" s="37">
        <f t="shared" ref="AE230" si="1342">AE229/AE228</f>
        <v>0</v>
      </c>
      <c r="CM230" s="37"/>
      <c r="CN230" s="37"/>
      <c r="CO230" s="37"/>
      <c r="CP230" s="37"/>
      <c r="CQ230" s="37"/>
      <c r="CR230" s="37"/>
      <c r="CS230" s="37"/>
      <c r="CT230" s="37"/>
      <c r="CU230" s="37"/>
      <c r="CV230" s="37"/>
      <c r="CW230" s="37"/>
      <c r="CX230" s="37"/>
      <c r="CY230" s="37"/>
      <c r="CZ230" s="37"/>
      <c r="DA230" s="37"/>
      <c r="DB230" s="37"/>
      <c r="DE230" s="134"/>
      <c r="DF230" s="3">
        <v>0.293572041110993</v>
      </c>
    </row>
    <row r="231" spans="1:110" s="3" customFormat="1" x14ac:dyDescent="0.2">
      <c r="A231" s="3" t="s">
        <v>33</v>
      </c>
      <c r="B231" s="3">
        <f>+B228</f>
        <v>12.67082244118242</v>
      </c>
      <c r="C231" s="3">
        <f t="shared" ref="C231:U231" si="1343">+C228</f>
        <v>11.811710769725748</v>
      </c>
      <c r="D231" s="3">
        <f t="shared" si="1343"/>
        <v>15.288535006233179</v>
      </c>
      <c r="E231" s="3">
        <f t="shared" si="1343"/>
        <v>4.3889070621160906</v>
      </c>
      <c r="F231" s="3">
        <f t="shared" si="1343"/>
        <v>7.7057391051502844</v>
      </c>
      <c r="G231" s="3">
        <f t="shared" si="1343"/>
        <v>9.1843128702794772</v>
      </c>
      <c r="H231" s="3">
        <f t="shared" si="1343"/>
        <v>16.364918402209867</v>
      </c>
      <c r="I231" s="3">
        <f t="shared" si="1343"/>
        <v>17.003162141533114</v>
      </c>
      <c r="J231" s="3">
        <f t="shared" si="1343"/>
        <v>21.937266019699734</v>
      </c>
      <c r="K231" s="3">
        <f t="shared" si="1343"/>
        <v>38.646239959291961</v>
      </c>
      <c r="L231" s="3">
        <f t="shared" si="1343"/>
        <v>30.440373641551265</v>
      </c>
      <c r="M231" s="3">
        <f t="shared" si="1343"/>
        <v>33.770145022353091</v>
      </c>
      <c r="N231" s="3">
        <f t="shared" si="1343"/>
        <v>34.919928760949347</v>
      </c>
      <c r="O231" s="3">
        <f t="shared" si="1343"/>
        <v>33.202922254934037</v>
      </c>
      <c r="P231" s="3">
        <f t="shared" si="1343"/>
        <v>32.109330134845266</v>
      </c>
      <c r="Q231" s="3">
        <f t="shared" si="1343"/>
        <v>30.432595500309038</v>
      </c>
      <c r="R231" s="3">
        <f t="shared" si="1343"/>
        <v>43.032748155417472</v>
      </c>
      <c r="S231" s="3">
        <f t="shared" si="1343"/>
        <v>52.679533311525553</v>
      </c>
      <c r="T231" s="3">
        <f>+T228</f>
        <v>58.452731436048182</v>
      </c>
      <c r="U231" s="3">
        <f t="shared" si="1343"/>
        <v>64.656416966524773</v>
      </c>
      <c r="V231" s="3">
        <f>+V228</f>
        <v>50.165594446261721</v>
      </c>
      <c r="W231" s="3">
        <f t="shared" ref="W231" si="1344">+W228</f>
        <v>62.31526914549508</v>
      </c>
      <c r="X231" s="3">
        <f t="shared" ref="X231:Y231" si="1345">+X228</f>
        <v>75.126158543234197</v>
      </c>
      <c r="Y231" s="3">
        <f t="shared" si="1345"/>
        <v>94.249990913386611</v>
      </c>
      <c r="Z231" s="3">
        <f t="shared" ref="Z231:AA231" si="1346">+Z228</f>
        <v>105.85781267037402</v>
      </c>
      <c r="AA231" s="3">
        <f t="shared" si="1346"/>
        <v>129.44011921636996</v>
      </c>
      <c r="AB231" s="37">
        <f t="shared" ref="AB231:AD231" si="1347">+AB228</f>
        <v>158.64696495401017</v>
      </c>
      <c r="AC231" s="37">
        <f t="shared" si="1347"/>
        <v>191.1205750965687</v>
      </c>
      <c r="AD231" s="37">
        <f t="shared" si="1347"/>
        <v>229.51991329183602</v>
      </c>
      <c r="AE231" s="37">
        <f t="shared" ref="AE231" si="1348">+AE228</f>
        <v>273.45695223967851</v>
      </c>
      <c r="AL231" s="3">
        <f>SUM(AI228:AL228)</f>
        <v>31.816655156119367</v>
      </c>
      <c r="AM231" s="3">
        <f t="shared" ref="AM231" si="1349">SUM(AJ228:AM228)</f>
        <v>28.593217258551132</v>
      </c>
      <c r="AN231" s="3">
        <f t="shared" ref="AN231" si="1350">SUM(AK228:AN228)</f>
        <v>28.177238195630846</v>
      </c>
      <c r="AO231" s="3">
        <f t="shared" ref="AO231" si="1351">SUM(AL228:AO228)</f>
        <v>26.115299334811581</v>
      </c>
      <c r="AP231" s="3">
        <f t="shared" ref="AP231" si="1352">SUM(AM228:AP228)</f>
        <v>33.054051106830045</v>
      </c>
      <c r="AQ231" s="3">
        <f t="shared" ref="AQ231" si="1353">SUM(AN228:AQ228)</f>
        <v>34.937079713569169</v>
      </c>
      <c r="AR231" s="3">
        <f t="shared" ref="AR231" si="1354">SUM(AO228:AR228)</f>
        <v>35.292137690378432</v>
      </c>
      <c r="AS231" s="3">
        <f t="shared" ref="AS231" si="1355">SUM(AP228:AS228)</f>
        <v>36.287666751481204</v>
      </c>
      <c r="AT231" s="3">
        <f t="shared" ref="AT231" si="1356">SUM(AQ228:AT228)</f>
        <v>32.111664425139004</v>
      </c>
      <c r="AU231" s="3">
        <f t="shared" ref="AU231" si="1357">SUM(AR228:AU228)</f>
        <v>29.940387481371069</v>
      </c>
      <c r="AV231" s="3">
        <f t="shared" ref="AV231" si="1358">SUM(AS228:AV228)</f>
        <v>29.002071898513289</v>
      </c>
      <c r="AW231" s="3">
        <f t="shared" ref="AW231" si="1359">SUM(AT228:AW228)</f>
        <v>27.793827923376096</v>
      </c>
      <c r="AX231" s="3">
        <f t="shared" ref="AX231" si="1360">SUM(AU228:AX228)</f>
        <v>30.087165133946485</v>
      </c>
      <c r="AY231" s="3">
        <f t="shared" ref="AY231" si="1361">SUM(AV228:AY228)</f>
        <v>31.473228890262099</v>
      </c>
      <c r="AZ231" s="3">
        <f t="shared" ref="AZ231" si="1362">SUM(AW228:AZ228)</f>
        <v>33.650685180473303</v>
      </c>
      <c r="BA231" s="3">
        <f t="shared" ref="BA231" si="1363">SUM(AX228:BA228)</f>
        <v>35.628512231471078</v>
      </c>
      <c r="BB231" s="3">
        <f t="shared" ref="BB231" si="1364">SUM(AY228:BB228)</f>
        <v>43.035949256660949</v>
      </c>
      <c r="BC231" s="3">
        <f t="shared" ref="BC231" si="1365">SUM(AZ228:BC228)</f>
        <v>45.092871942132248</v>
      </c>
      <c r="BD231" s="3">
        <f t="shared" ref="BD231" si="1366">SUM(BA228:BD228)</f>
        <v>49.825088146559558</v>
      </c>
      <c r="BE231" s="3">
        <f t="shared" ref="BE231" si="1367">SUM(BB228:BE228)</f>
        <v>53.687761259132706</v>
      </c>
      <c r="BF231" s="3">
        <f t="shared" ref="BF231" si="1368">SUM(BC228:BF228)</f>
        <v>52.683508414815904</v>
      </c>
      <c r="BG231" s="3">
        <f t="shared" ref="BG231" si="1369">SUM(BD228:BG228)</f>
        <v>54.405437824870006</v>
      </c>
      <c r="BH231" s="3">
        <f t="shared" ref="BH231" si="1370">SUM(BE228:BH228)</f>
        <v>55.238995310966494</v>
      </c>
      <c r="BI231" s="3">
        <f t="shared" ref="BI231" si="1371">SUM(BF228:BI228)</f>
        <v>58.105412380502315</v>
      </c>
      <c r="BJ231" s="3">
        <f t="shared" ref="BJ231" si="1372">SUM(BG228:BJ228)</f>
        <v>58.456980844026035</v>
      </c>
      <c r="BK231" s="3">
        <f t="shared" ref="BK231" si="1373">SUM(BH228:BK228)</f>
        <v>60.137036094653091</v>
      </c>
      <c r="BL231" s="3">
        <f t="shared" ref="BL231" si="1374">SUM(BI228:BL228)</f>
        <v>63.849732834139083</v>
      </c>
      <c r="BM231" s="3">
        <f t="shared" ref="BM231" si="1375">SUM(BJ228:BM228)</f>
        <v>65.759950565228493</v>
      </c>
      <c r="BN231" s="3">
        <f t="shared" ref="BN231" si="1376">SUM(BK228:BN228)</f>
        <v>64.661117371233317</v>
      </c>
      <c r="BO231" s="3">
        <f t="shared" ref="BO231" si="1377">SUM(BL228:BO228)</f>
        <v>55.289375159027308</v>
      </c>
      <c r="BP231" s="3">
        <f t="shared" ref="BP231" si="1378">SUM(BM228:BP228)</f>
        <v>46.551561193704387</v>
      </c>
      <c r="BQ231" s="3">
        <f t="shared" ref="BQ231" si="1379">SUM(BN228:BQ228)</f>
        <v>47.253825742430294</v>
      </c>
      <c r="BR231" s="3">
        <f t="shared" ref="BR231" si="1380">SUM(BO228:BR228)</f>
        <v>49.817091345280019</v>
      </c>
      <c r="BS231" s="3">
        <f t="shared" ref="BS231" si="1381">SUM(BP228:BS228)</f>
        <v>57.836210970157325</v>
      </c>
      <c r="BT231" s="3">
        <f t="shared" ref="BT231" si="1382">SUM(BQ228:BT228)</f>
        <v>62.314056195703422</v>
      </c>
      <c r="BU231" s="3">
        <f t="shared" ref="BU231" si="1383">SUM(BR228:BU228)</f>
        <v>60.840900003634836</v>
      </c>
      <c r="BV231" s="3">
        <f t="shared" ref="BV231" si="1384">SUM(BS228:BV228)</f>
        <v>62.319726654792575</v>
      </c>
      <c r="BW231" s="3">
        <f t="shared" ref="BW231" si="1385">SUM(BT228:BW228)</f>
        <v>66.155501435789247</v>
      </c>
      <c r="BX231" s="3">
        <f t="shared" ref="BX231" si="1386">SUM(BU228:BX228)</f>
        <v>69.837301443059062</v>
      </c>
      <c r="BY231" s="3">
        <f t="shared" ref="BY231" si="1387">SUM(BV228:BY228)</f>
        <v>72.470357311620774</v>
      </c>
      <c r="BZ231" s="3">
        <f t="shared" ref="BZ231" si="1388">SUM(BW228:BZ228)</f>
        <v>75.131765475627915</v>
      </c>
      <c r="CA231" s="3">
        <f t="shared" ref="CA231" si="1389">SUM(BX228:CA228)</f>
        <v>80.881683690160258</v>
      </c>
      <c r="CB231" s="3">
        <f t="shared" ref="CB231" si="1390">SUM(BY228:CB228)</f>
        <v>88.105412380502344</v>
      </c>
      <c r="CC231" s="3">
        <f t="shared" ref="CC231" si="1391">SUM(BZ228:CC228)</f>
        <v>91.961542655664914</v>
      </c>
      <c r="CD231" s="3">
        <f t="shared" ref="CD231" si="1392">SUM(CA228:CD228)</f>
        <v>94.256842717458397</v>
      </c>
      <c r="CE231" s="3">
        <f t="shared" ref="CE231" si="1393">SUM(CB228:CE228)</f>
        <v>96.384864236123761</v>
      </c>
      <c r="CF231" s="3">
        <f t="shared" ref="CF231" si="1394">SUM(CC228:CF228)</f>
        <v>97.640071244229631</v>
      </c>
      <c r="CG231" s="3">
        <f t="shared" ref="CG231" si="1395">SUM(CD228:CG228)</f>
        <v>100.63145650830583</v>
      </c>
      <c r="CH231" s="3">
        <f t="shared" ref="CH231:CL231" si="1396">SUM(CE228:CH228)</f>
        <v>105.86550834211775</v>
      </c>
      <c r="CI231" s="3">
        <f t="shared" si="1396"/>
        <v>111.91014503289588</v>
      </c>
      <c r="CJ231" s="3">
        <f t="shared" si="1396"/>
        <v>115.76896514121616</v>
      </c>
      <c r="CK231" s="3">
        <f t="shared" si="1396"/>
        <v>124.49176180594398</v>
      </c>
      <c r="CL231" s="3">
        <f t="shared" si="1396"/>
        <v>126.19353823728449</v>
      </c>
      <c r="CM231" s="37">
        <f t="shared" ref="CM231" si="1397">SUM(CJ228:CM228)</f>
        <v>134.05409648449111</v>
      </c>
      <c r="CN231" s="37">
        <f t="shared" ref="CN231" si="1398">SUM(CK228:CN228)</f>
        <v>143.30674685543553</v>
      </c>
      <c r="CO231" s="37">
        <f t="shared" ref="CO231" si="1399">SUM(CL228:CO228)</f>
        <v>150.00142902764929</v>
      </c>
      <c r="CP231" s="37">
        <f t="shared" ref="CP231" si="1400">SUM(CM228:CP228)</f>
        <v>158.64696495401017</v>
      </c>
      <c r="CQ231" s="37">
        <f t="shared" ref="CQ231" si="1401">SUM(CN228:CQ228)</f>
        <v>164.60942108446372</v>
      </c>
      <c r="CR231" s="37">
        <f t="shared" ref="CR231" si="1402">SUM(CO228:CR228)</f>
        <v>171.75794737683199</v>
      </c>
      <c r="CS231" s="37">
        <f t="shared" ref="CS231" si="1403">SUM(CP228:CS228)</f>
        <v>179.97136367993724</v>
      </c>
      <c r="CT231" s="37">
        <f t="shared" ref="CT231" si="1404">SUM(CQ228:CT228)</f>
        <v>191.12057509656836</v>
      </c>
      <c r="CU231" s="37">
        <f t="shared" ref="CU231" si="1405">SUM(CR228:CU228)</f>
        <v>199.33210979954328</v>
      </c>
      <c r="CV231" s="37">
        <f t="shared" ref="CV231" si="1406">SUM(CS228:CV228)</f>
        <v>208.42836788891367</v>
      </c>
      <c r="CW231" s="37">
        <f t="shared" ref="CW231" si="1407">SUM(CT228:CW228)</f>
        <v>218.19211275114731</v>
      </c>
      <c r="CX231" s="37">
        <f t="shared" ref="CX231" si="1408">SUM(CU228:CX228)</f>
        <v>229.51991329183602</v>
      </c>
      <c r="CY231" s="37">
        <f t="shared" ref="CY231" si="1409">SUM(CV228:CY228)</f>
        <v>238.94683843532744</v>
      </c>
      <c r="CZ231" s="37">
        <f t="shared" ref="CZ231" si="1410">SUM(CW228:CZ228)</f>
        <v>249.40479284828695</v>
      </c>
      <c r="DA231" s="37">
        <f t="shared" ref="DA231" si="1411">SUM(CX228:DA228)</f>
        <v>260.5354293975476</v>
      </c>
      <c r="DB231" s="37">
        <f t="shared" ref="DB231" si="1412">SUM(CY228:DB228)</f>
        <v>273.45695223967857</v>
      </c>
      <c r="DE231" s="134"/>
      <c r="DF231" s="3">
        <v>129.44011921636996</v>
      </c>
    </row>
    <row r="232" spans="1:110" s="97" customFormat="1" x14ac:dyDescent="0.2">
      <c r="A232" s="97" t="s">
        <v>425</v>
      </c>
      <c r="C232" s="101">
        <f t="shared" ref="C232:AA232" si="1413">+C231/B231-1</f>
        <v>-6.7802360536945661E-2</v>
      </c>
      <c r="D232" s="101">
        <f t="shared" si="1413"/>
        <v>0.29435399361613035</v>
      </c>
      <c r="E232" s="101">
        <f t="shared" si="1413"/>
        <v>-0.71292821317891342</v>
      </c>
      <c r="F232" s="101">
        <f t="shared" si="1413"/>
        <v>0.75573075394196176</v>
      </c>
      <c r="G232" s="101">
        <f t="shared" si="1413"/>
        <v>0.19187955171502735</v>
      </c>
      <c r="H232" s="101">
        <f t="shared" si="1413"/>
        <v>0.7818337238016897</v>
      </c>
      <c r="I232" s="101">
        <f t="shared" si="1413"/>
        <v>3.9000728487412539E-2</v>
      </c>
      <c r="J232" s="101">
        <f t="shared" si="1413"/>
        <v>0.29018742732060598</v>
      </c>
      <c r="K232" s="101">
        <f t="shared" si="1413"/>
        <v>0.76167075352906388</v>
      </c>
      <c r="L232" s="101">
        <f t="shared" si="1413"/>
        <v>-0.21233285117476763</v>
      </c>
      <c r="M232" s="101">
        <f t="shared" si="1413"/>
        <v>0.10938667902080779</v>
      </c>
      <c r="N232" s="101">
        <f t="shared" si="1413"/>
        <v>3.4047343825002629E-2</v>
      </c>
      <c r="O232" s="101">
        <f t="shared" si="1413"/>
        <v>-4.9169816976700753E-2</v>
      </c>
      <c r="P232" s="101">
        <f t="shared" si="1413"/>
        <v>-3.2936622616892119E-2</v>
      </c>
      <c r="Q232" s="101">
        <f t="shared" si="1413"/>
        <v>-5.2219545767372533E-2</v>
      </c>
      <c r="R232" s="101">
        <f t="shared" si="1413"/>
        <v>0.41403476923223592</v>
      </c>
      <c r="S232" s="101">
        <f t="shared" si="1413"/>
        <v>0.2241731139565537</v>
      </c>
      <c r="T232" s="101">
        <f t="shared" si="1413"/>
        <v>0.10959091247794972</v>
      </c>
      <c r="U232" s="101">
        <f t="shared" si="1413"/>
        <v>0.10613166190982715</v>
      </c>
      <c r="V232" s="101">
        <f t="shared" si="1413"/>
        <v>-0.22412040753457674</v>
      </c>
      <c r="W232" s="101">
        <f t="shared" si="1413"/>
        <v>0.24219138302543808</v>
      </c>
      <c r="X232" s="101">
        <f t="shared" si="1413"/>
        <v>0.20558186738835982</v>
      </c>
      <c r="Y232" s="101">
        <f t="shared" si="1413"/>
        <v>0.25455623901156721</v>
      </c>
      <c r="Z232" s="101">
        <f t="shared" si="1413"/>
        <v>0.12315992441479073</v>
      </c>
      <c r="AA232" s="101">
        <f t="shared" si="1413"/>
        <v>0.2227734160673418</v>
      </c>
      <c r="AB232" s="174">
        <f t="shared" ref="AB232" si="1414">+AB231/AA231-1</f>
        <v>0.22563982414770911</v>
      </c>
      <c r="AC232" s="174">
        <f t="shared" ref="AC232" si="1415">+AC231/AB231-1</f>
        <v>0.20469102672069539</v>
      </c>
      <c r="AD232" s="174">
        <f t="shared" ref="AD232" si="1416">+AD231/AC231-1</f>
        <v>0.20091682005385891</v>
      </c>
      <c r="AE232" s="174">
        <f t="shared" ref="AE232" si="1417">+AE231/AD231-1</f>
        <v>0.19143018275706769</v>
      </c>
      <c r="AL232" s="176"/>
      <c r="AM232" s="176"/>
      <c r="AN232" s="176"/>
      <c r="AO232" s="176"/>
      <c r="AP232" s="176">
        <f t="shared" ref="AP232:CL232" si="1418">+IF(AL231&lt;0,1-AP231/AL231,AP231/AL231-1)</f>
        <v>3.8891453065665438E-2</v>
      </c>
      <c r="AQ232" s="176">
        <f t="shared" si="1418"/>
        <v>0.22186599002324003</v>
      </c>
      <c r="AR232" s="176">
        <f t="shared" si="1418"/>
        <v>0.25250521166587658</v>
      </c>
      <c r="AS232" s="176">
        <f t="shared" si="1418"/>
        <v>0.38951755008643163</v>
      </c>
      <c r="AT232" s="176">
        <f t="shared" si="1418"/>
        <v>-2.8510474514765738E-2</v>
      </c>
      <c r="AU232" s="176">
        <f t="shared" si="1418"/>
        <v>-0.14301974501484849</v>
      </c>
      <c r="AV232" s="176">
        <f t="shared" si="1418"/>
        <v>-0.17822852917124321</v>
      </c>
      <c r="AW232" s="176">
        <f t="shared" si="1418"/>
        <v>-0.23406957758612035</v>
      </c>
      <c r="AX232" s="176">
        <f t="shared" si="1418"/>
        <v>-6.3045604375698949E-2</v>
      </c>
      <c r="AY232" s="176">
        <f t="shared" si="1418"/>
        <v>5.119644526460343E-2</v>
      </c>
      <c r="AZ232" s="176">
        <f t="shared" si="1418"/>
        <v>0.16028555815690915</v>
      </c>
      <c r="BA232" s="176">
        <f t="shared" si="1418"/>
        <v>0.28188576002176347</v>
      </c>
      <c r="BB232" s="176">
        <f t="shared" si="1418"/>
        <v>0.43037567896699991</v>
      </c>
      <c r="BC232" s="176">
        <f t="shared" si="1418"/>
        <v>0.43273739403598666</v>
      </c>
      <c r="BD232" s="176">
        <f t="shared" si="1418"/>
        <v>0.4806559771172767</v>
      </c>
      <c r="BE232" s="176">
        <f t="shared" si="1418"/>
        <v>0.50687631609017014</v>
      </c>
      <c r="BF232" s="176">
        <f t="shared" si="1418"/>
        <v>0.22417442451700409</v>
      </c>
      <c r="BG232" s="176">
        <f t="shared" si="1418"/>
        <v>0.20651968884768723</v>
      </c>
      <c r="BH232" s="176">
        <f t="shared" si="1418"/>
        <v>0.10865825562580111</v>
      </c>
      <c r="BI232" s="176">
        <f t="shared" si="1418"/>
        <v>8.2284137348307418E-2</v>
      </c>
      <c r="BJ232" s="176">
        <f t="shared" si="1418"/>
        <v>0.10958785021968076</v>
      </c>
      <c r="BK232" s="176">
        <f t="shared" si="1418"/>
        <v>0.10534973155133831</v>
      </c>
      <c r="BL232" s="176">
        <f t="shared" si="1418"/>
        <v>0.15588150136871004</v>
      </c>
      <c r="BM232" s="176">
        <f t="shared" si="1418"/>
        <v>0.13173537319726014</v>
      </c>
      <c r="BN232" s="176">
        <f t="shared" si="1418"/>
        <v>0.10613166190982493</v>
      </c>
      <c r="BO232" s="176">
        <f t="shared" si="1418"/>
        <v>-8.0610240384906495E-2</v>
      </c>
      <c r="BP232" s="176">
        <f t="shared" si="1418"/>
        <v>-0.27092003165259504</v>
      </c>
      <c r="BQ232" s="176">
        <f t="shared" si="1418"/>
        <v>-0.28141938465178185</v>
      </c>
      <c r="BR232" s="176">
        <f t="shared" si="1418"/>
        <v>-0.22956649419976094</v>
      </c>
      <c r="BS232" s="176">
        <f t="shared" si="1418"/>
        <v>4.6063747398204846E-2</v>
      </c>
      <c r="BT232" s="176">
        <f t="shared" si="1418"/>
        <v>0.3386029296935964</v>
      </c>
      <c r="BU232" s="176">
        <f t="shared" si="1418"/>
        <v>0.28753384615384481</v>
      </c>
      <c r="BV232" s="176">
        <f t="shared" si="1418"/>
        <v>0.25097080082129541</v>
      </c>
      <c r="BW232" s="176">
        <f t="shared" si="1418"/>
        <v>0.14384224564649584</v>
      </c>
      <c r="BX232" s="176">
        <f t="shared" si="1418"/>
        <v>0.12073111119148061</v>
      </c>
      <c r="BY232" s="176">
        <f t="shared" si="1418"/>
        <v>0.19114538587185859</v>
      </c>
      <c r="BZ232" s="176">
        <f t="shared" si="1418"/>
        <v>0.20558560681443638</v>
      </c>
      <c r="CA232" s="176">
        <f t="shared" si="1418"/>
        <v>0.22259951077030671</v>
      </c>
      <c r="CB232" s="176">
        <f t="shared" si="1418"/>
        <v>0.26158099697391579</v>
      </c>
      <c r="CC232" s="176">
        <f t="shared" si="1418"/>
        <v>0.26895390152738607</v>
      </c>
      <c r="CD232" s="176">
        <f t="shared" si="1418"/>
        <v>0.25455381117104836</v>
      </c>
      <c r="CE232" s="176">
        <f t="shared" si="1418"/>
        <v>0.19167727275995805</v>
      </c>
      <c r="CF232" s="176">
        <f t="shared" si="1418"/>
        <v>0.10821876438816025</v>
      </c>
      <c r="CG232" s="176">
        <f t="shared" si="1418"/>
        <v>9.4277603466309756E-2</v>
      </c>
      <c r="CH232" s="176">
        <f t="shared" si="1418"/>
        <v>0.12315992441479451</v>
      </c>
      <c r="CI232" s="176">
        <f t="shared" si="1418"/>
        <v>0.16107592120209113</v>
      </c>
      <c r="CJ232" s="176">
        <f t="shared" si="1418"/>
        <v>0.18567063364425707</v>
      </c>
      <c r="CK232" s="176">
        <f t="shared" si="1418"/>
        <v>0.23710583276382158</v>
      </c>
      <c r="CL232" s="176">
        <f t="shared" si="1418"/>
        <v>0.19201749666637546</v>
      </c>
      <c r="CM232" s="102">
        <f t="shared" ref="CM232:DB232" si="1419">+IF(CI231&lt;0,1-CM231/CI231,CM231/CI231-1)</f>
        <v>0.19787260078240476</v>
      </c>
      <c r="CN232" s="102">
        <f t="shared" si="1419"/>
        <v>0.23786842769673644</v>
      </c>
      <c r="CO232" s="102">
        <f t="shared" si="1419"/>
        <v>0.20491048445012305</v>
      </c>
      <c r="CP232" s="102">
        <f t="shared" si="1419"/>
        <v>0.25717185816363108</v>
      </c>
      <c r="CQ232" s="102">
        <f t="shared" si="1419"/>
        <v>0.22793279281478429</v>
      </c>
      <c r="CR232" s="102">
        <f t="shared" si="1419"/>
        <v>0.19853357323153364</v>
      </c>
      <c r="CS232" s="102">
        <f t="shared" si="1419"/>
        <v>0.19979766090604167</v>
      </c>
      <c r="CT232" s="102">
        <f t="shared" si="1419"/>
        <v>0.20469102672069317</v>
      </c>
      <c r="CU232" s="102">
        <f t="shared" si="1419"/>
        <v>0.21093986289680711</v>
      </c>
      <c r="CV232" s="102">
        <f t="shared" si="1419"/>
        <v>0.21350057492028496</v>
      </c>
      <c r="CW232" s="102">
        <f t="shared" si="1419"/>
        <v>0.21237128112882564</v>
      </c>
      <c r="CX232" s="102">
        <f t="shared" si="1419"/>
        <v>0.20091682005386113</v>
      </c>
      <c r="CY232" s="102">
        <f t="shared" si="1419"/>
        <v>0.19873731671040051</v>
      </c>
      <c r="CZ232" s="102">
        <f t="shared" si="1419"/>
        <v>0.19659715889159846</v>
      </c>
      <c r="DA232" s="102">
        <f t="shared" si="1419"/>
        <v>0.19406437800386378</v>
      </c>
      <c r="DB232" s="102">
        <f t="shared" si="1419"/>
        <v>0.19143018275706791</v>
      </c>
      <c r="DE232" s="135"/>
      <c r="DF232" s="176">
        <v>0.2227734160673418</v>
      </c>
    </row>
    <row r="233" spans="1:110" s="144" customFormat="1" x14ac:dyDescent="0.2">
      <c r="A233" s="144" t="s">
        <v>424</v>
      </c>
      <c r="AB233" s="145"/>
      <c r="AC233" s="145"/>
      <c r="AD233" s="145"/>
      <c r="AE233" s="145"/>
      <c r="CM233" s="145"/>
      <c r="CN233" s="145"/>
      <c r="CO233" s="145"/>
      <c r="CP233" s="145">
        <v>156.6</v>
      </c>
      <c r="CQ233" s="145"/>
      <c r="CR233" s="145"/>
      <c r="CS233" s="145"/>
      <c r="CT233" s="145">
        <v>186.6</v>
      </c>
      <c r="CU233" s="145"/>
      <c r="CV233" s="145"/>
      <c r="CW233" s="145"/>
      <c r="CX233" s="145"/>
      <c r="CY233" s="145"/>
      <c r="CZ233" s="145"/>
      <c r="DA233" s="145"/>
      <c r="DB233" s="145"/>
      <c r="DE233" s="146"/>
    </row>
    <row r="234" spans="1:110" s="144" customFormat="1" x14ac:dyDescent="0.2">
      <c r="A234" s="144" t="s">
        <v>436</v>
      </c>
      <c r="AB234" s="145"/>
      <c r="AC234" s="145"/>
      <c r="AD234" s="145"/>
      <c r="AE234" s="145"/>
      <c r="CM234" s="145"/>
      <c r="CN234" s="145"/>
      <c r="CO234" s="145"/>
      <c r="CP234" s="145">
        <f>+CP233/CP231-1</f>
        <v>-1.2902641753049449E-2</v>
      </c>
      <c r="CQ234" s="145"/>
      <c r="CR234" s="145"/>
      <c r="CS234" s="145"/>
      <c r="CT234" s="145">
        <f>+CT233/CT231-1</f>
        <v>-2.3653000700129878E-2</v>
      </c>
      <c r="CU234" s="145"/>
      <c r="CV234" s="145"/>
      <c r="CW234" s="145"/>
      <c r="CX234" s="145"/>
      <c r="CY234" s="145"/>
      <c r="CZ234" s="145"/>
      <c r="DA234" s="145"/>
      <c r="DB234" s="145"/>
      <c r="DE234" s="146"/>
    </row>
    <row r="235" spans="1:110" s="3" customFormat="1" x14ac:dyDescent="0.2">
      <c r="A235" s="3" t="s">
        <v>34</v>
      </c>
      <c r="B235" s="3">
        <f>'Annual Raw'!C112</f>
        <v>0</v>
      </c>
      <c r="C235" s="3">
        <f>'Annual Raw'!D112</f>
        <v>0</v>
      </c>
      <c r="D235" s="3">
        <f>'Annual Raw'!E112</f>
        <v>0</v>
      </c>
      <c r="E235" s="3">
        <f>'Annual Raw'!F112</f>
        <v>0</v>
      </c>
      <c r="F235" s="3">
        <f>'Annual Raw'!G112</f>
        <v>0</v>
      </c>
      <c r="G235" s="3">
        <f>'Annual Raw'!H112</f>
        <v>0</v>
      </c>
      <c r="H235" s="3">
        <f>'Annual Raw'!I112</f>
        <v>0</v>
      </c>
      <c r="I235" s="3">
        <f>'Annual Raw'!J112</f>
        <v>0</v>
      </c>
      <c r="J235" s="3">
        <f>'Annual Raw'!K112</f>
        <v>0</v>
      </c>
      <c r="K235" s="3">
        <f>'Annual Raw'!L112</f>
        <v>0</v>
      </c>
      <c r="L235" s="3">
        <f>'Annual Raw'!M112</f>
        <v>0</v>
      </c>
      <c r="M235" s="3">
        <f>'Annual Raw'!N112</f>
        <v>0</v>
      </c>
      <c r="N235" s="3">
        <f>'Annual Raw'!O112</f>
        <v>0</v>
      </c>
      <c r="O235" s="3">
        <f>'Annual Raw'!P112</f>
        <v>0</v>
      </c>
      <c r="P235" s="3">
        <f>'Annual Raw'!Q112</f>
        <v>0</v>
      </c>
      <c r="Q235" s="3">
        <f>'Annual Raw'!R112</f>
        <v>0</v>
      </c>
      <c r="R235" s="3">
        <f>'Annual Raw'!S112</f>
        <v>0</v>
      </c>
      <c r="S235" s="3">
        <f>'Annual Raw'!T112</f>
        <v>0</v>
      </c>
      <c r="T235" s="3">
        <f>'Annual Raw'!U112</f>
        <v>0</v>
      </c>
      <c r="U235" s="3">
        <f>'Annual Raw'!V112</f>
        <v>0</v>
      </c>
      <c r="V235" s="3">
        <f>'Annual Raw'!W112</f>
        <v>0</v>
      </c>
      <c r="W235" s="3">
        <f>'Annual Raw'!X112</f>
        <v>0</v>
      </c>
      <c r="X235" s="3">
        <f>'Annual Raw'!Y112</f>
        <v>0</v>
      </c>
      <c r="Y235" s="3">
        <f>'Annual Raw'!Z112</f>
        <v>0</v>
      </c>
      <c r="Z235" s="3">
        <f>'Annual Raw'!AA112</f>
        <v>0</v>
      </c>
      <c r="AA235" s="3">
        <f>'Annual Raw'!AB112</f>
        <v>0</v>
      </c>
      <c r="AB235" s="37"/>
      <c r="AC235" s="37"/>
      <c r="AD235" s="37"/>
      <c r="AE235" s="37"/>
      <c r="AI235" s="3">
        <f>'QTR Raw'!C49</f>
        <v>0</v>
      </c>
      <c r="AJ235" s="3">
        <f>'QTR Raw'!D49</f>
        <v>0</v>
      </c>
      <c r="AK235" s="3">
        <f>'QTR Raw'!E49</f>
        <v>0</v>
      </c>
      <c r="AL235" s="3">
        <f>'QTR Raw'!F49</f>
        <v>0</v>
      </c>
      <c r="AM235" s="3">
        <f>'QTR Raw'!G49</f>
        <v>0</v>
      </c>
      <c r="AN235" s="3">
        <f>'QTR Raw'!H49</f>
        <v>0</v>
      </c>
      <c r="AO235" s="3">
        <f>'QTR Raw'!I49</f>
        <v>0</v>
      </c>
      <c r="AP235" s="3">
        <f>'QTR Raw'!J49</f>
        <v>0</v>
      </c>
      <c r="AQ235" s="3">
        <f>'QTR Raw'!K49</f>
        <v>0</v>
      </c>
      <c r="AR235" s="3">
        <f>'QTR Raw'!L49</f>
        <v>0</v>
      </c>
      <c r="AS235" s="3">
        <f>'QTR Raw'!M49</f>
        <v>0</v>
      </c>
      <c r="AT235" s="3">
        <f>'QTR Raw'!N49</f>
        <v>0</v>
      </c>
      <c r="AU235" s="3">
        <f>'QTR Raw'!O49</f>
        <v>0</v>
      </c>
      <c r="AV235" s="3">
        <f>'QTR Raw'!P49</f>
        <v>0</v>
      </c>
      <c r="AW235" s="3">
        <f>'QTR Raw'!Q49</f>
        <v>0</v>
      </c>
      <c r="AX235" s="3">
        <f>'QTR Raw'!R49</f>
        <v>0</v>
      </c>
      <c r="AY235" s="3">
        <f>'QTR Raw'!S49</f>
        <v>0</v>
      </c>
      <c r="AZ235" s="3">
        <f>'QTR Raw'!T49</f>
        <v>0</v>
      </c>
      <c r="BA235" s="3">
        <f>'QTR Raw'!U49</f>
        <v>0</v>
      </c>
      <c r="BB235" s="3">
        <f>'QTR Raw'!V49</f>
        <v>0</v>
      </c>
      <c r="BC235" s="3">
        <f>'QTR Raw'!W49</f>
        <v>0</v>
      </c>
      <c r="BD235" s="3">
        <f>'QTR Raw'!X49</f>
        <v>0</v>
      </c>
      <c r="BE235" s="3">
        <f>'QTR Raw'!Y49</f>
        <v>0</v>
      </c>
      <c r="BF235" s="3">
        <f>'QTR Raw'!Z49</f>
        <v>0</v>
      </c>
      <c r="BG235" s="3">
        <f>'QTR Raw'!AA49</f>
        <v>0</v>
      </c>
      <c r="BH235" s="3">
        <f>'QTR Raw'!AB49</f>
        <v>0</v>
      </c>
      <c r="BI235" s="3">
        <f>'QTR Raw'!AC49</f>
        <v>0</v>
      </c>
      <c r="BJ235" s="3">
        <f>'QTR Raw'!AD49</f>
        <v>0</v>
      </c>
      <c r="BK235" s="3">
        <f>'QTR Raw'!AE49</f>
        <v>0</v>
      </c>
      <c r="BL235" s="3">
        <f>'QTR Raw'!AF49</f>
        <v>0</v>
      </c>
      <c r="BM235" s="3">
        <f>'QTR Raw'!AG49</f>
        <v>0</v>
      </c>
      <c r="BN235" s="3">
        <f>'QTR Raw'!AH49</f>
        <v>0</v>
      </c>
      <c r="BO235" s="3">
        <f>'QTR Raw'!AI49</f>
        <v>0</v>
      </c>
      <c r="BP235" s="3">
        <f>'QTR Raw'!AJ49</f>
        <v>0</v>
      </c>
      <c r="BQ235" s="3">
        <f>'QTR Raw'!AK49</f>
        <v>0</v>
      </c>
      <c r="BR235" s="3">
        <f>'QTR Raw'!AL49</f>
        <v>0</v>
      </c>
      <c r="BS235" s="3">
        <f>'QTR Raw'!AM49</f>
        <v>0</v>
      </c>
      <c r="BT235" s="3">
        <f>'QTR Raw'!AN49</f>
        <v>0</v>
      </c>
      <c r="BU235" s="3">
        <f>'QTR Raw'!AO49</f>
        <v>0</v>
      </c>
      <c r="BV235" s="3">
        <f>'QTR Raw'!AP49</f>
        <v>0</v>
      </c>
      <c r="BW235" s="3">
        <f>'QTR Raw'!AQ49</f>
        <v>0</v>
      </c>
      <c r="BX235" s="3">
        <f>'QTR Raw'!AR49</f>
        <v>0</v>
      </c>
      <c r="BY235" s="3">
        <f>'QTR Raw'!AS49</f>
        <v>0</v>
      </c>
      <c r="BZ235" s="3">
        <f>'QTR Raw'!AT49</f>
        <v>0</v>
      </c>
      <c r="CA235" s="3">
        <f>'QTR Raw'!AU49</f>
        <v>0</v>
      </c>
      <c r="CB235" s="3">
        <f>'QTR Raw'!AV49</f>
        <v>0</v>
      </c>
      <c r="CC235" s="3">
        <f>'QTR Raw'!AW49</f>
        <v>0</v>
      </c>
      <c r="CD235" s="3">
        <f>'QTR Raw'!AX49</f>
        <v>0</v>
      </c>
      <c r="CE235" s="3">
        <f>'QTR Raw'!AY49</f>
        <v>0</v>
      </c>
      <c r="CF235" s="3">
        <f>'QTR Raw'!AZ49</f>
        <v>0</v>
      </c>
      <c r="CG235" s="3">
        <f>'QTR Raw'!BA49</f>
        <v>0</v>
      </c>
      <c r="CH235" s="3">
        <f>'QTR Raw'!BB49</f>
        <v>0</v>
      </c>
      <c r="CI235" s="3">
        <f>'QTR Raw'!BC49</f>
        <v>0</v>
      </c>
      <c r="CJ235" s="3">
        <f>'QTR Raw'!BD49</f>
        <v>0</v>
      </c>
      <c r="CK235" s="3">
        <f>'QTR Raw'!BE49</f>
        <v>0</v>
      </c>
      <c r="CL235" s="3">
        <f>'QTR Raw'!BF49</f>
        <v>0</v>
      </c>
      <c r="CM235" s="37"/>
      <c r="CN235" s="37"/>
      <c r="CO235" s="37"/>
      <c r="CP235" s="37"/>
      <c r="CQ235" s="37"/>
      <c r="CR235" s="37"/>
      <c r="CS235" s="37"/>
      <c r="CT235" s="37"/>
      <c r="CU235" s="37"/>
      <c r="CV235" s="37"/>
      <c r="CW235" s="37"/>
      <c r="CX235" s="37"/>
      <c r="CY235" s="37"/>
      <c r="CZ235" s="37"/>
      <c r="DA235" s="37"/>
      <c r="DB235" s="37"/>
      <c r="DE235" s="134"/>
      <c r="DF235" s="3">
        <v>0</v>
      </c>
    </row>
    <row r="236" spans="1:110" s="3" customFormat="1" x14ac:dyDescent="0.2">
      <c r="A236" s="3" t="s">
        <v>35</v>
      </c>
      <c r="B236" s="3">
        <f>'Annual Raw'!C113</f>
        <v>0</v>
      </c>
      <c r="C236" s="3">
        <f>'Annual Raw'!D113</f>
        <v>0</v>
      </c>
      <c r="D236" s="3">
        <f>'Annual Raw'!E113</f>
        <v>0</v>
      </c>
      <c r="E236" s="3">
        <f>'Annual Raw'!F113</f>
        <v>0</v>
      </c>
      <c r="F236" s="3">
        <f>'Annual Raw'!G113</f>
        <v>0</v>
      </c>
      <c r="G236" s="3">
        <f>'Annual Raw'!H113</f>
        <v>0</v>
      </c>
      <c r="H236" s="3">
        <f>'Annual Raw'!I113</f>
        <v>0</v>
      </c>
      <c r="I236" s="3">
        <f>'Annual Raw'!J113</f>
        <v>0</v>
      </c>
      <c r="J236" s="3">
        <f>'Annual Raw'!K113</f>
        <v>0</v>
      </c>
      <c r="K236" s="3">
        <f>'Annual Raw'!L113</f>
        <v>0</v>
      </c>
      <c r="L236" s="3">
        <f>'Annual Raw'!M113</f>
        <v>0</v>
      </c>
      <c r="M236" s="3">
        <f>'Annual Raw'!N113</f>
        <v>0</v>
      </c>
      <c r="N236" s="3">
        <f>'Annual Raw'!O113</f>
        <v>0</v>
      </c>
      <c r="O236" s="3">
        <f>'Annual Raw'!P113</f>
        <v>0</v>
      </c>
      <c r="P236" s="3">
        <f>'Annual Raw'!Q113</f>
        <v>0</v>
      </c>
      <c r="Q236" s="3">
        <f>'Annual Raw'!R113</f>
        <v>0</v>
      </c>
      <c r="R236" s="3">
        <f>'Annual Raw'!S113</f>
        <v>0</v>
      </c>
      <c r="S236" s="3">
        <f>'Annual Raw'!T113</f>
        <v>0</v>
      </c>
      <c r="T236" s="3">
        <f>'Annual Raw'!U113</f>
        <v>0</v>
      </c>
      <c r="U236" s="3">
        <f>'Annual Raw'!V113</f>
        <v>0</v>
      </c>
      <c r="V236" s="3">
        <f>'Annual Raw'!W113</f>
        <v>0</v>
      </c>
      <c r="W236" s="3">
        <f>'Annual Raw'!X113</f>
        <v>0</v>
      </c>
      <c r="X236" s="3">
        <f>'Annual Raw'!Y113</f>
        <v>0</v>
      </c>
      <c r="Y236" s="3">
        <f>'Annual Raw'!Z113</f>
        <v>0</v>
      </c>
      <c r="Z236" s="3">
        <f>'Annual Raw'!AA113</f>
        <v>0</v>
      </c>
      <c r="AA236" s="3">
        <f>'Annual Raw'!AB113</f>
        <v>0</v>
      </c>
      <c r="AB236" s="37"/>
      <c r="AC236" s="37"/>
      <c r="AD236" s="37"/>
      <c r="AE236" s="37"/>
      <c r="AI236" s="3">
        <f>'QTR Raw'!C50</f>
        <v>0</v>
      </c>
      <c r="AJ236" s="3">
        <f>'QTR Raw'!D50</f>
        <v>0</v>
      </c>
      <c r="AK236" s="3">
        <f>'QTR Raw'!E50</f>
        <v>0</v>
      </c>
      <c r="AL236" s="3">
        <f>'QTR Raw'!F50</f>
        <v>0</v>
      </c>
      <c r="AM236" s="3">
        <f>'QTR Raw'!G50</f>
        <v>0</v>
      </c>
      <c r="AN236" s="3">
        <f>'QTR Raw'!H50</f>
        <v>0</v>
      </c>
      <c r="AO236" s="3">
        <f>'QTR Raw'!I50</f>
        <v>0</v>
      </c>
      <c r="AP236" s="3">
        <f>'QTR Raw'!J50</f>
        <v>0</v>
      </c>
      <c r="AQ236" s="3">
        <f>'QTR Raw'!K50</f>
        <v>0</v>
      </c>
      <c r="AR236" s="3">
        <f>'QTR Raw'!L50</f>
        <v>0</v>
      </c>
      <c r="AS236" s="3">
        <f>'QTR Raw'!M50</f>
        <v>0</v>
      </c>
      <c r="AT236" s="3">
        <f>'QTR Raw'!N50</f>
        <v>0</v>
      </c>
      <c r="AU236" s="3">
        <f>'QTR Raw'!O50</f>
        <v>0</v>
      </c>
      <c r="AV236" s="3">
        <f>'QTR Raw'!P50</f>
        <v>0</v>
      </c>
      <c r="AW236" s="3">
        <f>'QTR Raw'!Q50</f>
        <v>0</v>
      </c>
      <c r="AX236" s="3">
        <f>'QTR Raw'!R50</f>
        <v>0</v>
      </c>
      <c r="AY236" s="3">
        <f>'QTR Raw'!S50</f>
        <v>0</v>
      </c>
      <c r="AZ236" s="3">
        <f>'QTR Raw'!T50</f>
        <v>0</v>
      </c>
      <c r="BA236" s="3">
        <f>'QTR Raw'!U50</f>
        <v>0</v>
      </c>
      <c r="BB236" s="3">
        <f>'QTR Raw'!V50</f>
        <v>0</v>
      </c>
      <c r="BC236" s="3">
        <f>'QTR Raw'!W50</f>
        <v>0</v>
      </c>
      <c r="BD236" s="3">
        <f>'QTR Raw'!X50</f>
        <v>0</v>
      </c>
      <c r="BE236" s="3">
        <f>'QTR Raw'!Y50</f>
        <v>0</v>
      </c>
      <c r="BF236" s="3">
        <f>'QTR Raw'!Z50</f>
        <v>0</v>
      </c>
      <c r="BG236" s="3">
        <f>'QTR Raw'!AA50</f>
        <v>0</v>
      </c>
      <c r="BH236" s="3">
        <f>'QTR Raw'!AB50</f>
        <v>0</v>
      </c>
      <c r="BI236" s="3">
        <f>'QTR Raw'!AC50</f>
        <v>0</v>
      </c>
      <c r="BJ236" s="3">
        <f>'QTR Raw'!AD50</f>
        <v>0</v>
      </c>
      <c r="BK236" s="3">
        <f>'QTR Raw'!AE50</f>
        <v>0</v>
      </c>
      <c r="BL236" s="3">
        <f>'QTR Raw'!AF50</f>
        <v>0</v>
      </c>
      <c r="BM236" s="3">
        <f>'QTR Raw'!AG50</f>
        <v>0</v>
      </c>
      <c r="BN236" s="3">
        <f>'QTR Raw'!AH50</f>
        <v>0</v>
      </c>
      <c r="BO236" s="3">
        <f>'QTR Raw'!AI50</f>
        <v>0</v>
      </c>
      <c r="BP236" s="3">
        <f>'QTR Raw'!AJ50</f>
        <v>0</v>
      </c>
      <c r="BQ236" s="3">
        <f>'QTR Raw'!AK50</f>
        <v>0</v>
      </c>
      <c r="BR236" s="3">
        <f>'QTR Raw'!AL50</f>
        <v>0</v>
      </c>
      <c r="BS236" s="3">
        <f>'QTR Raw'!AM50</f>
        <v>0</v>
      </c>
      <c r="BT236" s="3">
        <f>'QTR Raw'!AN50</f>
        <v>0</v>
      </c>
      <c r="BU236" s="3">
        <f>'QTR Raw'!AO50</f>
        <v>0</v>
      </c>
      <c r="BV236" s="3">
        <f>'QTR Raw'!AP50</f>
        <v>0</v>
      </c>
      <c r="BW236" s="3">
        <f>'QTR Raw'!AQ50</f>
        <v>0</v>
      </c>
      <c r="BX236" s="3">
        <f>'QTR Raw'!AR50</f>
        <v>0</v>
      </c>
      <c r="BY236" s="3">
        <f>'QTR Raw'!AS50</f>
        <v>0</v>
      </c>
      <c r="BZ236" s="3">
        <f>'QTR Raw'!AT50</f>
        <v>0</v>
      </c>
      <c r="CA236" s="3">
        <f>'QTR Raw'!AU50</f>
        <v>0</v>
      </c>
      <c r="CB236" s="3">
        <f>'QTR Raw'!AV50</f>
        <v>0</v>
      </c>
      <c r="CC236" s="3">
        <f>'QTR Raw'!AW50</f>
        <v>0</v>
      </c>
      <c r="CD236" s="3">
        <f>'QTR Raw'!AX50</f>
        <v>0</v>
      </c>
      <c r="CE236" s="3">
        <f>'QTR Raw'!AY50</f>
        <v>0</v>
      </c>
      <c r="CF236" s="3">
        <f>'QTR Raw'!AZ50</f>
        <v>0</v>
      </c>
      <c r="CG236" s="3">
        <f>'QTR Raw'!BA50</f>
        <v>0</v>
      </c>
      <c r="CH236" s="3">
        <f>'QTR Raw'!BB50</f>
        <v>0</v>
      </c>
      <c r="CI236" s="3">
        <f>'QTR Raw'!BC50</f>
        <v>0</v>
      </c>
      <c r="CJ236" s="3">
        <f>'QTR Raw'!BD50</f>
        <v>0</v>
      </c>
      <c r="CK236" s="3">
        <f>'QTR Raw'!BE50</f>
        <v>0</v>
      </c>
      <c r="CL236" s="3">
        <f>'QTR Raw'!BF50</f>
        <v>0</v>
      </c>
      <c r="CM236" s="37"/>
      <c r="CN236" s="37"/>
      <c r="CO236" s="37"/>
      <c r="CP236" s="37"/>
      <c r="CQ236" s="37"/>
      <c r="CR236" s="37"/>
      <c r="CS236" s="37"/>
      <c r="CT236" s="37"/>
      <c r="CU236" s="37"/>
      <c r="CV236" s="37"/>
      <c r="CW236" s="37"/>
      <c r="CX236" s="37"/>
      <c r="CY236" s="37"/>
      <c r="CZ236" s="37"/>
      <c r="DA236" s="37"/>
      <c r="DB236" s="37"/>
      <c r="DE236" s="134"/>
      <c r="DF236" s="3">
        <v>0</v>
      </c>
    </row>
    <row r="237" spans="1:110" s="3" customFormat="1" x14ac:dyDescent="0.2">
      <c r="AB237" s="37"/>
      <c r="AC237" s="37"/>
      <c r="AD237" s="37"/>
      <c r="AE237" s="37"/>
      <c r="CM237" s="37"/>
      <c r="CN237" s="37"/>
      <c r="CO237" s="37"/>
      <c r="CP237" s="37"/>
      <c r="CQ237" s="37"/>
      <c r="CR237" s="37"/>
      <c r="CS237" s="37"/>
      <c r="CT237" s="37"/>
      <c r="CU237" s="37"/>
      <c r="CV237" s="37"/>
      <c r="CW237" s="37"/>
      <c r="CX237" s="37"/>
      <c r="CY237" s="37"/>
      <c r="CZ237" s="37"/>
      <c r="DA237" s="37"/>
      <c r="DB237" s="37"/>
      <c r="DE237" s="134"/>
    </row>
    <row r="238" spans="1:110" s="13" customFormat="1" x14ac:dyDescent="0.2">
      <c r="A238" s="13" t="s">
        <v>36</v>
      </c>
      <c r="AB238" s="37"/>
      <c r="AC238" s="37"/>
      <c r="AD238" s="37"/>
      <c r="AE238" s="37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37"/>
      <c r="DE238" s="134"/>
    </row>
    <row r="239" spans="1:110" s="13" customFormat="1" x14ac:dyDescent="0.2">
      <c r="A239" s="13" t="s">
        <v>457</v>
      </c>
      <c r="B239" s="13">
        <f>'Annual Raw'!C106</f>
        <v>24.588888888888899</v>
      </c>
      <c r="C239" s="13">
        <f>'Annual Raw'!D106</f>
        <v>20.0833333333333</v>
      </c>
      <c r="D239" s="13">
        <f>'Annual Raw'!E106</f>
        <v>20.516666666666701</v>
      </c>
      <c r="E239" s="13">
        <f>'Annual Raw'!F106</f>
        <v>63.816666666666698</v>
      </c>
      <c r="F239" s="13">
        <f>'Annual Raw'!G106</f>
        <v>110.572222222222</v>
      </c>
      <c r="G239" s="13">
        <f>'Annual Raw'!H106</f>
        <v>270.28888888888901</v>
      </c>
      <c r="H239" s="13">
        <f>'Annual Raw'!I106</f>
        <v>359.81111111111102</v>
      </c>
      <c r="I239" s="13">
        <f>'Annual Raw'!J106</f>
        <v>672.17777777777803</v>
      </c>
      <c r="J239" s="13">
        <f>'Annual Raw'!K106</f>
        <v>298.95555555555597</v>
      </c>
      <c r="K239" s="13">
        <f>'Annual Raw'!L106</f>
        <v>722.82222222222197</v>
      </c>
      <c r="L239" s="13">
        <f>'Annual Raw'!M106</f>
        <v>734.77777777777806</v>
      </c>
      <c r="M239" s="13">
        <f>'Annual Raw'!N106</f>
        <v>580.82222222222197</v>
      </c>
      <c r="N239" s="13">
        <f>'Annual Raw'!O106</f>
        <v>606.62222222222204</v>
      </c>
      <c r="O239" s="13">
        <f>'Annual Raw'!P106</f>
        <v>848.43333333333305</v>
      </c>
      <c r="P239" s="13">
        <f>'Annual Raw'!Q106</f>
        <v>1146</v>
      </c>
      <c r="Q239" s="13">
        <f>'Annual Raw'!R106</f>
        <v>810.8</v>
      </c>
      <c r="R239" s="13">
        <f>'Annual Raw'!S106</f>
        <v>1051.7333333333299</v>
      </c>
      <c r="S239" s="13">
        <f>'Annual Raw'!T106</f>
        <v>1311.9</v>
      </c>
      <c r="T239" s="13">
        <f>'Annual Raw'!U106</f>
        <v>1384.05</v>
      </c>
      <c r="U239" s="13">
        <f>'Annual Raw'!V106</f>
        <v>806.85</v>
      </c>
      <c r="V239" s="13">
        <f>'Annual Raw'!W106</f>
        <v>1418.35</v>
      </c>
      <c r="W239" s="13">
        <f>'Annual Raw'!X106</f>
        <v>1767.45</v>
      </c>
      <c r="X239" s="13">
        <f>'Annual Raw'!Y106</f>
        <v>2164.75</v>
      </c>
      <c r="Y239" s="13">
        <f>'Annual Raw'!Z106</f>
        <v>3774.1</v>
      </c>
      <c r="Z239" s="13">
        <f>'Annual Raw'!AA106</f>
        <v>3491</v>
      </c>
      <c r="AA239" s="13">
        <f>'Annual Raw'!AB106</f>
        <v>3504.3</v>
      </c>
      <c r="AB239" s="37">
        <f>+CP239</f>
        <v>3950</v>
      </c>
      <c r="AC239" s="37">
        <f>+CT239</f>
        <v>3950</v>
      </c>
      <c r="AD239" s="37">
        <f>+CX239</f>
        <v>3950</v>
      </c>
      <c r="AE239" s="37">
        <f>+DB239</f>
        <v>3950</v>
      </c>
      <c r="AJ239" s="13">
        <f>'QTR Share Price'!HP21</f>
        <v>709.66666666666697</v>
      </c>
      <c r="AK239" s="13">
        <f>'QTR Share Price'!HQ21</f>
        <v>713.71111111111099</v>
      </c>
      <c r="AL239" s="13">
        <f>'QTR Share Price'!HR21</f>
        <v>606.62222222222204</v>
      </c>
      <c r="AM239" s="13">
        <f>'QTR Share Price'!HS21</f>
        <v>624.06666666666695</v>
      </c>
      <c r="AN239" s="13">
        <f>'QTR Share Price'!HT21</f>
        <v>525.73333333333301</v>
      </c>
      <c r="AO239" s="13">
        <f>'QTR Share Price'!HU21</f>
        <v>713.26666666666699</v>
      </c>
      <c r="AP239" s="13">
        <f>'QTR Share Price'!HV21</f>
        <v>848.43333333333305</v>
      </c>
      <c r="AQ239" s="13">
        <f>'QTR Share Price'!HW21</f>
        <v>1134.4000000000001</v>
      </c>
      <c r="AR239" s="13">
        <f>'QTR Share Price'!HX21</f>
        <v>971.63333333333298</v>
      </c>
      <c r="AS239" s="13">
        <f>'QTR Share Price'!HY21</f>
        <v>997.66666666666697</v>
      </c>
      <c r="AT239" s="13">
        <f>'QTR Share Price'!HZ21</f>
        <v>1146</v>
      </c>
      <c r="AU239" s="13">
        <f>'QTR Share Price'!IA21</f>
        <v>1188.5</v>
      </c>
      <c r="AV239" s="13">
        <f>'QTR Share Price'!IB21</f>
        <v>977.8</v>
      </c>
      <c r="AW239" s="13">
        <f>'QTR Share Price'!IC21</f>
        <v>850.43333333333305</v>
      </c>
      <c r="AX239" s="13">
        <f>'QTR Share Price'!ID21</f>
        <v>810.8</v>
      </c>
      <c r="AY239" s="13">
        <f>'QTR Share Price'!IE21</f>
        <v>997.46666666666704</v>
      </c>
      <c r="AZ239" s="13">
        <f>'QTR Share Price'!IF21</f>
        <v>954.43333333333305</v>
      </c>
      <c r="BA239" s="13">
        <f>'QTR Share Price'!IG21</f>
        <v>899.6</v>
      </c>
      <c r="BB239" s="13">
        <f>'QTR Share Price'!IH21</f>
        <v>1051.7333333333299</v>
      </c>
      <c r="BC239" s="13">
        <f>'QTR Share Price'!II21</f>
        <v>1125.2</v>
      </c>
      <c r="BD239" s="13">
        <f>'QTR Share Price'!IJ21</f>
        <v>1141.2</v>
      </c>
      <c r="BE239" s="13">
        <f>'QTR Share Price'!IK21</f>
        <v>1256.95</v>
      </c>
      <c r="BF239" s="13">
        <f>'QTR Share Price'!IL21</f>
        <v>1311.9</v>
      </c>
      <c r="BG239" s="13">
        <f>'QTR Share Price'!IM21</f>
        <v>1271.3</v>
      </c>
      <c r="BH239" s="13">
        <f>'QTR Share Price'!IN21</f>
        <v>1266.6500000000001</v>
      </c>
      <c r="BI239" s="13">
        <f>'QTR Share Price'!IO21</f>
        <v>1438.5</v>
      </c>
      <c r="BJ239" s="13">
        <f>'QTR Share Price'!IP21</f>
        <v>1384.05</v>
      </c>
      <c r="BK239" s="13">
        <f>'QTR Share Price'!IQ21</f>
        <v>1553.05</v>
      </c>
      <c r="BL239" s="13">
        <f>'QTR Share Price'!IR21</f>
        <v>1476.6</v>
      </c>
      <c r="BM239" s="13">
        <f>'QTR Share Price'!IS21</f>
        <v>1298.95</v>
      </c>
      <c r="BN239" s="13">
        <f>'QTR Share Price'!IT21</f>
        <v>806.85</v>
      </c>
      <c r="BO239" s="13">
        <f>'QTR Share Price'!IU21</f>
        <v>944.05</v>
      </c>
      <c r="BP239" s="13">
        <f>'QTR Share Price'!IV21</f>
        <v>902.45</v>
      </c>
      <c r="BQ239" s="13">
        <f>'QTR Share Price'!IW21</f>
        <v>1287.55</v>
      </c>
      <c r="BR239" s="13">
        <f>'QTR Share Price'!IX21</f>
        <v>1418.35</v>
      </c>
      <c r="BS239" s="13">
        <f>'QTR Share Price'!IY21</f>
        <v>1501.25</v>
      </c>
      <c r="BT239" s="13">
        <f>'QTR Share Price'!IZ21</f>
        <v>1703.15</v>
      </c>
      <c r="BU239" s="13">
        <f>'QTR Share Price'!JA21</f>
        <v>1895</v>
      </c>
      <c r="BV239" s="13">
        <f>'QTR Share Price'!JB21</f>
        <v>1767.45</v>
      </c>
      <c r="BW239" s="13">
        <f>'QTR Share Price'!JC21</f>
        <v>1557.05</v>
      </c>
      <c r="BX239" s="13">
        <f>'QTR Share Price'!JD21</f>
        <v>1848.7</v>
      </c>
      <c r="BY239" s="13">
        <f>'QTR Share Price'!JE21</f>
        <v>2086.3000000000002</v>
      </c>
      <c r="BZ239" s="13">
        <f>'QTR Share Price'!JF21</f>
        <v>2164.75</v>
      </c>
      <c r="CA239" s="13">
        <f>'QTR Share Price'!JG21</f>
        <v>2474.5</v>
      </c>
      <c r="CB239" s="13">
        <f>'QTR Share Price'!JH21</f>
        <v>3021.95</v>
      </c>
      <c r="CC239" s="13">
        <f>'QTR Share Price'!JI21</f>
        <v>3527.05</v>
      </c>
      <c r="CD239" s="13">
        <f>'QTR Share Price'!JJ21</f>
        <v>3774.1</v>
      </c>
      <c r="CE239" s="13">
        <f>'QTR Share Price'!JK21</f>
        <v>3549.4</v>
      </c>
      <c r="CF239" s="13">
        <f>'QTR Share Price'!JL21</f>
        <v>3675.5</v>
      </c>
      <c r="CG239" s="13">
        <f>'QTR Share Price'!JM21</f>
        <v>3608</v>
      </c>
      <c r="CH239" s="13">
        <f>'QTR Share Price'!JN21</f>
        <v>3491</v>
      </c>
      <c r="CI239" s="13">
        <f>'QTR Share Price'!JO21</f>
        <v>3668.55</v>
      </c>
      <c r="CJ239" s="13">
        <f>'QTR Share Price'!JP21</f>
        <v>3658.8</v>
      </c>
      <c r="CK239" s="13">
        <f>'QTR Share Price'!JQ21</f>
        <v>4083.1</v>
      </c>
      <c r="CL239" s="13">
        <f>'QTR Share Price'!JR21</f>
        <v>3504.3</v>
      </c>
      <c r="CM239" s="37">
        <v>3950</v>
      </c>
      <c r="CN239" s="37">
        <f t="shared" ref="CN239" si="1420">+CM239</f>
        <v>3950</v>
      </c>
      <c r="CO239" s="37">
        <f t="shared" ref="CO239" si="1421">+CN239</f>
        <v>3950</v>
      </c>
      <c r="CP239" s="37">
        <f t="shared" ref="CP239" si="1422">+CO239</f>
        <v>3950</v>
      </c>
      <c r="CQ239" s="37">
        <f t="shared" ref="CQ239" si="1423">+CP239</f>
        <v>3950</v>
      </c>
      <c r="CR239" s="37">
        <f t="shared" ref="CR239" si="1424">+CQ239</f>
        <v>3950</v>
      </c>
      <c r="CS239" s="37">
        <f t="shared" ref="CS239" si="1425">+CR239</f>
        <v>3950</v>
      </c>
      <c r="CT239" s="37">
        <f t="shared" ref="CT239" si="1426">+CS239</f>
        <v>3950</v>
      </c>
      <c r="CU239" s="37">
        <f t="shared" ref="CU239" si="1427">+CT239</f>
        <v>3950</v>
      </c>
      <c r="CV239" s="37">
        <f t="shared" ref="CV239" si="1428">+CU239</f>
        <v>3950</v>
      </c>
      <c r="CW239" s="37">
        <f t="shared" ref="CW239" si="1429">+CV239</f>
        <v>3950</v>
      </c>
      <c r="CX239" s="37">
        <f t="shared" ref="CX239" si="1430">+CW239</f>
        <v>3950</v>
      </c>
      <c r="CY239" s="37">
        <f t="shared" ref="CY239" si="1431">+CX239</f>
        <v>3950</v>
      </c>
      <c r="CZ239" s="37">
        <f t="shared" ref="CZ239" si="1432">+CY239</f>
        <v>3950</v>
      </c>
      <c r="DA239" s="37">
        <f t="shared" ref="DA239" si="1433">+CZ239</f>
        <v>3950</v>
      </c>
      <c r="DB239" s="37">
        <f t="shared" ref="DB239" si="1434">+DA239</f>
        <v>3950</v>
      </c>
      <c r="DE239" s="134"/>
      <c r="DF239" s="13">
        <v>3504.3</v>
      </c>
    </row>
    <row r="240" spans="1:110" s="13" customFormat="1" x14ac:dyDescent="0.2">
      <c r="A240" s="13" t="s">
        <v>458</v>
      </c>
      <c r="B240" s="13">
        <f>'Annual Raw'!C107</f>
        <v>35.877777777777801</v>
      </c>
      <c r="C240" s="13">
        <f>'Annual Raw'!D107</f>
        <v>28.755555555555599</v>
      </c>
      <c r="D240" s="13">
        <f>'Annual Raw'!E107</f>
        <v>24.4444444444444</v>
      </c>
      <c r="E240" s="13">
        <f>'Annual Raw'!F107</f>
        <v>68.1666666666667</v>
      </c>
      <c r="F240" s="13">
        <f>'Annual Raw'!G107</f>
        <v>127.555555555556</v>
      </c>
      <c r="G240" s="13">
        <f>'Annual Raw'!H107</f>
        <v>290.71111111111099</v>
      </c>
      <c r="H240" s="13">
        <f>'Annual Raw'!I107</f>
        <v>395.11111111111097</v>
      </c>
      <c r="I240" s="13">
        <f>'Annual Raw'!J107</f>
        <v>1037.7777777777801</v>
      </c>
      <c r="J240" s="13">
        <f>'Annual Raw'!K107</f>
        <v>724.88888888888903</v>
      </c>
      <c r="K240" s="13">
        <f>'Annual Raw'!L107</f>
        <v>800</v>
      </c>
      <c r="L240" s="13">
        <f>'Annual Raw'!M107</f>
        <v>983.11111111111097</v>
      </c>
      <c r="M240" s="13">
        <f>'Annual Raw'!N107</f>
        <v>830.15555555555602</v>
      </c>
      <c r="N240" s="13">
        <f>'Annual Raw'!O107</f>
        <v>764.22222222222194</v>
      </c>
      <c r="O240" s="13">
        <f>'Annual Raw'!P107</f>
        <v>867.33333333333303</v>
      </c>
      <c r="P240" s="13">
        <f>'Annual Raw'!Q107</f>
        <v>1261.9666666666701</v>
      </c>
      <c r="Q240" s="13">
        <f>'Annual Raw'!R107</f>
        <v>1257.5</v>
      </c>
      <c r="R240" s="13">
        <f>'Annual Raw'!S107</f>
        <v>1076.6666666666699</v>
      </c>
      <c r="S240" s="13">
        <f>'Annual Raw'!T107</f>
        <v>1469.6</v>
      </c>
      <c r="T240" s="13">
        <f>'Annual Raw'!U107</f>
        <v>1459.1</v>
      </c>
      <c r="U240" s="13">
        <f>'Annual Raw'!V107</f>
        <v>1606.7</v>
      </c>
      <c r="V240" s="13">
        <f>'Annual Raw'!W107</f>
        <v>1593</v>
      </c>
      <c r="W240" s="13">
        <f>'Annual Raw'!X107</f>
        <v>2078.1999999999998</v>
      </c>
      <c r="X240" s="13">
        <f>'Annual Raw'!Y107</f>
        <v>2297.3000000000002</v>
      </c>
      <c r="Y240" s="13">
        <f>'Annual Raw'!Z107</f>
        <v>3812</v>
      </c>
      <c r="Z240" s="13">
        <f>'Annual Raw'!AA107</f>
        <v>3963</v>
      </c>
      <c r="AA240" s="13">
        <f>'Annual Raw'!AB107</f>
        <v>4440</v>
      </c>
      <c r="AB240" s="37">
        <f>+MAX(CM240:CP240)</f>
        <v>4795.8239053404968</v>
      </c>
      <c r="AC240" s="37">
        <f>+MAX(CQ240:CT240)</f>
        <v>5546.5712706653776</v>
      </c>
      <c r="AD240" s="37">
        <f>+MAX(CU240:CX240)</f>
        <v>6460.4356867172519</v>
      </c>
      <c r="AE240" s="37">
        <f>+MAX(CY240:DB240)</f>
        <v>7533.1028087560553</v>
      </c>
      <c r="AJ240" s="13">
        <f>'QTR Share Price'!HP19</f>
        <v>719.555555555556</v>
      </c>
      <c r="AK240" s="13">
        <f>'QTR Share Price'!HQ19</f>
        <v>764.22222222222194</v>
      </c>
      <c r="AL240" s="13">
        <f>'QTR Share Price'!HR19</f>
        <v>738.22222222222194</v>
      </c>
      <c r="AM240" s="13">
        <f>'QTR Share Price'!HS19</f>
        <v>734.26666666666699</v>
      </c>
      <c r="AN240" s="13">
        <f>'QTR Share Price'!HT19</f>
        <v>673.2</v>
      </c>
      <c r="AO240" s="13">
        <f>'QTR Share Price'!HU19</f>
        <v>768.26666666666699</v>
      </c>
      <c r="AP240" s="13">
        <f>'QTR Share Price'!HV19</f>
        <v>867.33333333333303</v>
      </c>
      <c r="AQ240" s="13">
        <f>'QTR Share Price'!HW19</f>
        <v>1183.13333333333</v>
      </c>
      <c r="AR240" s="13">
        <f>'QTR Share Price'!HX19</f>
        <v>1175.3333333333301</v>
      </c>
      <c r="AS240" s="13">
        <f>'QTR Share Price'!HY19</f>
        <v>1128.4000000000001</v>
      </c>
      <c r="AT240" s="13">
        <f>'QTR Share Price'!HZ19</f>
        <v>1261.9666666666701</v>
      </c>
      <c r="AU240" s="13">
        <f>'QTR Share Price'!IA19</f>
        <v>1213.3333333333301</v>
      </c>
      <c r="AV240" s="13">
        <f>'QTR Share Price'!IB19</f>
        <v>1257.5</v>
      </c>
      <c r="AW240" s="13">
        <f>'QTR Share Price'!IC19</f>
        <v>1073.5999999999999</v>
      </c>
      <c r="AX240" s="13">
        <f>'QTR Share Price'!ID19</f>
        <v>860.83333333333303</v>
      </c>
      <c r="AY240" s="13">
        <f>'QTR Share Price'!IE19</f>
        <v>1010</v>
      </c>
      <c r="AZ240" s="13">
        <f>'QTR Share Price'!IF19</f>
        <v>1076.6666666666699</v>
      </c>
      <c r="BA240" s="13">
        <f>'QTR Share Price'!IG19</f>
        <v>1013.33333333333</v>
      </c>
      <c r="BB240" s="13">
        <f>'QTR Share Price'!IH19</f>
        <v>1062</v>
      </c>
      <c r="BC240" s="13">
        <f>'QTR Share Price'!II19</f>
        <v>1222.6666666666699</v>
      </c>
      <c r="BD240" s="13">
        <f>'QTR Share Price'!IJ19</f>
        <v>1249.95</v>
      </c>
      <c r="BE240" s="13">
        <f>'QTR Share Price'!IK19</f>
        <v>1275</v>
      </c>
      <c r="BF240" s="13">
        <f>'QTR Share Price'!IL19</f>
        <v>1469.6</v>
      </c>
      <c r="BG240" s="13">
        <f>'QTR Share Price'!IM19</f>
        <v>1424.5</v>
      </c>
      <c r="BH240" s="13">
        <f>'QTR Share Price'!IN19</f>
        <v>1389</v>
      </c>
      <c r="BI240" s="13">
        <f>'QTR Share Price'!IO19</f>
        <v>1459.1</v>
      </c>
      <c r="BJ240" s="13">
        <f>'QTR Share Price'!IP19</f>
        <v>1449</v>
      </c>
      <c r="BK240" s="13">
        <f>'QTR Share Price'!IQ19</f>
        <v>1606.7</v>
      </c>
      <c r="BL240" s="13">
        <f>'QTR Share Price'!IR19</f>
        <v>1591.6</v>
      </c>
      <c r="BM240" s="13">
        <f>'QTR Share Price'!IS19</f>
        <v>1495.95</v>
      </c>
      <c r="BN240" s="13">
        <f>'QTR Share Price'!IT19</f>
        <v>1383.85</v>
      </c>
      <c r="BO240" s="13">
        <f>'QTR Share Price'!IU19</f>
        <v>995</v>
      </c>
      <c r="BP240" s="13">
        <f>'QTR Share Price'!IV19</f>
        <v>1024.95</v>
      </c>
      <c r="BQ240" s="13">
        <f>'QTR Share Price'!IW19</f>
        <v>1338.4</v>
      </c>
      <c r="BR240" s="13">
        <f>'QTR Share Price'!IX19</f>
        <v>1593</v>
      </c>
      <c r="BS240" s="13">
        <f>'QTR Share Price'!IY19</f>
        <v>1582.65</v>
      </c>
      <c r="BT240" s="13">
        <f>'QTR Share Price'!IZ19</f>
        <v>1810</v>
      </c>
      <c r="BU240" s="13">
        <f>'QTR Share Price'!JA19</f>
        <v>1982.95</v>
      </c>
      <c r="BV240" s="13">
        <f>'QTR Share Price'!JB19</f>
        <v>2078.1999999999998</v>
      </c>
      <c r="BW240" s="13">
        <f>'QTR Share Price'!JC19</f>
        <v>1860</v>
      </c>
      <c r="BX240" s="13">
        <f>'QTR Share Price'!JD19</f>
        <v>1995</v>
      </c>
      <c r="BY240" s="13">
        <f>'QTR Share Price'!JE19</f>
        <v>2210.5</v>
      </c>
      <c r="BZ240" s="13">
        <f>'QTR Share Price'!JF19</f>
        <v>2297.3000000000002</v>
      </c>
      <c r="CA240" s="13">
        <f>'QTR Share Price'!JG19</f>
        <v>2482.9499999999998</v>
      </c>
      <c r="CB240" s="13">
        <f>'QTR Share Price'!JH19</f>
        <v>3057</v>
      </c>
      <c r="CC240" s="13">
        <f>'QTR Share Price'!JI19</f>
        <v>3559.75</v>
      </c>
      <c r="CD240" s="13">
        <f>'QTR Share Price'!JJ19</f>
        <v>3812</v>
      </c>
      <c r="CE240" s="13">
        <f>'QTR Share Price'!JK19</f>
        <v>3948.6</v>
      </c>
      <c r="CF240" s="13">
        <f>'QTR Share Price'!JL19</f>
        <v>3838</v>
      </c>
      <c r="CG240" s="13">
        <f>'QTR Share Price'!JM19</f>
        <v>3963</v>
      </c>
      <c r="CH240" s="13">
        <f>'QTR Share Price'!JN19</f>
        <v>3724</v>
      </c>
      <c r="CI240" s="13">
        <f>'QTR Share Price'!JO19</f>
        <v>3730</v>
      </c>
      <c r="CJ240" s="13">
        <f>'QTR Share Price'!JP19</f>
        <v>3794.7</v>
      </c>
      <c r="CK240" s="13">
        <f>'QTR Share Price'!JQ19</f>
        <v>4139</v>
      </c>
      <c r="CL240" s="13">
        <f>'QTR Share Price'!JR19</f>
        <v>4440</v>
      </c>
      <c r="CM240" s="37">
        <f t="shared" ref="CM240:DB240" si="1435">+CM274/CM227</f>
        <v>4664.6579820090783</v>
      </c>
      <c r="CN240" s="37">
        <f t="shared" si="1435"/>
        <v>4747.0631470476665</v>
      </c>
      <c r="CO240" s="37">
        <f t="shared" si="1435"/>
        <v>4795.8239053404968</v>
      </c>
      <c r="CP240" s="37">
        <f t="shared" si="1435"/>
        <v>4734.639903992198</v>
      </c>
      <c r="CQ240" s="37">
        <f t="shared" si="1435"/>
        <v>5050.3904538753841</v>
      </c>
      <c r="CR240" s="37">
        <f t="shared" si="1435"/>
        <v>5203.7906495699754</v>
      </c>
      <c r="CS240" s="37">
        <f t="shared" si="1435"/>
        <v>5389.8411345854065</v>
      </c>
      <c r="CT240" s="37">
        <f t="shared" si="1435"/>
        <v>5546.5712706653776</v>
      </c>
      <c r="CU240" s="37">
        <f t="shared" si="1435"/>
        <v>5917.6966849819673</v>
      </c>
      <c r="CV240" s="37">
        <f t="shared" si="1435"/>
        <v>6106.2979587105665</v>
      </c>
      <c r="CW240" s="37">
        <f t="shared" si="1435"/>
        <v>6317.9741810298028</v>
      </c>
      <c r="CX240" s="37">
        <f t="shared" si="1435"/>
        <v>6460.4356867172519</v>
      </c>
      <c r="CY240" s="37">
        <f t="shared" si="1435"/>
        <v>6900.6724336174202</v>
      </c>
      <c r="CZ240" s="37">
        <f t="shared" si="1435"/>
        <v>7125.3145937542122</v>
      </c>
      <c r="DA240" s="37">
        <f t="shared" si="1435"/>
        <v>7371.0901656417982</v>
      </c>
      <c r="DB240" s="37">
        <f t="shared" si="1435"/>
        <v>7533.1028087560553</v>
      </c>
      <c r="DE240" s="134"/>
      <c r="DF240" s="13">
        <v>4440</v>
      </c>
    </row>
    <row r="241" spans="1:110" s="13" customFormat="1" x14ac:dyDescent="0.2">
      <c r="A241" s="13" t="s">
        <v>459</v>
      </c>
      <c r="B241" s="13">
        <f>'Annual Raw'!C108</f>
        <v>15.6944444444444</v>
      </c>
      <c r="C241" s="13">
        <f>'Annual Raw'!D108</f>
        <v>15.9722222222222</v>
      </c>
      <c r="D241" s="13">
        <f>'Annual Raw'!E108</f>
        <v>16.177777777777798</v>
      </c>
      <c r="E241" s="13">
        <f>'Annual Raw'!F108</f>
        <v>19.488888888888901</v>
      </c>
      <c r="F241" s="13">
        <f>'Annual Raw'!G108</f>
        <v>44.8888888888889</v>
      </c>
      <c r="G241" s="13">
        <f>'Annual Raw'!H108</f>
        <v>102.111111111111</v>
      </c>
      <c r="H241" s="13">
        <f>'Annual Raw'!I108</f>
        <v>200.583333333333</v>
      </c>
      <c r="I241" s="13">
        <f>'Annual Raw'!J108</f>
        <v>335.11111111111097</v>
      </c>
      <c r="J241" s="13">
        <f>'Annual Raw'!K108</f>
        <v>247.555555555556</v>
      </c>
      <c r="K241" s="13">
        <f>'Annual Raw'!L108</f>
        <v>294.66666666666703</v>
      </c>
      <c r="L241" s="13">
        <f>'Annual Raw'!M108</f>
        <v>650.24444444444396</v>
      </c>
      <c r="M241" s="13">
        <f>'Annual Raw'!N108</f>
        <v>431.555555555556</v>
      </c>
      <c r="N241" s="13">
        <f>'Annual Raw'!O108</f>
        <v>491.73333333333301</v>
      </c>
      <c r="O241" s="13">
        <f>'Annual Raw'!P108</f>
        <v>452.066666666667</v>
      </c>
      <c r="P241" s="13">
        <f>'Annual Raw'!Q108</f>
        <v>828.3</v>
      </c>
      <c r="Q241" s="13">
        <f>'Annual Raw'!R108</f>
        <v>677.73333333333301</v>
      </c>
      <c r="R241" s="13">
        <f>'Annual Raw'!S108</f>
        <v>784.66666666666697</v>
      </c>
      <c r="S241" s="13">
        <f>'Annual Raw'!T108</f>
        <v>1052</v>
      </c>
      <c r="T241" s="13">
        <f>'Annual Raw'!U108</f>
        <v>1183.4000000000001</v>
      </c>
      <c r="U241" s="13">
        <f>'Annual Raw'!V108</f>
        <v>661.05</v>
      </c>
      <c r="V241" s="13">
        <f>'Annual Raw'!W108</f>
        <v>763</v>
      </c>
      <c r="W241" s="13">
        <f>'Annual Raw'!X108</f>
        <v>1306.4000000000001</v>
      </c>
      <c r="X241" s="13">
        <f>'Annual Raw'!Y108</f>
        <v>1456.8</v>
      </c>
      <c r="Y241" s="13">
        <f>'Annual Raw'!Z108</f>
        <v>2155.5500000000002</v>
      </c>
      <c r="Z241" s="13">
        <f>'Annual Raw'!AA108</f>
        <v>3141.3</v>
      </c>
      <c r="AA241" s="13">
        <f>'Annual Raw'!AB108</f>
        <v>2967.65</v>
      </c>
      <c r="AB241" s="37">
        <f>+MIN(CM241:CP241)</f>
        <v>3493.095607821384</v>
      </c>
      <c r="AC241" s="37">
        <f>+MIN(CQ241:CT241)</f>
        <v>3809.7109522330525</v>
      </c>
      <c r="AD241" s="37">
        <f>+MIN(CU241:CX241)</f>
        <v>4490.2278798627831</v>
      </c>
      <c r="AE241" s="37">
        <f>+MIN(CY241:DB241)</f>
        <v>5255.1630507076961</v>
      </c>
      <c r="AJ241" s="13">
        <f>+'QTR Share Price'!HP20</f>
        <v>581.33333333333303</v>
      </c>
      <c r="AK241" s="13">
        <f>+'QTR Share Price'!HQ20</f>
        <v>683.2</v>
      </c>
      <c r="AL241" s="13">
        <f>+'QTR Share Price'!HR20</f>
        <v>591.555555555556</v>
      </c>
      <c r="AM241" s="13">
        <f>+'QTR Share Price'!HS20</f>
        <v>583.64444444444496</v>
      </c>
      <c r="AN241" s="13">
        <f>+'QTR Share Price'!HT20</f>
        <v>452.066666666667</v>
      </c>
      <c r="AO241" s="13">
        <f>+'QTR Share Price'!HU20</f>
        <v>518.06666666666695</v>
      </c>
      <c r="AP241" s="13">
        <f>+'QTR Share Price'!HV20</f>
        <v>634.4</v>
      </c>
      <c r="AQ241" s="13">
        <f>+'QTR Share Price'!HW20</f>
        <v>828.3</v>
      </c>
      <c r="AR241" s="13">
        <f>+'QTR Share Price'!HX20</f>
        <v>956.9</v>
      </c>
      <c r="AS241" s="13">
        <f>+'QTR Share Price'!HY20</f>
        <v>933.33333333333303</v>
      </c>
      <c r="AT241" s="13">
        <f>+'QTR Share Price'!HZ20</f>
        <v>991.03333333333296</v>
      </c>
      <c r="AU241" s="13">
        <f>+'QTR Share Price'!IA20</f>
        <v>1030.2333333333299</v>
      </c>
      <c r="AV241" s="13">
        <f>+'QTR Share Price'!IB20</f>
        <v>942.1</v>
      </c>
      <c r="AW241" s="13">
        <f>+'QTR Share Price'!IC20</f>
        <v>843.66666666666697</v>
      </c>
      <c r="AX241" s="13">
        <f>+'QTR Share Price'!ID20</f>
        <v>677.73333333333301</v>
      </c>
      <c r="AY241" s="13">
        <f>+'QTR Share Price'!IE20</f>
        <v>784.66666666666697</v>
      </c>
      <c r="AZ241" s="13">
        <f>+'QTR Share Price'!IF20</f>
        <v>941.7</v>
      </c>
      <c r="BA241" s="13">
        <f>+'QTR Share Price'!IG20</f>
        <v>863.53333333333296</v>
      </c>
      <c r="BB241" s="13">
        <f>+'QTR Share Price'!IH20</f>
        <v>900</v>
      </c>
      <c r="BC241" s="13">
        <f>+'QTR Share Price'!II20</f>
        <v>1052</v>
      </c>
      <c r="BD241" s="13">
        <f>+'QTR Share Price'!IJ20</f>
        <v>1114</v>
      </c>
      <c r="BE241" s="13">
        <f>+'QTR Share Price'!IK20</f>
        <v>1124.5</v>
      </c>
      <c r="BF241" s="13">
        <f>+'QTR Share Price'!IL20</f>
        <v>1243.1500000000001</v>
      </c>
      <c r="BG241" s="13">
        <f>+'QTR Share Price'!IM20</f>
        <v>1205.5999999999999</v>
      </c>
      <c r="BH241" s="13">
        <f>+'QTR Share Price'!IN20</f>
        <v>1226.05</v>
      </c>
      <c r="BI241" s="13">
        <f>+'QTR Share Price'!IO20</f>
        <v>1183.4000000000001</v>
      </c>
      <c r="BJ241" s="13">
        <f>+'QTR Share Price'!IP20</f>
        <v>1202.3</v>
      </c>
      <c r="BK241" s="13">
        <f>+'QTR Share Price'!IQ20</f>
        <v>1284.9000000000001</v>
      </c>
      <c r="BL241" s="13">
        <f>+'QTR Share Price'!IR20</f>
        <v>1274.0999999999999</v>
      </c>
      <c r="BM241" s="13">
        <f>+'QTR Share Price'!IS20</f>
        <v>1255.5999999999999</v>
      </c>
      <c r="BN241" s="13">
        <f>+'QTR Share Price'!IT20</f>
        <v>661.05</v>
      </c>
      <c r="BO241" s="13">
        <f>+'QTR Share Price'!IU20</f>
        <v>763</v>
      </c>
      <c r="BP241" s="13">
        <f>+'QTR Share Price'!IV20</f>
        <v>842.5</v>
      </c>
      <c r="BQ241" s="13">
        <f>+'QTR Share Price'!IW20</f>
        <v>876.25</v>
      </c>
      <c r="BR241" s="13">
        <f>+'QTR Share Price'!IX20</f>
        <v>1281</v>
      </c>
      <c r="BS241" s="13">
        <f>+'QTR Share Price'!IY20</f>
        <v>1306.4000000000001</v>
      </c>
      <c r="BT241" s="13">
        <f>+'QTR Share Price'!IZ20</f>
        <v>1475.85</v>
      </c>
      <c r="BU241" s="13">
        <f>+'QTR Share Price'!JA20</f>
        <v>1684.4</v>
      </c>
      <c r="BV241" s="13">
        <f>+'QTR Share Price'!JB20</f>
        <v>1595</v>
      </c>
      <c r="BW241" s="13">
        <f>+'QTR Share Price'!JC20</f>
        <v>1456.8</v>
      </c>
      <c r="BX241" s="13">
        <f>+'QTR Share Price'!JD20</f>
        <v>1535</v>
      </c>
      <c r="BY241" s="13">
        <f>+'QTR Share Price'!JE20</f>
        <v>1814</v>
      </c>
      <c r="BZ241" s="13">
        <f>+'QTR Share Price'!JF20</f>
        <v>2058.1</v>
      </c>
      <c r="CA241" s="13">
        <f>+'QTR Share Price'!JG20</f>
        <v>2155.5500000000002</v>
      </c>
      <c r="CB241" s="13">
        <f>+'QTR Share Price'!JH20</f>
        <v>2419.9499999999998</v>
      </c>
      <c r="CC241" s="13">
        <f>+'QTR Share Price'!JI20</f>
        <v>2856.85</v>
      </c>
      <c r="CD241" s="13">
        <f>+'QTR Share Price'!JJ20</f>
        <v>3264</v>
      </c>
      <c r="CE241" s="13">
        <f>+'QTR Share Price'!JK20</f>
        <v>3175.5</v>
      </c>
      <c r="CF241" s="13">
        <f>+'QTR Share Price'!JL20</f>
        <v>3401.05</v>
      </c>
      <c r="CG241" s="13">
        <f>+'QTR Share Price'!JM20</f>
        <v>3262.95</v>
      </c>
      <c r="CH241" s="13">
        <f>+'QTR Share Price'!JN20</f>
        <v>3141.3</v>
      </c>
      <c r="CI241" s="13">
        <f>+'QTR Share Price'!JO20</f>
        <v>2967.65</v>
      </c>
      <c r="CJ241" s="13">
        <f>+'QTR Share Price'!JP20</f>
        <v>3405.3</v>
      </c>
      <c r="CK241" s="13">
        <f>+'QTR Share Price'!JQ20</f>
        <v>3614.8</v>
      </c>
      <c r="CL241" s="13">
        <f>+'QTR Share Price'!JR20</f>
        <v>3288.65</v>
      </c>
      <c r="CM241" s="37">
        <f t="shared" ref="CM241:DB241" si="1436">+CM275/CM227</f>
        <v>3493.095607821384</v>
      </c>
      <c r="CN241" s="37">
        <f t="shared" si="1436"/>
        <v>3557.3386918677952</v>
      </c>
      <c r="CO241" s="37">
        <f t="shared" si="1436"/>
        <v>3597.6711867874747</v>
      </c>
      <c r="CP241" s="37">
        <f t="shared" si="1436"/>
        <v>3526.6338566799554</v>
      </c>
      <c r="CQ241" s="37">
        <f t="shared" si="1436"/>
        <v>3809.7109522330525</v>
      </c>
      <c r="CR241" s="37">
        <f t="shared" si="1436"/>
        <v>3925.8188728472346</v>
      </c>
      <c r="CS241" s="37">
        <f t="shared" si="1436"/>
        <v>4067.951430764605</v>
      </c>
      <c r="CT241" s="37">
        <f t="shared" si="1436"/>
        <v>4163.1458404889763</v>
      </c>
      <c r="CU241" s="37">
        <f t="shared" si="1436"/>
        <v>4490.2278798627831</v>
      </c>
      <c r="CV241" s="37">
        <f t="shared" si="1436"/>
        <v>4630.1411470725652</v>
      </c>
      <c r="CW241" s="37">
        <f t="shared" si="1436"/>
        <v>4788.595617442249</v>
      </c>
      <c r="CX241" s="37">
        <f t="shared" si="1436"/>
        <v>4868.0075855789946</v>
      </c>
      <c r="CY241" s="37">
        <f t="shared" si="1436"/>
        <v>5255.1630507076961</v>
      </c>
      <c r="CZ241" s="37">
        <f t="shared" si="1436"/>
        <v>5422.5521384909071</v>
      </c>
      <c r="DA241" s="37">
        <f t="shared" si="1436"/>
        <v>5607.2195156941416</v>
      </c>
      <c r="DB241" s="37">
        <f t="shared" si="1436"/>
        <v>5697.7836205099584</v>
      </c>
      <c r="DE241" s="134"/>
      <c r="DF241" s="13">
        <v>2967.65</v>
      </c>
    </row>
    <row r="242" spans="1:110" s="14" customFormat="1" x14ac:dyDescent="0.2">
      <c r="AB242" s="16"/>
      <c r="AC242" s="16"/>
      <c r="AD242" s="16"/>
      <c r="AE242" s="16"/>
      <c r="CM242" s="37"/>
      <c r="CN242" s="37"/>
      <c r="CO242" s="37"/>
      <c r="CP242" s="37"/>
      <c r="CQ242" s="37"/>
      <c r="CR242" s="37"/>
      <c r="CS242" s="37"/>
      <c r="CT242" s="37"/>
      <c r="CU242" s="37"/>
      <c r="CV242" s="37"/>
      <c r="CW242" s="37"/>
      <c r="CX242" s="37"/>
      <c r="CY242" s="37"/>
      <c r="CZ242" s="37"/>
      <c r="DA242" s="37"/>
      <c r="DB242" s="37"/>
      <c r="DE242" s="134"/>
    </row>
    <row r="243" spans="1:110" s="51" customFormat="1" x14ac:dyDescent="0.2">
      <c r="A243" s="51" t="s">
        <v>346</v>
      </c>
      <c r="AB243" s="48">
        <f t="shared" ref="AB243:AD243" si="1437">+AB240/AB239-1</f>
        <v>0.21413263426341689</v>
      </c>
      <c r="AC243" s="48">
        <f t="shared" si="1437"/>
        <v>0.40419525839629822</v>
      </c>
      <c r="AD243" s="48">
        <f t="shared" si="1437"/>
        <v>0.63555333840943096</v>
      </c>
      <c r="AE243" s="48">
        <f t="shared" ref="AE243" si="1438">+AE240/AE239-1</f>
        <v>0.90711463512811519</v>
      </c>
      <c r="CM243" s="48">
        <f t="shared" ref="CM243:DB243" si="1439">+CM240/CM239-1</f>
        <v>0.1809260713947034</v>
      </c>
      <c r="CN243" s="48">
        <f t="shared" si="1439"/>
        <v>0.20178813849308019</v>
      </c>
      <c r="CO243" s="48">
        <f t="shared" si="1439"/>
        <v>0.21413263426341689</v>
      </c>
      <c r="CP243" s="48">
        <f t="shared" si="1439"/>
        <v>0.1986430136689108</v>
      </c>
      <c r="CQ243" s="48">
        <f t="shared" si="1439"/>
        <v>0.27857986174060367</v>
      </c>
      <c r="CR243" s="48">
        <f t="shared" si="1439"/>
        <v>0.3174153543215128</v>
      </c>
      <c r="CS243" s="48">
        <f t="shared" si="1439"/>
        <v>0.36451674293301428</v>
      </c>
      <c r="CT243" s="48">
        <f t="shared" si="1439"/>
        <v>0.40419525839629822</v>
      </c>
      <c r="CU243" s="48">
        <f t="shared" si="1439"/>
        <v>0.49815105948910565</v>
      </c>
      <c r="CV243" s="48">
        <f t="shared" si="1439"/>
        <v>0.54589821739508015</v>
      </c>
      <c r="CW243" s="48">
        <f t="shared" si="1439"/>
        <v>0.59948713443792467</v>
      </c>
      <c r="CX243" s="48">
        <f t="shared" si="1439"/>
        <v>0.63555333840943096</v>
      </c>
      <c r="CY243" s="48">
        <f t="shared" si="1439"/>
        <v>0.74700567939681517</v>
      </c>
      <c r="CZ243" s="48">
        <f t="shared" si="1439"/>
        <v>0.80387711234283854</v>
      </c>
      <c r="DA243" s="48">
        <f t="shared" si="1439"/>
        <v>0.86609877611184771</v>
      </c>
      <c r="DB243" s="48">
        <f t="shared" si="1439"/>
        <v>0.90711463512811519</v>
      </c>
      <c r="DE243" s="129"/>
    </row>
    <row r="244" spans="1:110" s="51" customFormat="1" x14ac:dyDescent="0.2">
      <c r="A244" s="51" t="s">
        <v>347</v>
      </c>
      <c r="AB244" s="48">
        <f t="shared" ref="AB244:AD244" si="1440">+AB241/AB239-1</f>
        <v>-0.1156719980199028</v>
      </c>
      <c r="AC244" s="48">
        <f t="shared" si="1440"/>
        <v>-3.5516214624543685E-2</v>
      </c>
      <c r="AD244" s="48">
        <f t="shared" si="1440"/>
        <v>0.13676655186399578</v>
      </c>
      <c r="AE244" s="48">
        <f t="shared" ref="AE244" si="1441">+AE241/AE239-1</f>
        <v>0.33042102549561925</v>
      </c>
      <c r="CM244" s="48">
        <f t="shared" ref="CM244:DB244" si="1442">+CM241/CM239-1</f>
        <v>-0.1156719980199028</v>
      </c>
      <c r="CN244" s="48">
        <f t="shared" si="1442"/>
        <v>-9.9407926109418954E-2</v>
      </c>
      <c r="CO244" s="48">
        <f t="shared" si="1442"/>
        <v>-8.9197167901905128E-2</v>
      </c>
      <c r="CP244" s="48">
        <f t="shared" si="1442"/>
        <v>-0.10718130210634036</v>
      </c>
      <c r="CQ244" s="48">
        <f t="shared" si="1442"/>
        <v>-3.5516214624543685E-2</v>
      </c>
      <c r="CR244" s="48">
        <f t="shared" si="1442"/>
        <v>-6.1218043424722257E-3</v>
      </c>
      <c r="CS244" s="48">
        <f t="shared" si="1442"/>
        <v>2.986112171255817E-2</v>
      </c>
      <c r="CT244" s="48">
        <f t="shared" si="1442"/>
        <v>5.3960972275690189E-2</v>
      </c>
      <c r="CU244" s="48">
        <f t="shared" si="1442"/>
        <v>0.13676655186399578</v>
      </c>
      <c r="CV244" s="48">
        <f t="shared" si="1442"/>
        <v>0.17218763217026978</v>
      </c>
      <c r="CW244" s="48">
        <f t="shared" si="1442"/>
        <v>0.21230268796006313</v>
      </c>
      <c r="CX244" s="48">
        <f t="shared" si="1442"/>
        <v>0.23240698369088464</v>
      </c>
      <c r="CY244" s="48">
        <f t="shared" si="1442"/>
        <v>0.33042102549561925</v>
      </c>
      <c r="CZ244" s="48">
        <f t="shared" si="1442"/>
        <v>0.37279800974453337</v>
      </c>
      <c r="DA244" s="48">
        <f t="shared" si="1442"/>
        <v>0.41954924447952946</v>
      </c>
      <c r="DB244" s="48">
        <f t="shared" si="1442"/>
        <v>0.44247686595188829</v>
      </c>
      <c r="DE244" s="129"/>
    </row>
    <row r="245" spans="1:110" s="14" customFormat="1" x14ac:dyDescent="0.2">
      <c r="AB245" s="16"/>
      <c r="AC245" s="16"/>
      <c r="AD245" s="16"/>
      <c r="AE245" s="16"/>
      <c r="CM245" s="37"/>
      <c r="CN245" s="37"/>
      <c r="CO245" s="37"/>
      <c r="CP245" s="37"/>
      <c r="CQ245" s="37"/>
      <c r="CR245" s="37"/>
      <c r="CS245" s="37"/>
      <c r="CT245" s="37"/>
      <c r="CU245" s="37"/>
      <c r="CV245" s="37"/>
      <c r="CW245" s="37"/>
      <c r="CX245" s="37"/>
      <c r="CY245" s="37"/>
      <c r="CZ245" s="37"/>
      <c r="DA245" s="37"/>
      <c r="DB245" s="37"/>
      <c r="DE245" s="134"/>
    </row>
    <row r="246" spans="1:110" s="13" customFormat="1" x14ac:dyDescent="0.2">
      <c r="A246" s="13" t="s">
        <v>40</v>
      </c>
      <c r="AB246" s="37"/>
      <c r="AC246" s="37"/>
      <c r="AD246" s="37"/>
      <c r="AE246" s="37"/>
      <c r="CM246" s="37"/>
      <c r="CN246" s="37"/>
      <c r="CO246" s="37"/>
      <c r="CP246" s="37"/>
      <c r="CQ246" s="37"/>
      <c r="CR246" s="37"/>
      <c r="CS246" s="37"/>
      <c r="CT246" s="37"/>
      <c r="CU246" s="37"/>
      <c r="CV246" s="37"/>
      <c r="CW246" s="37"/>
      <c r="CX246" s="37"/>
      <c r="CY246" s="37"/>
      <c r="CZ246" s="37"/>
      <c r="DA246" s="37"/>
      <c r="DB246" s="37"/>
      <c r="DE246" s="134"/>
    </row>
    <row r="247" spans="1:110" s="13" customFormat="1" x14ac:dyDescent="0.2">
      <c r="A247" s="13" t="s">
        <v>460</v>
      </c>
      <c r="B247" s="13">
        <f t="shared" ref="B247:D247" si="1443">+B239/B231</f>
        <v>1.9405913864731188</v>
      </c>
      <c r="C247" s="13">
        <f t="shared" si="1443"/>
        <v>1.7002899685630897</v>
      </c>
      <c r="D247" s="13">
        <f t="shared" si="1443"/>
        <v>1.3419642011678685</v>
      </c>
      <c r="E247" s="13">
        <f t="shared" ref="E247:AE247" si="1444">+E239/E231</f>
        <v>14.540446120975229</v>
      </c>
      <c r="F247" s="13">
        <f t="shared" si="1444"/>
        <v>14.34933375155653</v>
      </c>
      <c r="G247" s="13">
        <f t="shared" si="1444"/>
        <v>29.429407807256478</v>
      </c>
      <c r="H247" s="13">
        <f t="shared" si="1444"/>
        <v>21.986734199818759</v>
      </c>
      <c r="I247" s="13">
        <f t="shared" si="1444"/>
        <v>39.532515903960565</v>
      </c>
      <c r="J247" s="13">
        <f t="shared" si="1444"/>
        <v>13.627749022466745</v>
      </c>
      <c r="K247" s="13">
        <f t="shared" si="1444"/>
        <v>18.703558819269539</v>
      </c>
      <c r="L247" s="13">
        <f t="shared" si="1444"/>
        <v>24.138264084078216</v>
      </c>
      <c r="M247" s="13">
        <f t="shared" si="1444"/>
        <v>17.199281253834261</v>
      </c>
      <c r="N247" s="13">
        <f t="shared" si="1444"/>
        <v>17.371805835428919</v>
      </c>
      <c r="O247" s="13">
        <f t="shared" si="1444"/>
        <v>25.552971717941293</v>
      </c>
      <c r="P247" s="13">
        <f t="shared" si="1444"/>
        <v>35.69056081790859</v>
      </c>
      <c r="Q247" s="13">
        <f t="shared" si="1444"/>
        <v>26.642486014436937</v>
      </c>
      <c r="R247" s="13">
        <f t="shared" si="1444"/>
        <v>24.440301361532388</v>
      </c>
      <c r="S247" s="13">
        <f t="shared" si="1444"/>
        <v>24.903409683642252</v>
      </c>
      <c r="T247" s="13">
        <f t="shared" si="1444"/>
        <v>23.678106497285896</v>
      </c>
      <c r="U247" s="13">
        <f t="shared" si="1444"/>
        <v>12.479039789936685</v>
      </c>
      <c r="V247" s="13">
        <f t="shared" si="1444"/>
        <v>28.273361766287085</v>
      </c>
      <c r="W247" s="13">
        <f t="shared" si="1444"/>
        <v>28.363032435490545</v>
      </c>
      <c r="X247" s="13">
        <f t="shared" si="1444"/>
        <v>28.814863450714206</v>
      </c>
      <c r="Y247" s="13">
        <f t="shared" si="1444"/>
        <v>40.043505186841912</v>
      </c>
      <c r="Z247" s="13">
        <f t="shared" ref="Z247:AA247" si="1445">+Z239/Z231</f>
        <v>32.978198887128634</v>
      </c>
      <c r="AA247" s="13">
        <f t="shared" si="1445"/>
        <v>27.072750096454023</v>
      </c>
      <c r="AB247" s="37">
        <f t="shared" si="1444"/>
        <v>24.898049585411592</v>
      </c>
      <c r="AC247" s="37">
        <f t="shared" si="1444"/>
        <v>20.667581174890032</v>
      </c>
      <c r="AD247" s="37">
        <f t="shared" si="1444"/>
        <v>17.209835710322661</v>
      </c>
      <c r="AE247" s="37">
        <f t="shared" si="1444"/>
        <v>14.444686696200428</v>
      </c>
      <c r="AL247" s="13">
        <f t="shared" ref="AL247:BQ247" si="1446">+AL239/AL231</f>
        <v>19.066184652208769</v>
      </c>
      <c r="AM247" s="13">
        <f t="shared" si="1446"/>
        <v>21.825688974542821</v>
      </c>
      <c r="AN247" s="13">
        <f t="shared" si="1446"/>
        <v>18.658085994206949</v>
      </c>
      <c r="AO247" s="13">
        <f t="shared" si="1446"/>
        <v>27.312214863870452</v>
      </c>
      <c r="AP247" s="13">
        <f t="shared" si="1446"/>
        <v>25.66805897985736</v>
      </c>
      <c r="AQ247" s="13">
        <f t="shared" si="1446"/>
        <v>32.469800260936289</v>
      </c>
      <c r="AR247" s="13">
        <f t="shared" si="1446"/>
        <v>27.531155575147434</v>
      </c>
      <c r="AS247" s="13">
        <f t="shared" si="1446"/>
        <v>27.493271295155505</v>
      </c>
      <c r="AT247" s="13">
        <f t="shared" si="1446"/>
        <v>35.687966367225741</v>
      </c>
      <c r="AU247" s="13">
        <f t="shared" si="1446"/>
        <v>39.695545047287233</v>
      </c>
      <c r="AV247" s="13">
        <f t="shared" si="1446"/>
        <v>33.714832630634369</v>
      </c>
      <c r="AW247" s="13">
        <f t="shared" si="1446"/>
        <v>30.597920361235062</v>
      </c>
      <c r="AX247" s="13">
        <f t="shared" si="1446"/>
        <v>26.948368062938492</v>
      </c>
      <c r="AY247" s="13">
        <f t="shared" si="1446"/>
        <v>31.692543213298521</v>
      </c>
      <c r="AZ247" s="13">
        <f t="shared" si="1446"/>
        <v>28.362968783980904</v>
      </c>
      <c r="BA247" s="13">
        <f t="shared" si="1446"/>
        <v>25.249440508643325</v>
      </c>
      <c r="BB247" s="13">
        <f t="shared" si="1446"/>
        <v>24.438483442317622</v>
      </c>
      <c r="BC247" s="13">
        <f t="shared" si="1446"/>
        <v>24.952946032001929</v>
      </c>
      <c r="BD247" s="13">
        <f t="shared" si="1446"/>
        <v>22.904124055800597</v>
      </c>
      <c r="BE247" s="13">
        <f t="shared" si="1446"/>
        <v>23.412225999387953</v>
      </c>
      <c r="BF247" s="13">
        <f t="shared" si="1446"/>
        <v>24.901530658711057</v>
      </c>
      <c r="BG247" s="13">
        <f t="shared" si="1446"/>
        <v>23.367149513478573</v>
      </c>
      <c r="BH247" s="13">
        <f t="shared" si="1446"/>
        <v>22.930359121657204</v>
      </c>
      <c r="BI247" s="13">
        <f t="shared" si="1446"/>
        <v>24.756729899445631</v>
      </c>
      <c r="BJ247" s="13">
        <f t="shared" si="1446"/>
        <v>23.676385266849476</v>
      </c>
      <c r="BK247" s="13">
        <f t="shared" si="1446"/>
        <v>25.825183628198211</v>
      </c>
      <c r="BL247" s="13">
        <f t="shared" si="1446"/>
        <v>23.126173508599141</v>
      </c>
      <c r="BM247" s="13">
        <f t="shared" si="1446"/>
        <v>19.752904143556918</v>
      </c>
      <c r="BN247" s="13">
        <f t="shared" si="1446"/>
        <v>12.478132652235214</v>
      </c>
      <c r="BO247" s="13">
        <f t="shared" si="1446"/>
        <v>17.074709151345171</v>
      </c>
      <c r="BP247" s="13">
        <f t="shared" si="1446"/>
        <v>19.386030819564585</v>
      </c>
      <c r="BQ247" s="13">
        <f t="shared" si="1446"/>
        <v>27.247529269230771</v>
      </c>
      <c r="BR247" s="13">
        <f t="shared" ref="BR247:DB247" si="1447">+BR239/BR231</f>
        <v>28.471152403689725</v>
      </c>
      <c r="BS247" s="13">
        <f t="shared" si="1447"/>
        <v>25.956921707312812</v>
      </c>
      <c r="BT247" s="13">
        <f t="shared" si="1447"/>
        <v>27.331714607874186</v>
      </c>
      <c r="BU247" s="13">
        <f t="shared" si="1447"/>
        <v>31.146810778387341</v>
      </c>
      <c r="BV247" s="13">
        <f t="shared" si="1447"/>
        <v>28.361003728248505</v>
      </c>
      <c r="BW247" s="13">
        <f t="shared" si="1447"/>
        <v>23.536213409421105</v>
      </c>
      <c r="BX247" s="13">
        <f t="shared" si="1447"/>
        <v>26.471526845969464</v>
      </c>
      <c r="BY247" s="13">
        <f t="shared" si="1447"/>
        <v>28.788322251937586</v>
      </c>
      <c r="BZ247" s="13">
        <f t="shared" si="1447"/>
        <v>28.812713055468208</v>
      </c>
      <c r="CA247" s="13">
        <f t="shared" si="1447"/>
        <v>30.594071328673859</v>
      </c>
      <c r="CB247" s="13">
        <f t="shared" si="1447"/>
        <v>34.299254930549019</v>
      </c>
      <c r="CC247" s="13">
        <f t="shared" si="1447"/>
        <v>38.353532336951623</v>
      </c>
      <c r="CD247" s="13">
        <f t="shared" si="1447"/>
        <v>40.040594307971183</v>
      </c>
      <c r="CE247" s="13">
        <f t="shared" si="1447"/>
        <v>36.825284012484317</v>
      </c>
      <c r="CF247" s="13">
        <f t="shared" si="1447"/>
        <v>37.643356392135118</v>
      </c>
      <c r="CG247" s="13">
        <f t="shared" si="1447"/>
        <v>35.853600108651968</v>
      </c>
      <c r="CH247" s="13">
        <f t="shared" si="1447"/>
        <v>32.97580160592431</v>
      </c>
      <c r="CI247" s="13">
        <f t="shared" ref="CI247:CJ247" si="1448">+CI239/CI231</f>
        <v>32.781210308695726</v>
      </c>
      <c r="CJ247" s="13">
        <f t="shared" si="1448"/>
        <v>31.604325006593598</v>
      </c>
      <c r="CK247" s="13">
        <f t="shared" ref="CK247" si="1449">+CK239/CK231</f>
        <v>32.798154197260693</v>
      </c>
      <c r="CL247" s="13">
        <f t="shared" ref="CL247" si="1450">+CL239/CL231</f>
        <v>27.769250699752849</v>
      </c>
      <c r="CM247" s="37">
        <f t="shared" si="1447"/>
        <v>29.465716480040435</v>
      </c>
      <c r="CN247" s="37">
        <f t="shared" si="1447"/>
        <v>27.563252161356136</v>
      </c>
      <c r="CO247" s="37">
        <f t="shared" si="1447"/>
        <v>26.333082461980471</v>
      </c>
      <c r="CP247" s="37">
        <f t="shared" si="1447"/>
        <v>24.898049585411592</v>
      </c>
      <c r="CQ247" s="37">
        <f t="shared" si="1447"/>
        <v>23.996196414378932</v>
      </c>
      <c r="CR247" s="37">
        <f t="shared" si="1447"/>
        <v>22.997480234983325</v>
      </c>
      <c r="CS247" s="37">
        <f t="shared" si="1447"/>
        <v>21.947936156247152</v>
      </c>
      <c r="CT247" s="37">
        <f t="shared" si="1447"/>
        <v>20.667581174890071</v>
      </c>
      <c r="CU247" s="37">
        <f t="shared" si="1447"/>
        <v>19.816175145952577</v>
      </c>
      <c r="CV247" s="37">
        <f t="shared" si="1447"/>
        <v>18.951355038702008</v>
      </c>
      <c r="CW247" s="37">
        <f t="shared" si="1447"/>
        <v>18.103312490058052</v>
      </c>
      <c r="CX247" s="37">
        <f t="shared" si="1447"/>
        <v>17.209835710322661</v>
      </c>
      <c r="CY247" s="37">
        <f t="shared" si="1447"/>
        <v>16.530873669915049</v>
      </c>
      <c r="CZ247" s="37">
        <f t="shared" si="1447"/>
        <v>15.837706865572494</v>
      </c>
      <c r="DA247" s="37">
        <f t="shared" si="1447"/>
        <v>15.161085803699837</v>
      </c>
      <c r="DB247" s="37">
        <f t="shared" si="1447"/>
        <v>14.444686696200424</v>
      </c>
      <c r="DE247" s="134"/>
      <c r="DF247" s="13">
        <v>27.072750096454023</v>
      </c>
    </row>
    <row r="248" spans="1:110" s="13" customFormat="1" x14ac:dyDescent="0.2">
      <c r="A248" s="13" t="s">
        <v>461</v>
      </c>
      <c r="B248" s="13">
        <f t="shared" ref="B248:D248" si="1451">+B240/B231</f>
        <v>2.831527151794714</v>
      </c>
      <c r="C248" s="13">
        <f t="shared" si="1451"/>
        <v>2.4344954017379199</v>
      </c>
      <c r="D248" s="13">
        <f t="shared" si="1451"/>
        <v>1.5988742174759276</v>
      </c>
      <c r="E248" s="13">
        <f t="shared" ref="E248:AE248" si="1452">+E240/E231</f>
        <v>15.531581257453301</v>
      </c>
      <c r="F248" s="13">
        <f t="shared" si="1452"/>
        <v>16.553318742689029</v>
      </c>
      <c r="G248" s="13">
        <f t="shared" si="1452"/>
        <v>31.653006078642516</v>
      </c>
      <c r="H248" s="13">
        <f t="shared" si="1452"/>
        <v>24.143787423819749</v>
      </c>
      <c r="I248" s="13">
        <f t="shared" si="1452"/>
        <v>61.034398727683218</v>
      </c>
      <c r="J248" s="13">
        <f t="shared" si="1452"/>
        <v>33.043720591159193</v>
      </c>
      <c r="K248" s="13">
        <f t="shared" si="1452"/>
        <v>20.700590816666264</v>
      </c>
      <c r="L248" s="13">
        <f t="shared" si="1452"/>
        <v>32.29628922061454</v>
      </c>
      <c r="M248" s="13">
        <f t="shared" si="1452"/>
        <v>24.582528591632062</v>
      </c>
      <c r="N248" s="13">
        <f t="shared" si="1452"/>
        <v>21.88498800939265</v>
      </c>
      <c r="O248" s="13">
        <f t="shared" si="1452"/>
        <v>26.122198723169468</v>
      </c>
      <c r="P248" s="13">
        <f t="shared" si="1452"/>
        <v>39.302179813996659</v>
      </c>
      <c r="Q248" s="13">
        <f t="shared" si="1452"/>
        <v>41.320826545577759</v>
      </c>
      <c r="R248" s="13">
        <f t="shared" si="1452"/>
        <v>25.019705057603353</v>
      </c>
      <c r="S248" s="13">
        <f t="shared" si="1452"/>
        <v>27.896982141230772</v>
      </c>
      <c r="T248" s="13">
        <f t="shared" si="1452"/>
        <v>24.962049918853978</v>
      </c>
      <c r="U248" s="13">
        <f t="shared" si="1452"/>
        <v>24.849814997200561</v>
      </c>
      <c r="V248" s="13">
        <f t="shared" si="1452"/>
        <v>31.754831525149175</v>
      </c>
      <c r="W248" s="13">
        <f t="shared" si="1452"/>
        <v>33.349771709206166</v>
      </c>
      <c r="X248" s="13">
        <f t="shared" si="1452"/>
        <v>30.57922892034912</v>
      </c>
      <c r="Y248" s="13">
        <f t="shared" si="1452"/>
        <v>40.445627241525493</v>
      </c>
      <c r="Z248" s="13">
        <f t="shared" ref="Z248:AA248" si="1453">+Z240/Z231</f>
        <v>37.437010080117666</v>
      </c>
      <c r="AA248" s="13">
        <f t="shared" si="1453"/>
        <v>34.30157532981076</v>
      </c>
      <c r="AB248" s="60">
        <f t="shared" si="1452"/>
        <v>30.229534531156951</v>
      </c>
      <c r="AC248" s="60">
        <f t="shared" si="1452"/>
        <v>29.021319488301177</v>
      </c>
      <c r="AD248" s="60">
        <f t="shared" si="1452"/>
        <v>28.147604249496066</v>
      </c>
      <c r="AE248" s="60">
        <f t="shared" si="1452"/>
        <v>27.547673398164221</v>
      </c>
      <c r="AL248" s="13">
        <f t="shared" ref="AL248:BQ248" si="1454">+AL240/AL231</f>
        <v>23.202383110351498</v>
      </c>
      <c r="AM248" s="13">
        <f t="shared" si="1454"/>
        <v>25.679749852111382</v>
      </c>
      <c r="AN248" s="13">
        <f t="shared" si="1454"/>
        <v>23.89162469813618</v>
      </c>
      <c r="AO248" s="13">
        <f t="shared" si="1454"/>
        <v>29.418260032829522</v>
      </c>
      <c r="AP248" s="13">
        <f t="shared" si="1454"/>
        <v>26.23984970949941</v>
      </c>
      <c r="AQ248" s="13">
        <f t="shared" si="1454"/>
        <v>33.86468883585065</v>
      </c>
      <c r="AR248" s="13">
        <f t="shared" si="1454"/>
        <v>33.302979367377823</v>
      </c>
      <c r="AS248" s="13">
        <f t="shared" si="1454"/>
        <v>31.095964580140457</v>
      </c>
      <c r="AT248" s="13">
        <f t="shared" si="1454"/>
        <v>39.299322824223474</v>
      </c>
      <c r="AU248" s="13">
        <f t="shared" si="1454"/>
        <v>40.524970963995273</v>
      </c>
      <c r="AV248" s="13">
        <f t="shared" si="1454"/>
        <v>43.35897119351884</v>
      </c>
      <c r="AW248" s="13">
        <f t="shared" si="1454"/>
        <v>38.627280954598014</v>
      </c>
      <c r="AX248" s="13">
        <f t="shared" si="1454"/>
        <v>28.611314143454461</v>
      </c>
      <c r="AY248" s="13">
        <f t="shared" si="1454"/>
        <v>32.090765250733355</v>
      </c>
      <c r="AZ248" s="13">
        <f t="shared" si="1454"/>
        <v>31.995386153130521</v>
      </c>
      <c r="BA248" s="13">
        <f t="shared" si="1454"/>
        <v>28.441640412878112</v>
      </c>
      <c r="BB248" s="13">
        <f t="shared" si="1454"/>
        <v>24.677043688902192</v>
      </c>
      <c r="BC248" s="13">
        <f t="shared" si="1454"/>
        <v>27.114411081106564</v>
      </c>
      <c r="BD248" s="13">
        <f t="shared" si="1454"/>
        <v>25.086759431780546</v>
      </c>
      <c r="BE248" s="13">
        <f t="shared" si="1454"/>
        <v>23.748429252730528</v>
      </c>
      <c r="BF248" s="13">
        <f t="shared" si="1454"/>
        <v>27.894877243724189</v>
      </c>
      <c r="BG248" s="13">
        <f t="shared" si="1454"/>
        <v>26.183044507158208</v>
      </c>
      <c r="BH248" s="13">
        <f t="shared" si="1454"/>
        <v>25.14527992735314</v>
      </c>
      <c r="BI248" s="13">
        <f t="shared" si="1454"/>
        <v>25.111257974474189</v>
      </c>
      <c r="BJ248" s="13">
        <f t="shared" si="1454"/>
        <v>24.787458727404999</v>
      </c>
      <c r="BK248" s="13">
        <f t="shared" si="1454"/>
        <v>26.717312730064112</v>
      </c>
      <c r="BL248" s="13">
        <f t="shared" si="1454"/>
        <v>24.92727736440904</v>
      </c>
      <c r="BM248" s="13">
        <f t="shared" si="1454"/>
        <v>22.748648488051096</v>
      </c>
      <c r="BN248" s="13">
        <f t="shared" si="1454"/>
        <v>21.401578819849661</v>
      </c>
      <c r="BO248" s="13">
        <f t="shared" si="1454"/>
        <v>17.996224358443353</v>
      </c>
      <c r="BP248" s="13">
        <f t="shared" si="1454"/>
        <v>22.017521512009221</v>
      </c>
      <c r="BQ248" s="13">
        <f t="shared" si="1454"/>
        <v>28.323632615384621</v>
      </c>
      <c r="BR248" s="13">
        <f t="shared" ref="BR248:CH248" si="1455">+BR240/BR231</f>
        <v>31.976977318065174</v>
      </c>
      <c r="BS248" s="13">
        <f t="shared" si="1455"/>
        <v>27.36434447299159</v>
      </c>
      <c r="BT248" s="13">
        <f t="shared" si="1455"/>
        <v>29.046416017527683</v>
      </c>
      <c r="BU248" s="13">
        <f t="shared" si="1455"/>
        <v>32.592384397363155</v>
      </c>
      <c r="BV248" s="13">
        <f t="shared" si="1455"/>
        <v>33.347386318168006</v>
      </c>
      <c r="BW248" s="13">
        <f t="shared" si="1455"/>
        <v>28.115575570163614</v>
      </c>
      <c r="BX248" s="13">
        <f t="shared" si="1455"/>
        <v>28.566395876945467</v>
      </c>
      <c r="BY248" s="13">
        <f t="shared" si="1455"/>
        <v>30.502126414182062</v>
      </c>
      <c r="BZ248" s="13">
        <f t="shared" si="1455"/>
        <v>30.576946854060338</v>
      </c>
      <c r="CA248" s="13">
        <f t="shared" si="1455"/>
        <v>30.698544920400384</v>
      </c>
      <c r="CB248" s="13">
        <f t="shared" si="1455"/>
        <v>34.697073850556215</v>
      </c>
      <c r="CC248" s="13">
        <f t="shared" si="1455"/>
        <v>38.709115758626481</v>
      </c>
      <c r="CD248" s="13">
        <f t="shared" si="1455"/>
        <v>40.442687131232915</v>
      </c>
      <c r="CE248" s="13">
        <f t="shared" si="1455"/>
        <v>40.967013143544143</v>
      </c>
      <c r="CF248" s="13">
        <f t="shared" si="1455"/>
        <v>39.30763211345792</v>
      </c>
      <c r="CG248" s="13">
        <f t="shared" si="1455"/>
        <v>39.381324066127426</v>
      </c>
      <c r="CH248" s="13">
        <f t="shared" si="1455"/>
        <v>35.176707298900638</v>
      </c>
      <c r="CI248" s="13">
        <f t="shared" ref="CI248:CJ248" si="1456">+CI240/CI231</f>
        <v>33.330311554002279</v>
      </c>
      <c r="CJ248" s="13">
        <f t="shared" si="1456"/>
        <v>32.77821474322748</v>
      </c>
      <c r="CK248" s="13">
        <f t="shared" ref="CK248" si="1457">+CK240/CK231</f>
        <v>33.247179893331541</v>
      </c>
      <c r="CL248" s="13">
        <f t="shared" ref="CL248" si="1458">+CL240/CL231</f>
        <v>35.184051909626071</v>
      </c>
      <c r="CM248" s="60">
        <f t="shared" ref="CM248:CM249" si="1459">+CL248</f>
        <v>35.184051909626071</v>
      </c>
      <c r="CN248" s="60">
        <f t="shared" ref="CN248:CN249" si="1460">+CM248</f>
        <v>35.184051909626071</v>
      </c>
      <c r="CO248" s="60">
        <f t="shared" ref="CO248:CO249" si="1461">+CN248</f>
        <v>35.184051909626071</v>
      </c>
      <c r="CP248" s="60">
        <f t="shared" ref="CP248:CP249" si="1462">+CO248</f>
        <v>35.184051909626071</v>
      </c>
      <c r="CQ248" s="60">
        <f t="shared" ref="CQ248:CQ249" si="1463">+CP248</f>
        <v>35.184051909626071</v>
      </c>
      <c r="CR248" s="60">
        <f t="shared" ref="CR248:CR249" si="1464">+CQ248</f>
        <v>35.184051909626071</v>
      </c>
      <c r="CS248" s="60">
        <f t="shared" ref="CS248:CS249" si="1465">+CR248</f>
        <v>35.184051909626071</v>
      </c>
      <c r="CT248" s="60">
        <f t="shared" ref="CT248:CT249" si="1466">+CS248</f>
        <v>35.184051909626071</v>
      </c>
      <c r="CU248" s="60">
        <f t="shared" ref="CU248:CU249" si="1467">+CT248</f>
        <v>35.184051909626071</v>
      </c>
      <c r="CV248" s="60">
        <f t="shared" ref="CV248:CV249" si="1468">+CU248</f>
        <v>35.184051909626071</v>
      </c>
      <c r="CW248" s="60">
        <f t="shared" ref="CW248:CW249" si="1469">+CV248</f>
        <v>35.184051909626071</v>
      </c>
      <c r="CX248" s="60">
        <f t="shared" ref="CX248:CX249" si="1470">+CW248</f>
        <v>35.184051909626071</v>
      </c>
      <c r="CY248" s="60">
        <f t="shared" ref="CY248:CY249" si="1471">+CX248</f>
        <v>35.184051909626071</v>
      </c>
      <c r="CZ248" s="60">
        <f t="shared" ref="CZ248:CZ249" si="1472">+CY248</f>
        <v>35.184051909626071</v>
      </c>
      <c r="DA248" s="60">
        <f t="shared" ref="DA248:DA249" si="1473">+CZ248</f>
        <v>35.184051909626071</v>
      </c>
      <c r="DB248" s="60">
        <f t="shared" ref="DB248:DB249" si="1474">+DA248</f>
        <v>35.184051909626071</v>
      </c>
      <c r="DE248" s="136"/>
      <c r="DF248" s="13">
        <v>34.30157532981076</v>
      </c>
    </row>
    <row r="249" spans="1:110" s="13" customFormat="1" x14ac:dyDescent="0.2">
      <c r="A249" s="13" t="s">
        <v>462</v>
      </c>
      <c r="B249" s="13">
        <f t="shared" ref="B249:D249" si="1475">+B241/B231</f>
        <v>1.2386287091700277</v>
      </c>
      <c r="C249" s="13">
        <f t="shared" si="1475"/>
        <v>1.3522361437396637</v>
      </c>
      <c r="D249" s="13">
        <f t="shared" si="1475"/>
        <v>1.0581640275658899</v>
      </c>
      <c r="E249" s="13">
        <f t="shared" ref="E249:AE249" si="1476">+E241/E231</f>
        <v>4.4404879422287031</v>
      </c>
      <c r="F249" s="13">
        <f t="shared" si="1476"/>
        <v>5.8253839477755633</v>
      </c>
      <c r="G249" s="13">
        <f t="shared" si="1476"/>
        <v>11.117991356930306</v>
      </c>
      <c r="H249" s="13">
        <f t="shared" si="1476"/>
        <v>12.256910080666634</v>
      </c>
      <c r="I249" s="13">
        <f t="shared" si="1476"/>
        <v>19.708752308639411</v>
      </c>
      <c r="J249" s="13">
        <f t="shared" si="1476"/>
        <v>11.284704089071552</v>
      </c>
      <c r="K249" s="13">
        <f t="shared" si="1476"/>
        <v>7.6247176174720837</v>
      </c>
      <c r="L249" s="13">
        <f t="shared" si="1476"/>
        <v>21.3612504268626</v>
      </c>
      <c r="M249" s="13">
        <f t="shared" si="1476"/>
        <v>12.779203502676737</v>
      </c>
      <c r="N249" s="13">
        <f t="shared" si="1476"/>
        <v>14.0817393042117</v>
      </c>
      <c r="O249" s="13">
        <f t="shared" si="1476"/>
        <v>13.615267451330697</v>
      </c>
      <c r="P249" s="13">
        <f t="shared" si="1476"/>
        <v>25.796240423624507</v>
      </c>
      <c r="Q249" s="13">
        <f t="shared" si="1476"/>
        <v>22.269981320733905</v>
      </c>
      <c r="R249" s="13">
        <f t="shared" si="1476"/>
        <v>18.234175141052056</v>
      </c>
      <c r="S249" s="13">
        <f t="shared" si="1476"/>
        <v>19.969804853412338</v>
      </c>
      <c r="T249" s="13">
        <f t="shared" si="1476"/>
        <v>20.245418322234119</v>
      </c>
      <c r="U249" s="13">
        <f t="shared" si="1476"/>
        <v>10.224043196551584</v>
      </c>
      <c r="V249" s="13">
        <f t="shared" si="1476"/>
        <v>15.209627403445586</v>
      </c>
      <c r="W249" s="13">
        <f t="shared" si="1476"/>
        <v>20.96436423871954</v>
      </c>
      <c r="X249" s="13">
        <f t="shared" si="1476"/>
        <v>19.391381487469896</v>
      </c>
      <c r="Y249" s="13">
        <f t="shared" si="1476"/>
        <v>22.870559234121274</v>
      </c>
      <c r="Z249" s="13">
        <f t="shared" ref="Z249:AA249" si="1477">+Z241/Z231</f>
        <v>29.674711018085702</v>
      </c>
      <c r="AA249" s="13">
        <f t="shared" si="1477"/>
        <v>22.926817573764168</v>
      </c>
      <c r="AB249" s="60">
        <f t="shared" si="1476"/>
        <v>22.018042443068421</v>
      </c>
      <c r="AC249" s="60">
        <f t="shared" si="1476"/>
        <v>19.933546926112459</v>
      </c>
      <c r="AD249" s="60">
        <f t="shared" si="1476"/>
        <v>19.563565598569351</v>
      </c>
      <c r="AE249" s="60">
        <f t="shared" si="1476"/>
        <v>19.217514887321901</v>
      </c>
      <c r="AL249" s="13">
        <f t="shared" ref="AL249:BQ249" si="1478">+AL241/AL231</f>
        <v>18.592638121539963</v>
      </c>
      <c r="AM249" s="13">
        <f t="shared" si="1478"/>
        <v>20.411989289869062</v>
      </c>
      <c r="AN249" s="13">
        <f t="shared" si="1478"/>
        <v>16.043682618148303</v>
      </c>
      <c r="AO249" s="13">
        <f t="shared" si="1478"/>
        <v>19.837669100582978</v>
      </c>
      <c r="AP249" s="13">
        <f t="shared" si="1478"/>
        <v>19.192806290207262</v>
      </c>
      <c r="AQ249" s="13">
        <f t="shared" si="1478"/>
        <v>23.708335292783431</v>
      </c>
      <c r="AR249" s="13">
        <f t="shared" si="1478"/>
        <v>27.113687711268227</v>
      </c>
      <c r="AS249" s="13">
        <f t="shared" si="1478"/>
        <v>25.720400810703428</v>
      </c>
      <c r="AT249" s="13">
        <f t="shared" si="1478"/>
        <v>30.862097965793719</v>
      </c>
      <c r="AU249" s="13">
        <f t="shared" si="1478"/>
        <v>34.409485647917613</v>
      </c>
      <c r="AV249" s="13">
        <f t="shared" si="1478"/>
        <v>32.483886092575823</v>
      </c>
      <c r="AW249" s="13">
        <f t="shared" si="1478"/>
        <v>30.354461033310859</v>
      </c>
      <c r="AX249" s="13">
        <f t="shared" si="1478"/>
        <v>22.525662697568869</v>
      </c>
      <c r="AY249" s="13">
        <f t="shared" si="1478"/>
        <v>24.931241386213312</v>
      </c>
      <c r="AZ249" s="13">
        <f t="shared" si="1478"/>
        <v>27.984571337835529</v>
      </c>
      <c r="BA249" s="13">
        <f t="shared" si="1478"/>
        <v>24.237142649211268</v>
      </c>
      <c r="BB249" s="13">
        <f t="shared" si="1478"/>
        <v>20.912748888900161</v>
      </c>
      <c r="BC249" s="13">
        <f t="shared" si="1478"/>
        <v>23.32962959977429</v>
      </c>
      <c r="BD249" s="13">
        <f t="shared" si="1478"/>
        <v>22.358214334176189</v>
      </c>
      <c r="BE249" s="13">
        <f t="shared" si="1478"/>
        <v>20.945183289957239</v>
      </c>
      <c r="BF249" s="13">
        <f t="shared" si="1478"/>
        <v>23.596568212803298</v>
      </c>
      <c r="BG249" s="13">
        <f t="shared" si="1478"/>
        <v>22.159549636946249</v>
      </c>
      <c r="BH249" s="13">
        <f t="shared" si="1478"/>
        <v>22.195371097862719</v>
      </c>
      <c r="BI249" s="13">
        <f t="shared" si="1478"/>
        <v>20.366433203339565</v>
      </c>
      <c r="BJ249" s="13">
        <f t="shared" si="1478"/>
        <v>20.56726130293929</v>
      </c>
      <c r="BK249" s="13">
        <f t="shared" si="1478"/>
        <v>21.366200987651322</v>
      </c>
      <c r="BL249" s="13">
        <f t="shared" si="1478"/>
        <v>19.954664545107789</v>
      </c>
      <c r="BM249" s="13">
        <f t="shared" si="1478"/>
        <v>19.093688319527359</v>
      </c>
      <c r="BN249" s="13">
        <f t="shared" si="1478"/>
        <v>10.223299981111838</v>
      </c>
      <c r="BO249" s="13">
        <f t="shared" si="1478"/>
        <v>13.800119784414349</v>
      </c>
      <c r="BP249" s="13">
        <f t="shared" si="1478"/>
        <v>18.098211497017189</v>
      </c>
      <c r="BQ249" s="13">
        <f t="shared" si="1478"/>
        <v>18.543472115384617</v>
      </c>
      <c r="BR249" s="13">
        <f t="shared" ref="BR249:CH249" si="1479">+BR241/BR231</f>
        <v>25.714066506240734</v>
      </c>
      <c r="BS249" s="13">
        <f t="shared" si="1479"/>
        <v>22.587925074726702</v>
      </c>
      <c r="BT249" s="13">
        <f t="shared" si="1479"/>
        <v>23.684062474844325</v>
      </c>
      <c r="BU249" s="13">
        <f t="shared" si="1479"/>
        <v>27.685323522488467</v>
      </c>
      <c r="BV249" s="13">
        <f t="shared" si="1479"/>
        <v>25.593822142949655</v>
      </c>
      <c r="BW249" s="13">
        <f t="shared" si="1479"/>
        <v>22.020844349792661</v>
      </c>
      <c r="BX249" s="13">
        <f t="shared" si="1479"/>
        <v>21.979657980506911</v>
      </c>
      <c r="BY249" s="13">
        <f t="shared" si="1479"/>
        <v>25.030923915551348</v>
      </c>
      <c r="BZ249" s="13">
        <f t="shared" si="1479"/>
        <v>27.393206947434631</v>
      </c>
      <c r="CA249" s="13">
        <f t="shared" si="1479"/>
        <v>26.650656881197389</v>
      </c>
      <c r="CB249" s="13">
        <f t="shared" si="1479"/>
        <v>27.466530541267097</v>
      </c>
      <c r="CC249" s="13">
        <f t="shared" si="1479"/>
        <v>31.065703309230159</v>
      </c>
      <c r="CD249" s="13">
        <f t="shared" si="1479"/>
        <v>34.628785623385163</v>
      </c>
      <c r="CE249" s="13">
        <f t="shared" si="1479"/>
        <v>32.946044227656493</v>
      </c>
      <c r="CF249" s="13">
        <f t="shared" si="1479"/>
        <v>34.832522720030241</v>
      </c>
      <c r="CG249" s="13">
        <f t="shared" si="1479"/>
        <v>32.424751794491669</v>
      </c>
      <c r="CH249" s="13">
        <f t="shared" si="1479"/>
        <v>29.672553877023788</v>
      </c>
      <c r="CI249" s="13">
        <f t="shared" ref="CI249:CJ249" si="1480">+CI241/CI231</f>
        <v>26.518149888266716</v>
      </c>
      <c r="CJ249" s="13">
        <f t="shared" si="1480"/>
        <v>29.414618985720228</v>
      </c>
      <c r="CK249" s="13">
        <f t="shared" ref="CK249" si="1481">+CK241/CK231</f>
        <v>29.036459501912262</v>
      </c>
      <c r="CL249" s="13">
        <f t="shared" ref="CL249" si="1482">+CL241/CL231</f>
        <v>26.060367637971122</v>
      </c>
      <c r="CM249" s="60">
        <f t="shared" si="1459"/>
        <v>26.060367637971122</v>
      </c>
      <c r="CN249" s="60">
        <f t="shared" si="1460"/>
        <v>26.060367637971122</v>
      </c>
      <c r="CO249" s="60">
        <f t="shared" si="1461"/>
        <v>26.060367637971122</v>
      </c>
      <c r="CP249" s="60">
        <f t="shared" si="1462"/>
        <v>26.060367637971122</v>
      </c>
      <c r="CQ249" s="60">
        <f t="shared" si="1463"/>
        <v>26.060367637971122</v>
      </c>
      <c r="CR249" s="60">
        <f t="shared" si="1464"/>
        <v>26.060367637971122</v>
      </c>
      <c r="CS249" s="60">
        <f t="shared" si="1465"/>
        <v>26.060367637971122</v>
      </c>
      <c r="CT249" s="60">
        <f t="shared" si="1466"/>
        <v>26.060367637971122</v>
      </c>
      <c r="CU249" s="60">
        <f t="shared" si="1467"/>
        <v>26.060367637971122</v>
      </c>
      <c r="CV249" s="60">
        <f t="shared" si="1468"/>
        <v>26.060367637971122</v>
      </c>
      <c r="CW249" s="60">
        <f t="shared" si="1469"/>
        <v>26.060367637971122</v>
      </c>
      <c r="CX249" s="60">
        <f t="shared" si="1470"/>
        <v>26.060367637971122</v>
      </c>
      <c r="CY249" s="60">
        <f t="shared" si="1471"/>
        <v>26.060367637971122</v>
      </c>
      <c r="CZ249" s="60">
        <f t="shared" si="1472"/>
        <v>26.060367637971122</v>
      </c>
      <c r="DA249" s="60">
        <f t="shared" si="1473"/>
        <v>26.060367637971122</v>
      </c>
      <c r="DB249" s="60">
        <f t="shared" si="1474"/>
        <v>26.060367637971122</v>
      </c>
      <c r="DE249" s="136"/>
      <c r="DF249" s="13">
        <v>22.926817573764168</v>
      </c>
    </row>
    <row r="250" spans="1:110" s="13" customFormat="1" x14ac:dyDescent="0.2">
      <c r="AB250" s="60"/>
      <c r="AC250" s="60"/>
      <c r="AD250" s="60"/>
      <c r="AE250" s="60"/>
      <c r="CM250" s="60"/>
      <c r="CN250" s="60"/>
      <c r="CO250" s="60"/>
      <c r="CP250" s="60"/>
      <c r="CQ250" s="60"/>
      <c r="CR250" s="60"/>
      <c r="CS250" s="60"/>
      <c r="CT250" s="60"/>
      <c r="CU250" s="60"/>
      <c r="CV250" s="60"/>
      <c r="CW250" s="60"/>
      <c r="CX250" s="60"/>
      <c r="CY250" s="60"/>
      <c r="CZ250" s="60"/>
      <c r="DA250" s="60"/>
      <c r="DB250" s="60"/>
      <c r="DE250" s="136"/>
    </row>
    <row r="251" spans="1:110" s="13" customFormat="1" x14ac:dyDescent="0.2">
      <c r="A251" s="13" t="s">
        <v>463</v>
      </c>
      <c r="B251" s="13">
        <f t="shared" ref="B251:AD251" si="1483">+B240/C231</f>
        <v>3.0374751360941796</v>
      </c>
      <c r="C251" s="13">
        <f t="shared" si="1483"/>
        <v>1.880857488558052</v>
      </c>
      <c r="D251" s="13">
        <f t="shared" si="1483"/>
        <v>5.5695971909367863</v>
      </c>
      <c r="E251" s="13">
        <f t="shared" si="1483"/>
        <v>8.8462204256443293</v>
      </c>
      <c r="F251" s="13">
        <f t="shared" si="1483"/>
        <v>13.888415753815071</v>
      </c>
      <c r="G251" s="13">
        <f t="shared" si="1483"/>
        <v>17.764287237255903</v>
      </c>
      <c r="H251" s="13">
        <f t="shared" si="1483"/>
        <v>23.237507695464771</v>
      </c>
      <c r="I251" s="13">
        <f t="shared" si="1483"/>
        <v>47.306614089734445</v>
      </c>
      <c r="J251" s="13">
        <f t="shared" si="1483"/>
        <v>18.757035345545937</v>
      </c>
      <c r="K251" s="13">
        <f t="shared" si="1483"/>
        <v>26.280886345888867</v>
      </c>
      <c r="L251" s="13">
        <f t="shared" si="1483"/>
        <v>29.111841552956651</v>
      </c>
      <c r="M251" s="13">
        <f t="shared" si="1483"/>
        <v>23.77311709993841</v>
      </c>
      <c r="N251" s="13">
        <f t="shared" si="1483"/>
        <v>23.016715708168025</v>
      </c>
      <c r="O251" s="13">
        <f t="shared" si="1483"/>
        <v>27.011878780744073</v>
      </c>
      <c r="P251" s="13">
        <f t="shared" si="1483"/>
        <v>41.467598997721211</v>
      </c>
      <c r="Q251" s="13">
        <f t="shared" si="1483"/>
        <v>29.221931061860175</v>
      </c>
      <c r="R251" s="13">
        <f t="shared" si="1483"/>
        <v>20.438044891166683</v>
      </c>
      <c r="S251" s="13">
        <f t="shared" si="1483"/>
        <v>25.14168224299075</v>
      </c>
      <c r="T251" s="13">
        <f t="shared" si="1483"/>
        <v>22.566978939699592</v>
      </c>
      <c r="U251" s="13">
        <f t="shared" si="1483"/>
        <v>32.027927063061632</v>
      </c>
      <c r="V251" s="13">
        <f t="shared" si="1483"/>
        <v>25.563558046754611</v>
      </c>
      <c r="W251" s="13">
        <f t="shared" si="1483"/>
        <v>27.662801350398087</v>
      </c>
      <c r="X251" s="13">
        <f t="shared" si="1483"/>
        <v>24.374538158960267</v>
      </c>
      <c r="Y251" s="13">
        <f t="shared" si="1483"/>
        <v>36.010568363716516</v>
      </c>
      <c r="Z251" s="13">
        <f t="shared" ref="Z251:AA251" si="1484">+Z240/AA231</f>
        <v>30.616473655864876</v>
      </c>
      <c r="AA251" s="13">
        <f t="shared" si="1484"/>
        <v>27.98666839474113</v>
      </c>
      <c r="AB251" s="37">
        <f t="shared" si="1483"/>
        <v>25.093184775722239</v>
      </c>
      <c r="AC251" s="37">
        <f t="shared" si="1483"/>
        <v>24.165969702214365</v>
      </c>
      <c r="AD251" s="37">
        <f t="shared" si="1483"/>
        <v>23.625055548248902</v>
      </c>
      <c r="AE251" s="37"/>
      <c r="AL251" s="13">
        <f t="shared" ref="AL251:BQ251" si="1485">+AL240/AP231</f>
        <v>22.33378958108046</v>
      </c>
      <c r="AM251" s="13">
        <f t="shared" si="1485"/>
        <v>21.01683004665917</v>
      </c>
      <c r="AN251" s="13">
        <f t="shared" si="1485"/>
        <v>19.075070088019409</v>
      </c>
      <c r="AO251" s="13">
        <f t="shared" si="1485"/>
        <v>21.171564210181895</v>
      </c>
      <c r="AP251" s="13">
        <f t="shared" si="1485"/>
        <v>27.009915208703124</v>
      </c>
      <c r="AQ251" s="13">
        <f t="shared" si="1485"/>
        <v>39.516299983407912</v>
      </c>
      <c r="AR251" s="13">
        <f t="shared" si="1485"/>
        <v>40.52584027259033</v>
      </c>
      <c r="AS251" s="13">
        <f t="shared" si="1485"/>
        <v>40.598941718673998</v>
      </c>
      <c r="AT251" s="13">
        <f t="shared" si="1485"/>
        <v>41.943687982847855</v>
      </c>
      <c r="AU251" s="13">
        <f t="shared" si="1485"/>
        <v>38.551282347415544</v>
      </c>
      <c r="AV251" s="13">
        <f t="shared" si="1485"/>
        <v>37.369224229933288</v>
      </c>
      <c r="AW251" s="13">
        <f t="shared" si="1485"/>
        <v>30.133169553223066</v>
      </c>
      <c r="AX251" s="13">
        <f t="shared" si="1485"/>
        <v>20.002657039105426</v>
      </c>
      <c r="AY251" s="13">
        <f t="shared" si="1485"/>
        <v>22.398218532102693</v>
      </c>
      <c r="AZ251" s="13">
        <f t="shared" si="1485"/>
        <v>21.608926480966279</v>
      </c>
      <c r="BA251" s="13">
        <f t="shared" si="1485"/>
        <v>18.874568608706031</v>
      </c>
      <c r="BB251" s="13">
        <f t="shared" si="1485"/>
        <v>20.158110800785987</v>
      </c>
      <c r="BC251" s="13">
        <f t="shared" si="1485"/>
        <v>22.473243770271807</v>
      </c>
      <c r="BD251" s="13">
        <f t="shared" si="1485"/>
        <v>22.628036461623513</v>
      </c>
      <c r="BE251" s="13">
        <f t="shared" si="1485"/>
        <v>21.942878430165575</v>
      </c>
      <c r="BF251" s="13">
        <f t="shared" si="1485"/>
        <v>25.139854620976109</v>
      </c>
      <c r="BG251" s="13">
        <f t="shared" si="1485"/>
        <v>23.687565808163519</v>
      </c>
      <c r="BH251" s="13">
        <f t="shared" si="1485"/>
        <v>21.754202223651774</v>
      </c>
      <c r="BI251" s="13">
        <f t="shared" si="1485"/>
        <v>22.188277020565764</v>
      </c>
      <c r="BJ251" s="13">
        <f t="shared" si="1485"/>
        <v>22.409139509312542</v>
      </c>
      <c r="BK251" s="13">
        <f t="shared" si="1485"/>
        <v>29.059832840915512</v>
      </c>
      <c r="BL251" s="13">
        <f t="shared" si="1485"/>
        <v>34.190045600774546</v>
      </c>
      <c r="BM251" s="13">
        <f t="shared" si="1485"/>
        <v>31.657754192307699</v>
      </c>
      <c r="BN251" s="13">
        <f t="shared" si="1485"/>
        <v>27.778618996612988</v>
      </c>
      <c r="BO251" s="13">
        <f t="shared" si="1485"/>
        <v>17.203754936736885</v>
      </c>
      <c r="BP251" s="13">
        <f t="shared" si="1485"/>
        <v>16.448134860312155</v>
      </c>
      <c r="BQ251" s="13">
        <f t="shared" si="1485"/>
        <v>21.998359654772361</v>
      </c>
      <c r="BR251" s="13">
        <f t="shared" ref="BR251:CL251" si="1486">+BR240/BV231</f>
        <v>25.561729575999248</v>
      </c>
      <c r="BS251" s="13">
        <f t="shared" si="1486"/>
        <v>23.923180471031959</v>
      </c>
      <c r="BT251" s="13">
        <f t="shared" si="1486"/>
        <v>25.917381722943006</v>
      </c>
      <c r="BU251" s="13">
        <f t="shared" si="1486"/>
        <v>27.362221928524008</v>
      </c>
      <c r="BV251" s="13">
        <f t="shared" si="1486"/>
        <v>27.660736931227174</v>
      </c>
      <c r="BW251" s="13">
        <f t="shared" si="1486"/>
        <v>22.996553918502073</v>
      </c>
      <c r="BX251" s="13">
        <f t="shared" si="1486"/>
        <v>22.643330824945913</v>
      </c>
      <c r="BY251" s="13">
        <f t="shared" si="1486"/>
        <v>24.037221823005503</v>
      </c>
      <c r="BZ251" s="13">
        <f t="shared" si="1486"/>
        <v>24.372766302880741</v>
      </c>
      <c r="CA251" s="13">
        <f t="shared" si="1486"/>
        <v>25.760787439792058</v>
      </c>
      <c r="CB251" s="13">
        <f t="shared" si="1486"/>
        <v>31.308866954361871</v>
      </c>
      <c r="CC251" s="13">
        <f t="shared" si="1486"/>
        <v>35.374127767952842</v>
      </c>
      <c r="CD251" s="13">
        <f t="shared" si="1486"/>
        <v>36.00795065075436</v>
      </c>
      <c r="CE251" s="13">
        <f t="shared" si="1486"/>
        <v>35.283664397354791</v>
      </c>
      <c r="CF251" s="13">
        <f t="shared" si="1486"/>
        <v>33.152235534958514</v>
      </c>
      <c r="CG251" s="13">
        <f t="shared" si="1486"/>
        <v>31.833431726811522</v>
      </c>
      <c r="CH251" s="13">
        <f t="shared" si="1486"/>
        <v>29.510227322398084</v>
      </c>
      <c r="CI251" s="13">
        <f t="shared" si="1486"/>
        <v>27.824587967228055</v>
      </c>
      <c r="CJ251" s="13">
        <f t="shared" si="1486"/>
        <v>26.479562778910918</v>
      </c>
      <c r="CK251" s="13">
        <f t="shared" si="1486"/>
        <v>27.593070458262574</v>
      </c>
      <c r="CL251" s="13">
        <f t="shared" si="1486"/>
        <v>27.98666839474113</v>
      </c>
      <c r="CM251" s="37"/>
      <c r="CN251" s="37"/>
      <c r="CO251" s="37"/>
      <c r="CP251" s="37"/>
      <c r="CQ251" s="37"/>
      <c r="CR251" s="37"/>
      <c r="CS251" s="37"/>
      <c r="CT251" s="37"/>
      <c r="CU251" s="37"/>
      <c r="CV251" s="37"/>
      <c r="CW251" s="37"/>
      <c r="CX251" s="37"/>
      <c r="CY251" s="37"/>
      <c r="CZ251" s="37"/>
      <c r="DA251" s="37"/>
      <c r="DB251" s="37"/>
      <c r="DE251" s="134"/>
      <c r="DF251" s="13">
        <v>27.98666839474113</v>
      </c>
    </row>
    <row r="252" spans="1:110" s="98" customFormat="1" x14ac:dyDescent="0.2">
      <c r="A252" s="98" t="s">
        <v>426</v>
      </c>
      <c r="AB252" s="99"/>
      <c r="AC252" s="99"/>
      <c r="AD252" s="99"/>
      <c r="AE252" s="99"/>
      <c r="AL252" s="175"/>
      <c r="AM252" s="175"/>
      <c r="AN252" s="175"/>
      <c r="AO252" s="175">
        <f t="shared" ref="AO252:CI252" si="1487">+CORREL(AL231:AO231,AL248:AO248)</f>
        <v>-0.83617756909447605</v>
      </c>
      <c r="AP252" s="175">
        <f t="shared" si="1487"/>
        <v>-0.3470805789597039</v>
      </c>
      <c r="AQ252" s="175">
        <f t="shared" si="1487"/>
        <v>0.46447470622658565</v>
      </c>
      <c r="AR252" s="175">
        <f t="shared" si="1487"/>
        <v>0.45195397256553038</v>
      </c>
      <c r="AS252" s="175">
        <f t="shared" si="1487"/>
        <v>0.7055563668611543</v>
      </c>
      <c r="AT252" s="175">
        <f t="shared" si="1487"/>
        <v>-0.99946346418402632</v>
      </c>
      <c r="AU252" s="175">
        <f t="shared" si="1487"/>
        <v>-0.97894982424101284</v>
      </c>
      <c r="AV252" s="175">
        <f t="shared" si="1487"/>
        <v>-0.98350773780537681</v>
      </c>
      <c r="AW252" s="175">
        <f t="shared" si="1487"/>
        <v>-0.11468955684966445</v>
      </c>
      <c r="AX252" s="175">
        <f t="shared" si="1487"/>
        <v>-0.41284824744343601</v>
      </c>
      <c r="AY252" s="175">
        <f t="shared" si="1487"/>
        <v>-0.64773661994534448</v>
      </c>
      <c r="AZ252" s="175">
        <f t="shared" si="1487"/>
        <v>-0.5600861965314029</v>
      </c>
      <c r="BA252" s="175">
        <f t="shared" si="1487"/>
        <v>-0.10869746614924908</v>
      </c>
      <c r="BB252" s="175">
        <f t="shared" si="1487"/>
        <v>-0.96518586506627513</v>
      </c>
      <c r="BC252" s="175">
        <f t="shared" si="1487"/>
        <v>-0.81900246895682205</v>
      </c>
      <c r="BD252" s="175">
        <f t="shared" si="1487"/>
        <v>-0.71812398621029594</v>
      </c>
      <c r="BE252" s="175">
        <f t="shared" si="1487"/>
        <v>-0.56131094515266222</v>
      </c>
      <c r="BF252" s="175">
        <f t="shared" si="1487"/>
        <v>-0.38795778763693833</v>
      </c>
      <c r="BG252" s="175">
        <f t="shared" si="1487"/>
        <v>5.9370454691337532E-2</v>
      </c>
      <c r="BH252" s="175">
        <f t="shared" si="1487"/>
        <v>-0.48753588768315681</v>
      </c>
      <c r="BI252" s="175">
        <f t="shared" si="1487"/>
        <v>-0.84550332416419616</v>
      </c>
      <c r="BJ252" s="175">
        <f t="shared" si="1487"/>
        <v>-0.80216496885271316</v>
      </c>
      <c r="BK252" s="175">
        <f t="shared" si="1487"/>
        <v>0.60729601848401549</v>
      </c>
      <c r="BL252" s="175">
        <f t="shared" si="1487"/>
        <v>-1.9685358631035477E-2</v>
      </c>
      <c r="BM252" s="175">
        <f t="shared" si="1487"/>
        <v>-0.67567586291771053</v>
      </c>
      <c r="BN252" s="175">
        <f t="shared" si="1487"/>
        <v>-0.85173842026951541</v>
      </c>
      <c r="BO252" s="175">
        <f t="shared" si="1487"/>
        <v>0.81012462755757819</v>
      </c>
      <c r="BP252" s="175">
        <f t="shared" si="1487"/>
        <v>0.2241230673450198</v>
      </c>
      <c r="BQ252" s="175">
        <f t="shared" si="1487"/>
        <v>-0.48786865018423486</v>
      </c>
      <c r="BR252" s="175">
        <f t="shared" si="1487"/>
        <v>-0.49785027385334157</v>
      </c>
      <c r="BS252" s="175">
        <f t="shared" si="1487"/>
        <v>0.2329502942890383</v>
      </c>
      <c r="BT252" s="175">
        <f t="shared" si="1487"/>
        <v>-0.33563426033207794</v>
      </c>
      <c r="BU252" s="175">
        <f t="shared" si="1487"/>
        <v>-0.29574634459659926</v>
      </c>
      <c r="BV252" s="175">
        <f t="shared" si="1487"/>
        <v>0.63611728169001314</v>
      </c>
      <c r="BW252" s="175">
        <f t="shared" si="1487"/>
        <v>-0.73145301259469842</v>
      </c>
      <c r="BX252" s="175">
        <f t="shared" si="1487"/>
        <v>-0.86563322707314394</v>
      </c>
      <c r="BY252" s="175">
        <f t="shared" si="1487"/>
        <v>-0.49937144854056853</v>
      </c>
      <c r="BZ252" s="175">
        <f t="shared" si="1487"/>
        <v>0.92869924572120388</v>
      </c>
      <c r="CA252" s="175">
        <f t="shared" si="1487"/>
        <v>0.72618491174093869</v>
      </c>
      <c r="CB252" s="175">
        <f t="shared" si="1487"/>
        <v>0.88135619163298695</v>
      </c>
      <c r="CC252" s="175">
        <f t="shared" si="1487"/>
        <v>0.93188372479598403</v>
      </c>
      <c r="CD252" s="175">
        <f t="shared" si="1487"/>
        <v>0.989754775725321</v>
      </c>
      <c r="CE252" s="175">
        <f t="shared" si="1487"/>
        <v>0.9756581978652501</v>
      </c>
      <c r="CF252" s="175">
        <f t="shared" si="1487"/>
        <v>0.4066515980320628</v>
      </c>
      <c r="CG252" s="175">
        <f t="shared" si="1487"/>
        <v>-0.69449763454869429</v>
      </c>
      <c r="CH252" s="175">
        <f t="shared" si="1487"/>
        <v>-0.95350010421735099</v>
      </c>
      <c r="CI252" s="175">
        <f t="shared" si="1487"/>
        <v>-0.96600704508083413</v>
      </c>
      <c r="CJ252" s="175">
        <f>+CORREL(CG231:CJ231,CG248:CJ248)</f>
        <v>-0.94977320527576425</v>
      </c>
      <c r="CK252" s="175">
        <f>+CORREL(CH231:CK231,CH248:CK248)</f>
        <v>-0.7063075158655453</v>
      </c>
      <c r="CL252" s="175">
        <f>+CORREL(CI231:CL231,CI248:CL248)</f>
        <v>0.63845054919384714</v>
      </c>
      <c r="CM252" s="99"/>
      <c r="CN252" s="99"/>
      <c r="CO252" s="99"/>
      <c r="CP252" s="99"/>
      <c r="CQ252" s="99"/>
      <c r="CR252" s="99"/>
      <c r="CS252" s="99"/>
      <c r="CT252" s="99"/>
      <c r="CU252" s="99"/>
      <c r="CV252" s="99"/>
      <c r="CW252" s="99"/>
      <c r="CX252" s="99"/>
      <c r="CY252" s="99"/>
      <c r="CZ252" s="99"/>
      <c r="DA252" s="99"/>
      <c r="DB252" s="99"/>
      <c r="DE252" s="137"/>
      <c r="DF252" s="175"/>
    </row>
    <row r="253" spans="1:110" s="4" customFormat="1" x14ac:dyDescent="0.2">
      <c r="A253" s="3"/>
      <c r="AB253" s="17"/>
      <c r="AC253" s="17"/>
      <c r="AD253" s="17"/>
      <c r="AE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E253" s="119"/>
    </row>
    <row r="254" spans="1:110" s="162" customFormat="1" x14ac:dyDescent="0.2">
      <c r="A254" s="49" t="s">
        <v>505</v>
      </c>
      <c r="E254" s="162">
        <f t="shared" ref="E254:AE254" si="1488">+E$287/E$227</f>
        <v>19.244139134227456</v>
      </c>
      <c r="F254" s="162">
        <f t="shared" si="1488"/>
        <v>24.104459709955297</v>
      </c>
      <c r="G254" s="162">
        <f t="shared" si="1488"/>
        <v>36.088249191291396</v>
      </c>
      <c r="H254" s="162">
        <f t="shared" si="1488"/>
        <v>50.314760295133212</v>
      </c>
      <c r="I254" s="162">
        <f t="shared" si="1488"/>
        <v>78.734489150583371</v>
      </c>
      <c r="J254" s="162">
        <f t="shared" si="1488"/>
        <v>101.68066005161197</v>
      </c>
      <c r="K254" s="162">
        <f t="shared" si="1488"/>
        <v>152.5915748918693</v>
      </c>
      <c r="L254" s="162">
        <f t="shared" si="1488"/>
        <v>182.09973467088287</v>
      </c>
      <c r="M254" s="162">
        <f t="shared" si="1488"/>
        <v>213.62105186639042</v>
      </c>
      <c r="N254" s="162">
        <f t="shared" si="1488"/>
        <v>246.13593573946864</v>
      </c>
      <c r="O254" s="162">
        <f t="shared" si="1488"/>
        <v>274.13666266855671</v>
      </c>
      <c r="P254" s="162">
        <f t="shared" si="1488"/>
        <v>297.37992948787848</v>
      </c>
      <c r="Q254" s="162">
        <f t="shared" si="1488"/>
        <v>321.15988805292039</v>
      </c>
      <c r="R254" s="162">
        <f t="shared" si="1488"/>
        <v>365.03849089521316</v>
      </c>
      <c r="S254" s="162">
        <f t="shared" si="1488"/>
        <v>399.10951186711736</v>
      </c>
      <c r="T254" s="162">
        <f t="shared" si="1488"/>
        <v>453.42056482390143</v>
      </c>
      <c r="U254" s="162">
        <f t="shared" si="1488"/>
        <v>485.03049467524443</v>
      </c>
      <c r="V254" s="162">
        <f t="shared" si="1488"/>
        <v>551.51041325918652</v>
      </c>
      <c r="W254" s="162">
        <f t="shared" si="1488"/>
        <v>599.04525133573225</v>
      </c>
      <c r="X254" s="162">
        <f t="shared" si="1488"/>
        <v>649.33631374259437</v>
      </c>
      <c r="Y254" s="162">
        <f t="shared" si="1488"/>
        <v>627.77043579398833</v>
      </c>
      <c r="Z254" s="162">
        <f t="shared" si="1488"/>
        <v>709.88696252680541</v>
      </c>
      <c r="AA254" s="162">
        <f t="shared" si="1488"/>
        <v>794.45934649074991</v>
      </c>
      <c r="AB254" s="21">
        <f t="shared" si="1488"/>
        <v>953.10631144476008</v>
      </c>
      <c r="AC254" s="21">
        <f t="shared" si="1488"/>
        <v>1144.2268865413282</v>
      </c>
      <c r="AD254" s="21">
        <f t="shared" si="1488"/>
        <v>1373.746799833164</v>
      </c>
      <c r="AE254" s="21">
        <f t="shared" si="1488"/>
        <v>1647.2037520728427</v>
      </c>
      <c r="AL254" s="162">
        <f t="shared" ref="AL254:BQ254" si="1489">+AL$287/AL$227</f>
        <v>246.15382937733997</v>
      </c>
      <c r="AM254" s="162">
        <f t="shared" si="1489"/>
        <v>249.48769583075864</v>
      </c>
      <c r="AN254" s="162">
        <f t="shared" si="1489"/>
        <v>254.2172222020283</v>
      </c>
      <c r="AO254" s="162">
        <f t="shared" si="1489"/>
        <v>260.0087964814075</v>
      </c>
      <c r="AP254" s="162">
        <f t="shared" si="1489"/>
        <v>274.15659190869104</v>
      </c>
      <c r="AQ254" s="162">
        <f t="shared" si="1489"/>
        <v>281.18570753516775</v>
      </c>
      <c r="AR254" s="162">
        <f t="shared" si="1489"/>
        <v>288.02210025080876</v>
      </c>
      <c r="AS254" s="162">
        <f t="shared" si="1489"/>
        <v>294.32168950601579</v>
      </c>
      <c r="AT254" s="162">
        <f t="shared" si="1489"/>
        <v>297.40154847152053</v>
      </c>
      <c r="AU254" s="162">
        <f t="shared" si="1489"/>
        <v>300.44716658791032</v>
      </c>
      <c r="AV254" s="162">
        <f t="shared" si="1489"/>
        <v>306.67943731598268</v>
      </c>
      <c r="AW254" s="162">
        <f t="shared" si="1489"/>
        <v>311.77078259605253</v>
      </c>
      <c r="AX254" s="162">
        <f t="shared" si="1489"/>
        <v>321.18323579659045</v>
      </c>
      <c r="AY254" s="162">
        <f t="shared" si="1489"/>
        <v>325.61491766929589</v>
      </c>
      <c r="AZ254" s="162">
        <f t="shared" si="1489"/>
        <v>336.1612445930719</v>
      </c>
      <c r="BA254" s="162">
        <f t="shared" si="1489"/>
        <v>343.23041692413943</v>
      </c>
      <c r="BB254" s="162">
        <f t="shared" si="1489"/>
        <v>365.06502853404089</v>
      </c>
      <c r="BC254" s="162">
        <f t="shared" si="1489"/>
        <v>371.55363309221764</v>
      </c>
      <c r="BD254" s="162">
        <f t="shared" si="1489"/>
        <v>369.46356003053319</v>
      </c>
      <c r="BE254" s="162">
        <f t="shared" si="1489"/>
        <v>380.29544545818032</v>
      </c>
      <c r="BF254" s="162">
        <f t="shared" si="1489"/>
        <v>399.13852640761877</v>
      </c>
      <c r="BG254" s="162">
        <f t="shared" si="1489"/>
        <v>407.96975755152482</v>
      </c>
      <c r="BH254" s="162">
        <f t="shared" si="1489"/>
        <v>409.63003889353348</v>
      </c>
      <c r="BI254" s="162">
        <f t="shared" si="1489"/>
        <v>424.47224746465054</v>
      </c>
      <c r="BJ254" s="162">
        <f t="shared" si="1489"/>
        <v>453.45352767983718</v>
      </c>
      <c r="BK254" s="162">
        <f t="shared" si="1489"/>
        <v>464.15891825088147</v>
      </c>
      <c r="BL254" s="162">
        <f t="shared" si="1489"/>
        <v>459.89596888517315</v>
      </c>
      <c r="BM254" s="162">
        <f t="shared" si="1489"/>
        <v>476.99545636290935</v>
      </c>
      <c r="BN254" s="162">
        <f t="shared" si="1489"/>
        <v>485.06575551597541</v>
      </c>
      <c r="BO254" s="162">
        <f t="shared" si="1489"/>
        <v>487.26952855221543</v>
      </c>
      <c r="BP254" s="162">
        <f t="shared" si="1489"/>
        <v>525.80785867471195</v>
      </c>
      <c r="BQ254" s="162">
        <f t="shared" si="1489"/>
        <v>543.74039475119037</v>
      </c>
      <c r="BR254" s="162">
        <f t="shared" ref="BR254:DB254" si="1490">+BR$287/BR$227</f>
        <v>551.55050706989925</v>
      </c>
      <c r="BS254" s="162">
        <f t="shared" si="1490"/>
        <v>560.08847370142848</v>
      </c>
      <c r="BT254" s="162">
        <f t="shared" si="1490"/>
        <v>556.42535712987524</v>
      </c>
      <c r="BU254" s="162">
        <f t="shared" si="1490"/>
        <v>571.36294573079863</v>
      </c>
      <c r="BV254" s="162">
        <f t="shared" si="1490"/>
        <v>599.08880084329894</v>
      </c>
      <c r="BW254" s="162">
        <f t="shared" si="1490"/>
        <v>611.46254225582481</v>
      </c>
      <c r="BX254" s="162">
        <f t="shared" si="1490"/>
        <v>594.92508451164986</v>
      </c>
      <c r="BY254" s="162">
        <f t="shared" si="1490"/>
        <v>613.48435171385995</v>
      </c>
      <c r="BZ254" s="162">
        <f t="shared" si="1490"/>
        <v>649.38351931954492</v>
      </c>
      <c r="CA254" s="162">
        <f t="shared" si="1490"/>
        <v>667.50717894660318</v>
      </c>
      <c r="CB254" s="162">
        <f t="shared" si="1490"/>
        <v>570.0394024208498</v>
      </c>
      <c r="CC254" s="162">
        <f t="shared" si="1490"/>
        <v>591.46617716549747</v>
      </c>
      <c r="CD254" s="162">
        <f t="shared" si="1490"/>
        <v>627.81607357057169</v>
      </c>
      <c r="CE254" s="162">
        <f t="shared" si="1490"/>
        <v>648.06775471629521</v>
      </c>
      <c r="CF254" s="162">
        <f t="shared" si="1490"/>
        <v>648.68503507687831</v>
      </c>
      <c r="CG254" s="162">
        <f t="shared" si="1490"/>
        <v>673.10319508560201</v>
      </c>
      <c r="CH254" s="162">
        <f t="shared" si="1490"/>
        <v>709.93857002653476</v>
      </c>
      <c r="CI254" s="162">
        <f t="shared" si="1490"/>
        <v>736.23488786303642</v>
      </c>
      <c r="CJ254" s="162">
        <f t="shared" si="1490"/>
        <v>737.04009305368766</v>
      </c>
      <c r="CK254" s="162">
        <f t="shared" si="1490"/>
        <v>760.38572259377725</v>
      </c>
      <c r="CL254" s="162">
        <f t="shared" si="1490"/>
        <v>794.45934649074991</v>
      </c>
      <c r="CM254" s="21">
        <f t="shared" si="1490"/>
        <v>828.61622257445822</v>
      </c>
      <c r="CN254" s="21">
        <f t="shared" si="1490"/>
        <v>866.41083797757165</v>
      </c>
      <c r="CO254" s="21">
        <f t="shared" si="1490"/>
        <v>906.246476823237</v>
      </c>
      <c r="CP254" s="21">
        <f t="shared" si="1490"/>
        <v>953.10631144476008</v>
      </c>
      <c r="CQ254" s="21">
        <f t="shared" si="1490"/>
        <v>993.22564365892185</v>
      </c>
      <c r="CR254" s="21">
        <f t="shared" si="1490"/>
        <v>1038.1687853544033</v>
      </c>
      <c r="CS254" s="21">
        <f t="shared" si="1490"/>
        <v>1086.2178405031739</v>
      </c>
      <c r="CT254" s="21">
        <f t="shared" si="1490"/>
        <v>1144.2268865413282</v>
      </c>
      <c r="CU254" s="21">
        <f t="shared" si="1490"/>
        <v>1192.557753458465</v>
      </c>
      <c r="CV254" s="21">
        <f t="shared" si="1490"/>
        <v>1246.5971532433171</v>
      </c>
      <c r="CW254" s="21">
        <f t="shared" si="1490"/>
        <v>1304.4099532543212</v>
      </c>
      <c r="CX254" s="21">
        <f t="shared" si="1490"/>
        <v>1373.746799833164</v>
      </c>
      <c r="CY254" s="21">
        <f t="shared" si="1490"/>
        <v>1431.5045918937924</v>
      </c>
      <c r="CZ254" s="21">
        <f t="shared" si="1490"/>
        <v>1496.0019460916039</v>
      </c>
      <c r="DA254" s="21">
        <f t="shared" si="1490"/>
        <v>1564.9453826518686</v>
      </c>
      <c r="DB254" s="21">
        <f t="shared" si="1490"/>
        <v>1647.2037520728427</v>
      </c>
      <c r="DE254" s="22"/>
      <c r="DF254" s="162">
        <v>794.45934649074991</v>
      </c>
    </row>
    <row r="255" spans="1:110" s="162" customFormat="1" x14ac:dyDescent="0.2">
      <c r="A255" s="49" t="s">
        <v>501</v>
      </c>
      <c r="AB255" s="21"/>
      <c r="AC255" s="21"/>
      <c r="AD255" s="21"/>
      <c r="AE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E255" s="22"/>
    </row>
    <row r="256" spans="1:110" s="162" customFormat="1" x14ac:dyDescent="0.2">
      <c r="A256" s="49" t="s">
        <v>502</v>
      </c>
      <c r="E256" s="162">
        <f t="shared" ref="E256:AE258" si="1491">+E239/E$254</f>
        <v>3.3161611554326655</v>
      </c>
      <c r="F256" s="162">
        <f t="shared" si="1491"/>
        <v>4.5872101491889055</v>
      </c>
      <c r="G256" s="162">
        <f t="shared" si="1491"/>
        <v>7.489664778587084</v>
      </c>
      <c r="H256" s="162">
        <f t="shared" si="1491"/>
        <v>7.1512039210870375</v>
      </c>
      <c r="I256" s="162">
        <f t="shared" si="1491"/>
        <v>8.5372723571268345</v>
      </c>
      <c r="J256" s="162">
        <f t="shared" si="1491"/>
        <v>2.9401417674099428</v>
      </c>
      <c r="K256" s="162">
        <f t="shared" si="1491"/>
        <v>4.73697334033307</v>
      </c>
      <c r="L256" s="162">
        <f t="shared" si="1491"/>
        <v>4.0350293706126221</v>
      </c>
      <c r="M256" s="162">
        <f t="shared" si="1491"/>
        <v>2.7189371887631095</v>
      </c>
      <c r="N256" s="162">
        <f t="shared" si="1491"/>
        <v>2.4645821033801538</v>
      </c>
      <c r="O256" s="162">
        <f t="shared" si="1491"/>
        <v>3.0949283655616919</v>
      </c>
      <c r="P256" s="162">
        <f t="shared" si="1491"/>
        <v>3.8536561696464862</v>
      </c>
      <c r="Q256" s="162">
        <f t="shared" si="1491"/>
        <v>2.5245992110521511</v>
      </c>
      <c r="R256" s="162">
        <f t="shared" si="1491"/>
        <v>2.8811573561847683</v>
      </c>
      <c r="S256" s="162">
        <f t="shared" si="1491"/>
        <v>3.2870677370295156</v>
      </c>
      <c r="T256" s="162">
        <f t="shared" si="1491"/>
        <v>3.0524641081013484</v>
      </c>
      <c r="U256" s="162">
        <f t="shared" si="1491"/>
        <v>1.6635036536006507</v>
      </c>
      <c r="V256" s="162">
        <f t="shared" si="1491"/>
        <v>2.571755611318685</v>
      </c>
      <c r="W256" s="162">
        <f t="shared" si="1491"/>
        <v>2.9504448888610595</v>
      </c>
      <c r="X256" s="162">
        <f t="shared" si="1491"/>
        <v>3.3337885995055192</v>
      </c>
      <c r="Y256" s="162">
        <f t="shared" si="1491"/>
        <v>6.0119110184387905</v>
      </c>
      <c r="Z256" s="162">
        <f t="shared" si="1491"/>
        <v>4.9176843417069795</v>
      </c>
      <c r="AA256" s="162">
        <f t="shared" ref="AA256" si="1492">+AA239/AA$254</f>
        <v>4.4109242536814959</v>
      </c>
      <c r="AB256" s="21">
        <f t="shared" si="1491"/>
        <v>4.1443435559800434</v>
      </c>
      <c r="AC256" s="21">
        <f t="shared" si="1491"/>
        <v>3.4521125543026909</v>
      </c>
      <c r="AD256" s="21">
        <f t="shared" si="1491"/>
        <v>2.8753479174471681</v>
      </c>
      <c r="AE256" s="21">
        <f t="shared" si="1491"/>
        <v>2.3980032798184903</v>
      </c>
      <c r="AL256" s="162">
        <f t="shared" ref="AL256:CI258" si="1493">+AL239/AL$254</f>
        <v>2.4644029457380663</v>
      </c>
      <c r="AM256" s="162">
        <f t="shared" si="1493"/>
        <v>2.5013925620203974</v>
      </c>
      <c r="AN256" s="162">
        <f t="shared" si="1493"/>
        <v>2.0680476671856987</v>
      </c>
      <c r="AO256" s="162">
        <f t="shared" si="1493"/>
        <v>2.7432405223169849</v>
      </c>
      <c r="AP256" s="162">
        <f t="shared" si="1493"/>
        <v>3.094703386216251</v>
      </c>
      <c r="AQ256" s="162">
        <f t="shared" si="1493"/>
        <v>4.0343444549297418</v>
      </c>
      <c r="AR256" s="162">
        <f t="shared" si="1493"/>
        <v>3.3734679821001152</v>
      </c>
      <c r="AS256" s="162">
        <f t="shared" si="1493"/>
        <v>3.3897150710881441</v>
      </c>
      <c r="AT256" s="162">
        <f t="shared" si="1493"/>
        <v>3.8533760361699736</v>
      </c>
      <c r="AU256" s="162">
        <f t="shared" si="1493"/>
        <v>3.9557703722003548</v>
      </c>
      <c r="AV256" s="162">
        <f t="shared" si="1493"/>
        <v>3.1883454872539692</v>
      </c>
      <c r="AW256" s="162">
        <f t="shared" si="1493"/>
        <v>2.7277518638916254</v>
      </c>
      <c r="AX256" s="162">
        <f t="shared" si="1493"/>
        <v>2.5244156905919279</v>
      </c>
      <c r="AY256" s="162">
        <f t="shared" si="1493"/>
        <v>3.0633322140348729</v>
      </c>
      <c r="AZ256" s="162">
        <f t="shared" si="1493"/>
        <v>2.8392128738358537</v>
      </c>
      <c r="BA256" s="162">
        <f t="shared" si="1493"/>
        <v>2.6209798305807759</v>
      </c>
      <c r="BB256" s="162">
        <f t="shared" si="1493"/>
        <v>2.8809479164758174</v>
      </c>
      <c r="BC256" s="162">
        <f t="shared" si="1493"/>
        <v>3.0283649513413087</v>
      </c>
      <c r="BD256" s="162">
        <f t="shared" si="1493"/>
        <v>3.0888025869335776</v>
      </c>
      <c r="BE256" s="162">
        <f t="shared" si="1493"/>
        <v>3.3051934095230235</v>
      </c>
      <c r="BF256" s="162">
        <f t="shared" si="1493"/>
        <v>3.2868287905142664</v>
      </c>
      <c r="BG256" s="162">
        <f t="shared" si="1493"/>
        <v>3.1161623538711449</v>
      </c>
      <c r="BH256" s="162">
        <f t="shared" si="1493"/>
        <v>3.0921804548841054</v>
      </c>
      <c r="BI256" s="162">
        <f t="shared" si="1493"/>
        <v>3.3889141365356195</v>
      </c>
      <c r="BJ256" s="162">
        <f t="shared" si="1493"/>
        <v>3.0522422156063023</v>
      </c>
      <c r="BK256" s="162">
        <f t="shared" si="1493"/>
        <v>3.3459445438481579</v>
      </c>
      <c r="BL256" s="162">
        <f t="shared" si="1493"/>
        <v>3.2107261204732964</v>
      </c>
      <c r="BM256" s="162">
        <f t="shared" si="1493"/>
        <v>2.7231915580590527</v>
      </c>
      <c r="BN256" s="162">
        <f t="shared" si="1493"/>
        <v>1.6633827286812597</v>
      </c>
      <c r="BO256" s="162">
        <f t="shared" si="1493"/>
        <v>1.9374287631015619</v>
      </c>
      <c r="BP256" s="162">
        <f t="shared" si="1493"/>
        <v>1.7163113580588296</v>
      </c>
      <c r="BQ256" s="162">
        <f t="shared" si="1493"/>
        <v>2.3679498753981094</v>
      </c>
      <c r="BR256" s="162">
        <f t="shared" si="1493"/>
        <v>2.5715686629225583</v>
      </c>
      <c r="BS256" s="162">
        <f t="shared" si="1493"/>
        <v>2.6803801015199702</v>
      </c>
      <c r="BT256" s="162">
        <f t="shared" si="1493"/>
        <v>3.0608777586720728</v>
      </c>
      <c r="BU256" s="162">
        <f t="shared" si="1493"/>
        <v>3.3166308983796817</v>
      </c>
      <c r="BV256" s="162">
        <f t="shared" si="1493"/>
        <v>2.9502304124398151</v>
      </c>
      <c r="BW256" s="162">
        <f t="shared" si="1493"/>
        <v>2.5464356234409506</v>
      </c>
      <c r="BX256" s="162">
        <f t="shared" si="1493"/>
        <v>3.1074500775463583</v>
      </c>
      <c r="BY256" s="162">
        <f t="shared" si="1493"/>
        <v>3.4007387379508707</v>
      </c>
      <c r="BZ256" s="162">
        <f t="shared" si="1493"/>
        <v>3.3335462567148739</v>
      </c>
      <c r="CA256" s="162">
        <f t="shared" si="1493"/>
        <v>3.7070762353522886</v>
      </c>
      <c r="CB256" s="162">
        <f t="shared" si="1493"/>
        <v>5.3013002034005865</v>
      </c>
      <c r="CC256" s="162">
        <f t="shared" si="1493"/>
        <v>5.9632319415165824</v>
      </c>
      <c r="CD256" s="162">
        <f t="shared" si="1493"/>
        <v>6.0114739951393741</v>
      </c>
      <c r="CE256" s="162">
        <f t="shared" si="1493"/>
        <v>5.4768964728908971</v>
      </c>
      <c r="CF256" s="162">
        <f t="shared" si="1493"/>
        <v>5.6660779904756113</v>
      </c>
      <c r="CG256" s="162">
        <f t="shared" si="1493"/>
        <v>5.3602479179156948</v>
      </c>
      <c r="CH256" s="162">
        <f t="shared" si="1493"/>
        <v>4.9173268609275871</v>
      </c>
      <c r="CI256" s="162">
        <f t="shared" si="1493"/>
        <v>4.9828527015993158</v>
      </c>
      <c r="CJ256" s="162">
        <f>+CJ239/CJ$254</f>
        <v>4.9641804217745387</v>
      </c>
      <c r="CK256" s="162">
        <f>+CK239/CK$254</f>
        <v>5.3697746797138706</v>
      </c>
      <c r="CL256" s="162">
        <f>+CL239/CL$254</f>
        <v>4.4109242536814959</v>
      </c>
      <c r="CM256" s="21">
        <f t="shared" ref="CM256:DB256" si="1494">+CM239/CM$254</f>
        <v>4.7669836679368887</v>
      </c>
      <c r="CN256" s="21">
        <f t="shared" si="1494"/>
        <v>4.5590380762322038</v>
      </c>
      <c r="CO256" s="21">
        <f t="shared" si="1494"/>
        <v>4.358637634483677</v>
      </c>
      <c r="CP256" s="21">
        <f t="shared" si="1494"/>
        <v>4.1443435559800434</v>
      </c>
      <c r="CQ256" s="21">
        <f t="shared" si="1494"/>
        <v>3.9769412169511482</v>
      </c>
      <c r="CR256" s="21">
        <f t="shared" si="1494"/>
        <v>3.804776309713044</v>
      </c>
      <c r="CS256" s="21">
        <f t="shared" si="1494"/>
        <v>3.6364712976636646</v>
      </c>
      <c r="CT256" s="21">
        <f t="shared" si="1494"/>
        <v>3.4521125543026909</v>
      </c>
      <c r="CU256" s="21">
        <f t="shared" si="1494"/>
        <v>3.3122085605873952</v>
      </c>
      <c r="CV256" s="21">
        <f t="shared" si="1494"/>
        <v>3.1686258786354049</v>
      </c>
      <c r="CW256" s="21">
        <f t="shared" si="1494"/>
        <v>3.0281890981782991</v>
      </c>
      <c r="CX256" s="21">
        <f t="shared" si="1494"/>
        <v>2.8753479174471681</v>
      </c>
      <c r="CY256" s="21">
        <f t="shared" si="1494"/>
        <v>2.7593344948858274</v>
      </c>
      <c r="CZ256" s="21">
        <f t="shared" si="1494"/>
        <v>2.6403708967890149</v>
      </c>
      <c r="DA256" s="21">
        <f t="shared" si="1494"/>
        <v>2.5240497488203402</v>
      </c>
      <c r="DB256" s="21">
        <f t="shared" si="1494"/>
        <v>2.3980032798184903</v>
      </c>
      <c r="DE256" s="22"/>
      <c r="DF256" s="162">
        <v>4.4109242536814959</v>
      </c>
    </row>
    <row r="257" spans="1:110" s="162" customFormat="1" x14ac:dyDescent="0.2">
      <c r="A257" s="49" t="s">
        <v>503</v>
      </c>
      <c r="E257" s="162">
        <f t="shared" si="1491"/>
        <v>3.5422040025384178</v>
      </c>
      <c r="F257" s="162">
        <f t="shared" si="1491"/>
        <v>5.291782395888954</v>
      </c>
      <c r="G257" s="162">
        <f t="shared" si="1491"/>
        <v>8.0555615089596451</v>
      </c>
      <c r="H257" s="162">
        <f t="shared" si="1491"/>
        <v>7.8527873092009708</v>
      </c>
      <c r="I257" s="162">
        <f t="shared" si="1491"/>
        <v>13.180726629126683</v>
      </c>
      <c r="J257" s="162">
        <f t="shared" si="1491"/>
        <v>7.129073400201607</v>
      </c>
      <c r="K257" s="162">
        <f t="shared" si="1491"/>
        <v>5.2427534126107727</v>
      </c>
      <c r="L257" s="162">
        <f t="shared" si="1491"/>
        <v>5.3987509256283781</v>
      </c>
      <c r="M257" s="162">
        <f t="shared" si="1491"/>
        <v>3.8861130413063312</v>
      </c>
      <c r="N257" s="162">
        <f t="shared" si="1491"/>
        <v>3.1048786920376399</v>
      </c>
      <c r="O257" s="162">
        <f t="shared" si="1491"/>
        <v>3.1638720807730021</v>
      </c>
      <c r="P257" s="162">
        <f t="shared" si="1491"/>
        <v>4.243617478960056</v>
      </c>
      <c r="Q257" s="162">
        <f t="shared" si="1491"/>
        <v>3.9154951996769611</v>
      </c>
      <c r="R257" s="162">
        <f t="shared" si="1491"/>
        <v>2.9494606555770981</v>
      </c>
      <c r="S257" s="162">
        <f t="shared" si="1491"/>
        <v>3.682197382680521</v>
      </c>
      <c r="T257" s="162">
        <f t="shared" si="1491"/>
        <v>3.2179837290059443</v>
      </c>
      <c r="U257" s="162">
        <f t="shared" si="1491"/>
        <v>3.3125752249366864</v>
      </c>
      <c r="V257" s="162">
        <f t="shared" si="1491"/>
        <v>2.8884314089122332</v>
      </c>
      <c r="W257" s="162">
        <f t="shared" si="1491"/>
        <v>3.4691870027616361</v>
      </c>
      <c r="X257" s="162">
        <f t="shared" si="1491"/>
        <v>3.5379201060833951</v>
      </c>
      <c r="Y257" s="162">
        <f t="shared" si="1491"/>
        <v>6.0722834059215893</v>
      </c>
      <c r="Z257" s="162">
        <f t="shared" si="1491"/>
        <v>5.5825789304453615</v>
      </c>
      <c r="AA257" s="162">
        <f t="shared" ref="AA257" si="1495">+AA240/AA$254</f>
        <v>5.5887063568603832</v>
      </c>
      <c r="AB257" s="21">
        <f t="shared" si="1491"/>
        <v>5.0317827589146669</v>
      </c>
      <c r="AC257" s="21">
        <f t="shared" si="1491"/>
        <v>4.8474400802021718</v>
      </c>
      <c r="AD257" s="21">
        <f t="shared" si="1491"/>
        <v>4.7027848854693204</v>
      </c>
      <c r="AE257" s="21">
        <f t="shared" si="1491"/>
        <v>4.5732671500270641</v>
      </c>
      <c r="AL257" s="162">
        <f t="shared" si="1493"/>
        <v>2.9990279821751984</v>
      </c>
      <c r="AM257" s="162">
        <f t="shared" si="1493"/>
        <v>2.943097711579175</v>
      </c>
      <c r="AN257" s="162">
        <f t="shared" si="1493"/>
        <v>2.6481290062441287</v>
      </c>
      <c r="AO257" s="162">
        <f t="shared" si="1493"/>
        <v>2.9547718271970216</v>
      </c>
      <c r="AP257" s="162">
        <f t="shared" si="1493"/>
        <v>3.1636420897083588</v>
      </c>
      <c r="AQ257" s="162">
        <f t="shared" si="1493"/>
        <v>4.2076581477220216</v>
      </c>
      <c r="AR257" s="162">
        <f t="shared" si="1493"/>
        <v>4.0807053775035094</v>
      </c>
      <c r="AS257" s="162">
        <f t="shared" si="1493"/>
        <v>3.833900253473967</v>
      </c>
      <c r="AT257" s="162">
        <f t="shared" si="1493"/>
        <v>4.2433089980616474</v>
      </c>
      <c r="AU257" s="162">
        <f t="shared" si="1493"/>
        <v>4.0384249487615351</v>
      </c>
      <c r="AV257" s="162">
        <f t="shared" si="1493"/>
        <v>4.1003727247104385</v>
      </c>
      <c r="AW257" s="162">
        <f t="shared" si="1493"/>
        <v>3.4435555219778737</v>
      </c>
      <c r="AX257" s="162">
        <f t="shared" si="1493"/>
        <v>2.6801938500878362</v>
      </c>
      <c r="AY257" s="162">
        <f t="shared" si="1493"/>
        <v>3.1018234890140559</v>
      </c>
      <c r="AZ257" s="162">
        <f t="shared" si="1493"/>
        <v>3.2028280594034291</v>
      </c>
      <c r="BA257" s="162">
        <f t="shared" si="1493"/>
        <v>2.9523412942661671</v>
      </c>
      <c r="BB257" s="162">
        <f t="shared" si="1493"/>
        <v>2.9090707599809789</v>
      </c>
      <c r="BC257" s="162">
        <f t="shared" si="1493"/>
        <v>3.290686882782305</v>
      </c>
      <c r="BD257" s="162">
        <f t="shared" si="1493"/>
        <v>3.3831482593214384</v>
      </c>
      <c r="BE257" s="162">
        <f t="shared" si="1493"/>
        <v>3.3526565075316079</v>
      </c>
      <c r="BF257" s="162">
        <f t="shared" si="1493"/>
        <v>3.6819297130419733</v>
      </c>
      <c r="BG257" s="162">
        <f t="shared" si="1493"/>
        <v>3.4916803847159965</v>
      </c>
      <c r="BH257" s="162">
        <f t="shared" si="1493"/>
        <v>3.3908646049295559</v>
      </c>
      <c r="BI257" s="162">
        <f t="shared" si="1493"/>
        <v>3.4374449889601126</v>
      </c>
      <c r="BJ257" s="162">
        <f t="shared" si="1493"/>
        <v>3.1954762981203948</v>
      </c>
      <c r="BK257" s="162">
        <f t="shared" si="1493"/>
        <v>3.4615299562801169</v>
      </c>
      <c r="BL257" s="162">
        <f t="shared" si="1493"/>
        <v>3.4607826719120269</v>
      </c>
      <c r="BM257" s="162">
        <f t="shared" si="1493"/>
        <v>3.1361933956491321</v>
      </c>
      <c r="BN257" s="162">
        <f t="shared" si="1493"/>
        <v>2.8529121758512255</v>
      </c>
      <c r="BO257" s="162">
        <f t="shared" si="1493"/>
        <v>2.0419910166686659</v>
      </c>
      <c r="BP257" s="162">
        <f t="shared" si="1493"/>
        <v>1.9492861947392071</v>
      </c>
      <c r="BQ257" s="162">
        <f t="shared" si="1493"/>
        <v>2.4614687687723427</v>
      </c>
      <c r="BR257" s="162">
        <f t="shared" si="1493"/>
        <v>2.8882214404312303</v>
      </c>
      <c r="BS257" s="162">
        <f t="shared" si="1493"/>
        <v>2.8257142832110449</v>
      </c>
      <c r="BT257" s="162">
        <f t="shared" si="1493"/>
        <v>3.2529071092953945</v>
      </c>
      <c r="BU257" s="162">
        <f t="shared" si="1493"/>
        <v>3.4705610764865384</v>
      </c>
      <c r="BV257" s="162">
        <f t="shared" si="1493"/>
        <v>3.4689348174672117</v>
      </c>
      <c r="BW257" s="162">
        <f t="shared" si="1493"/>
        <v>3.0418870682381223</v>
      </c>
      <c r="BX257" s="162">
        <f t="shared" si="1493"/>
        <v>3.3533633930356381</v>
      </c>
      <c r="BY257" s="162">
        <f t="shared" si="1493"/>
        <v>3.6031888895366913</v>
      </c>
      <c r="BZ257" s="162">
        <f t="shared" si="1493"/>
        <v>3.5376629243797577</v>
      </c>
      <c r="CA257" s="162">
        <f t="shared" si="1493"/>
        <v>3.7197352752345783</v>
      </c>
      <c r="CB257" s="162">
        <f t="shared" si="1493"/>
        <v>5.3627871810571301</v>
      </c>
      <c r="CC257" s="162">
        <f t="shared" si="1493"/>
        <v>6.0185182812303912</v>
      </c>
      <c r="CD257" s="162">
        <f t="shared" si="1493"/>
        <v>6.0718419939777153</v>
      </c>
      <c r="CE257" s="162">
        <f t="shared" si="1493"/>
        <v>6.0928814483735261</v>
      </c>
      <c r="CF257" s="162">
        <f t="shared" si="1493"/>
        <v>5.9165847714448088</v>
      </c>
      <c r="CG257" s="162">
        <f t="shared" si="1493"/>
        <v>5.8876559031873335</v>
      </c>
      <c r="CH257" s="162">
        <f t="shared" si="1493"/>
        <v>5.2455242710095487</v>
      </c>
      <c r="CI257" s="162">
        <f t="shared" si="1493"/>
        <v>5.0663179122447417</v>
      </c>
      <c r="CJ257" s="162">
        <f t="shared" ref="CJ257:CK258" si="1496">+CJ240/CJ$254</f>
        <v>5.1485665919175245</v>
      </c>
      <c r="CK257" s="162">
        <f t="shared" si="1496"/>
        <v>5.4432900000822189</v>
      </c>
      <c r="CL257" s="162">
        <f t="shared" ref="CL257" si="1497">+CL240/CL$254</f>
        <v>5.5887063568603832</v>
      </c>
      <c r="CM257" s="94">
        <f t="shared" ref="CM257:DB257" si="1498">+CL257</f>
        <v>5.5887063568603832</v>
      </c>
      <c r="CN257" s="94">
        <f t="shared" si="1498"/>
        <v>5.5887063568603832</v>
      </c>
      <c r="CO257" s="94">
        <f t="shared" si="1498"/>
        <v>5.5887063568603832</v>
      </c>
      <c r="CP257" s="94">
        <f t="shared" si="1498"/>
        <v>5.5887063568603832</v>
      </c>
      <c r="CQ257" s="94">
        <f t="shared" si="1498"/>
        <v>5.5887063568603832</v>
      </c>
      <c r="CR257" s="94">
        <f t="shared" si="1498"/>
        <v>5.5887063568603832</v>
      </c>
      <c r="CS257" s="94">
        <f t="shared" si="1498"/>
        <v>5.5887063568603832</v>
      </c>
      <c r="CT257" s="94">
        <f t="shared" si="1498"/>
        <v>5.5887063568603832</v>
      </c>
      <c r="CU257" s="94">
        <f t="shared" si="1498"/>
        <v>5.5887063568603832</v>
      </c>
      <c r="CV257" s="94">
        <f t="shared" si="1498"/>
        <v>5.5887063568603832</v>
      </c>
      <c r="CW257" s="94">
        <f t="shared" si="1498"/>
        <v>5.5887063568603832</v>
      </c>
      <c r="CX257" s="94">
        <f t="shared" si="1498"/>
        <v>5.5887063568603832</v>
      </c>
      <c r="CY257" s="94">
        <f t="shared" si="1498"/>
        <v>5.5887063568603832</v>
      </c>
      <c r="CZ257" s="94">
        <f t="shared" si="1498"/>
        <v>5.5887063568603832</v>
      </c>
      <c r="DA257" s="94">
        <f t="shared" si="1498"/>
        <v>5.5887063568603832</v>
      </c>
      <c r="DB257" s="94">
        <f t="shared" si="1498"/>
        <v>5.5887063568603832</v>
      </c>
      <c r="DC257" s="94"/>
      <c r="DE257" s="22"/>
      <c r="DF257" s="162">
        <v>5.5887063568603832</v>
      </c>
    </row>
    <row r="258" spans="1:110" s="162" customFormat="1" x14ac:dyDescent="0.2">
      <c r="A258" s="49" t="s">
        <v>504</v>
      </c>
      <c r="E258" s="162">
        <f t="shared" si="1491"/>
        <v>1.0127181451430132</v>
      </c>
      <c r="F258" s="162">
        <f t="shared" si="1491"/>
        <v>1.8622648849643995</v>
      </c>
      <c r="G258" s="162">
        <f t="shared" si="1491"/>
        <v>2.8294836518628301</v>
      </c>
      <c r="H258" s="162">
        <f t="shared" si="1491"/>
        <v>3.9865703852460723</v>
      </c>
      <c r="I258" s="162">
        <f t="shared" si="1491"/>
        <v>4.2562175067929306</v>
      </c>
      <c r="J258" s="162">
        <f t="shared" si="1491"/>
        <v>2.4346375744404054</v>
      </c>
      <c r="K258" s="162">
        <f t="shared" si="1491"/>
        <v>1.9310808403116368</v>
      </c>
      <c r="L258" s="162">
        <f t="shared" si="1491"/>
        <v>3.5708148922877911</v>
      </c>
      <c r="M258" s="162">
        <f t="shared" si="1491"/>
        <v>2.0201920727619722</v>
      </c>
      <c r="N258" s="162">
        <f t="shared" si="1491"/>
        <v>1.9978120295844395</v>
      </c>
      <c r="O258" s="162">
        <f t="shared" si="1491"/>
        <v>1.64905584778799</v>
      </c>
      <c r="P258" s="162">
        <f t="shared" si="1491"/>
        <v>2.7853258336109814</v>
      </c>
      <c r="Q258" s="162">
        <f t="shared" si="1491"/>
        <v>2.1102676845548558</v>
      </c>
      <c r="R258" s="162">
        <f t="shared" si="1491"/>
        <v>2.149545010287452</v>
      </c>
      <c r="S258" s="162">
        <f t="shared" si="1491"/>
        <v>2.6358680229857843</v>
      </c>
      <c r="T258" s="162">
        <f t="shared" si="1491"/>
        <v>2.6099389657361627</v>
      </c>
      <c r="U258" s="162">
        <f t="shared" si="1491"/>
        <v>1.3629039972890995</v>
      </c>
      <c r="V258" s="162">
        <f t="shared" si="1491"/>
        <v>1.3834734243565812</v>
      </c>
      <c r="W258" s="162">
        <f t="shared" si="1491"/>
        <v>2.1808035320988366</v>
      </c>
      <c r="X258" s="162">
        <f t="shared" si="1491"/>
        <v>2.2435215298577851</v>
      </c>
      <c r="Y258" s="162">
        <f t="shared" si="1491"/>
        <v>3.4336596263468739</v>
      </c>
      <c r="Z258" s="162">
        <f t="shared" si="1491"/>
        <v>4.4250707025505971</v>
      </c>
      <c r="AA258" s="162">
        <f t="shared" ref="AA258" si="1499">+AA241/AA$254</f>
        <v>3.7354334279136752</v>
      </c>
      <c r="AB258" s="21">
        <f t="shared" si="1491"/>
        <v>3.6649590563789234</v>
      </c>
      <c r="AC258" s="21">
        <f t="shared" si="1491"/>
        <v>3.329506583915995</v>
      </c>
      <c r="AD258" s="21">
        <f t="shared" si="1491"/>
        <v>3.2685993375257385</v>
      </c>
      <c r="AE258" s="21">
        <f t="shared" si="1491"/>
        <v>3.1903539826779741</v>
      </c>
      <c r="AL258" s="162">
        <f t="shared" si="1493"/>
        <v>2.4031946082331084</v>
      </c>
      <c r="AM258" s="162">
        <f t="shared" si="1493"/>
        <v>2.3393716571913163</v>
      </c>
      <c r="AN258" s="162">
        <f t="shared" si="1493"/>
        <v>1.7782692405764953</v>
      </c>
      <c r="AO258" s="162">
        <f t="shared" si="1493"/>
        <v>1.9924966911791095</v>
      </c>
      <c r="AP258" s="162">
        <f t="shared" si="1493"/>
        <v>2.314006005047252</v>
      </c>
      <c r="AQ258" s="162">
        <f t="shared" si="1493"/>
        <v>2.9457400493814392</v>
      </c>
      <c r="AR258" s="162">
        <f t="shared" si="1493"/>
        <v>3.3223145000565388</v>
      </c>
      <c r="AS258" s="162">
        <f t="shared" si="1493"/>
        <v>3.1711333775632466</v>
      </c>
      <c r="AT258" s="162">
        <f t="shared" si="1493"/>
        <v>3.3323072405866618</v>
      </c>
      <c r="AU258" s="162">
        <f t="shared" si="1493"/>
        <v>3.4289999970157332</v>
      </c>
      <c r="AV258" s="162">
        <f t="shared" si="1493"/>
        <v>3.0719372914112957</v>
      </c>
      <c r="AW258" s="162">
        <f t="shared" si="1493"/>
        <v>2.7060478844156739</v>
      </c>
      <c r="AX258" s="162">
        <f t="shared" si="1493"/>
        <v>2.1101142830585045</v>
      </c>
      <c r="AY258" s="162">
        <f t="shared" si="1493"/>
        <v>2.4097995026861687</v>
      </c>
      <c r="AZ258" s="162">
        <f t="shared" si="1493"/>
        <v>2.8013342261983283</v>
      </c>
      <c r="BA258" s="162">
        <f t="shared" si="1493"/>
        <v>2.5158997884624852</v>
      </c>
      <c r="BB258" s="162">
        <f t="shared" si="1493"/>
        <v>2.4653142033737105</v>
      </c>
      <c r="BC258" s="162">
        <f t="shared" si="1493"/>
        <v>2.8313543626120303</v>
      </c>
      <c r="BD258" s="162">
        <f t="shared" si="1493"/>
        <v>3.0151823360007057</v>
      </c>
      <c r="BE258" s="162">
        <f t="shared" si="1493"/>
        <v>2.9569115629170928</v>
      </c>
      <c r="BF258" s="162">
        <f t="shared" si="1493"/>
        <v>3.1145828271421681</v>
      </c>
      <c r="BG258" s="162">
        <f t="shared" si="1493"/>
        <v>2.9551210051341559</v>
      </c>
      <c r="BH258" s="162">
        <f t="shared" si="1493"/>
        <v>2.9930666298588062</v>
      </c>
      <c r="BI258" s="162">
        <f t="shared" si="1493"/>
        <v>2.7879325611235681</v>
      </c>
      <c r="BJ258" s="162">
        <f t="shared" si="1493"/>
        <v>2.6514293673085922</v>
      </c>
      <c r="BK258" s="162">
        <f t="shared" si="1493"/>
        <v>2.7682329251411728</v>
      </c>
      <c r="BL258" s="162">
        <f t="shared" si="1493"/>
        <v>2.7704091494616194</v>
      </c>
      <c r="BM258" s="162">
        <f t="shared" si="1493"/>
        <v>2.6323101892289515</v>
      </c>
      <c r="BN258" s="162">
        <f t="shared" si="1493"/>
        <v>1.3628049238331124</v>
      </c>
      <c r="BO258" s="162">
        <f t="shared" si="1493"/>
        <v>1.565868488158987</v>
      </c>
      <c r="BP258" s="162">
        <f t="shared" si="1493"/>
        <v>1.6022963257405551</v>
      </c>
      <c r="BQ258" s="162">
        <f t="shared" si="1493"/>
        <v>1.6115227201410378</v>
      </c>
      <c r="BR258" s="162">
        <f t="shared" si="1493"/>
        <v>2.3225434181998783</v>
      </c>
      <c r="BS258" s="162">
        <f t="shared" si="1493"/>
        <v>2.3324886358872203</v>
      </c>
      <c r="BT258" s="162">
        <f t="shared" si="1493"/>
        <v>2.6523773244495068</v>
      </c>
      <c r="BU258" s="162">
        <f t="shared" si="1493"/>
        <v>2.9480385674040823</v>
      </c>
      <c r="BV258" s="162">
        <f t="shared" si="1493"/>
        <v>2.662376592176019</v>
      </c>
      <c r="BW258" s="162">
        <f t="shared" si="1493"/>
        <v>2.3824844521555359</v>
      </c>
      <c r="BX258" s="162">
        <f t="shared" si="1493"/>
        <v>2.5801567961452152</v>
      </c>
      <c r="BY258" s="162">
        <f t="shared" si="1493"/>
        <v>2.9568806358830844</v>
      </c>
      <c r="BZ258" s="162">
        <f t="shared" si="1493"/>
        <v>3.1693135701327551</v>
      </c>
      <c r="CA258" s="162">
        <f t="shared" si="1493"/>
        <v>3.229253658966913</v>
      </c>
      <c r="CB258" s="162">
        <f t="shared" si="1493"/>
        <v>4.2452328553481191</v>
      </c>
      <c r="CC258" s="162">
        <f t="shared" si="1493"/>
        <v>4.8301155844463919</v>
      </c>
      <c r="CD258" s="162">
        <f t="shared" si="1493"/>
        <v>5.1989748867637102</v>
      </c>
      <c r="CE258" s="162">
        <f t="shared" si="1493"/>
        <v>4.8999506253634539</v>
      </c>
      <c r="CF258" s="162">
        <f t="shared" si="1493"/>
        <v>5.2429913071710184</v>
      </c>
      <c r="CG258" s="162">
        <f t="shared" si="1493"/>
        <v>4.8476222127946276</v>
      </c>
      <c r="CH258" s="162">
        <f t="shared" si="1493"/>
        <v>4.4247490312895534</v>
      </c>
      <c r="CI258" s="162">
        <f t="shared" si="1493"/>
        <v>4.0308467432367578</v>
      </c>
      <c r="CJ258" s="162">
        <f t="shared" si="1496"/>
        <v>4.6202371242672013</v>
      </c>
      <c r="CK258" s="162">
        <f t="shared" si="1496"/>
        <v>4.7539030423525501</v>
      </c>
      <c r="CL258" s="162">
        <f t="shared" ref="CL258" si="1500">+CL241/CL$254</f>
        <v>4.139481792902906</v>
      </c>
      <c r="CM258" s="94">
        <f t="shared" ref="CM258:DB258" si="1501">+CL258</f>
        <v>4.139481792902906</v>
      </c>
      <c r="CN258" s="94">
        <f t="shared" si="1501"/>
        <v>4.139481792902906</v>
      </c>
      <c r="CO258" s="94">
        <f t="shared" si="1501"/>
        <v>4.139481792902906</v>
      </c>
      <c r="CP258" s="94">
        <f t="shared" si="1501"/>
        <v>4.139481792902906</v>
      </c>
      <c r="CQ258" s="94">
        <f t="shared" si="1501"/>
        <v>4.139481792902906</v>
      </c>
      <c r="CR258" s="94">
        <f t="shared" si="1501"/>
        <v>4.139481792902906</v>
      </c>
      <c r="CS258" s="94">
        <f t="shared" si="1501"/>
        <v>4.139481792902906</v>
      </c>
      <c r="CT258" s="94">
        <f t="shared" si="1501"/>
        <v>4.139481792902906</v>
      </c>
      <c r="CU258" s="94">
        <f t="shared" si="1501"/>
        <v>4.139481792902906</v>
      </c>
      <c r="CV258" s="94">
        <f t="shared" si="1501"/>
        <v>4.139481792902906</v>
      </c>
      <c r="CW258" s="94">
        <f t="shared" si="1501"/>
        <v>4.139481792902906</v>
      </c>
      <c r="CX258" s="94">
        <f t="shared" si="1501"/>
        <v>4.139481792902906</v>
      </c>
      <c r="CY258" s="94">
        <f t="shared" si="1501"/>
        <v>4.139481792902906</v>
      </c>
      <c r="CZ258" s="94">
        <f t="shared" si="1501"/>
        <v>4.139481792902906</v>
      </c>
      <c r="DA258" s="94">
        <f t="shared" si="1501"/>
        <v>4.139481792902906</v>
      </c>
      <c r="DB258" s="94">
        <f t="shared" si="1501"/>
        <v>4.139481792902906</v>
      </c>
      <c r="DC258" s="94"/>
      <c r="DE258" s="22"/>
      <c r="DF258" s="162">
        <v>3.7354334279136752</v>
      </c>
    </row>
    <row r="259" spans="1:110" s="4" customFormat="1" x14ac:dyDescent="0.2">
      <c r="A259" s="3"/>
      <c r="AB259" s="17"/>
      <c r="AC259" s="17"/>
      <c r="AD259" s="17"/>
      <c r="AE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E259" s="119"/>
    </row>
    <row r="260" spans="1:110" s="177" customFormat="1" x14ac:dyDescent="0.2">
      <c r="A260" s="177" t="s">
        <v>510</v>
      </c>
      <c r="E260" s="177">
        <f t="shared" ref="E260:AE260" si="1502">+E166</f>
        <v>10973.78</v>
      </c>
      <c r="F260" s="177">
        <f t="shared" si="1502"/>
        <v>14496.89</v>
      </c>
      <c r="G260" s="177">
        <f t="shared" si="1502"/>
        <v>16561.309999999998</v>
      </c>
      <c r="H260" s="177">
        <f t="shared" si="1502"/>
        <v>20512.86</v>
      </c>
      <c r="I260" s="177">
        <f t="shared" si="1502"/>
        <v>29456.85</v>
      </c>
      <c r="J260" s="177">
        <f t="shared" si="1502"/>
        <v>40511.06</v>
      </c>
      <c r="K260" s="177">
        <f t="shared" si="1502"/>
        <v>43969.799999999996</v>
      </c>
      <c r="L260" s="177">
        <f t="shared" si="1502"/>
        <v>52043.78</v>
      </c>
      <c r="M260" s="177">
        <f t="shared" si="1502"/>
        <v>64313.11</v>
      </c>
      <c r="N260" s="177">
        <f t="shared" si="1502"/>
        <v>74498</v>
      </c>
      <c r="O260" s="177">
        <f t="shared" si="1502"/>
        <v>85128.4</v>
      </c>
      <c r="P260" s="177">
        <f t="shared" si="1502"/>
        <v>92004.58</v>
      </c>
      <c r="Q260" s="177">
        <f t="shared" si="1502"/>
        <v>101122.48</v>
      </c>
      <c r="R260" s="177">
        <f t="shared" si="1502"/>
        <v>109311.81</v>
      </c>
      <c r="S260" s="177">
        <f t="shared" si="1502"/>
        <v>119683.16</v>
      </c>
      <c r="T260" s="177">
        <f t="shared" si="1502"/>
        <v>135220.29</v>
      </c>
      <c r="U260" s="177">
        <f t="shared" si="1502"/>
        <v>145452.35999999999</v>
      </c>
      <c r="V260" s="177">
        <f t="shared" si="1502"/>
        <v>135979.03</v>
      </c>
      <c r="W260" s="177">
        <f t="shared" si="1502"/>
        <v>156521.23000000001</v>
      </c>
      <c r="X260" s="177">
        <f t="shared" si="1502"/>
        <v>183340.7</v>
      </c>
      <c r="Y260" s="177">
        <f t="shared" si="1502"/>
        <v>221112.91</v>
      </c>
      <c r="Z260" s="177">
        <f t="shared" si="1502"/>
        <v>255734.45</v>
      </c>
      <c r="AA260" s="177">
        <f t="shared" ref="AA260" si="1503">+AA166</f>
        <v>285874.36</v>
      </c>
      <c r="AB260" s="178">
        <f t="shared" si="1502"/>
        <v>328887.93605503603</v>
      </c>
      <c r="AC260" s="178">
        <f t="shared" si="1502"/>
        <v>378967.49492333876</v>
      </c>
      <c r="AD260" s="178">
        <f t="shared" si="1502"/>
        <v>436857.50459768577</v>
      </c>
      <c r="AE260" s="178">
        <f t="shared" si="1502"/>
        <v>503636.03706827393</v>
      </c>
      <c r="AL260" s="177">
        <f t="shared" ref="AL260:BQ260" si="1504">+SUM(AI164:AL164)</f>
        <v>56687.95</v>
      </c>
      <c r="AM260" s="177">
        <f t="shared" si="1504"/>
        <v>62029.179999999993</v>
      </c>
      <c r="AN260" s="177">
        <f t="shared" si="1504"/>
        <v>68015.27</v>
      </c>
      <c r="AO260" s="177">
        <f t="shared" si="1504"/>
        <v>76927.76999999999</v>
      </c>
      <c r="AP260" s="177">
        <f t="shared" si="1504"/>
        <v>85889.040000000008</v>
      </c>
      <c r="AQ260" s="177">
        <f t="shared" si="1504"/>
        <v>87592.800000000017</v>
      </c>
      <c r="AR260" s="177">
        <f t="shared" si="1504"/>
        <v>89610.26999999999</v>
      </c>
      <c r="AS260" s="177">
        <f t="shared" si="1504"/>
        <v>91714.26999999999</v>
      </c>
      <c r="AT260" s="177">
        <f t="shared" si="1504"/>
        <v>92761.66</v>
      </c>
      <c r="AU260" s="177">
        <f t="shared" si="1504"/>
        <v>93686.58</v>
      </c>
      <c r="AV260" s="177">
        <f t="shared" si="1504"/>
        <v>95478.97</v>
      </c>
      <c r="AW260" s="177">
        <f t="shared" si="1504"/>
        <v>97374.5</v>
      </c>
      <c r="AX260" s="177">
        <f t="shared" si="1504"/>
        <v>101975.30000000002</v>
      </c>
      <c r="AY260" s="177">
        <f t="shared" si="1504"/>
        <v>103800.86</v>
      </c>
      <c r="AZ260" s="177">
        <f t="shared" si="1504"/>
        <v>105699.63</v>
      </c>
      <c r="BA260" s="177">
        <f t="shared" si="1504"/>
        <v>106058.53</v>
      </c>
      <c r="BB260" s="177">
        <f t="shared" si="1504"/>
        <v>110011.01000000001</v>
      </c>
      <c r="BC260" s="177">
        <f t="shared" si="1504"/>
        <v>112127</v>
      </c>
      <c r="BD260" s="177">
        <f t="shared" si="1504"/>
        <v>113551.51</v>
      </c>
      <c r="BE260" s="177">
        <f t="shared" si="1504"/>
        <v>116011.98999999999</v>
      </c>
      <c r="BF260" s="177">
        <f t="shared" si="1504"/>
        <v>119862.1</v>
      </c>
      <c r="BG260" s="177">
        <f t="shared" si="1504"/>
        <v>122877.08</v>
      </c>
      <c r="BH260" s="177">
        <f t="shared" si="1504"/>
        <v>127108.45000000001</v>
      </c>
      <c r="BI260" s="177">
        <f t="shared" si="1504"/>
        <v>132594.96</v>
      </c>
      <c r="BJ260" s="177">
        <f t="shared" si="1504"/>
        <v>135220.26</v>
      </c>
      <c r="BK260" s="177">
        <f t="shared" si="1504"/>
        <v>137851.44</v>
      </c>
      <c r="BL260" s="177">
        <f t="shared" si="1504"/>
        <v>142501.76000000001</v>
      </c>
      <c r="BM260" s="177">
        <f t="shared" si="1504"/>
        <v>144510.48000000001</v>
      </c>
      <c r="BN260" s="177">
        <f t="shared" si="1504"/>
        <v>145452.35999999999</v>
      </c>
      <c r="BO260" s="177">
        <f t="shared" si="1504"/>
        <v>137076.38</v>
      </c>
      <c r="BP260" s="177">
        <f t="shared" si="1504"/>
        <v>132782.66999999998</v>
      </c>
      <c r="BQ260" s="177">
        <f t="shared" si="1504"/>
        <v>132136.41</v>
      </c>
      <c r="BR260" s="177">
        <f t="shared" ref="BR260:CW260" si="1505">+SUM(BO164:BR164)</f>
        <v>135979.03</v>
      </c>
      <c r="BS260" s="177">
        <f t="shared" si="1505"/>
        <v>144053.79</v>
      </c>
      <c r="BT260" s="177">
        <f t="shared" si="1505"/>
        <v>147791.95000000001</v>
      </c>
      <c r="BU260" s="177">
        <f t="shared" si="1505"/>
        <v>151758.45000000001</v>
      </c>
      <c r="BV260" s="177">
        <f t="shared" si="1505"/>
        <v>156521.22</v>
      </c>
      <c r="BW260" s="177">
        <f t="shared" si="1505"/>
        <v>163039.69</v>
      </c>
      <c r="BX260" s="177">
        <f t="shared" si="1505"/>
        <v>171029.4</v>
      </c>
      <c r="BY260" s="177">
        <f t="shared" si="1505"/>
        <v>177856.19999999998</v>
      </c>
      <c r="BZ260" s="177">
        <f t="shared" si="1505"/>
        <v>183340.68</v>
      </c>
      <c r="CA260" s="177">
        <f t="shared" si="1505"/>
        <v>195369.85</v>
      </c>
      <c r="CB260" s="177">
        <f t="shared" si="1505"/>
        <v>203631.28</v>
      </c>
      <c r="CC260" s="177">
        <f t="shared" si="1505"/>
        <v>212369.38</v>
      </c>
      <c r="CD260" s="177">
        <f t="shared" si="1505"/>
        <v>221112.91</v>
      </c>
      <c r="CE260" s="177">
        <f t="shared" si="1505"/>
        <v>228350.36</v>
      </c>
      <c r="CF260" s="177">
        <f t="shared" si="1505"/>
        <v>238880.90000000002</v>
      </c>
      <c r="CG260" s="177">
        <f t="shared" si="1505"/>
        <v>248420.86000000002</v>
      </c>
      <c r="CH260" s="177">
        <f t="shared" si="1505"/>
        <v>255734.46</v>
      </c>
      <c r="CI260" s="177">
        <f t="shared" si="1505"/>
        <v>264293.56</v>
      </c>
      <c r="CJ260" s="177">
        <f t="shared" si="1505"/>
        <v>270722.51</v>
      </c>
      <c r="CK260" s="177">
        <f t="shared" si="1505"/>
        <v>277504.43</v>
      </c>
      <c r="CL260" s="177">
        <f t="shared" si="1505"/>
        <v>285874.31000000006</v>
      </c>
      <c r="CM260" s="178">
        <f t="shared" si="1505"/>
        <v>295061.71514082467</v>
      </c>
      <c r="CN260" s="178">
        <f t="shared" si="1505"/>
        <v>304683.14224625577</v>
      </c>
      <c r="CO260" s="178">
        <f t="shared" si="1505"/>
        <v>315457.51025694038</v>
      </c>
      <c r="CP260" s="178">
        <f t="shared" si="1505"/>
        <v>328887.93605503603</v>
      </c>
      <c r="CQ260" s="178">
        <f t="shared" si="1505"/>
        <v>339797.42390368972</v>
      </c>
      <c r="CR260" s="178">
        <f t="shared" si="1505"/>
        <v>351521.96085675893</v>
      </c>
      <c r="CS260" s="178">
        <f t="shared" si="1505"/>
        <v>364140.74180669966</v>
      </c>
      <c r="CT260" s="178">
        <f t="shared" si="1505"/>
        <v>378967.49492333876</v>
      </c>
      <c r="CU260" s="178">
        <f t="shared" si="1505"/>
        <v>391709.86496571917</v>
      </c>
      <c r="CV260" s="178">
        <f t="shared" si="1505"/>
        <v>405350.14176143124</v>
      </c>
      <c r="CW260" s="178">
        <f t="shared" si="1505"/>
        <v>419870.61507295689</v>
      </c>
      <c r="CX260" s="178">
        <f t="shared" ref="CX260:DB260" si="1506">+SUM(CU164:CX164)</f>
        <v>436857.50459768577</v>
      </c>
      <c r="CY260" s="178">
        <f t="shared" si="1506"/>
        <v>451598.38363399607</v>
      </c>
      <c r="CZ260" s="178">
        <f t="shared" si="1506"/>
        <v>467340.69582154753</v>
      </c>
      <c r="DA260" s="178">
        <f t="shared" si="1506"/>
        <v>484065.57482175296</v>
      </c>
      <c r="DB260" s="178">
        <f t="shared" si="1506"/>
        <v>503636.03706827393</v>
      </c>
      <c r="DE260" s="179"/>
      <c r="DF260" s="177">
        <v>285874.36</v>
      </c>
    </row>
    <row r="261" spans="1:110" s="163" customFormat="1" x14ac:dyDescent="0.2">
      <c r="A261" s="163" t="s">
        <v>511</v>
      </c>
      <c r="E261" s="163">
        <f t="shared" ref="E261:AE261" si="1507">+E260/E227</f>
        <v>79.771598880529211</v>
      </c>
      <c r="F261" s="163">
        <f t="shared" si="1507"/>
        <v>105.38211027514265</v>
      </c>
      <c r="G261" s="163">
        <f t="shared" si="1507"/>
        <v>120.38897975502488</v>
      </c>
      <c r="H261" s="163">
        <f t="shared" si="1507"/>
        <v>149.11394613455457</v>
      </c>
      <c r="I261" s="163">
        <f t="shared" si="1507"/>
        <v>214.13041107839931</v>
      </c>
      <c r="J261" s="163">
        <f t="shared" si="1507"/>
        <v>294.48667902446113</v>
      </c>
      <c r="K261" s="163">
        <f t="shared" si="1507"/>
        <v>319.6292661650856</v>
      </c>
      <c r="L261" s="163">
        <f t="shared" si="1507"/>
        <v>378.32137534983463</v>
      </c>
      <c r="M261" s="163">
        <f t="shared" si="1507"/>
        <v>467.51070403082178</v>
      </c>
      <c r="N261" s="163">
        <f t="shared" si="1507"/>
        <v>541.54763202849563</v>
      </c>
      <c r="O261" s="163">
        <f t="shared" si="1507"/>
        <v>618.82310180641878</v>
      </c>
      <c r="P261" s="163">
        <f t="shared" si="1507"/>
        <v>668.80805437429581</v>
      </c>
      <c r="Q261" s="163">
        <f t="shared" si="1507"/>
        <v>735.08872169519861</v>
      </c>
      <c r="R261" s="163">
        <f t="shared" si="1507"/>
        <v>794.61934358303347</v>
      </c>
      <c r="S261" s="163">
        <f t="shared" si="1507"/>
        <v>870.01170355831789</v>
      </c>
      <c r="T261" s="163">
        <f t="shared" si="1507"/>
        <v>982.95562097917355</v>
      </c>
      <c r="U261" s="163">
        <f t="shared" si="1507"/>
        <v>1057.3355141205975</v>
      </c>
      <c r="V261" s="163">
        <f t="shared" si="1507"/>
        <v>988.4711227419765</v>
      </c>
      <c r="W261" s="163">
        <f t="shared" si="1507"/>
        <v>1137.7983498709702</v>
      </c>
      <c r="X261" s="163">
        <f t="shared" si="1507"/>
        <v>1332.756878566496</v>
      </c>
      <c r="Y261" s="163">
        <f t="shared" si="1507"/>
        <v>1607.3340602624214</v>
      </c>
      <c r="Z261" s="163">
        <f t="shared" ref="Z261:AA261" si="1508">+Z260/Z227</f>
        <v>1859.0081052593321</v>
      </c>
      <c r="AA261" s="163">
        <f t="shared" si="1508"/>
        <v>2078.1038781666848</v>
      </c>
      <c r="AB261" s="94">
        <f t="shared" si="1507"/>
        <v>2390.7820743287612</v>
      </c>
      <c r="AC261" s="94">
        <f t="shared" si="1507"/>
        <v>2754.8249549183206</v>
      </c>
      <c r="AD261" s="94">
        <f t="shared" si="1507"/>
        <v>3175.6442743262151</v>
      </c>
      <c r="AE261" s="94">
        <f t="shared" si="1507"/>
        <v>3661.0768514394936</v>
      </c>
      <c r="AL261" s="163">
        <f t="shared" ref="AL261:BQ261" si="1509">+AL260/AL227</f>
        <v>412.11115553778484</v>
      </c>
      <c r="AM261" s="163">
        <f t="shared" si="1509"/>
        <v>450.94093271782191</v>
      </c>
      <c r="AN261" s="163">
        <f t="shared" si="1509"/>
        <v>494.45872560066886</v>
      </c>
      <c r="AO261" s="163">
        <f t="shared" si="1509"/>
        <v>559.25099051288566</v>
      </c>
      <c r="AP261" s="163">
        <f t="shared" si="1509"/>
        <v>624.39780451455783</v>
      </c>
      <c r="AQ261" s="163">
        <f t="shared" si="1509"/>
        <v>636.78383192177682</v>
      </c>
      <c r="AR261" s="163">
        <f t="shared" si="1509"/>
        <v>651.45047435571212</v>
      </c>
      <c r="AS261" s="163">
        <f t="shared" si="1509"/>
        <v>666.74617425756958</v>
      </c>
      <c r="AT261" s="163">
        <f t="shared" si="1509"/>
        <v>674.36051034131799</v>
      </c>
      <c r="AU261" s="163">
        <f t="shared" si="1509"/>
        <v>681.08451164988548</v>
      </c>
      <c r="AV261" s="163">
        <f t="shared" si="1509"/>
        <v>694.11486314565082</v>
      </c>
      <c r="AW261" s="163">
        <f t="shared" si="1509"/>
        <v>707.89502380865827</v>
      </c>
      <c r="AX261" s="163">
        <f t="shared" si="1509"/>
        <v>741.34200865108517</v>
      </c>
      <c r="AY261" s="163">
        <f t="shared" si="1509"/>
        <v>754.61350005452357</v>
      </c>
      <c r="AZ261" s="163">
        <f t="shared" si="1509"/>
        <v>768.41721493220894</v>
      </c>
      <c r="BA261" s="163">
        <f t="shared" si="1509"/>
        <v>771.0263530951255</v>
      </c>
      <c r="BB261" s="163">
        <f t="shared" si="1509"/>
        <v>799.76016865980887</v>
      </c>
      <c r="BC261" s="163">
        <f t="shared" si="1509"/>
        <v>815.14303369561264</v>
      </c>
      <c r="BD261" s="163">
        <f t="shared" si="1509"/>
        <v>825.49896405074321</v>
      </c>
      <c r="BE261" s="163">
        <f t="shared" si="1509"/>
        <v>843.38620915270246</v>
      </c>
      <c r="BF261" s="163">
        <f t="shared" si="1509"/>
        <v>871.37581331103922</v>
      </c>
      <c r="BG261" s="163">
        <f t="shared" si="1509"/>
        <v>893.29417323979499</v>
      </c>
      <c r="BH261" s="163">
        <f t="shared" si="1509"/>
        <v>924.05546872160232</v>
      </c>
      <c r="BI261" s="163">
        <f t="shared" si="1509"/>
        <v>963.94140525607929</v>
      </c>
      <c r="BJ261" s="163">
        <f t="shared" si="1509"/>
        <v>983.02686198247977</v>
      </c>
      <c r="BK261" s="163">
        <f t="shared" si="1509"/>
        <v>1002.1550652466286</v>
      </c>
      <c r="BL261" s="163">
        <f t="shared" si="1509"/>
        <v>1035.9620515430192</v>
      </c>
      <c r="BM261" s="163">
        <f t="shared" si="1509"/>
        <v>1050.565083057686</v>
      </c>
      <c r="BN261" s="163">
        <f t="shared" si="1509"/>
        <v>1057.4123805023444</v>
      </c>
      <c r="BO261" s="163">
        <f t="shared" si="1509"/>
        <v>996.52051906510121</v>
      </c>
      <c r="BP261" s="163">
        <f t="shared" si="1509"/>
        <v>965.30602304532715</v>
      </c>
      <c r="BQ261" s="163">
        <f t="shared" si="1509"/>
        <v>960.60782959543451</v>
      </c>
      <c r="BR261" s="163">
        <f t="shared" ref="BR261:CW261" si="1510">+BR260/BR227</f>
        <v>988.54298280687715</v>
      </c>
      <c r="BS261" s="163">
        <f t="shared" si="1510"/>
        <v>1047.2450292610229</v>
      </c>
      <c r="BT261" s="163">
        <f t="shared" si="1510"/>
        <v>1074.4207771436879</v>
      </c>
      <c r="BU261" s="163">
        <f t="shared" si="1510"/>
        <v>1103.2565155755881</v>
      </c>
      <c r="BV261" s="163">
        <f t="shared" si="1510"/>
        <v>1137.8809930573225</v>
      </c>
      <c r="BW261" s="163">
        <f t="shared" si="1510"/>
        <v>1185.2690923630548</v>
      </c>
      <c r="BX261" s="163">
        <f t="shared" si="1510"/>
        <v>1243.3528406819089</v>
      </c>
      <c r="BY261" s="163">
        <f t="shared" si="1510"/>
        <v>1292.9824433862816</v>
      </c>
      <c r="BZ261" s="163">
        <f t="shared" si="1510"/>
        <v>1332.8536221874886</v>
      </c>
      <c r="CA261" s="163">
        <f t="shared" si="1510"/>
        <v>1420.3035149576533</v>
      </c>
      <c r="CB261" s="163">
        <f t="shared" si="1510"/>
        <v>1480.3626185889279</v>
      </c>
      <c r="CC261" s="163">
        <f t="shared" si="1510"/>
        <v>1543.8870270073787</v>
      </c>
      <c r="CD261" s="163">
        <f t="shared" si="1510"/>
        <v>1607.4509105448728</v>
      </c>
      <c r="CE261" s="163">
        <f t="shared" si="1510"/>
        <v>1660.0658645632654</v>
      </c>
      <c r="CF261" s="163">
        <f t="shared" si="1510"/>
        <v>1736.6209879684491</v>
      </c>
      <c r="CG261" s="163">
        <f t="shared" si="1510"/>
        <v>1805.9747737268729</v>
      </c>
      <c r="CH261" s="163">
        <f t="shared" si="1510"/>
        <v>1859.1433244883863</v>
      </c>
      <c r="CI261" s="163">
        <f t="shared" si="1510"/>
        <v>1921.366435244084</v>
      </c>
      <c r="CJ261" s="163">
        <f t="shared" si="1510"/>
        <v>1968.103740322053</v>
      </c>
      <c r="CK261" s="163">
        <f t="shared" ref="CK261" si="1511">+CK260/CK227</f>
        <v>2017.3337452747892</v>
      </c>
      <c r="CL261" s="163">
        <f t="shared" ref="CL261" si="1512">+CL260/CL227</f>
        <v>2078.1035147021412</v>
      </c>
      <c r="CM261" s="50">
        <f t="shared" si="1510"/>
        <v>2144.8894351094004</v>
      </c>
      <c r="CN261" s="50">
        <f t="shared" si="1510"/>
        <v>2214.8303874259859</v>
      </c>
      <c r="CO261" s="50">
        <f t="shared" si="1510"/>
        <v>2293.1524025510876</v>
      </c>
      <c r="CP261" s="50">
        <f t="shared" si="1510"/>
        <v>2390.7820743287612</v>
      </c>
      <c r="CQ261" s="50">
        <f t="shared" si="1510"/>
        <v>2470.0863148598096</v>
      </c>
      <c r="CR261" s="50">
        <f t="shared" si="1510"/>
        <v>2555.3153844128879</v>
      </c>
      <c r="CS261" s="50">
        <f t="shared" si="1510"/>
        <v>2647.0449736975224</v>
      </c>
      <c r="CT261" s="50">
        <f t="shared" si="1510"/>
        <v>2754.8249549183206</v>
      </c>
      <c r="CU261" s="50">
        <f t="shared" si="1510"/>
        <v>2847.4529492655774</v>
      </c>
      <c r="CV261" s="50">
        <f t="shared" si="1510"/>
        <v>2946.6080889865243</v>
      </c>
      <c r="CW261" s="50">
        <f t="shared" si="1510"/>
        <v>3052.1616332130766</v>
      </c>
      <c r="CX261" s="50">
        <f t="shared" ref="CX261:DB261" si="1513">+CX260/CX227</f>
        <v>3175.6442743262151</v>
      </c>
      <c r="CY261" s="50">
        <f t="shared" si="1513"/>
        <v>3282.8000118779928</v>
      </c>
      <c r="CZ261" s="50">
        <f t="shared" si="1513"/>
        <v>3397.2354583036931</v>
      </c>
      <c r="DA261" s="50">
        <f t="shared" si="1513"/>
        <v>3518.8134687002726</v>
      </c>
      <c r="DB261" s="50">
        <f t="shared" si="1513"/>
        <v>3661.0768514394936</v>
      </c>
      <c r="DE261" s="164"/>
      <c r="DF261" s="163">
        <v>2078.1038781666848</v>
      </c>
    </row>
    <row r="262" spans="1:110" s="163" customFormat="1" x14ac:dyDescent="0.2">
      <c r="AB262" s="94"/>
      <c r="AC262" s="94"/>
      <c r="AD262" s="94"/>
      <c r="AE262" s="94"/>
      <c r="CM262" s="94"/>
      <c r="CN262" s="94"/>
      <c r="CO262" s="94"/>
      <c r="CP262" s="94"/>
      <c r="CQ262" s="94"/>
      <c r="CR262" s="94"/>
      <c r="CS262" s="94"/>
      <c r="CT262" s="94"/>
      <c r="CU262" s="94"/>
      <c r="CV262" s="94"/>
      <c r="CW262" s="94"/>
      <c r="CX262" s="94"/>
      <c r="CY262" s="94"/>
      <c r="CZ262" s="94"/>
      <c r="DA262" s="94"/>
      <c r="DB262" s="94"/>
      <c r="DE262" s="164"/>
    </row>
    <row r="263" spans="1:110" s="163" customFormat="1" x14ac:dyDescent="0.2">
      <c r="A263" s="163" t="s">
        <v>506</v>
      </c>
      <c r="AB263" s="94"/>
      <c r="AC263" s="94"/>
      <c r="AD263" s="94"/>
      <c r="AE263" s="94"/>
      <c r="CM263" s="94"/>
      <c r="CN263" s="94"/>
      <c r="CO263" s="94"/>
      <c r="CP263" s="94"/>
      <c r="CQ263" s="94"/>
      <c r="CR263" s="94"/>
      <c r="CS263" s="94"/>
      <c r="CT263" s="94"/>
      <c r="CU263" s="94"/>
      <c r="CV263" s="94"/>
      <c r="CW263" s="94"/>
      <c r="CX263" s="94"/>
      <c r="CY263" s="94"/>
      <c r="CZ263" s="94"/>
      <c r="DA263" s="94"/>
      <c r="DB263" s="94"/>
      <c r="DE263" s="164"/>
    </row>
    <row r="264" spans="1:110" s="163" customFormat="1" x14ac:dyDescent="0.2">
      <c r="A264" s="163" t="s">
        <v>507</v>
      </c>
      <c r="E264" s="163">
        <f t="shared" ref="E264:AE266" si="1514">+E239/E$261</f>
        <v>0.79999232260898279</v>
      </c>
      <c r="F264" s="163">
        <f t="shared" si="1514"/>
        <v>1.0492504081909961</v>
      </c>
      <c r="G264" s="163">
        <f t="shared" si="1514"/>
        <v>2.245129823667332</v>
      </c>
      <c r="H264" s="163">
        <f t="shared" si="1514"/>
        <v>2.4129943606108553</v>
      </c>
      <c r="I264" s="163">
        <f t="shared" si="1514"/>
        <v>3.1391046904200564</v>
      </c>
      <c r="J264" s="163">
        <f t="shared" si="1514"/>
        <v>1.0151751398260145</v>
      </c>
      <c r="K264" s="163">
        <f t="shared" si="1514"/>
        <v>2.2614394197835779</v>
      </c>
      <c r="L264" s="163">
        <f t="shared" si="1514"/>
        <v>1.9422052933126694</v>
      </c>
      <c r="M264" s="163">
        <f t="shared" si="1514"/>
        <v>1.2423720295908558</v>
      </c>
      <c r="N264" s="163">
        <f t="shared" si="1514"/>
        <v>1.1201641117882355</v>
      </c>
      <c r="O264" s="163">
        <f t="shared" si="1514"/>
        <v>1.3710434061958168</v>
      </c>
      <c r="P264" s="163">
        <f t="shared" si="1514"/>
        <v>1.7134961107370958</v>
      </c>
      <c r="Q264" s="163">
        <f t="shared" si="1514"/>
        <v>1.1029961092726366</v>
      </c>
      <c r="R264" s="163">
        <f t="shared" si="1514"/>
        <v>1.3235687525437512</v>
      </c>
      <c r="S264" s="163">
        <f t="shared" si="1514"/>
        <v>1.5079107495156379</v>
      </c>
      <c r="T264" s="163">
        <f t="shared" si="1514"/>
        <v>1.4080493263991667</v>
      </c>
      <c r="U264" s="163">
        <f t="shared" si="1514"/>
        <v>0.76309741725744429</v>
      </c>
      <c r="V264" s="163">
        <f t="shared" si="1514"/>
        <v>1.4348927018379229</v>
      </c>
      <c r="W264" s="163">
        <f t="shared" si="1514"/>
        <v>1.5533947647229707</v>
      </c>
      <c r="X264" s="163">
        <f t="shared" si="1514"/>
        <v>1.6242647363624114</v>
      </c>
      <c r="Y264" s="163">
        <f t="shared" si="1514"/>
        <v>2.3480495394864098</v>
      </c>
      <c r="Z264" s="163">
        <f>+Z239/Z$261</f>
        <v>1.8778831518397305</v>
      </c>
      <c r="AA264" s="163">
        <f>+AA239/AA$261</f>
        <v>1.6862968385832156</v>
      </c>
      <c r="AB264" s="50">
        <f t="shared" ref="AB264:AE264" si="1515">+AB239/AB$261</f>
        <v>1.6521790264422185</v>
      </c>
      <c r="AC264" s="50">
        <f t="shared" si="1515"/>
        <v>1.4338479085387534</v>
      </c>
      <c r="AD264" s="50">
        <f t="shared" si="1515"/>
        <v>1.2438420864497117</v>
      </c>
      <c r="AE264" s="50">
        <f t="shared" si="1515"/>
        <v>1.0789175317220956</v>
      </c>
      <c r="AL264" s="163">
        <f t="shared" ref="AL264:BQ264" si="1516">+AL239/AL261</f>
        <v>1.4719868998222332</v>
      </c>
      <c r="AM264" s="163">
        <f t="shared" si="1516"/>
        <v>1.3839210889670537</v>
      </c>
      <c r="AN264" s="163">
        <f t="shared" si="1516"/>
        <v>1.0632501887688841</v>
      </c>
      <c r="AO264" s="163">
        <f t="shared" si="1516"/>
        <v>1.2753963404026061</v>
      </c>
      <c r="AP264" s="163">
        <f t="shared" si="1516"/>
        <v>1.3588025569579847</v>
      </c>
      <c r="AQ264" s="163">
        <f t="shared" si="1516"/>
        <v>1.7814522654830076</v>
      </c>
      <c r="AR264" s="163">
        <f t="shared" si="1516"/>
        <v>1.4914922493444853</v>
      </c>
      <c r="AS264" s="163">
        <f t="shared" si="1516"/>
        <v>1.4963215466179189</v>
      </c>
      <c r="AT264" s="163">
        <f t="shared" si="1516"/>
        <v>1.6993877642983104</v>
      </c>
      <c r="AU264" s="163">
        <f t="shared" si="1516"/>
        <v>1.7450110517429498</v>
      </c>
      <c r="AV264" s="163">
        <f t="shared" si="1516"/>
        <v>1.4087005651611031</v>
      </c>
      <c r="AW264" s="163">
        <f t="shared" si="1516"/>
        <v>1.2013551511603822</v>
      </c>
      <c r="AX264" s="163">
        <f t="shared" si="1516"/>
        <v>1.0936922372378406</v>
      </c>
      <c r="AY264" s="163">
        <f t="shared" si="1516"/>
        <v>1.3218245719094561</v>
      </c>
      <c r="AZ264" s="163">
        <f t="shared" si="1516"/>
        <v>1.2420769795189124</v>
      </c>
      <c r="BA264" s="163">
        <f t="shared" si="1516"/>
        <v>1.1667564881391437</v>
      </c>
      <c r="BB264" s="163">
        <f t="shared" si="1516"/>
        <v>1.3150609076915682</v>
      </c>
      <c r="BC264" s="163">
        <f t="shared" si="1516"/>
        <v>1.3803712397549208</v>
      </c>
      <c r="BD264" s="163">
        <f t="shared" si="1516"/>
        <v>1.3824366228154961</v>
      </c>
      <c r="BE264" s="163">
        <f t="shared" si="1516"/>
        <v>1.4903611018998986</v>
      </c>
      <c r="BF264" s="163">
        <f t="shared" si="1516"/>
        <v>1.5055501655652621</v>
      </c>
      <c r="BG264" s="163">
        <f t="shared" si="1516"/>
        <v>1.4231594004349712</v>
      </c>
      <c r="BH264" s="163">
        <f t="shared" si="1516"/>
        <v>1.3707510456621885</v>
      </c>
      <c r="BI264" s="163">
        <f t="shared" si="1516"/>
        <v>1.4923106240237187</v>
      </c>
      <c r="BJ264" s="163">
        <f t="shared" si="1516"/>
        <v>1.4079472835653473</v>
      </c>
      <c r="BK264" s="163">
        <f t="shared" si="1516"/>
        <v>1.5497102732477803</v>
      </c>
      <c r="BL264" s="163">
        <f t="shared" si="1516"/>
        <v>1.4253417852523362</v>
      </c>
      <c r="BM264" s="163">
        <f t="shared" si="1516"/>
        <v>1.2364298232903248</v>
      </c>
      <c r="BN264" s="163">
        <f t="shared" si="1516"/>
        <v>0.76304194548648108</v>
      </c>
      <c r="BO264" s="163">
        <f t="shared" si="1516"/>
        <v>0.94734627329668319</v>
      </c>
      <c r="BP264" s="163">
        <f t="shared" si="1516"/>
        <v>0.93488487428366995</v>
      </c>
      <c r="BQ264" s="163">
        <f t="shared" si="1516"/>
        <v>1.3403492667161157</v>
      </c>
      <c r="BR264" s="163">
        <f t="shared" ref="BR264:DB264" si="1517">+BR239/BR261</f>
        <v>1.4347883953136009</v>
      </c>
      <c r="BS264" s="163">
        <f t="shared" si="1517"/>
        <v>1.4335231565236846</v>
      </c>
      <c r="BT264" s="163">
        <f t="shared" si="1517"/>
        <v>1.5851796951728427</v>
      </c>
      <c r="BU264" s="163">
        <f t="shared" si="1517"/>
        <v>1.7176422466096615</v>
      </c>
      <c r="BV264" s="163">
        <f t="shared" si="1517"/>
        <v>1.5532819431767784</v>
      </c>
      <c r="BW264" s="163">
        <f t="shared" si="1517"/>
        <v>1.3136679341698945</v>
      </c>
      <c r="BX264" s="163">
        <f t="shared" si="1517"/>
        <v>1.486866752149046</v>
      </c>
      <c r="BY264" s="163">
        <f t="shared" si="1517"/>
        <v>1.6135563252785119</v>
      </c>
      <c r="BZ264" s="163">
        <f t="shared" si="1517"/>
        <v>1.6241468410065896</v>
      </c>
      <c r="CA264" s="163">
        <f t="shared" si="1517"/>
        <v>1.7422332437681658</v>
      </c>
      <c r="CB264" s="163">
        <f t="shared" si="1517"/>
        <v>2.0413579497707817</v>
      </c>
      <c r="CC264" s="163">
        <f t="shared" si="1517"/>
        <v>2.2845259648542555</v>
      </c>
      <c r="CD264" s="163">
        <f t="shared" si="1517"/>
        <v>2.3478788529353625</v>
      </c>
      <c r="CE264" s="163">
        <f t="shared" si="1517"/>
        <v>2.1381079364184057</v>
      </c>
      <c r="CF264" s="163">
        <f t="shared" si="1517"/>
        <v>2.1164664169466874</v>
      </c>
      <c r="CG264" s="163">
        <f t="shared" si="1517"/>
        <v>1.9978130661008098</v>
      </c>
      <c r="CH264" s="163">
        <f t="shared" si="1517"/>
        <v>1.8777465696253843</v>
      </c>
      <c r="CI264" s="163">
        <f t="shared" si="1517"/>
        <v>1.9093442732770336</v>
      </c>
      <c r="CJ264" s="163">
        <f t="shared" si="1517"/>
        <v>1.8590483443729893</v>
      </c>
      <c r="CK264" s="163">
        <f t="shared" ref="CK264" si="1518">+CK239/CK261</f>
        <v>2.0240081788964592</v>
      </c>
      <c r="CL264" s="163">
        <f t="shared" ref="CL264" si="1519">+CL239/CL261</f>
        <v>1.6862971335199723</v>
      </c>
      <c r="CM264" s="50">
        <f t="shared" si="1517"/>
        <v>1.8415867668248969</v>
      </c>
      <c r="CN264" s="50">
        <f t="shared" si="1517"/>
        <v>1.7834322765413111</v>
      </c>
      <c r="CO264" s="50">
        <f t="shared" si="1517"/>
        <v>1.7225196178002393</v>
      </c>
      <c r="CP264" s="50">
        <f t="shared" si="1517"/>
        <v>1.6521790264422185</v>
      </c>
      <c r="CQ264" s="50">
        <f t="shared" si="1517"/>
        <v>1.5991344011896131</v>
      </c>
      <c r="CR264" s="50">
        <f t="shared" si="1517"/>
        <v>1.5457974479762921</v>
      </c>
      <c r="CS264" s="50">
        <f t="shared" si="1517"/>
        <v>1.4922300298065756</v>
      </c>
      <c r="CT264" s="50">
        <f t="shared" si="1517"/>
        <v>1.4338479085387534</v>
      </c>
      <c r="CU264" s="50">
        <f t="shared" si="1517"/>
        <v>1.3872046598763974</v>
      </c>
      <c r="CV264" s="50">
        <f t="shared" si="1517"/>
        <v>1.3405243862473033</v>
      </c>
      <c r="CW264" s="50">
        <f t="shared" si="1517"/>
        <v>1.2941647509806844</v>
      </c>
      <c r="CX264" s="50">
        <f t="shared" si="1517"/>
        <v>1.2438420864497117</v>
      </c>
      <c r="CY264" s="50">
        <f t="shared" si="1517"/>
        <v>1.2032411312623097</v>
      </c>
      <c r="CZ264" s="50">
        <f t="shared" si="1517"/>
        <v>1.1627101060496741</v>
      </c>
      <c r="DA264" s="50">
        <f t="shared" si="1517"/>
        <v>1.1225374789357598</v>
      </c>
      <c r="DB264" s="50">
        <f t="shared" si="1517"/>
        <v>1.0789175317220956</v>
      </c>
      <c r="DE264" s="106"/>
      <c r="DF264" s="163">
        <v>1.6862968385832156</v>
      </c>
    </row>
    <row r="265" spans="1:110" s="163" customFormat="1" x14ac:dyDescent="0.2">
      <c r="A265" s="163" t="s">
        <v>508</v>
      </c>
      <c r="E265" s="163">
        <f t="shared" si="1514"/>
        <v>0.85452300848021412</v>
      </c>
      <c r="F265" s="163">
        <f t="shared" si="1514"/>
        <v>1.2104099568942071</v>
      </c>
      <c r="G265" s="163">
        <f t="shared" si="1514"/>
        <v>2.4147651363328135</v>
      </c>
      <c r="H265" s="163">
        <f t="shared" si="1514"/>
        <v>2.6497260742773063</v>
      </c>
      <c r="I265" s="163">
        <f t="shared" si="1514"/>
        <v>4.8464754378014048</v>
      </c>
      <c r="J265" s="163">
        <f t="shared" si="1514"/>
        <v>2.4615337144967331</v>
      </c>
      <c r="K265" s="163">
        <f t="shared" si="1514"/>
        <v>2.5028997175333978</v>
      </c>
      <c r="L265" s="163">
        <f t="shared" si="1514"/>
        <v>2.5986137056147722</v>
      </c>
      <c r="M265" s="163">
        <f t="shared" si="1514"/>
        <v>1.7756931518317194</v>
      </c>
      <c r="N265" s="163">
        <f t="shared" si="1514"/>
        <v>1.4111819109237826</v>
      </c>
      <c r="O265" s="163">
        <f t="shared" si="1514"/>
        <v>1.4015852523952048</v>
      </c>
      <c r="P265" s="163">
        <f t="shared" si="1514"/>
        <v>1.8868891581266984</v>
      </c>
      <c r="Q265" s="163">
        <f t="shared" si="1514"/>
        <v>1.7106778581775288</v>
      </c>
      <c r="R265" s="163">
        <f t="shared" si="1514"/>
        <v>1.3549464600394088</v>
      </c>
      <c r="S265" s="163">
        <f t="shared" si="1514"/>
        <v>1.6891726789299346</v>
      </c>
      <c r="T265" s="163">
        <f t="shared" si="1514"/>
        <v>1.4844006879440945</v>
      </c>
      <c r="U265" s="163">
        <f t="shared" si="1514"/>
        <v>1.5195744194181517</v>
      </c>
      <c r="V265" s="163">
        <f t="shared" si="1514"/>
        <v>1.6115797046059235</v>
      </c>
      <c r="W265" s="163">
        <f t="shared" si="1514"/>
        <v>1.8265099437309555</v>
      </c>
      <c r="X265" s="163">
        <f t="shared" si="1514"/>
        <v>1.7237202350596457</v>
      </c>
      <c r="Y265" s="163">
        <f t="shared" si="1514"/>
        <v>2.3716289564458268</v>
      </c>
      <c r="Z265" s="163">
        <f t="shared" ref="Z265:AA266" si="1520">+Z240/Z$261</f>
        <v>2.1317819910457896</v>
      </c>
      <c r="AA265" s="163">
        <f t="shared" si="1520"/>
        <v>2.1365630691748643</v>
      </c>
      <c r="AB265" s="94">
        <f t="shared" si="1514"/>
        <v>2.0059644736490583</v>
      </c>
      <c r="AC265" s="94">
        <f t="shared" si="1514"/>
        <v>2.0134024344315669</v>
      </c>
      <c r="AD265" s="94">
        <f t="shared" si="1514"/>
        <v>2.0343700769469777</v>
      </c>
      <c r="AE265" s="94">
        <f t="shared" si="1514"/>
        <v>2.0576194148435114</v>
      </c>
      <c r="AL265" s="163">
        <f t="shared" ref="AL265:BQ265" si="1521">+AL240/AL261</f>
        <v>1.7913182215581573</v>
      </c>
      <c r="AM265" s="163">
        <f t="shared" si="1521"/>
        <v>1.6282989930438125</v>
      </c>
      <c r="AN265" s="163">
        <f t="shared" si="1521"/>
        <v>1.3614887656845294</v>
      </c>
      <c r="AO265" s="163">
        <f t="shared" si="1521"/>
        <v>1.3737421653238278</v>
      </c>
      <c r="AP265" s="163">
        <f t="shared" si="1521"/>
        <v>1.3890717216849393</v>
      </c>
      <c r="AQ265" s="163">
        <f t="shared" si="1521"/>
        <v>1.8579826842693257</v>
      </c>
      <c r="AR265" s="163">
        <f t="shared" si="1521"/>
        <v>1.8041791043221524</v>
      </c>
      <c r="AS265" s="163">
        <f t="shared" si="1521"/>
        <v>1.6923981622489068</v>
      </c>
      <c r="AT265" s="163">
        <f t="shared" si="1521"/>
        <v>1.8713531520817308</v>
      </c>
      <c r="AU265" s="163">
        <f t="shared" si="1521"/>
        <v>1.7814725083001879</v>
      </c>
      <c r="AV265" s="163">
        <f t="shared" si="1521"/>
        <v>1.8116598084373974</v>
      </c>
      <c r="AW265" s="163">
        <f t="shared" si="1521"/>
        <v>1.5166090506241368</v>
      </c>
      <c r="AX265" s="163">
        <f t="shared" si="1521"/>
        <v>1.161182454640159</v>
      </c>
      <c r="AY265" s="163">
        <f t="shared" si="1521"/>
        <v>1.338433515868751</v>
      </c>
      <c r="AZ265" s="163">
        <f t="shared" si="1521"/>
        <v>1.4011485502204102</v>
      </c>
      <c r="BA265" s="163">
        <f t="shared" si="1521"/>
        <v>1.3142654972369145</v>
      </c>
      <c r="BB265" s="163">
        <f t="shared" si="1521"/>
        <v>1.3278980894730446</v>
      </c>
      <c r="BC265" s="163">
        <f t="shared" si="1521"/>
        <v>1.4999412570864625</v>
      </c>
      <c r="BD265" s="163">
        <f t="shared" si="1521"/>
        <v>1.5141751285385816</v>
      </c>
      <c r="BE265" s="163">
        <f t="shared" si="1521"/>
        <v>1.5117629220910702</v>
      </c>
      <c r="BF265" s="163">
        <f t="shared" si="1521"/>
        <v>1.6865283354788543</v>
      </c>
      <c r="BG265" s="163">
        <f t="shared" si="1521"/>
        <v>1.5946594556120637</v>
      </c>
      <c r="BH265" s="163">
        <f t="shared" si="1521"/>
        <v>1.5031565171316303</v>
      </c>
      <c r="BI265" s="163">
        <f t="shared" si="1521"/>
        <v>1.5136812175968077</v>
      </c>
      <c r="BJ265" s="163">
        <f t="shared" si="1521"/>
        <v>1.4740187232297881</v>
      </c>
      <c r="BK265" s="163">
        <f t="shared" si="1521"/>
        <v>1.6032449026285109</v>
      </c>
      <c r="BL265" s="163">
        <f t="shared" si="1521"/>
        <v>1.5363497124526742</v>
      </c>
      <c r="BM265" s="163">
        <f t="shared" si="1521"/>
        <v>1.4239479534633059</v>
      </c>
      <c r="BN265" s="163">
        <f t="shared" si="1521"/>
        <v>1.3087136348286135</v>
      </c>
      <c r="BO265" s="163">
        <f t="shared" si="1521"/>
        <v>0.99847417184492326</v>
      </c>
      <c r="BP265" s="163">
        <f t="shared" si="1521"/>
        <v>1.061787635766023</v>
      </c>
      <c r="BQ265" s="163">
        <f t="shared" si="1521"/>
        <v>1.3932845004643308</v>
      </c>
      <c r="BR265" s="163">
        <f t="shared" ref="BR265:CJ265" si="1522">+BR240/BR261</f>
        <v>1.6114625541894219</v>
      </c>
      <c r="BS265" s="163">
        <f t="shared" si="1522"/>
        <v>1.5112509066925626</v>
      </c>
      <c r="BT265" s="163">
        <f t="shared" si="1522"/>
        <v>1.6846286282845582</v>
      </c>
      <c r="BU265" s="163">
        <f t="shared" si="1522"/>
        <v>1.7973607878177458</v>
      </c>
      <c r="BV265" s="163">
        <f t="shared" si="1522"/>
        <v>1.8263772860957765</v>
      </c>
      <c r="BW265" s="163">
        <f t="shared" si="1522"/>
        <v>1.5692639013236593</v>
      </c>
      <c r="BX265" s="163">
        <f t="shared" si="1522"/>
        <v>1.6045324663478913</v>
      </c>
      <c r="BY265" s="163">
        <f t="shared" si="1522"/>
        <v>1.7096133140143557</v>
      </c>
      <c r="BZ265" s="163">
        <f t="shared" si="1522"/>
        <v>1.7235951208427942</v>
      </c>
      <c r="CA265" s="163">
        <f t="shared" si="1522"/>
        <v>1.7481826763443795</v>
      </c>
      <c r="CB265" s="163">
        <f t="shared" si="1522"/>
        <v>2.0650345811311506</v>
      </c>
      <c r="CC265" s="163">
        <f t="shared" si="1522"/>
        <v>2.3057062710735421</v>
      </c>
      <c r="CD265" s="163">
        <f t="shared" si="1522"/>
        <v>2.3714565558383724</v>
      </c>
      <c r="CE265" s="163">
        <f t="shared" si="1522"/>
        <v>2.3785803227987028</v>
      </c>
      <c r="CF265" s="163">
        <f t="shared" si="1522"/>
        <v>2.2100389357206875</v>
      </c>
      <c r="CG265" s="163">
        <f t="shared" si="1522"/>
        <v>2.1943828106866712</v>
      </c>
      <c r="CH265" s="163">
        <f t="shared" si="1522"/>
        <v>2.0030731095058525</v>
      </c>
      <c r="CI265" s="163">
        <f t="shared" si="1522"/>
        <v>1.9413267201819071</v>
      </c>
      <c r="CJ265" s="163">
        <f t="shared" si="1522"/>
        <v>1.9280995824839242</v>
      </c>
      <c r="CK265" s="163">
        <f t="shared" ref="CK265" si="1523">+CK240/CK261</f>
        <v>2.0517180212222197</v>
      </c>
      <c r="CL265" s="163">
        <f t="shared" ref="CL265" si="1524">+CL240/CL261</f>
        <v>2.1365634428641029</v>
      </c>
      <c r="CM265" s="94">
        <f t="shared" ref="CM265:DB265" si="1525">+CL265</f>
        <v>2.1365634428641029</v>
      </c>
      <c r="CN265" s="94">
        <f t="shared" si="1525"/>
        <v>2.1365634428641029</v>
      </c>
      <c r="CO265" s="94">
        <f t="shared" si="1525"/>
        <v>2.1365634428641029</v>
      </c>
      <c r="CP265" s="94">
        <f t="shared" si="1525"/>
        <v>2.1365634428641029</v>
      </c>
      <c r="CQ265" s="94">
        <f t="shared" si="1525"/>
        <v>2.1365634428641029</v>
      </c>
      <c r="CR265" s="94">
        <f t="shared" si="1525"/>
        <v>2.1365634428641029</v>
      </c>
      <c r="CS265" s="94">
        <f t="shared" si="1525"/>
        <v>2.1365634428641029</v>
      </c>
      <c r="CT265" s="94">
        <f t="shared" si="1525"/>
        <v>2.1365634428641029</v>
      </c>
      <c r="CU265" s="94">
        <f t="shared" si="1525"/>
        <v>2.1365634428641029</v>
      </c>
      <c r="CV265" s="94">
        <f t="shared" si="1525"/>
        <v>2.1365634428641029</v>
      </c>
      <c r="CW265" s="94">
        <f t="shared" si="1525"/>
        <v>2.1365634428641029</v>
      </c>
      <c r="CX265" s="94">
        <f t="shared" si="1525"/>
        <v>2.1365634428641029</v>
      </c>
      <c r="CY265" s="94">
        <f t="shared" si="1525"/>
        <v>2.1365634428641029</v>
      </c>
      <c r="CZ265" s="94">
        <f t="shared" si="1525"/>
        <v>2.1365634428641029</v>
      </c>
      <c r="DA265" s="94">
        <f t="shared" si="1525"/>
        <v>2.1365634428641029</v>
      </c>
      <c r="DB265" s="94">
        <f t="shared" si="1525"/>
        <v>2.1365634428641029</v>
      </c>
      <c r="DE265" s="164"/>
      <c r="DF265" s="163">
        <v>2.1365630691748643</v>
      </c>
    </row>
    <row r="266" spans="1:110" s="163" customFormat="1" x14ac:dyDescent="0.2">
      <c r="A266" s="163" t="s">
        <v>509</v>
      </c>
      <c r="E266" s="163">
        <f t="shared" si="1514"/>
        <v>0.24430861562743206</v>
      </c>
      <c r="F266" s="163">
        <f t="shared" si="1514"/>
        <v>0.4259630858756604</v>
      </c>
      <c r="G266" s="163">
        <f t="shared" si="1514"/>
        <v>0.8481765633274172</v>
      </c>
      <c r="H266" s="163">
        <f t="shared" si="1514"/>
        <v>1.3451681652387797</v>
      </c>
      <c r="I266" s="163">
        <f t="shared" si="1514"/>
        <v>1.5649860728489291</v>
      </c>
      <c r="J266" s="163">
        <f t="shared" si="1514"/>
        <v>0.84063413793665398</v>
      </c>
      <c r="K266" s="163">
        <f t="shared" si="1514"/>
        <v>0.92190139595813603</v>
      </c>
      <c r="L266" s="163">
        <f t="shared" si="1514"/>
        <v>1.7187621075947968</v>
      </c>
      <c r="M266" s="163">
        <f t="shared" si="1514"/>
        <v>0.92309235239906862</v>
      </c>
      <c r="N266" s="163">
        <f t="shared" si="1514"/>
        <v>0.90801492657520944</v>
      </c>
      <c r="O266" s="163">
        <f t="shared" si="1514"/>
        <v>0.73052648704780132</v>
      </c>
      <c r="P266" s="163">
        <f t="shared" si="1514"/>
        <v>1.2384719271584088</v>
      </c>
      <c r="Q266" s="163">
        <f t="shared" si="1514"/>
        <v>0.92197487640730291</v>
      </c>
      <c r="R266" s="163">
        <f t="shared" si="1514"/>
        <v>0.9874749123630836</v>
      </c>
      <c r="S266" s="163">
        <f t="shared" si="1514"/>
        <v>1.2091791359786956</v>
      </c>
      <c r="T266" s="163">
        <f t="shared" si="1514"/>
        <v>1.2039200699835801</v>
      </c>
      <c r="U266" s="163">
        <f t="shared" si="1514"/>
        <v>0.62520362852826861</v>
      </c>
      <c r="V266" s="163">
        <f t="shared" si="1514"/>
        <v>0.7718991303291397</v>
      </c>
      <c r="W266" s="163">
        <f t="shared" si="1514"/>
        <v>1.148182364782081</v>
      </c>
      <c r="X266" s="163">
        <f t="shared" si="1514"/>
        <v>1.0930725801745056</v>
      </c>
      <c r="Y266" s="163">
        <f t="shared" si="1514"/>
        <v>1.3410715627142713</v>
      </c>
      <c r="Z266" s="163">
        <f t="shared" si="1520"/>
        <v>1.6897720838940549</v>
      </c>
      <c r="AA266" s="163">
        <f t="shared" si="1520"/>
        <v>1.4280566198731499</v>
      </c>
      <c r="AB266" s="94">
        <f t="shared" si="1514"/>
        <v>1.4610681773670691</v>
      </c>
      <c r="AC266" s="94">
        <f t="shared" si="1514"/>
        <v>1.3829230584801382</v>
      </c>
      <c r="AD266" s="94">
        <f t="shared" si="1514"/>
        <v>1.4139580796767568</v>
      </c>
      <c r="AE266" s="94">
        <f t="shared" si="1514"/>
        <v>1.4354145689789128</v>
      </c>
      <c r="AL266" s="163">
        <f t="shared" ref="AL266:BQ266" si="1526">+AL241/AL261</f>
        <v>1.4354271841624986</v>
      </c>
      <c r="AM266" s="163">
        <f t="shared" si="1526"/>
        <v>1.2942813617003424</v>
      </c>
      <c r="AN266" s="163">
        <f t="shared" si="1526"/>
        <v>0.91426572787748073</v>
      </c>
      <c r="AO266" s="163">
        <f t="shared" si="1526"/>
        <v>0.92635806722765246</v>
      </c>
      <c r="AP266" s="163">
        <f t="shared" si="1526"/>
        <v>1.0160189472370398</v>
      </c>
      <c r="AQ266" s="163">
        <f t="shared" si="1526"/>
        <v>1.3007553874291036</v>
      </c>
      <c r="AR266" s="163">
        <f t="shared" si="1526"/>
        <v>1.4688760507026708</v>
      </c>
      <c r="AS266" s="163">
        <f t="shared" si="1526"/>
        <v>1.3998330539693185</v>
      </c>
      <c r="AT266" s="163">
        <f t="shared" si="1526"/>
        <v>1.4695898086199257</v>
      </c>
      <c r="AU266" s="163">
        <f t="shared" si="1526"/>
        <v>1.5126365608251064</v>
      </c>
      <c r="AV266" s="163">
        <f t="shared" si="1526"/>
        <v>1.3572681554901567</v>
      </c>
      <c r="AW266" s="163">
        <f t="shared" si="1526"/>
        <v>1.1917962950601377</v>
      </c>
      <c r="AX266" s="163">
        <f t="shared" si="1526"/>
        <v>0.91419793485938849</v>
      </c>
      <c r="AY266" s="163">
        <f t="shared" si="1526"/>
        <v>1.0398259063878024</v>
      </c>
      <c r="AZ266" s="163">
        <f t="shared" si="1526"/>
        <v>1.2255061205039224</v>
      </c>
      <c r="BA266" s="163">
        <f t="shared" si="1526"/>
        <v>1.1199790122177502</v>
      </c>
      <c r="BB266" s="163">
        <f t="shared" si="1526"/>
        <v>1.1253373639602071</v>
      </c>
      <c r="BC266" s="163">
        <f t="shared" si="1526"/>
        <v>1.2905710488999083</v>
      </c>
      <c r="BD266" s="163">
        <f t="shared" si="1526"/>
        <v>1.3494868540277449</v>
      </c>
      <c r="BE266" s="163">
        <f t="shared" si="1526"/>
        <v>1.3333156124638499</v>
      </c>
      <c r="BF266" s="163">
        <f t="shared" si="1526"/>
        <v>1.426651946278265</v>
      </c>
      <c r="BG266" s="163">
        <f t="shared" si="1526"/>
        <v>1.3496114002709048</v>
      </c>
      <c r="BH266" s="163">
        <f t="shared" si="1526"/>
        <v>1.3268142892939059</v>
      </c>
      <c r="BI266" s="163">
        <f t="shared" si="1526"/>
        <v>1.2276679822521159</v>
      </c>
      <c r="BJ266" s="163">
        <f t="shared" si="1526"/>
        <v>1.2230591517868696</v>
      </c>
      <c r="BK266" s="163">
        <f t="shared" si="1526"/>
        <v>1.2821369113010355</v>
      </c>
      <c r="BL266" s="163">
        <f t="shared" si="1526"/>
        <v>1.2298713047473937</v>
      </c>
      <c r="BM266" s="163">
        <f t="shared" si="1526"/>
        <v>1.195166315965458</v>
      </c>
      <c r="BN266" s="163">
        <f t="shared" si="1526"/>
        <v>0.6251581806579144</v>
      </c>
      <c r="BO266" s="163">
        <f t="shared" si="1526"/>
        <v>0.76566411368610698</v>
      </c>
      <c r="BP266" s="163">
        <f t="shared" si="1526"/>
        <v>0.87278021672557138</v>
      </c>
      <c r="BQ266" s="163">
        <f t="shared" si="1526"/>
        <v>0.91218286277037497</v>
      </c>
      <c r="BR266" s="163">
        <f t="shared" ref="BR266:CJ266" si="1527">+BR241/BR261</f>
        <v>1.2958465360430944</v>
      </c>
      <c r="BS266" s="163">
        <f t="shared" si="1527"/>
        <v>1.2474635481648904</v>
      </c>
      <c r="BT266" s="163">
        <f t="shared" si="1527"/>
        <v>1.3736238458860581</v>
      </c>
      <c r="BU266" s="163">
        <f t="shared" si="1527"/>
        <v>1.5267528233188992</v>
      </c>
      <c r="BV266" s="163">
        <f t="shared" si="1527"/>
        <v>1.4017283087877797</v>
      </c>
      <c r="BW266" s="163">
        <f t="shared" si="1527"/>
        <v>1.2290879846496272</v>
      </c>
      <c r="BX266" s="163">
        <f t="shared" si="1527"/>
        <v>1.2345650806235655</v>
      </c>
      <c r="BY266" s="163">
        <f t="shared" si="1527"/>
        <v>1.4029579514236785</v>
      </c>
      <c r="BZ266" s="163">
        <f t="shared" si="1527"/>
        <v>1.5441305524774971</v>
      </c>
      <c r="CA266" s="163">
        <f t="shared" si="1527"/>
        <v>1.5176685668233867</v>
      </c>
      <c r="CB266" s="163">
        <f t="shared" si="1527"/>
        <v>1.6347008291162339</v>
      </c>
      <c r="CC266" s="163">
        <f t="shared" si="1527"/>
        <v>1.8504268447268624</v>
      </c>
      <c r="CD266" s="163">
        <f t="shared" si="1527"/>
        <v>2.0305441233621324</v>
      </c>
      <c r="CE266" s="163">
        <f t="shared" si="1527"/>
        <v>1.9128759091949759</v>
      </c>
      <c r="CF266" s="163">
        <f t="shared" si="1527"/>
        <v>1.9584296306234614</v>
      </c>
      <c r="CG266" s="163">
        <f t="shared" si="1527"/>
        <v>1.8067528115392564</v>
      </c>
      <c r="CH266" s="163">
        <f t="shared" si="1527"/>
        <v>1.6896491833756</v>
      </c>
      <c r="CI266" s="163">
        <f t="shared" si="1527"/>
        <v>1.5445518072782405</v>
      </c>
      <c r="CJ266" s="163">
        <f t="shared" si="1527"/>
        <v>1.7302441584927681</v>
      </c>
      <c r="CK266" s="163">
        <f t="shared" ref="CK266" si="1528">+CK241/CK261</f>
        <v>1.7918700901459483</v>
      </c>
      <c r="CL266" s="163">
        <f t="shared" ref="CL266" si="1529">+CL241/CL261</f>
        <v>1.5825246320664488</v>
      </c>
      <c r="CM266" s="94">
        <f t="shared" ref="CM266:DB266" si="1530">+CL266</f>
        <v>1.5825246320664488</v>
      </c>
      <c r="CN266" s="94">
        <f t="shared" si="1530"/>
        <v>1.5825246320664488</v>
      </c>
      <c r="CO266" s="94">
        <f t="shared" si="1530"/>
        <v>1.5825246320664488</v>
      </c>
      <c r="CP266" s="94">
        <f t="shared" si="1530"/>
        <v>1.5825246320664488</v>
      </c>
      <c r="CQ266" s="94">
        <f t="shared" si="1530"/>
        <v>1.5825246320664488</v>
      </c>
      <c r="CR266" s="94">
        <f t="shared" si="1530"/>
        <v>1.5825246320664488</v>
      </c>
      <c r="CS266" s="94">
        <f t="shared" si="1530"/>
        <v>1.5825246320664488</v>
      </c>
      <c r="CT266" s="94">
        <f t="shared" si="1530"/>
        <v>1.5825246320664488</v>
      </c>
      <c r="CU266" s="94">
        <f t="shared" si="1530"/>
        <v>1.5825246320664488</v>
      </c>
      <c r="CV266" s="94">
        <f t="shared" si="1530"/>
        <v>1.5825246320664488</v>
      </c>
      <c r="CW266" s="94">
        <f t="shared" si="1530"/>
        <v>1.5825246320664488</v>
      </c>
      <c r="CX266" s="94">
        <f t="shared" si="1530"/>
        <v>1.5825246320664488</v>
      </c>
      <c r="CY266" s="94">
        <f t="shared" si="1530"/>
        <v>1.5825246320664488</v>
      </c>
      <c r="CZ266" s="94">
        <f t="shared" si="1530"/>
        <v>1.5825246320664488</v>
      </c>
      <c r="DA266" s="94">
        <f t="shared" si="1530"/>
        <v>1.5825246320664488</v>
      </c>
      <c r="DB266" s="94">
        <f t="shared" si="1530"/>
        <v>1.5825246320664488</v>
      </c>
      <c r="DE266" s="164"/>
      <c r="DF266" s="163">
        <v>1.4280566198731499</v>
      </c>
    </row>
    <row r="267" spans="1:110" s="4" customFormat="1" x14ac:dyDescent="0.2">
      <c r="A267" s="3"/>
      <c r="AB267" s="17"/>
      <c r="AC267" s="17"/>
      <c r="AD267" s="17"/>
      <c r="AE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E267" s="119"/>
    </row>
    <row r="268" spans="1:110" s="4" customFormat="1" x14ac:dyDescent="0.2">
      <c r="A268" s="3" t="s">
        <v>657</v>
      </c>
      <c r="AB268" s="17"/>
      <c r="AC268" s="17"/>
      <c r="AD268" s="17"/>
      <c r="AE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E268" s="119"/>
    </row>
    <row r="269" spans="1:110" s="4" customFormat="1" x14ac:dyDescent="0.2">
      <c r="A269" s="3" t="s">
        <v>658</v>
      </c>
      <c r="T269" s="4">
        <f t="shared" ref="T269:AE269" si="1531">T273/T$31</f>
        <v>0.64893264570552145</v>
      </c>
      <c r="U269" s="4">
        <f t="shared" si="1531"/>
        <v>0.36523303800592299</v>
      </c>
      <c r="V269" s="4">
        <f t="shared" si="1531"/>
        <v>0.59595393326206469</v>
      </c>
      <c r="W269" s="4">
        <f t="shared" si="1531"/>
        <v>0.67991962877516776</v>
      </c>
      <c r="X269" s="4">
        <f t="shared" si="1531"/>
        <v>0.74541635481852309</v>
      </c>
      <c r="Y269" s="4">
        <f t="shared" si="1531"/>
        <v>1.0911583751917782</v>
      </c>
      <c r="Z269" s="4">
        <f t="shared" si="1531"/>
        <v>0.82923426449055138</v>
      </c>
      <c r="AA269" s="4">
        <f t="shared" ref="AA269" si="1532">AA273/AA$31</f>
        <v>0.65115689350786887</v>
      </c>
      <c r="AB269" s="17">
        <f t="shared" si="1531"/>
        <v>0.6444143248686115</v>
      </c>
      <c r="AC269" s="17">
        <f t="shared" si="1531"/>
        <v>0.59494463399124531</v>
      </c>
      <c r="AD269" s="17">
        <f t="shared" si="1531"/>
        <v>0.56412945745491605</v>
      </c>
      <c r="AE269" s="17">
        <f t="shared" si="1531"/>
        <v>0.54247882532742786</v>
      </c>
      <c r="AY269" s="4">
        <f>AY273/AY$31</f>
        <v>0.53304789173789191</v>
      </c>
      <c r="AZ269" s="4">
        <f t="shared" ref="AZ269:DB271" si="1533">AZ273/AZ$31</f>
        <v>0.52139426992321936</v>
      </c>
      <c r="BA269" s="4">
        <f t="shared" si="1533"/>
        <v>0.47851692962103637</v>
      </c>
      <c r="BB269" s="4">
        <f t="shared" si="1533"/>
        <v>0.55365931368796861</v>
      </c>
      <c r="BC269" s="4">
        <f t="shared" si="1533"/>
        <v>0.5887291213389122</v>
      </c>
      <c r="BD269" s="4">
        <f t="shared" si="1533"/>
        <v>0.60962239223300974</v>
      </c>
      <c r="BE269" s="4">
        <f t="shared" si="1533"/>
        <v>0.63871354728481722</v>
      </c>
      <c r="BF269" s="4">
        <f t="shared" si="1533"/>
        <v>0.68589283352337527</v>
      </c>
      <c r="BG269" s="4">
        <f t="shared" si="1533"/>
        <v>0.64362779352226718</v>
      </c>
      <c r="BH269" s="4">
        <f t="shared" si="1533"/>
        <v>0.6202291934537667</v>
      </c>
      <c r="BI269" s="4">
        <f t="shared" si="1533"/>
        <v>0.69673544894366202</v>
      </c>
      <c r="BJ269" s="4">
        <f t="shared" si="1533"/>
        <v>0.64888547290388554</v>
      </c>
      <c r="BK269" s="4">
        <f t="shared" si="1533"/>
        <v>0.72663194812925169</v>
      </c>
      <c r="BL269" s="4">
        <f t="shared" si="1533"/>
        <v>0.66990010883905005</v>
      </c>
      <c r="BM269" s="4">
        <f t="shared" si="1533"/>
        <v>0.58334008243552082</v>
      </c>
      <c r="BN269" s="4">
        <f t="shared" si="1533"/>
        <v>0.36520648815399803</v>
      </c>
      <c r="BO269" s="4">
        <f t="shared" si="1533"/>
        <v>0.42562700016388066</v>
      </c>
      <c r="BP269" s="4">
        <f t="shared" si="1533"/>
        <v>0.41531117346938778</v>
      </c>
      <c r="BQ269" s="4">
        <f t="shared" si="1533"/>
        <v>0.53491072259136219</v>
      </c>
      <c r="BR269" s="4">
        <f t="shared" si="1533"/>
        <v>0.5959106116371411</v>
      </c>
      <c r="BS269" s="4">
        <f t="shared" si="1533"/>
        <v>0.6379500888168057</v>
      </c>
      <c r="BT269" s="4">
        <f t="shared" si="1533"/>
        <v>0.70885566792738286</v>
      </c>
      <c r="BU269" s="4">
        <f t="shared" si="1533"/>
        <v>0.76576593713278496</v>
      </c>
      <c r="BV269" s="4">
        <f t="shared" si="1533"/>
        <v>0.67987020343959736</v>
      </c>
      <c r="BW269" s="4">
        <f t="shared" si="1533"/>
        <v>0.58937813084755086</v>
      </c>
      <c r="BX269" s="4">
        <f t="shared" si="1533"/>
        <v>0.68286232142857151</v>
      </c>
      <c r="BY269" s="4">
        <f t="shared" si="1533"/>
        <v>0.74232021857216779</v>
      </c>
      <c r="BZ269" s="4">
        <f t="shared" si="1533"/>
        <v>0.74536216833541935</v>
      </c>
      <c r="CA269" s="4">
        <f t="shared" si="1533"/>
        <v>0.82496327556955895</v>
      </c>
      <c r="CB269" s="4">
        <f t="shared" si="1533"/>
        <v>0.92230825881961387</v>
      </c>
      <c r="CC269" s="4">
        <f t="shared" si="1533"/>
        <v>1.0326843364736233</v>
      </c>
      <c r="CD269" s="4">
        <f t="shared" si="1533"/>
        <v>1.0910790557155168</v>
      </c>
      <c r="CE269" s="4">
        <f t="shared" si="1533"/>
        <v>0.99457673049500928</v>
      </c>
      <c r="CF269" s="4">
        <f t="shared" si="1533"/>
        <v>0.99057667816760819</v>
      </c>
      <c r="CG269" s="4">
        <f t="shared" si="1533"/>
        <v>0.87961398241475441</v>
      </c>
      <c r="CH269" s="4">
        <f t="shared" si="1533"/>
        <v>0.82917398503978346</v>
      </c>
      <c r="CI269" s="4">
        <f t="shared" si="1533"/>
        <v>0.82353053678350951</v>
      </c>
      <c r="CJ269" s="4">
        <f t="shared" si="1533"/>
        <v>0.75450682717678108</v>
      </c>
      <c r="CK269" s="4">
        <f t="shared" si="1533"/>
        <v>0.76609535422642505</v>
      </c>
      <c r="CL269" s="4">
        <f t="shared" si="1533"/>
        <v>0.65115689350786887</v>
      </c>
      <c r="CM269" s="17">
        <f t="shared" si="1533"/>
        <v>0.71429423929449098</v>
      </c>
      <c r="CN269" s="17">
        <f t="shared" si="1533"/>
        <v>0.67901450036114874</v>
      </c>
      <c r="CO269" s="17">
        <f t="shared" si="1533"/>
        <v>0.64044489460748766</v>
      </c>
      <c r="CP269" s="17">
        <f t="shared" si="1533"/>
        <v>0.64441432486861139</v>
      </c>
      <c r="CQ269" s="17">
        <f t="shared" si="1533"/>
        <v>0.63581023167293793</v>
      </c>
      <c r="CR269" s="17">
        <f t="shared" si="1533"/>
        <v>0.61360915496967305</v>
      </c>
      <c r="CS269" s="17">
        <f t="shared" si="1533"/>
        <v>0.58691390925151499</v>
      </c>
      <c r="CT269" s="17">
        <f t="shared" si="1533"/>
        <v>0.59494463399124486</v>
      </c>
      <c r="CU269" s="17">
        <f t="shared" si="1533"/>
        <v>0.59118915755730195</v>
      </c>
      <c r="CV269" s="17">
        <f t="shared" si="1533"/>
        <v>0.57509643583637726</v>
      </c>
      <c r="CW269" s="17">
        <f t="shared" si="1533"/>
        <v>0.55418374099767354</v>
      </c>
      <c r="CX269" s="17">
        <f t="shared" si="1533"/>
        <v>0.56412945745491572</v>
      </c>
      <c r="CY269" s="17">
        <f t="shared" si="1533"/>
        <v>0.56264230916427427</v>
      </c>
      <c r="CZ269" s="17">
        <f t="shared" si="1533"/>
        <v>0.5495879804053081</v>
      </c>
      <c r="DA269" s="17">
        <f t="shared" si="1533"/>
        <v>0.5316319198377597</v>
      </c>
      <c r="DB269" s="17">
        <f t="shared" si="1533"/>
        <v>0.54247882532742753</v>
      </c>
      <c r="DE269" s="119"/>
      <c r="DF269" s="4">
        <v>0.65115689350786887</v>
      </c>
    </row>
    <row r="270" spans="1:110" s="4" customFormat="1" x14ac:dyDescent="0.2">
      <c r="A270" s="3" t="s">
        <v>659</v>
      </c>
      <c r="T270" s="4">
        <f t="shared" ref="T270:AE270" si="1534">T274/T$31</f>
        <v>0.68412096625766861</v>
      </c>
      <c r="U270" s="4">
        <f t="shared" si="1534"/>
        <v>0.72729741855873642</v>
      </c>
      <c r="V270" s="4">
        <f t="shared" si="1534"/>
        <v>0.66933733964569331</v>
      </c>
      <c r="W270" s="4">
        <f t="shared" si="1534"/>
        <v>0.7994619211409395</v>
      </c>
      <c r="X270" s="4">
        <f t="shared" si="1534"/>
        <v>0.79105901001251577</v>
      </c>
      <c r="Y270" s="4">
        <f t="shared" si="1534"/>
        <v>1.1021159286269731</v>
      </c>
      <c r="Z270" s="4">
        <f t="shared" si="1534"/>
        <v>0.94135072763565031</v>
      </c>
      <c r="AA270" s="4">
        <f t="shared" ref="AA270" si="1535">AA274/AA$31</f>
        <v>0.825025427952783</v>
      </c>
      <c r="AB270" s="17">
        <f t="shared" si="1534"/>
        <v>0.78240446180980872</v>
      </c>
      <c r="AC270" s="17">
        <f t="shared" si="1534"/>
        <v>0.83541843405882765</v>
      </c>
      <c r="AD270" s="17">
        <f t="shared" si="1534"/>
        <v>0.92266381743548886</v>
      </c>
      <c r="AE270" s="17">
        <f t="shared" si="1534"/>
        <v>1.0345693070290463</v>
      </c>
      <c r="AY270" s="4">
        <f t="shared" ref="AY270:BN271" si="1536">AY274/AY$31</f>
        <v>0.53974572649572661</v>
      </c>
      <c r="AZ270" s="4">
        <f t="shared" si="1536"/>
        <v>0.58816871855970532</v>
      </c>
      <c r="BA270" s="4">
        <f t="shared" si="1536"/>
        <v>0.53901417891208903</v>
      </c>
      <c r="BB270" s="4">
        <f t="shared" si="1536"/>
        <v>0.55906394948335247</v>
      </c>
      <c r="BC270" s="4">
        <f t="shared" si="1536"/>
        <v>0.639725801952582</v>
      </c>
      <c r="BD270" s="4">
        <f t="shared" si="1536"/>
        <v>0.66771600873786419</v>
      </c>
      <c r="BE270" s="4">
        <f t="shared" si="1536"/>
        <v>0.64788557443664574</v>
      </c>
      <c r="BF270" s="4">
        <f t="shared" si="1536"/>
        <v>0.76834218167996959</v>
      </c>
      <c r="BG270" s="4">
        <f t="shared" si="1536"/>
        <v>0.72118917004048588</v>
      </c>
      <c r="BH270" s="4">
        <f t="shared" si="1536"/>
        <v>0.6801392252850289</v>
      </c>
      <c r="BI270" s="4">
        <f t="shared" si="1536"/>
        <v>0.70671302992957741</v>
      </c>
      <c r="BJ270" s="4">
        <f t="shared" si="1536"/>
        <v>0.67933604294478533</v>
      </c>
      <c r="BK270" s="4">
        <f t="shared" si="1536"/>
        <v>0.75173339625850344</v>
      </c>
      <c r="BL270" s="4">
        <f t="shared" si="1536"/>
        <v>0.72207301451187333</v>
      </c>
      <c r="BM270" s="4">
        <f t="shared" si="1536"/>
        <v>0.67180999755142023</v>
      </c>
      <c r="BN270" s="4">
        <f t="shared" si="1536"/>
        <v>0.62637540885159593</v>
      </c>
      <c r="BO270" s="4">
        <f t="shared" si="1533"/>
        <v>0.44859791871517535</v>
      </c>
      <c r="BP270" s="4">
        <f t="shared" si="1533"/>
        <v>0.47168617346938779</v>
      </c>
      <c r="BQ270" s="4">
        <f t="shared" si="1533"/>
        <v>0.55603627906976749</v>
      </c>
      <c r="BR270" s="4">
        <f t="shared" si="1533"/>
        <v>0.6692886835675016</v>
      </c>
      <c r="BS270" s="4">
        <f t="shared" si="1533"/>
        <v>0.67254068813716406</v>
      </c>
      <c r="BT270" s="4">
        <f t="shared" si="1533"/>
        <v>0.75332692889561281</v>
      </c>
      <c r="BU270" s="4">
        <f t="shared" si="1533"/>
        <v>0.80130636677438316</v>
      </c>
      <c r="BV270" s="4">
        <f t="shared" si="1533"/>
        <v>0.79940380592841154</v>
      </c>
      <c r="BW270" s="4">
        <f t="shared" si="1533"/>
        <v>0.70405145844799122</v>
      </c>
      <c r="BX270" s="4">
        <f t="shared" si="1533"/>
        <v>0.73690178571428577</v>
      </c>
      <c r="BY270" s="4">
        <f t="shared" si="1533"/>
        <v>0.78651145240558717</v>
      </c>
      <c r="BZ270" s="4">
        <f t="shared" si="1533"/>
        <v>0.79100150563204019</v>
      </c>
      <c r="CA270" s="4">
        <f t="shared" si="1533"/>
        <v>0.82778038596703829</v>
      </c>
      <c r="CB270" s="4">
        <f t="shared" si="1533"/>
        <v>0.93300562458398051</v>
      </c>
      <c r="CC270" s="4">
        <f t="shared" si="1533"/>
        <v>1.0422585636047066</v>
      </c>
      <c r="CD270" s="4">
        <f t="shared" si="1533"/>
        <v>1.1020358126142789</v>
      </c>
      <c r="CE270" s="4">
        <f t="shared" si="1533"/>
        <v>1.1064364901201875</v>
      </c>
      <c r="CF270" s="4">
        <f t="shared" si="1533"/>
        <v>1.0343717292360985</v>
      </c>
      <c r="CG270" s="4">
        <f t="shared" si="1533"/>
        <v>0.96616136704813538</v>
      </c>
      <c r="CH270" s="4">
        <f t="shared" si="1533"/>
        <v>0.8845155887390872</v>
      </c>
      <c r="CI270" s="4">
        <f t="shared" si="1533"/>
        <v>0.83732507453966554</v>
      </c>
      <c r="CJ270" s="4">
        <f t="shared" si="1533"/>
        <v>0.78253171998680737</v>
      </c>
      <c r="CK270" s="4">
        <f t="shared" si="1533"/>
        <v>0.7765836426105589</v>
      </c>
      <c r="CL270" s="4">
        <f t="shared" si="1533"/>
        <v>0.825025427952783</v>
      </c>
      <c r="CM270" s="17">
        <f t="shared" si="1533"/>
        <v>0.84352868982991147</v>
      </c>
      <c r="CN270" s="17">
        <f t="shared" si="1533"/>
        <v>0.81603157239883384</v>
      </c>
      <c r="CO270" s="17">
        <f t="shared" si="1533"/>
        <v>0.77758504699034536</v>
      </c>
      <c r="CP270" s="17">
        <f t="shared" si="1533"/>
        <v>0.77242272841192894</v>
      </c>
      <c r="CQ270" s="17">
        <f t="shared" si="1533"/>
        <v>0.81293415810564595</v>
      </c>
      <c r="CR270" s="17">
        <f t="shared" si="1533"/>
        <v>0.80837812230929573</v>
      </c>
      <c r="CS270" s="17">
        <f t="shared" si="1533"/>
        <v>0.80085385583396007</v>
      </c>
      <c r="CT270" s="17">
        <f t="shared" si="1533"/>
        <v>0.83541843405882699</v>
      </c>
      <c r="CU270" s="17">
        <f t="shared" si="1533"/>
        <v>0.88569066275294372</v>
      </c>
      <c r="CV270" s="17">
        <f t="shared" si="1533"/>
        <v>0.88904055498971968</v>
      </c>
      <c r="CW270" s="17">
        <f t="shared" si="1533"/>
        <v>0.88640976384045789</v>
      </c>
      <c r="CX270" s="17">
        <f t="shared" si="1533"/>
        <v>0.92266381743548842</v>
      </c>
      <c r="CY270" s="17">
        <f t="shared" si="1533"/>
        <v>0.98293930957892595</v>
      </c>
      <c r="CZ270" s="17">
        <f t="shared" si="1533"/>
        <v>0.99138917907185964</v>
      </c>
      <c r="DA270" s="17">
        <f t="shared" si="1533"/>
        <v>0.99207767495123533</v>
      </c>
      <c r="DB270" s="17">
        <f t="shared" si="1533"/>
        <v>1.0345693070290456</v>
      </c>
      <c r="DE270" s="119"/>
      <c r="DF270" s="4">
        <v>0.825025427952783</v>
      </c>
    </row>
    <row r="271" spans="1:110" s="4" customFormat="1" x14ac:dyDescent="0.2">
      <c r="A271" s="3" t="s">
        <v>660</v>
      </c>
      <c r="T271" s="4">
        <f t="shared" ref="T271:AE271" si="1537">T275/T$31</f>
        <v>0.55485487730061356</v>
      </c>
      <c r="U271" s="4">
        <f t="shared" si="1537"/>
        <v>0.29923442991115495</v>
      </c>
      <c r="V271" s="4">
        <f t="shared" si="1537"/>
        <v>0.3205928375076359</v>
      </c>
      <c r="W271" s="4">
        <f t="shared" si="1537"/>
        <v>0.50255848993288588</v>
      </c>
      <c r="X271" s="4">
        <f t="shared" si="1537"/>
        <v>0.50163877847309135</v>
      </c>
      <c r="Y271" s="4">
        <f t="shared" si="1537"/>
        <v>0.62320723765788866</v>
      </c>
      <c r="Z271" s="4">
        <f t="shared" si="1537"/>
        <v>0.74616831711376952</v>
      </c>
      <c r="AA271" s="4">
        <f t="shared" ref="AA271" si="1538">AA275/AA$31</f>
        <v>0.55143844848290013</v>
      </c>
      <c r="AB271" s="17">
        <f t="shared" si="1537"/>
        <v>0.56987363235841249</v>
      </c>
      <c r="AC271" s="17">
        <f t="shared" si="1537"/>
        <v>0.57381445268069164</v>
      </c>
      <c r="AD271" s="17">
        <f t="shared" si="1537"/>
        <v>0.64128349815593155</v>
      </c>
      <c r="AE271" s="17">
        <f t="shared" si="1537"/>
        <v>0.72172523510177544</v>
      </c>
      <c r="AY271" s="4">
        <f t="shared" si="1536"/>
        <v>0.41932720797720813</v>
      </c>
      <c r="AZ271" s="4">
        <f t="shared" si="1533"/>
        <v>0.51443821882446394</v>
      </c>
      <c r="BA271" s="4">
        <f t="shared" si="1533"/>
        <v>0.4593322802268624</v>
      </c>
      <c r="BB271" s="4">
        <f t="shared" si="1533"/>
        <v>0.47378300803673939</v>
      </c>
      <c r="BC271" s="4">
        <f t="shared" si="1533"/>
        <v>0.55042928870292895</v>
      </c>
      <c r="BD271" s="4">
        <f t="shared" si="1533"/>
        <v>0.59509231067961177</v>
      </c>
      <c r="BE271" s="4">
        <f t="shared" si="1533"/>
        <v>0.57140966937569271</v>
      </c>
      <c r="BF271" s="4">
        <f t="shared" si="1533"/>
        <v>0.6499486820600533</v>
      </c>
      <c r="BG271" s="4">
        <f t="shared" si="1533"/>
        <v>0.61036550607287443</v>
      </c>
      <c r="BH271" s="4">
        <f t="shared" si="1533"/>
        <v>0.60034895403938782</v>
      </c>
      <c r="BI271" s="4">
        <f t="shared" si="1533"/>
        <v>0.57317812323943673</v>
      </c>
      <c r="BJ271" s="4">
        <f t="shared" si="1533"/>
        <v>0.56367544819359239</v>
      </c>
      <c r="BK271" s="4">
        <f t="shared" si="1533"/>
        <v>0.60117149489795929</v>
      </c>
      <c r="BL271" s="4">
        <f t="shared" si="1533"/>
        <v>0.57803042711081798</v>
      </c>
      <c r="BM271" s="4">
        <f t="shared" si="1533"/>
        <v>0.56387221025138745</v>
      </c>
      <c r="BN271" s="4">
        <f t="shared" si="1533"/>
        <v>0.29921267769002963</v>
      </c>
      <c r="BO271" s="4">
        <f t="shared" si="1533"/>
        <v>0.34400021304490336</v>
      </c>
      <c r="BP271" s="4">
        <f t="shared" si="1533"/>
        <v>0.38772193877551026</v>
      </c>
      <c r="BQ271" s="4">
        <f t="shared" si="1533"/>
        <v>0.36403675249169437</v>
      </c>
      <c r="BR271" s="4">
        <f t="shared" si="1533"/>
        <v>0.53820389431887605</v>
      </c>
      <c r="BS271" s="4">
        <f t="shared" si="1533"/>
        <v>0.55514937287611987</v>
      </c>
      <c r="BT271" s="4">
        <f t="shared" si="1533"/>
        <v>0.61425278895612712</v>
      </c>
      <c r="BU271" s="4">
        <f t="shared" si="1533"/>
        <v>0.6806628730904819</v>
      </c>
      <c r="BV271" s="4">
        <f t="shared" si="1533"/>
        <v>0.61353530480984342</v>
      </c>
      <c r="BW271" s="4">
        <f t="shared" si="1533"/>
        <v>0.55143127132636216</v>
      </c>
      <c r="BX271" s="4">
        <f t="shared" si="1533"/>
        <v>0.56698959452201936</v>
      </c>
      <c r="BY271" s="4">
        <f t="shared" si="1533"/>
        <v>0.64543396275219866</v>
      </c>
      <c r="BZ271" s="4">
        <f t="shared" si="1533"/>
        <v>0.70864066458072583</v>
      </c>
      <c r="CA271" s="4">
        <f t="shared" si="1533"/>
        <v>0.71862986003393126</v>
      </c>
      <c r="CB271" s="4">
        <f t="shared" si="1533"/>
        <v>0.73857604226758378</v>
      </c>
      <c r="CC271" s="4">
        <f t="shared" si="1533"/>
        <v>0.83645659875949319</v>
      </c>
      <c r="CD271" s="4">
        <f t="shared" si="1533"/>
        <v>0.94361093713877386</v>
      </c>
      <c r="CE271" s="4">
        <f t="shared" si="1533"/>
        <v>0.88980627928294975</v>
      </c>
      <c r="CF271" s="4">
        <f t="shared" si="1533"/>
        <v>0.91661020576301011</v>
      </c>
      <c r="CG271" s="4">
        <f t="shared" si="1533"/>
        <v>0.79549236250560507</v>
      </c>
      <c r="CH271" s="4">
        <f t="shared" si="1533"/>
        <v>0.74611407596833912</v>
      </c>
      <c r="CI271" s="4">
        <f t="shared" si="1533"/>
        <v>0.66618974730767788</v>
      </c>
      <c r="CJ271" s="4">
        <f t="shared" si="1533"/>
        <v>0.70223081299472301</v>
      </c>
      <c r="CK271" s="4">
        <f t="shared" si="1533"/>
        <v>0.67823014044664143</v>
      </c>
      <c r="CL271" s="4">
        <f t="shared" si="1533"/>
        <v>0.61108555712543244</v>
      </c>
      <c r="CM271" s="17">
        <f t="shared" si="1533"/>
        <v>0.63167039746119069</v>
      </c>
      <c r="CN271" s="17">
        <f t="shared" si="1533"/>
        <v>0.61151507708202357</v>
      </c>
      <c r="CO271" s="17">
        <f t="shared" si="1533"/>
        <v>0.58331902381126555</v>
      </c>
      <c r="CP271" s="17">
        <f t="shared" si="1533"/>
        <v>0.57534515843321532</v>
      </c>
      <c r="CQ271" s="17">
        <f t="shared" si="1533"/>
        <v>0.61322865902436097</v>
      </c>
      <c r="CR271" s="17">
        <f t="shared" si="1533"/>
        <v>0.60985275978019904</v>
      </c>
      <c r="CS271" s="17">
        <f t="shared" si="1533"/>
        <v>0.60443981693046789</v>
      </c>
      <c r="CT271" s="17">
        <f t="shared" si="1533"/>
        <v>0.62704842489161705</v>
      </c>
      <c r="CU271" s="17">
        <f t="shared" si="1533"/>
        <v>0.67204406013579465</v>
      </c>
      <c r="CV271" s="17">
        <f t="shared" si="1533"/>
        <v>0.6741209293926046</v>
      </c>
      <c r="CW271" s="17">
        <f t="shared" si="1533"/>
        <v>0.67183843883524297</v>
      </c>
      <c r="CX271" s="17">
        <f t="shared" si="1533"/>
        <v>0.6952370830731881</v>
      </c>
      <c r="CY271" s="17">
        <f t="shared" si="1533"/>
        <v>0.74855115794555716</v>
      </c>
      <c r="CZ271" s="17">
        <f t="shared" si="1533"/>
        <v>0.75447328567992455</v>
      </c>
      <c r="DA271" s="17">
        <f t="shared" si="1533"/>
        <v>0.75467769014689356</v>
      </c>
      <c r="DB271" s="17">
        <f t="shared" si="1533"/>
        <v>0.7825131558035695</v>
      </c>
      <c r="DE271" s="119"/>
      <c r="DF271" s="4">
        <v>0.55143844848290013</v>
      </c>
    </row>
    <row r="272" spans="1:110" s="4" customFormat="1" x14ac:dyDescent="0.2">
      <c r="A272" s="3"/>
      <c r="AB272" s="17"/>
      <c r="AC272" s="17"/>
      <c r="AD272" s="17"/>
      <c r="AE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E272" s="119"/>
    </row>
    <row r="273" spans="1:110" s="4" customFormat="1" x14ac:dyDescent="0.2">
      <c r="A273" s="49" t="s">
        <v>661</v>
      </c>
      <c r="B273" s="162">
        <f>+B239*B227</f>
        <v>611.40272222222256</v>
      </c>
      <c r="C273" s="4">
        <f t="shared" ref="C273:AE273" si="1539">+C239*C227</f>
        <v>499.39216666666584</v>
      </c>
      <c r="D273" s="4">
        <f t="shared" si="1539"/>
        <v>510.1879500000008</v>
      </c>
      <c r="E273" s="4">
        <f t="shared" si="1539"/>
        <v>8778.939750000005</v>
      </c>
      <c r="F273" s="4">
        <f t="shared" si="1539"/>
        <v>15210.867749999969</v>
      </c>
      <c r="G273" s="4">
        <f t="shared" si="1539"/>
        <v>37182.291000000012</v>
      </c>
      <c r="H273" s="4">
        <f t="shared" si="1539"/>
        <v>49497.415499999988</v>
      </c>
      <c r="I273" s="4">
        <f t="shared" si="1539"/>
        <v>92468.136000000028</v>
      </c>
      <c r="J273" s="4">
        <f t="shared" si="1539"/>
        <v>41125.821000000054</v>
      </c>
      <c r="K273" s="4">
        <f t="shared" si="1539"/>
        <v>99435.038999999961</v>
      </c>
      <c r="L273" s="4">
        <f t="shared" si="1539"/>
        <v>101079.70500000003</v>
      </c>
      <c r="M273" s="4">
        <f t="shared" si="1539"/>
        <v>79900.808999999965</v>
      </c>
      <c r="N273" s="4">
        <f t="shared" si="1539"/>
        <v>83449.985999999975</v>
      </c>
      <c r="O273" s="4">
        <f t="shared" si="1539"/>
        <v>116714.73149999997</v>
      </c>
      <c r="P273" s="4">
        <f t="shared" si="1539"/>
        <v>157649.49</v>
      </c>
      <c r="Q273" s="4">
        <f t="shared" si="1539"/>
        <v>111537.70199999999</v>
      </c>
      <c r="R273" s="4">
        <f t="shared" si="1539"/>
        <v>144681.69599999953</v>
      </c>
      <c r="S273" s="4">
        <f t="shared" si="1539"/>
        <v>180471.52350000001</v>
      </c>
      <c r="T273" s="4">
        <f t="shared" si="1539"/>
        <v>190396.83825</v>
      </c>
      <c r="U273" s="4">
        <f t="shared" si="1539"/>
        <v>110994.32025</v>
      </c>
      <c r="V273" s="4">
        <f t="shared" si="1539"/>
        <v>195115.31774999999</v>
      </c>
      <c r="W273" s="4">
        <f t="shared" si="1539"/>
        <v>243139.25925</v>
      </c>
      <c r="X273" s="4">
        <f t="shared" si="1539"/>
        <v>297793.83374999999</v>
      </c>
      <c r="Y273" s="4">
        <f t="shared" si="1539"/>
        <v>519184.06649999996</v>
      </c>
      <c r="Z273" s="4">
        <f t="shared" si="1539"/>
        <v>480239.41499999998</v>
      </c>
      <c r="AA273" s="4">
        <f t="shared" ref="AA273" si="1540">+AA239*AA227</f>
        <v>482069.0295</v>
      </c>
      <c r="AB273" s="17">
        <f t="shared" si="1539"/>
        <v>543381.75</v>
      </c>
      <c r="AC273" s="17">
        <f t="shared" si="1539"/>
        <v>543381.75</v>
      </c>
      <c r="AD273" s="17">
        <f t="shared" si="1539"/>
        <v>543381.75</v>
      </c>
      <c r="AE273" s="17">
        <f t="shared" si="1539"/>
        <v>543381.75</v>
      </c>
      <c r="AL273" s="162">
        <f t="shared" ref="AL273:CW273" si="1541">+AL239*AL227</f>
        <v>83443.919777777759</v>
      </c>
      <c r="AM273" s="4">
        <f t="shared" si="1541"/>
        <v>85843.490333333379</v>
      </c>
      <c r="AN273" s="4">
        <f t="shared" si="1541"/>
        <v>72317.248666666623</v>
      </c>
      <c r="AO273" s="4">
        <f t="shared" si="1541"/>
        <v>98113.396333333381</v>
      </c>
      <c r="AP273" s="4">
        <f t="shared" si="1541"/>
        <v>116706.24716666664</v>
      </c>
      <c r="AQ273" s="4">
        <f t="shared" si="1541"/>
        <v>156042.39200000002</v>
      </c>
      <c r="AR273" s="4">
        <f t="shared" si="1541"/>
        <v>133653.02316666662</v>
      </c>
      <c r="AS273" s="4">
        <f t="shared" si="1541"/>
        <v>137234.03833333339</v>
      </c>
      <c r="AT273" s="4">
        <f t="shared" si="1541"/>
        <v>157638.03</v>
      </c>
      <c r="AU273" s="4">
        <f t="shared" si="1541"/>
        <v>163484.11750000002</v>
      </c>
      <c r="AV273" s="4">
        <f t="shared" si="1541"/>
        <v>134501.27900000001</v>
      </c>
      <c r="AW273" s="4">
        <f t="shared" si="1541"/>
        <v>116981.35716666664</v>
      </c>
      <c r="AX273" s="4">
        <f t="shared" si="1541"/>
        <v>111529.594</v>
      </c>
      <c r="AY273" s="4">
        <f t="shared" si="1541"/>
        <v>137206.52733333339</v>
      </c>
      <c r="AZ273" s="4">
        <f t="shared" si="1541"/>
        <v>131287.07716666663</v>
      </c>
      <c r="BA273" s="4">
        <f t="shared" si="1541"/>
        <v>123744.478</v>
      </c>
      <c r="BB273" s="4">
        <f t="shared" si="1541"/>
        <v>144671.17866666621</v>
      </c>
      <c r="BC273" s="4">
        <f t="shared" si="1541"/>
        <v>154776.88600000003</v>
      </c>
      <c r="BD273" s="4">
        <f t="shared" si="1541"/>
        <v>156977.766</v>
      </c>
      <c r="BE273" s="4">
        <f t="shared" si="1541"/>
        <v>172899.75725000002</v>
      </c>
      <c r="BF273" s="4">
        <f t="shared" si="1541"/>
        <v>180458.40450000003</v>
      </c>
      <c r="BG273" s="4">
        <f t="shared" si="1541"/>
        <v>174873.6715</v>
      </c>
      <c r="BH273" s="4">
        <f t="shared" si="1541"/>
        <v>174234.04075000001</v>
      </c>
      <c r="BI273" s="4">
        <f t="shared" si="1541"/>
        <v>197872.86750000002</v>
      </c>
      <c r="BJ273" s="4">
        <f t="shared" si="1541"/>
        <v>190382.99775000001</v>
      </c>
      <c r="BK273" s="4">
        <f t="shared" si="1541"/>
        <v>213629.79274999999</v>
      </c>
      <c r="BL273" s="4">
        <f t="shared" si="1541"/>
        <v>203113.71299999999</v>
      </c>
      <c r="BM273" s="4">
        <f t="shared" si="1541"/>
        <v>178677.06725000002</v>
      </c>
      <c r="BN273" s="4">
        <f t="shared" si="1541"/>
        <v>110986.25175000001</v>
      </c>
      <c r="BO273" s="4">
        <f t="shared" si="1541"/>
        <v>129858.79775</v>
      </c>
      <c r="BP273" s="4">
        <f t="shared" si="1541"/>
        <v>124136.50975000001</v>
      </c>
      <c r="BQ273" s="4">
        <f t="shared" si="1541"/>
        <v>177108.94025000001</v>
      </c>
      <c r="BR273" s="4">
        <f t="shared" si="1541"/>
        <v>195101.13425</v>
      </c>
      <c r="BS273" s="4">
        <f t="shared" si="1541"/>
        <v>206504.44375000001</v>
      </c>
      <c r="BT273" s="4">
        <f t="shared" si="1541"/>
        <v>234276.79825000002</v>
      </c>
      <c r="BU273" s="4">
        <f t="shared" si="1541"/>
        <v>260666.72500000001</v>
      </c>
      <c r="BV273" s="4">
        <f t="shared" si="1541"/>
        <v>243121.58475000001</v>
      </c>
      <c r="BW273" s="4">
        <f t="shared" si="1541"/>
        <v>214180.01274999999</v>
      </c>
      <c r="BX273" s="4">
        <f t="shared" si="1541"/>
        <v>254297.92850000001</v>
      </c>
      <c r="BY273" s="4">
        <f t="shared" si="1541"/>
        <v>286980.99650000007</v>
      </c>
      <c r="BZ273" s="4">
        <f t="shared" si="1541"/>
        <v>297772.18625000003</v>
      </c>
      <c r="CA273" s="4">
        <f t="shared" si="1541"/>
        <v>340379.84750000003</v>
      </c>
      <c r="CB273" s="4">
        <f t="shared" si="1541"/>
        <v>415684.33224999998</v>
      </c>
      <c r="CC273" s="4">
        <f t="shared" si="1541"/>
        <v>485163.36275000003</v>
      </c>
      <c r="CD273" s="4">
        <f t="shared" si="1541"/>
        <v>519146.32550000004</v>
      </c>
      <c r="CE273" s="4">
        <f t="shared" si="1541"/>
        <v>488237.71700000006</v>
      </c>
      <c r="CF273" s="4">
        <f t="shared" si="1541"/>
        <v>505583.40250000003</v>
      </c>
      <c r="CG273" s="4">
        <f t="shared" si="1541"/>
        <v>496298.44</v>
      </c>
      <c r="CH273" s="4">
        <f t="shared" si="1541"/>
        <v>480204.505</v>
      </c>
      <c r="CI273" s="4">
        <f t="shared" si="1541"/>
        <v>504627.39525000006</v>
      </c>
      <c r="CJ273" s="4">
        <f t="shared" si="1541"/>
        <v>503286.23400000005</v>
      </c>
      <c r="CK273" s="4">
        <f t="shared" si="1541"/>
        <v>561671.23600000003</v>
      </c>
      <c r="CL273" s="4">
        <f t="shared" si="1541"/>
        <v>482069.0295</v>
      </c>
      <c r="CM273" s="17">
        <f t="shared" si="1541"/>
        <v>543381.75</v>
      </c>
      <c r="CN273" s="17">
        <f t="shared" si="1541"/>
        <v>543381.75</v>
      </c>
      <c r="CO273" s="17">
        <f t="shared" si="1541"/>
        <v>543381.75</v>
      </c>
      <c r="CP273" s="17">
        <f t="shared" si="1541"/>
        <v>543381.75</v>
      </c>
      <c r="CQ273" s="17">
        <f t="shared" si="1541"/>
        <v>543381.75</v>
      </c>
      <c r="CR273" s="17">
        <f t="shared" si="1541"/>
        <v>543381.75</v>
      </c>
      <c r="CS273" s="17">
        <f t="shared" si="1541"/>
        <v>543381.75</v>
      </c>
      <c r="CT273" s="17">
        <f t="shared" si="1541"/>
        <v>543381.75</v>
      </c>
      <c r="CU273" s="17">
        <f t="shared" si="1541"/>
        <v>543381.75</v>
      </c>
      <c r="CV273" s="17">
        <f t="shared" si="1541"/>
        <v>543381.75</v>
      </c>
      <c r="CW273" s="17">
        <f t="shared" si="1541"/>
        <v>543381.75</v>
      </c>
      <c r="CX273" s="17">
        <f t="shared" ref="CX273:DB273" si="1542">+CX239*CX227</f>
        <v>543381.75</v>
      </c>
      <c r="CY273" s="17">
        <f t="shared" si="1542"/>
        <v>543381.75</v>
      </c>
      <c r="CZ273" s="17">
        <f t="shared" si="1542"/>
        <v>543381.75</v>
      </c>
      <c r="DA273" s="17">
        <f t="shared" si="1542"/>
        <v>543381.75</v>
      </c>
      <c r="DB273" s="17">
        <f t="shared" si="1542"/>
        <v>543381.75</v>
      </c>
      <c r="DE273" s="119"/>
      <c r="DF273" s="4">
        <v>482069.0295</v>
      </c>
    </row>
    <row r="274" spans="1:110" s="162" customFormat="1" x14ac:dyDescent="0.2">
      <c r="A274" s="49" t="s">
        <v>340</v>
      </c>
      <c r="B274" s="162">
        <f t="shared" ref="B274:AE274" si="1543">+B240*B227</f>
        <v>892.10094444444508</v>
      </c>
      <c r="C274" s="162">
        <f t="shared" si="1543"/>
        <v>715.03564444444555</v>
      </c>
      <c r="D274" s="162">
        <f t="shared" si="1543"/>
        <v>607.85999999999888</v>
      </c>
      <c r="E274" s="162">
        <f t="shared" si="1543"/>
        <v>9377.3475000000053</v>
      </c>
      <c r="F274" s="162">
        <f t="shared" si="1543"/>
        <v>17547.180000000062</v>
      </c>
      <c r="G274" s="162">
        <f t="shared" si="1543"/>
        <v>39991.673999999985</v>
      </c>
      <c r="H274" s="162">
        <f t="shared" si="1543"/>
        <v>54353.459999999977</v>
      </c>
      <c r="I274" s="162">
        <f t="shared" si="1543"/>
        <v>142761.90000000031</v>
      </c>
      <c r="J274" s="162">
        <f t="shared" si="1543"/>
        <v>99719.340000000011</v>
      </c>
      <c r="K274" s="162">
        <f t="shared" si="1543"/>
        <v>110052</v>
      </c>
      <c r="L274" s="162">
        <f t="shared" si="1543"/>
        <v>135241.68</v>
      </c>
      <c r="M274" s="162">
        <f t="shared" si="1543"/>
        <v>114200.34900000006</v>
      </c>
      <c r="N274" s="162">
        <f t="shared" si="1543"/>
        <v>105130.22999999997</v>
      </c>
      <c r="O274" s="162">
        <f t="shared" si="1543"/>
        <v>119314.70999999996</v>
      </c>
      <c r="P274" s="162">
        <f t="shared" si="1543"/>
        <v>173602.44450000048</v>
      </c>
      <c r="Q274" s="162">
        <f t="shared" si="1543"/>
        <v>172987.98749999999</v>
      </c>
      <c r="R274" s="162">
        <f t="shared" si="1543"/>
        <v>148111.65000000046</v>
      </c>
      <c r="S274" s="162">
        <f t="shared" si="1543"/>
        <v>202165.52399999998</v>
      </c>
      <c r="T274" s="162">
        <f t="shared" si="1543"/>
        <v>200721.09149999998</v>
      </c>
      <c r="U274" s="162">
        <f t="shared" si="1543"/>
        <v>221025.68549999999</v>
      </c>
      <c r="V274" s="162">
        <f t="shared" si="1543"/>
        <v>219141.04499999998</v>
      </c>
      <c r="W274" s="162">
        <f t="shared" si="1543"/>
        <v>285887.58299999998</v>
      </c>
      <c r="X274" s="162">
        <f t="shared" si="1543"/>
        <v>316028.07450000005</v>
      </c>
      <c r="Y274" s="162">
        <f t="shared" si="1543"/>
        <v>524397.78</v>
      </c>
      <c r="Z274" s="162">
        <f t="shared" si="1543"/>
        <v>545170.09499999997</v>
      </c>
      <c r="AA274" s="162">
        <f t="shared" ref="AA274" si="1544">+AA240*AA227</f>
        <v>610788.6</v>
      </c>
      <c r="AB274" s="21">
        <f t="shared" si="1543"/>
        <v>659737.51553816546</v>
      </c>
      <c r="AC274" s="21">
        <f t="shared" si="1543"/>
        <v>763014.0768490826</v>
      </c>
      <c r="AD274" s="21">
        <f t="shared" si="1543"/>
        <v>888729.83524325874</v>
      </c>
      <c r="AE274" s="21">
        <f t="shared" si="1543"/>
        <v>1036291.2878865268</v>
      </c>
      <c r="AL274" s="162">
        <f t="shared" ref="AL274:BQ274" si="1545">+AL240*AL227</f>
        <v>101546.15777777774</v>
      </c>
      <c r="AM274" s="162">
        <f t="shared" si="1545"/>
        <v>101002.05133333338</v>
      </c>
      <c r="AN274" s="162">
        <f t="shared" si="1545"/>
        <v>92602.026000000013</v>
      </c>
      <c r="AO274" s="162">
        <f t="shared" si="1545"/>
        <v>105678.92133333339</v>
      </c>
      <c r="AP274" s="162">
        <f t="shared" si="1545"/>
        <v>119306.03666666664</v>
      </c>
      <c r="AQ274" s="162">
        <f t="shared" si="1545"/>
        <v>162745.90566666622</v>
      </c>
      <c r="AR274" s="162">
        <f t="shared" si="1545"/>
        <v>161672.97666666622</v>
      </c>
      <c r="AS274" s="162">
        <f t="shared" si="1545"/>
        <v>155217.06200000003</v>
      </c>
      <c r="AT274" s="162">
        <f t="shared" si="1545"/>
        <v>173589.82483333381</v>
      </c>
      <c r="AU274" s="162">
        <f t="shared" si="1545"/>
        <v>166900.06666666621</v>
      </c>
      <c r="AV274" s="162">
        <f t="shared" si="1545"/>
        <v>172975.41250000001</v>
      </c>
      <c r="AW274" s="162">
        <f t="shared" si="1545"/>
        <v>147679.04799999998</v>
      </c>
      <c r="AX274" s="162">
        <f t="shared" si="1545"/>
        <v>118411.92916666662</v>
      </c>
      <c r="AY274" s="162">
        <f t="shared" si="1545"/>
        <v>138930.55000000002</v>
      </c>
      <c r="AZ274" s="162">
        <f t="shared" si="1545"/>
        <v>148100.8833333338</v>
      </c>
      <c r="BA274" s="162">
        <f t="shared" si="1545"/>
        <v>139389.06666666621</v>
      </c>
      <c r="BB274" s="162">
        <f t="shared" si="1545"/>
        <v>146083.41</v>
      </c>
      <c r="BC274" s="162">
        <f t="shared" si="1545"/>
        <v>168183.9133333338</v>
      </c>
      <c r="BD274" s="162">
        <f t="shared" si="1545"/>
        <v>171936.87225000001</v>
      </c>
      <c r="BE274" s="162">
        <f t="shared" si="1545"/>
        <v>175382.625</v>
      </c>
      <c r="BF274" s="162">
        <f t="shared" si="1545"/>
        <v>202150.82800000001</v>
      </c>
      <c r="BG274" s="162">
        <f t="shared" si="1545"/>
        <v>195947.0975</v>
      </c>
      <c r="BH274" s="162">
        <f t="shared" si="1545"/>
        <v>191063.89500000002</v>
      </c>
      <c r="BI274" s="162">
        <f t="shared" si="1545"/>
        <v>200706.50049999999</v>
      </c>
      <c r="BJ274" s="162">
        <f t="shared" si="1545"/>
        <v>199317.19500000001</v>
      </c>
      <c r="BK274" s="162">
        <f t="shared" si="1545"/>
        <v>221009.61850000001</v>
      </c>
      <c r="BL274" s="162">
        <f t="shared" si="1545"/>
        <v>218932.538</v>
      </c>
      <c r="BM274" s="162">
        <f t="shared" si="1545"/>
        <v>205775.40225000001</v>
      </c>
      <c r="BN274" s="162">
        <f t="shared" si="1545"/>
        <v>190355.48675000001</v>
      </c>
      <c r="BO274" s="162">
        <f t="shared" si="1545"/>
        <v>136867.22500000001</v>
      </c>
      <c r="BP274" s="162">
        <f t="shared" si="1545"/>
        <v>140986.99725000001</v>
      </c>
      <c r="BQ274" s="162">
        <f t="shared" si="1545"/>
        <v>184103.61200000002</v>
      </c>
      <c r="BR274" s="162">
        <f t="shared" ref="BR274:CL274" si="1546">+BR240*BR227</f>
        <v>219125.11500000002</v>
      </c>
      <c r="BS274" s="162">
        <f t="shared" si="1546"/>
        <v>217701.42075000002</v>
      </c>
      <c r="BT274" s="162">
        <f t="shared" si="1546"/>
        <v>248974.55000000002</v>
      </c>
      <c r="BU274" s="162">
        <f t="shared" si="1546"/>
        <v>272764.68725000002</v>
      </c>
      <c r="BV274" s="162">
        <f t="shared" si="1546"/>
        <v>285866.80099999998</v>
      </c>
      <c r="BW274" s="162">
        <f t="shared" si="1546"/>
        <v>255852.30000000002</v>
      </c>
      <c r="BX274" s="162">
        <f t="shared" si="1546"/>
        <v>274422.22500000003</v>
      </c>
      <c r="BY274" s="162">
        <f t="shared" si="1546"/>
        <v>304065.32750000001</v>
      </c>
      <c r="BZ274" s="162">
        <f t="shared" si="1546"/>
        <v>316005.10150000005</v>
      </c>
      <c r="CA274" s="162">
        <f t="shared" si="1546"/>
        <v>341542.18725000002</v>
      </c>
      <c r="CB274" s="162">
        <f t="shared" si="1546"/>
        <v>420505.63500000001</v>
      </c>
      <c r="CC274" s="162">
        <f t="shared" si="1546"/>
        <v>489661.41125</v>
      </c>
      <c r="CD274" s="162">
        <f t="shared" si="1546"/>
        <v>524359.66</v>
      </c>
      <c r="CE274" s="162">
        <f t="shared" si="1546"/>
        <v>543149.67300000007</v>
      </c>
      <c r="CF274" s="162">
        <f t="shared" si="1546"/>
        <v>527936.09000000008</v>
      </c>
      <c r="CG274" s="162">
        <f t="shared" si="1546"/>
        <v>545130.46500000008</v>
      </c>
      <c r="CH274" s="162">
        <f t="shared" si="1546"/>
        <v>512254.82</v>
      </c>
      <c r="CI274" s="162">
        <f t="shared" si="1546"/>
        <v>513080.15</v>
      </c>
      <c r="CJ274" s="162">
        <f t="shared" si="1546"/>
        <v>521979.95850000001</v>
      </c>
      <c r="CK274" s="162">
        <f t="shared" si="1546"/>
        <v>569360.84</v>
      </c>
      <c r="CL274" s="162">
        <f t="shared" si="1546"/>
        <v>610788.6</v>
      </c>
      <c r="CM274" s="21">
        <f t="shared" ref="CM274:DB274" si="1547">+CM277-CM276</f>
        <v>641693.67529507889</v>
      </c>
      <c r="CN274" s="21">
        <f t="shared" si="1547"/>
        <v>653029.74182361225</v>
      </c>
      <c r="CO274" s="21">
        <f t="shared" si="1547"/>
        <v>659737.51553816546</v>
      </c>
      <c r="CP274" s="21">
        <f t="shared" si="1547"/>
        <v>651320.7383926867</v>
      </c>
      <c r="CQ274" s="21">
        <f t="shared" si="1547"/>
        <v>694756.96278736717</v>
      </c>
      <c r="CR274" s="21">
        <f t="shared" si="1547"/>
        <v>715859.4607080936</v>
      </c>
      <c r="CS274" s="21">
        <f t="shared" si="1547"/>
        <v>741453.49567924149</v>
      </c>
      <c r="CT274" s="21">
        <f t="shared" si="1547"/>
        <v>763014.0768490826</v>
      </c>
      <c r="CU274" s="21">
        <f t="shared" si="1547"/>
        <v>814067.94446954434</v>
      </c>
      <c r="CV274" s="21">
        <f t="shared" si="1547"/>
        <v>840012.87869001902</v>
      </c>
      <c r="CW274" s="21">
        <f t="shared" si="1547"/>
        <v>869132.11821336485</v>
      </c>
      <c r="CX274" s="21">
        <f t="shared" si="1547"/>
        <v>888729.83524325874</v>
      </c>
      <c r="CY274" s="21">
        <f t="shared" si="1547"/>
        <v>949291.00333058042</v>
      </c>
      <c r="CZ274" s="21">
        <f t="shared" si="1547"/>
        <v>980193.90208979812</v>
      </c>
      <c r="DA274" s="21">
        <f t="shared" si="1547"/>
        <v>1014004.018636514</v>
      </c>
      <c r="DB274" s="21">
        <f t="shared" si="1547"/>
        <v>1036291.2878865268</v>
      </c>
      <c r="DE274" s="22"/>
      <c r="DF274" s="162">
        <v>610788.6</v>
      </c>
    </row>
    <row r="275" spans="1:110" s="162" customFormat="1" x14ac:dyDescent="0.2">
      <c r="A275" s="49" t="s">
        <v>341</v>
      </c>
      <c r="B275" s="162">
        <f t="shared" ref="B275:AE275" si="1548">+B241*B227</f>
        <v>390.24236111111003</v>
      </c>
      <c r="C275" s="162">
        <f t="shared" si="1548"/>
        <v>397.16527777777725</v>
      </c>
      <c r="D275" s="162">
        <f t="shared" si="1548"/>
        <v>402.29280000000045</v>
      </c>
      <c r="E275" s="162">
        <f t="shared" si="1548"/>
        <v>2680.9890000000019</v>
      </c>
      <c r="F275" s="162">
        <f t="shared" si="1548"/>
        <v>6175.1400000000012</v>
      </c>
      <c r="G275" s="162">
        <f t="shared" si="1548"/>
        <v>14046.914999999985</v>
      </c>
      <c r="H275" s="162">
        <f t="shared" si="1548"/>
        <v>27593.246249999953</v>
      </c>
      <c r="I275" s="162">
        <f t="shared" si="1548"/>
        <v>46099.559999999983</v>
      </c>
      <c r="J275" s="162">
        <f t="shared" si="1548"/>
        <v>34054.980000000061</v>
      </c>
      <c r="K275" s="162">
        <f t="shared" si="1548"/>
        <v>40535.820000000051</v>
      </c>
      <c r="L275" s="162">
        <f t="shared" si="1548"/>
        <v>89450.876999999935</v>
      </c>
      <c r="M275" s="162">
        <f t="shared" si="1548"/>
        <v>59366.940000000061</v>
      </c>
      <c r="N275" s="162">
        <f t="shared" si="1548"/>
        <v>67645.295999999958</v>
      </c>
      <c r="O275" s="162">
        <f t="shared" si="1548"/>
        <v>62188.551000000043</v>
      </c>
      <c r="P275" s="162">
        <f t="shared" si="1548"/>
        <v>113945.08949999999</v>
      </c>
      <c r="Q275" s="162">
        <f t="shared" si="1548"/>
        <v>93232.385999999955</v>
      </c>
      <c r="R275" s="162">
        <f t="shared" si="1548"/>
        <v>107942.67000000004</v>
      </c>
      <c r="S275" s="162">
        <f t="shared" si="1548"/>
        <v>144718.38</v>
      </c>
      <c r="T275" s="162">
        <f t="shared" si="1548"/>
        <v>162794.421</v>
      </c>
      <c r="U275" s="162">
        <f t="shared" si="1548"/>
        <v>90937.343249999991</v>
      </c>
      <c r="V275" s="162">
        <f t="shared" si="1548"/>
        <v>104962.095</v>
      </c>
      <c r="W275" s="162">
        <f t="shared" si="1548"/>
        <v>179714.916</v>
      </c>
      <c r="X275" s="162">
        <f t="shared" si="1548"/>
        <v>200404.69199999998</v>
      </c>
      <c r="Y275" s="162">
        <f t="shared" si="1548"/>
        <v>296528.23574999999</v>
      </c>
      <c r="Z275" s="162">
        <f t="shared" si="1548"/>
        <v>432132.93450000003</v>
      </c>
      <c r="AA275" s="162">
        <f t="shared" ref="AA275" si="1549">+AA241*AA227</f>
        <v>408244.77224999998</v>
      </c>
      <c r="AB275" s="21">
        <f t="shared" si="1548"/>
        <v>480527.6972899487</v>
      </c>
      <c r="AC275" s="21">
        <f t="shared" si="1548"/>
        <v>524082.88714393985</v>
      </c>
      <c r="AD275" s="21">
        <f t="shared" si="1548"/>
        <v>617698.19829332375</v>
      </c>
      <c r="AE275" s="21">
        <f t="shared" si="1548"/>
        <v>722926.50507060415</v>
      </c>
      <c r="AL275" s="162">
        <f t="shared" ref="AL275:BQ275" si="1550">+AL241*AL227</f>
        <v>81371.424444444507</v>
      </c>
      <c r="AM275" s="162">
        <f t="shared" si="1550"/>
        <v>80283.211555555623</v>
      </c>
      <c r="AN275" s="162">
        <f t="shared" si="1550"/>
        <v>62184.03033333338</v>
      </c>
      <c r="AO275" s="162">
        <f t="shared" si="1550"/>
        <v>71262.660333333377</v>
      </c>
      <c r="AP275" s="162">
        <f t="shared" si="1550"/>
        <v>87264.892000000007</v>
      </c>
      <c r="AQ275" s="162">
        <f t="shared" si="1550"/>
        <v>113936.80650000001</v>
      </c>
      <c r="AR275" s="162">
        <f t="shared" si="1550"/>
        <v>131626.37950000001</v>
      </c>
      <c r="AS275" s="162">
        <f t="shared" si="1550"/>
        <v>128384.66666666663</v>
      </c>
      <c r="AT275" s="162">
        <f t="shared" si="1550"/>
        <v>136321.59016666663</v>
      </c>
      <c r="AU275" s="162">
        <f t="shared" si="1550"/>
        <v>141713.74616666621</v>
      </c>
      <c r="AV275" s="162">
        <f t="shared" si="1550"/>
        <v>129590.56550000001</v>
      </c>
      <c r="AW275" s="162">
        <f t="shared" si="1550"/>
        <v>116050.56833333339</v>
      </c>
      <c r="AX275" s="162">
        <f t="shared" si="1550"/>
        <v>93225.608666666623</v>
      </c>
      <c r="AY275" s="162">
        <f t="shared" si="1550"/>
        <v>107934.82333333338</v>
      </c>
      <c r="AZ275" s="162">
        <f t="shared" si="1550"/>
        <v>129535.54350000001</v>
      </c>
      <c r="BA275" s="162">
        <f t="shared" si="1550"/>
        <v>118783.32766666662</v>
      </c>
      <c r="BB275" s="162">
        <f t="shared" si="1550"/>
        <v>123799.5</v>
      </c>
      <c r="BC275" s="162">
        <f t="shared" si="1550"/>
        <v>144707.86000000002</v>
      </c>
      <c r="BD275" s="162">
        <f t="shared" si="1550"/>
        <v>153236.27000000002</v>
      </c>
      <c r="BE275" s="162">
        <f t="shared" si="1550"/>
        <v>154680.5975</v>
      </c>
      <c r="BF275" s="162">
        <f t="shared" si="1550"/>
        <v>171001.49825000003</v>
      </c>
      <c r="BG275" s="162">
        <f t="shared" si="1550"/>
        <v>165836.30799999999</v>
      </c>
      <c r="BH275" s="162">
        <f t="shared" si="1550"/>
        <v>168649.30775000001</v>
      </c>
      <c r="BI275" s="162">
        <f t="shared" si="1550"/>
        <v>162782.58700000003</v>
      </c>
      <c r="BJ275" s="162">
        <f t="shared" si="1550"/>
        <v>165382.37650000001</v>
      </c>
      <c r="BK275" s="162">
        <f t="shared" si="1550"/>
        <v>176744.41950000002</v>
      </c>
      <c r="BL275" s="162">
        <f t="shared" si="1550"/>
        <v>175258.82550000001</v>
      </c>
      <c r="BM275" s="162">
        <f t="shared" si="1550"/>
        <v>172714.05799999999</v>
      </c>
      <c r="BN275" s="162">
        <f t="shared" si="1550"/>
        <v>90930.732749999996</v>
      </c>
      <c r="BO275" s="162">
        <f t="shared" si="1550"/>
        <v>104954.46500000001</v>
      </c>
      <c r="BP275" s="162">
        <f t="shared" si="1550"/>
        <v>115890.08750000001</v>
      </c>
      <c r="BQ275" s="162">
        <f t="shared" si="1550"/>
        <v>120532.56875000001</v>
      </c>
      <c r="BR275" s="162">
        <f t="shared" ref="BR275:CL275" si="1551">+BR241*BR227</f>
        <v>176207.95500000002</v>
      </c>
      <c r="BS275" s="162">
        <f t="shared" si="1551"/>
        <v>179701.85200000001</v>
      </c>
      <c r="BT275" s="162">
        <f t="shared" si="1551"/>
        <v>203010.54675000001</v>
      </c>
      <c r="BU275" s="162">
        <f t="shared" si="1551"/>
        <v>231697.64200000002</v>
      </c>
      <c r="BV275" s="162">
        <f t="shared" si="1551"/>
        <v>219400.22500000001</v>
      </c>
      <c r="BW275" s="162">
        <f t="shared" si="1551"/>
        <v>200390.12400000001</v>
      </c>
      <c r="BX275" s="162">
        <f t="shared" si="1551"/>
        <v>211146.92500000002</v>
      </c>
      <c r="BY275" s="162">
        <f t="shared" si="1551"/>
        <v>249524.77000000002</v>
      </c>
      <c r="BZ275" s="162">
        <f t="shared" si="1551"/>
        <v>283101.94549999997</v>
      </c>
      <c r="CA275" s="162">
        <f t="shared" si="1551"/>
        <v>296506.68025000003</v>
      </c>
      <c r="CB275" s="162">
        <f t="shared" si="1551"/>
        <v>332876.22224999999</v>
      </c>
      <c r="CC275" s="162">
        <f t="shared" si="1551"/>
        <v>392974.00175</v>
      </c>
      <c r="CD275" s="162">
        <f t="shared" si="1551"/>
        <v>448979.52</v>
      </c>
      <c r="CE275" s="162">
        <f t="shared" si="1551"/>
        <v>436805.90250000003</v>
      </c>
      <c r="CF275" s="162">
        <f t="shared" si="1551"/>
        <v>467831.43275000004</v>
      </c>
      <c r="CG275" s="162">
        <f t="shared" si="1551"/>
        <v>448835.08724999998</v>
      </c>
      <c r="CH275" s="162">
        <f t="shared" si="1551"/>
        <v>432101.52150000003</v>
      </c>
      <c r="CI275" s="162">
        <f t="shared" si="1551"/>
        <v>408215.09575000004</v>
      </c>
      <c r="CJ275" s="162">
        <f t="shared" si="1551"/>
        <v>468416.04150000005</v>
      </c>
      <c r="CK275" s="162">
        <f t="shared" si="1551"/>
        <v>497251.88800000004</v>
      </c>
      <c r="CL275" s="162">
        <f t="shared" si="1551"/>
        <v>452403.13725000003</v>
      </c>
      <c r="CM275" s="21">
        <f t="shared" ref="CM275:DB275" si="1552">+CM278-CM276</f>
        <v>480527.6972899487</v>
      </c>
      <c r="CN275" s="21">
        <f t="shared" si="1552"/>
        <v>489365.29714679322</v>
      </c>
      <c r="CO275" s="21">
        <f t="shared" si="1552"/>
        <v>494913.63681041892</v>
      </c>
      <c r="CP275" s="21">
        <f t="shared" si="1552"/>
        <v>485141.38649417809</v>
      </c>
      <c r="CQ275" s="21">
        <f t="shared" si="1552"/>
        <v>524082.88714393985</v>
      </c>
      <c r="CR275" s="21">
        <f t="shared" si="1552"/>
        <v>540055.27324322984</v>
      </c>
      <c r="CS275" s="21">
        <f t="shared" si="1552"/>
        <v>559607.7385731329</v>
      </c>
      <c r="CT275" s="21">
        <f t="shared" si="1552"/>
        <v>572703.15754686599</v>
      </c>
      <c r="CU275" s="21">
        <f t="shared" si="1552"/>
        <v>617698.19829332375</v>
      </c>
      <c r="CV275" s="21">
        <f t="shared" si="1552"/>
        <v>636945.36689703749</v>
      </c>
      <c r="CW275" s="21">
        <f t="shared" si="1552"/>
        <v>658743.15611344296</v>
      </c>
      <c r="CX275" s="21">
        <f t="shared" si="1552"/>
        <v>669667.46351017442</v>
      </c>
      <c r="CY275" s="21">
        <f t="shared" si="1552"/>
        <v>722926.50507060427</v>
      </c>
      <c r="CZ275" s="21">
        <f t="shared" si="1552"/>
        <v>745953.38493150158</v>
      </c>
      <c r="DA275" s="21">
        <f t="shared" si="1552"/>
        <v>771357.15267646452</v>
      </c>
      <c r="DB275" s="21">
        <f t="shared" si="1552"/>
        <v>783815.60375545244</v>
      </c>
      <c r="DE275" s="22"/>
      <c r="DF275" s="162">
        <v>408244.77224999998</v>
      </c>
    </row>
    <row r="276" spans="1:110" s="162" customFormat="1" x14ac:dyDescent="0.2">
      <c r="A276" s="49" t="s">
        <v>80</v>
      </c>
      <c r="B276" s="162">
        <f>+B335</f>
        <v>4124.5099999999993</v>
      </c>
      <c r="C276" s="162">
        <f t="shared" ref="C276:W276" si="1553">+C335</f>
        <v>4628.6000000000004</v>
      </c>
      <c r="D276" s="162">
        <f t="shared" si="1553"/>
        <v>3921.2200000000003</v>
      </c>
      <c r="E276" s="162">
        <f t="shared" si="1553"/>
        <v>1943.9899999999998</v>
      </c>
      <c r="F276" s="162">
        <f t="shared" si="1553"/>
        <v>2407.52</v>
      </c>
      <c r="G276" s="162">
        <f t="shared" si="1553"/>
        <v>1908.87</v>
      </c>
      <c r="H276" s="162">
        <f t="shared" si="1553"/>
        <v>3189.7099999999991</v>
      </c>
      <c r="I276" s="162">
        <f t="shared" si="1553"/>
        <v>6154.3300000000008</v>
      </c>
      <c r="J276" s="162">
        <f t="shared" si="1553"/>
        <v>13682.760000000002</v>
      </c>
      <c r="K276" s="162">
        <f t="shared" si="1553"/>
        <v>12715.83</v>
      </c>
      <c r="L276" s="162">
        <f t="shared" si="1553"/>
        <v>25952.879999999997</v>
      </c>
      <c r="M276" s="162">
        <f t="shared" si="1553"/>
        <v>40964.550000000003</v>
      </c>
      <c r="N276" s="162">
        <f t="shared" si="1553"/>
        <v>55516.160000000003</v>
      </c>
      <c r="O276" s="162">
        <f t="shared" si="1553"/>
        <v>73039.540000000008</v>
      </c>
      <c r="P276" s="162">
        <f t="shared" si="1553"/>
        <v>79908.01999999999</v>
      </c>
      <c r="Q276" s="162">
        <f t="shared" si="1553"/>
        <v>75251.389999999985</v>
      </c>
      <c r="R276" s="162">
        <f t="shared" si="1553"/>
        <v>74347.76999999999</v>
      </c>
      <c r="S276" s="162">
        <f t="shared" si="1553"/>
        <v>90027.10000000002</v>
      </c>
      <c r="T276" s="162">
        <f t="shared" si="1553"/>
        <v>99882.75999999998</v>
      </c>
      <c r="U276" s="162">
        <f t="shared" si="1553"/>
        <v>113189.59</v>
      </c>
      <c r="V276" s="162">
        <f t="shared" si="1553"/>
        <v>85352.530000000013</v>
      </c>
      <c r="W276" s="162">
        <f t="shared" si="1553"/>
        <v>74715.48000000001</v>
      </c>
      <c r="X276" s="162">
        <f t="shared" ref="X276:Y276" si="1554">+X335</f>
        <v>60420.360000000008</v>
      </c>
      <c r="Y276" s="162">
        <f t="shared" si="1554"/>
        <v>63723.750000000007</v>
      </c>
      <c r="Z276" s="162">
        <f t="shared" ref="Z276:AA276" si="1555">+Z335</f>
        <v>63233.380000000005</v>
      </c>
      <c r="AA276" s="162">
        <f t="shared" si="1555"/>
        <v>41310.490000000005</v>
      </c>
      <c r="AB276" s="21">
        <f t="shared" ref="AB276:AD276" si="1556">+AB335</f>
        <v>32867.079531324664</v>
      </c>
      <c r="AC276" s="21">
        <f t="shared" si="1556"/>
        <v>20527.386737915469</v>
      </c>
      <c r="AD276" s="21">
        <f t="shared" si="1556"/>
        <v>13186.103127076785</v>
      </c>
      <c r="AE276" s="21">
        <f t="shared" ref="AE276" si="1557">+AE335</f>
        <v>3192.7721428463556</v>
      </c>
      <c r="AL276" s="162">
        <f t="shared" ref="AL276:AM276" si="1558">+AL335</f>
        <v>51562.179999999993</v>
      </c>
      <c r="AM276" s="162">
        <f t="shared" si="1558"/>
        <v>50535.354540965345</v>
      </c>
      <c r="AN276" s="162">
        <f t="shared" ref="AN276:AO276" si="1559">+AN335</f>
        <v>63107.329999999994</v>
      </c>
      <c r="AO276" s="162">
        <f t="shared" si="1559"/>
        <v>63866.229273787088</v>
      </c>
      <c r="AP276" s="162">
        <f t="shared" ref="AP276:CD276" si="1560">+AP335</f>
        <v>69557.66</v>
      </c>
      <c r="AQ276" s="162">
        <f t="shared" si="1560"/>
        <v>65237.847835798748</v>
      </c>
      <c r="AR276" s="162">
        <f t="shared" si="1560"/>
        <v>74033.259999999995</v>
      </c>
      <c r="AS276" s="162">
        <f t="shared" si="1560"/>
        <v>74638.96583496673</v>
      </c>
      <c r="AT276" s="162">
        <f t="shared" si="1560"/>
        <v>76849.2</v>
      </c>
      <c r="AU276" s="162">
        <f t="shared" si="1560"/>
        <v>72953.97561013003</v>
      </c>
      <c r="AV276" s="162">
        <f t="shared" si="1560"/>
        <v>83320.680000000022</v>
      </c>
      <c r="AW276" s="162">
        <f t="shared" si="1560"/>
        <v>84200.635380483422</v>
      </c>
      <c r="AX276" s="162">
        <f t="shared" si="1560"/>
        <v>75251.389999999985</v>
      </c>
      <c r="AY276" s="162">
        <f t="shared" si="1560"/>
        <v>73327.458409177532</v>
      </c>
      <c r="AZ276" s="162">
        <f t="shared" si="1560"/>
        <v>75657.59</v>
      </c>
      <c r="BA276" s="162">
        <f t="shared" si="1560"/>
        <v>74960.328196900766</v>
      </c>
      <c r="BB276" s="162">
        <f t="shared" si="1560"/>
        <v>74347.76999999999</v>
      </c>
      <c r="BC276" s="162">
        <f t="shared" si="1560"/>
        <v>72559.620975749684</v>
      </c>
      <c r="BD276" s="162">
        <f t="shared" si="1560"/>
        <v>83040.490000000005</v>
      </c>
      <c r="BE276" s="162">
        <f t="shared" si="1560"/>
        <v>82040.840578482967</v>
      </c>
      <c r="BF276" s="162">
        <f t="shared" si="1560"/>
        <v>90027.099999999991</v>
      </c>
      <c r="BG276" s="162">
        <f t="shared" si="1560"/>
        <v>88756.051013936289</v>
      </c>
      <c r="BH276" s="162">
        <f t="shared" si="1560"/>
        <v>101978.62</v>
      </c>
      <c r="BI276" s="162">
        <f t="shared" si="1560"/>
        <v>100436.28727673097</v>
      </c>
      <c r="BJ276" s="162">
        <f t="shared" si="1560"/>
        <v>99882.75999999998</v>
      </c>
      <c r="BK276" s="162">
        <f t="shared" si="1560"/>
        <v>98326.543667160047</v>
      </c>
      <c r="BL276" s="162">
        <f t="shared" si="1560"/>
        <v>116742.57999999999</v>
      </c>
      <c r="BM276" s="162">
        <f t="shared" si="1560"/>
        <v>114523.10188329237</v>
      </c>
      <c r="BN276" s="162">
        <f t="shared" si="1560"/>
        <v>113189.59</v>
      </c>
      <c r="BO276" s="162">
        <f t="shared" si="1560"/>
        <v>111414.06955593004</v>
      </c>
      <c r="BP276" s="162">
        <f t="shared" si="1560"/>
        <v>99826.62</v>
      </c>
      <c r="BQ276" s="162">
        <f t="shared" si="1560"/>
        <v>98013.964998160096</v>
      </c>
      <c r="BR276" s="162">
        <f t="shared" si="1560"/>
        <v>85352.530000000013</v>
      </c>
      <c r="BS276" s="162">
        <f t="shared" si="1560"/>
        <v>83279.15815570447</v>
      </c>
      <c r="BT276" s="162">
        <f t="shared" si="1560"/>
        <v>79557.66</v>
      </c>
      <c r="BU276" s="162">
        <f t="shared" si="1560"/>
        <v>78218.329789508483</v>
      </c>
      <c r="BV276" s="162">
        <f t="shared" si="1560"/>
        <v>74715.479999999981</v>
      </c>
      <c r="BW276" s="162">
        <f t="shared" si="1560"/>
        <v>72782.806945404853</v>
      </c>
      <c r="BX276" s="162">
        <f t="shared" si="1560"/>
        <v>80910.2</v>
      </c>
      <c r="BY276" s="162">
        <f t="shared" si="1560"/>
        <v>78919.203455588897</v>
      </c>
      <c r="BZ276" s="162">
        <f t="shared" si="1560"/>
        <v>60420.360000000008</v>
      </c>
      <c r="CA276" s="162">
        <f t="shared" si="1560"/>
        <v>57609.093512158637</v>
      </c>
      <c r="CB276" s="162">
        <f t="shared" si="1560"/>
        <v>72384.23</v>
      </c>
      <c r="CC276" s="162">
        <f t="shared" si="1560"/>
        <v>70247.625698227755</v>
      </c>
      <c r="CD276" s="162">
        <f t="shared" si="1560"/>
        <v>63723.750000000007</v>
      </c>
      <c r="CE276" s="162">
        <f t="shared" ref="CE276:CF276" si="1561">+CE335</f>
        <v>60563.94992591982</v>
      </c>
      <c r="CF276" s="162">
        <f t="shared" si="1561"/>
        <v>68132.489999999991</v>
      </c>
      <c r="CG276" s="162">
        <f t="shared" ref="CG276:CH276" si="1562">+CG335</f>
        <v>65120.328971020543</v>
      </c>
      <c r="CH276" s="162">
        <f t="shared" si="1562"/>
        <v>63233.380000000005</v>
      </c>
      <c r="CI276" s="162">
        <f t="shared" ref="CI276:CJ276" si="1563">+CI335</f>
        <v>41709.698092484876</v>
      </c>
      <c r="CJ276" s="162">
        <f t="shared" si="1563"/>
        <v>67498.169999999984</v>
      </c>
      <c r="CK276" s="162">
        <f t="shared" ref="CK276" si="1564">+CK335</f>
        <v>69835.599073013713</v>
      </c>
      <c r="CL276" s="162">
        <f t="shared" ref="CL276" si="1565">+CL335</f>
        <v>41310.489999999991</v>
      </c>
      <c r="CM276" s="21">
        <f t="shared" ref="CM276:DB276" si="1566">+CM335</f>
        <v>21853.254905151407</v>
      </c>
      <c r="CN276" s="21">
        <f t="shared" si="1566"/>
        <v>20803.788009662268</v>
      </c>
      <c r="CO276" s="21">
        <f t="shared" si="1566"/>
        <v>18869.59563519826</v>
      </c>
      <c r="CP276" s="21">
        <f t="shared" si="1566"/>
        <v>32867.079531324664</v>
      </c>
      <c r="CQ276" s="21">
        <f t="shared" si="1566"/>
        <v>7936.3746014529897</v>
      </c>
      <c r="CR276" s="21">
        <f t="shared" si="1566"/>
        <v>7955.3937206922565</v>
      </c>
      <c r="CS276" s="21">
        <f t="shared" si="1566"/>
        <v>7235.4980602073338</v>
      </c>
      <c r="CT276" s="21">
        <f t="shared" si="1566"/>
        <v>20527.386737915469</v>
      </c>
      <c r="CU276" s="21">
        <f t="shared" si="1566"/>
        <v>-5581.2906964885769</v>
      </c>
      <c r="CV276" s="21">
        <f t="shared" si="1566"/>
        <v>-3950.4184768414707</v>
      </c>
      <c r="CW276" s="21">
        <f t="shared" si="1566"/>
        <v>-2926.0387579849194</v>
      </c>
      <c r="CX276" s="21">
        <f t="shared" si="1566"/>
        <v>13186.103127076785</v>
      </c>
      <c r="CY276" s="21">
        <f t="shared" si="1566"/>
        <v>-17311.004909689276</v>
      </c>
      <c r="CZ276" s="21">
        <f t="shared" si="1566"/>
        <v>-15787.034010267671</v>
      </c>
      <c r="DA276" s="21">
        <f t="shared" si="1566"/>
        <v>-14986.82516052798</v>
      </c>
      <c r="DB276" s="21">
        <f t="shared" si="1566"/>
        <v>3192.7721428463556</v>
      </c>
      <c r="DE276" s="22"/>
      <c r="DF276" s="162">
        <v>41310.490000000005</v>
      </c>
    </row>
    <row r="277" spans="1:110" s="162" customFormat="1" x14ac:dyDescent="0.2">
      <c r="A277" s="49" t="s">
        <v>342</v>
      </c>
      <c r="B277" s="162">
        <f>+B274+B276</f>
        <v>5016.6109444444446</v>
      </c>
      <c r="C277" s="162">
        <f t="shared" ref="C277:W277" si="1567">+C274+C276</f>
        <v>5343.6356444444464</v>
      </c>
      <c r="D277" s="162">
        <f t="shared" si="1567"/>
        <v>4529.079999999999</v>
      </c>
      <c r="E277" s="162">
        <f t="shared" si="1567"/>
        <v>11321.337500000005</v>
      </c>
      <c r="F277" s="162">
        <f t="shared" si="1567"/>
        <v>19954.700000000063</v>
      </c>
      <c r="G277" s="162">
        <f t="shared" si="1567"/>
        <v>41900.543999999987</v>
      </c>
      <c r="H277" s="162">
        <f t="shared" si="1567"/>
        <v>57543.169999999976</v>
      </c>
      <c r="I277" s="162">
        <f t="shared" si="1567"/>
        <v>148916.2300000003</v>
      </c>
      <c r="J277" s="162">
        <f t="shared" si="1567"/>
        <v>113402.1</v>
      </c>
      <c r="K277" s="162">
        <f t="shared" si="1567"/>
        <v>122767.83</v>
      </c>
      <c r="L277" s="162">
        <f t="shared" si="1567"/>
        <v>161194.56</v>
      </c>
      <c r="M277" s="162">
        <f t="shared" si="1567"/>
        <v>155164.89900000006</v>
      </c>
      <c r="N277" s="162">
        <f t="shared" si="1567"/>
        <v>160646.38999999996</v>
      </c>
      <c r="O277" s="162">
        <f t="shared" si="1567"/>
        <v>192354.24999999997</v>
      </c>
      <c r="P277" s="162">
        <f t="shared" si="1567"/>
        <v>253510.46450000047</v>
      </c>
      <c r="Q277" s="162">
        <f t="shared" si="1567"/>
        <v>248239.37749999997</v>
      </c>
      <c r="R277" s="162">
        <f t="shared" si="1567"/>
        <v>222459.42000000045</v>
      </c>
      <c r="S277" s="162">
        <f t="shared" si="1567"/>
        <v>292192.62400000001</v>
      </c>
      <c r="T277" s="162">
        <f t="shared" si="1567"/>
        <v>300603.85149999999</v>
      </c>
      <c r="U277" s="162">
        <f t="shared" si="1567"/>
        <v>334215.27549999999</v>
      </c>
      <c r="V277" s="162">
        <f t="shared" si="1567"/>
        <v>304493.57500000001</v>
      </c>
      <c r="W277" s="162">
        <f t="shared" si="1567"/>
        <v>360603.06299999997</v>
      </c>
      <c r="X277" s="162">
        <f t="shared" ref="X277:Y277" si="1568">+X274+X276</f>
        <v>376448.43450000003</v>
      </c>
      <c r="Y277" s="162">
        <f t="shared" si="1568"/>
        <v>588121.53</v>
      </c>
      <c r="Z277" s="162">
        <f t="shared" ref="Z277:AA277" si="1569">+Z274+Z276</f>
        <v>608403.47499999998</v>
      </c>
      <c r="AA277" s="162">
        <f t="shared" si="1569"/>
        <v>652099.09</v>
      </c>
      <c r="AB277" s="21">
        <f t="shared" ref="AB277:AD277" si="1570">+AB274+AB276</f>
        <v>692604.59506949014</v>
      </c>
      <c r="AC277" s="21">
        <f t="shared" si="1570"/>
        <v>783541.46358699806</v>
      </c>
      <c r="AD277" s="21">
        <f t="shared" si="1570"/>
        <v>901915.9383703355</v>
      </c>
      <c r="AE277" s="21">
        <f t="shared" ref="AE277" si="1571">+AE274+AE276</f>
        <v>1039484.0600293732</v>
      </c>
      <c r="AL277" s="162">
        <f t="shared" ref="AL277" si="1572">+AL274+AL276</f>
        <v>153108.33777777775</v>
      </c>
      <c r="AM277" s="162">
        <f t="shared" ref="AM277:AO277" si="1573">+AM274+AM276</f>
        <v>151537.40587429871</v>
      </c>
      <c r="AN277" s="162">
        <f t="shared" si="1573"/>
        <v>155709.356</v>
      </c>
      <c r="AO277" s="162">
        <f t="shared" si="1573"/>
        <v>169545.15060712048</v>
      </c>
      <c r="AP277" s="162">
        <f t="shared" ref="AP277:CD277" si="1574">+AP274+AP276</f>
        <v>188863.69666666666</v>
      </c>
      <c r="AQ277" s="162">
        <f t="shared" si="1574"/>
        <v>227983.75350246497</v>
      </c>
      <c r="AR277" s="162">
        <f t="shared" si="1574"/>
        <v>235706.23666666623</v>
      </c>
      <c r="AS277" s="162">
        <f t="shared" si="1574"/>
        <v>229856.02783496678</v>
      </c>
      <c r="AT277" s="162">
        <f t="shared" si="1574"/>
        <v>250439.02483333379</v>
      </c>
      <c r="AU277" s="162">
        <f t="shared" si="1574"/>
        <v>239854.04227679624</v>
      </c>
      <c r="AV277" s="162">
        <f t="shared" si="1574"/>
        <v>256296.09250000003</v>
      </c>
      <c r="AW277" s="162">
        <f t="shared" si="1574"/>
        <v>231879.68338048342</v>
      </c>
      <c r="AX277" s="162">
        <f t="shared" si="1574"/>
        <v>193663.3191666666</v>
      </c>
      <c r="AY277" s="162">
        <f t="shared" si="1574"/>
        <v>212258.00840917754</v>
      </c>
      <c r="AZ277" s="162">
        <f t="shared" si="1574"/>
        <v>223758.47333333379</v>
      </c>
      <c r="BA277" s="162">
        <f t="shared" si="1574"/>
        <v>214349.39486356697</v>
      </c>
      <c r="BB277" s="162">
        <f t="shared" si="1574"/>
        <v>220431.18</v>
      </c>
      <c r="BC277" s="162">
        <f t="shared" si="1574"/>
        <v>240743.53430908348</v>
      </c>
      <c r="BD277" s="162">
        <f t="shared" si="1574"/>
        <v>254977.36225000001</v>
      </c>
      <c r="BE277" s="162">
        <f t="shared" si="1574"/>
        <v>257423.46557848295</v>
      </c>
      <c r="BF277" s="162">
        <f t="shared" si="1574"/>
        <v>292177.92800000001</v>
      </c>
      <c r="BG277" s="162">
        <f t="shared" si="1574"/>
        <v>284703.14851393632</v>
      </c>
      <c r="BH277" s="162">
        <f t="shared" si="1574"/>
        <v>293042.51500000001</v>
      </c>
      <c r="BI277" s="162">
        <f t="shared" si="1574"/>
        <v>301142.78777673095</v>
      </c>
      <c r="BJ277" s="162">
        <f t="shared" si="1574"/>
        <v>299199.95499999996</v>
      </c>
      <c r="BK277" s="162">
        <f t="shared" si="1574"/>
        <v>319336.16216716007</v>
      </c>
      <c r="BL277" s="162">
        <f t="shared" si="1574"/>
        <v>335675.11800000002</v>
      </c>
      <c r="BM277" s="162">
        <f t="shared" si="1574"/>
        <v>320298.50413329236</v>
      </c>
      <c r="BN277" s="162">
        <f t="shared" si="1574"/>
        <v>303545.07675000001</v>
      </c>
      <c r="BO277" s="162">
        <f t="shared" si="1574"/>
        <v>248281.29455593004</v>
      </c>
      <c r="BP277" s="162">
        <f t="shared" si="1574"/>
        <v>240813.61725000001</v>
      </c>
      <c r="BQ277" s="162">
        <f t="shared" si="1574"/>
        <v>282117.5769981601</v>
      </c>
      <c r="BR277" s="162">
        <f t="shared" si="1574"/>
        <v>304477.64500000002</v>
      </c>
      <c r="BS277" s="162">
        <f t="shared" si="1574"/>
        <v>300980.57890570449</v>
      </c>
      <c r="BT277" s="162">
        <f t="shared" si="1574"/>
        <v>328532.21000000002</v>
      </c>
      <c r="BU277" s="162">
        <f t="shared" si="1574"/>
        <v>350983.0170395085</v>
      </c>
      <c r="BV277" s="162">
        <f t="shared" si="1574"/>
        <v>360582.28099999996</v>
      </c>
      <c r="BW277" s="162">
        <f t="shared" si="1574"/>
        <v>328635.1069454049</v>
      </c>
      <c r="BX277" s="162">
        <f t="shared" si="1574"/>
        <v>355332.42500000005</v>
      </c>
      <c r="BY277" s="162">
        <f t="shared" si="1574"/>
        <v>382984.53095558891</v>
      </c>
      <c r="BZ277" s="162">
        <f t="shared" si="1574"/>
        <v>376425.46150000003</v>
      </c>
      <c r="CA277" s="162">
        <f t="shared" si="1574"/>
        <v>399151.28076215868</v>
      </c>
      <c r="CB277" s="162">
        <f t="shared" si="1574"/>
        <v>492889.86499999999</v>
      </c>
      <c r="CC277" s="162">
        <f t="shared" si="1574"/>
        <v>559909.03694822779</v>
      </c>
      <c r="CD277" s="162">
        <f t="shared" si="1574"/>
        <v>588083.41</v>
      </c>
      <c r="CE277" s="162">
        <f t="shared" ref="CE277:CF277" si="1575">+CE274+CE276</f>
        <v>603713.62292591995</v>
      </c>
      <c r="CF277" s="162">
        <f t="shared" si="1575"/>
        <v>596068.58000000007</v>
      </c>
      <c r="CG277" s="162">
        <f t="shared" ref="CG277:CH277" si="1576">+CG274+CG276</f>
        <v>610250.79397102061</v>
      </c>
      <c r="CH277" s="162">
        <f t="shared" si="1576"/>
        <v>575488.19999999995</v>
      </c>
      <c r="CI277" s="162">
        <f t="shared" ref="CI277:CJ277" si="1577">+CI274+CI276</f>
        <v>554789.84809248487</v>
      </c>
      <c r="CJ277" s="162">
        <f t="shared" si="1577"/>
        <v>589478.12849999999</v>
      </c>
      <c r="CK277" s="162">
        <f t="shared" ref="CK277" si="1578">+CK274+CK276</f>
        <v>639196.43907301372</v>
      </c>
      <c r="CL277" s="162">
        <f t="shared" ref="CL277" si="1579">+CL274+CL276</f>
        <v>652099.09</v>
      </c>
      <c r="CM277" s="21">
        <f t="shared" ref="CM277:DB277" si="1580">+CM279*CM280</f>
        <v>663546.93020023033</v>
      </c>
      <c r="CN277" s="21">
        <f t="shared" si="1580"/>
        <v>673833.52983327454</v>
      </c>
      <c r="CO277" s="21">
        <f t="shared" si="1580"/>
        <v>678607.11117336375</v>
      </c>
      <c r="CP277" s="21">
        <f t="shared" si="1580"/>
        <v>684187.81792401138</v>
      </c>
      <c r="CQ277" s="21">
        <f t="shared" si="1580"/>
        <v>702693.33738882013</v>
      </c>
      <c r="CR277" s="21">
        <f t="shared" si="1580"/>
        <v>723814.85442878585</v>
      </c>
      <c r="CS277" s="21">
        <f t="shared" si="1580"/>
        <v>748688.99373944884</v>
      </c>
      <c r="CT277" s="21">
        <f t="shared" si="1580"/>
        <v>783541.46358699806</v>
      </c>
      <c r="CU277" s="21">
        <f t="shared" si="1580"/>
        <v>808486.65377305576</v>
      </c>
      <c r="CV277" s="21">
        <f t="shared" si="1580"/>
        <v>836062.46021317749</v>
      </c>
      <c r="CW277" s="21">
        <f t="shared" si="1580"/>
        <v>866206.07945537998</v>
      </c>
      <c r="CX277" s="21">
        <f t="shared" si="1580"/>
        <v>901915.9383703355</v>
      </c>
      <c r="CY277" s="21">
        <f t="shared" si="1580"/>
        <v>931979.99842089112</v>
      </c>
      <c r="CZ277" s="21">
        <f t="shared" si="1580"/>
        <v>964406.86807953042</v>
      </c>
      <c r="DA277" s="21">
        <f t="shared" si="1580"/>
        <v>999017.19347598602</v>
      </c>
      <c r="DB277" s="21">
        <f t="shared" si="1580"/>
        <v>1039484.0600293732</v>
      </c>
      <c r="DE277" s="22"/>
      <c r="DF277" s="162">
        <v>652099.09</v>
      </c>
    </row>
    <row r="278" spans="1:110" s="162" customFormat="1" x14ac:dyDescent="0.2">
      <c r="A278" s="49" t="s">
        <v>345</v>
      </c>
      <c r="B278" s="162">
        <f>+B275+B276</f>
        <v>4514.7523611111092</v>
      </c>
      <c r="C278" s="162">
        <f t="shared" ref="C278:W278" si="1581">+C275+C276</f>
        <v>5025.7652777777776</v>
      </c>
      <c r="D278" s="162">
        <f t="shared" si="1581"/>
        <v>4323.5128000000004</v>
      </c>
      <c r="E278" s="162">
        <f t="shared" si="1581"/>
        <v>4624.9790000000012</v>
      </c>
      <c r="F278" s="162">
        <f t="shared" si="1581"/>
        <v>8582.6600000000017</v>
      </c>
      <c r="G278" s="162">
        <f t="shared" si="1581"/>
        <v>15955.784999999985</v>
      </c>
      <c r="H278" s="162">
        <f t="shared" si="1581"/>
        <v>30782.956249999952</v>
      </c>
      <c r="I278" s="162">
        <f t="shared" si="1581"/>
        <v>52253.889999999985</v>
      </c>
      <c r="J278" s="162">
        <f t="shared" si="1581"/>
        <v>47737.740000000063</v>
      </c>
      <c r="K278" s="162">
        <f t="shared" si="1581"/>
        <v>53251.650000000052</v>
      </c>
      <c r="L278" s="162">
        <f t="shared" si="1581"/>
        <v>115403.75699999993</v>
      </c>
      <c r="M278" s="162">
        <f t="shared" si="1581"/>
        <v>100331.49000000006</v>
      </c>
      <c r="N278" s="162">
        <f t="shared" si="1581"/>
        <v>123161.45599999996</v>
      </c>
      <c r="O278" s="162">
        <f t="shared" si="1581"/>
        <v>135228.09100000004</v>
      </c>
      <c r="P278" s="162">
        <f t="shared" si="1581"/>
        <v>193853.10949999996</v>
      </c>
      <c r="Q278" s="162">
        <f t="shared" si="1581"/>
        <v>168483.77599999995</v>
      </c>
      <c r="R278" s="162">
        <f t="shared" si="1581"/>
        <v>182290.44000000003</v>
      </c>
      <c r="S278" s="162">
        <f t="shared" si="1581"/>
        <v>234745.48000000004</v>
      </c>
      <c r="T278" s="162">
        <f t="shared" si="1581"/>
        <v>262677.18099999998</v>
      </c>
      <c r="U278" s="162">
        <f t="shared" si="1581"/>
        <v>204126.93325</v>
      </c>
      <c r="V278" s="162">
        <f t="shared" si="1581"/>
        <v>190314.625</v>
      </c>
      <c r="W278" s="162">
        <f t="shared" si="1581"/>
        <v>254430.39600000001</v>
      </c>
      <c r="X278" s="162">
        <f t="shared" ref="X278:Y278" si="1582">+X275+X276</f>
        <v>260825.052</v>
      </c>
      <c r="Y278" s="162">
        <f t="shared" si="1582"/>
        <v>360251.98574999999</v>
      </c>
      <c r="Z278" s="162">
        <f t="shared" ref="Z278:AA278" si="1583">+Z275+Z276</f>
        <v>495366.31450000004</v>
      </c>
      <c r="AA278" s="162">
        <f t="shared" si="1583"/>
        <v>449555.26224999997</v>
      </c>
      <c r="AB278" s="21">
        <f t="shared" ref="AB278:AD278" si="1584">+AB275+AB276</f>
        <v>513394.77682127338</v>
      </c>
      <c r="AC278" s="21">
        <f t="shared" si="1584"/>
        <v>544610.2738818553</v>
      </c>
      <c r="AD278" s="21">
        <f t="shared" si="1584"/>
        <v>630884.3014204005</v>
      </c>
      <c r="AE278" s="21">
        <f t="shared" ref="AE278" si="1585">+AE275+AE276</f>
        <v>726119.27721345052</v>
      </c>
      <c r="AL278" s="162">
        <f t="shared" ref="AL278:AM278" si="1586">+AL275+AL276</f>
        <v>132933.6044444445</v>
      </c>
      <c r="AM278" s="162">
        <f t="shared" si="1586"/>
        <v>130818.56609652097</v>
      </c>
      <c r="AN278" s="162">
        <f t="shared" ref="AN278:AO278" si="1587">+AN275+AN276</f>
        <v>125291.36033333337</v>
      </c>
      <c r="AO278" s="162">
        <f t="shared" si="1587"/>
        <v>135128.88960712048</v>
      </c>
      <c r="AP278" s="162">
        <f t="shared" ref="AP278:CD278" si="1588">+AP275+AP276</f>
        <v>156822.55200000003</v>
      </c>
      <c r="AQ278" s="162">
        <f t="shared" si="1588"/>
        <v>179174.65433579875</v>
      </c>
      <c r="AR278" s="162">
        <f t="shared" si="1588"/>
        <v>205659.63949999999</v>
      </c>
      <c r="AS278" s="162">
        <f t="shared" si="1588"/>
        <v>203023.63250163337</v>
      </c>
      <c r="AT278" s="162">
        <f t="shared" si="1588"/>
        <v>213170.79016666661</v>
      </c>
      <c r="AU278" s="162">
        <f t="shared" si="1588"/>
        <v>214667.72177679624</v>
      </c>
      <c r="AV278" s="162">
        <f t="shared" si="1588"/>
        <v>212911.24550000002</v>
      </c>
      <c r="AW278" s="162">
        <f t="shared" si="1588"/>
        <v>200251.20371381682</v>
      </c>
      <c r="AX278" s="162">
        <f t="shared" si="1588"/>
        <v>168476.99866666662</v>
      </c>
      <c r="AY278" s="162">
        <f t="shared" si="1588"/>
        <v>181262.28174251091</v>
      </c>
      <c r="AZ278" s="162">
        <f t="shared" si="1588"/>
        <v>205193.1335</v>
      </c>
      <c r="BA278" s="162">
        <f t="shared" si="1588"/>
        <v>193743.65586356737</v>
      </c>
      <c r="BB278" s="162">
        <f t="shared" si="1588"/>
        <v>198147.27</v>
      </c>
      <c r="BC278" s="162">
        <f t="shared" si="1588"/>
        <v>217267.4809757497</v>
      </c>
      <c r="BD278" s="162">
        <f t="shared" si="1588"/>
        <v>236276.76</v>
      </c>
      <c r="BE278" s="162">
        <f t="shared" si="1588"/>
        <v>236721.43807848298</v>
      </c>
      <c r="BF278" s="162">
        <f t="shared" si="1588"/>
        <v>261028.59825000004</v>
      </c>
      <c r="BG278" s="162">
        <f t="shared" si="1588"/>
        <v>254592.35901393628</v>
      </c>
      <c r="BH278" s="162">
        <f t="shared" si="1588"/>
        <v>270627.92775000003</v>
      </c>
      <c r="BI278" s="162">
        <f t="shared" si="1588"/>
        <v>263218.87427673099</v>
      </c>
      <c r="BJ278" s="162">
        <f t="shared" si="1588"/>
        <v>265265.13650000002</v>
      </c>
      <c r="BK278" s="162">
        <f t="shared" si="1588"/>
        <v>275070.96316716005</v>
      </c>
      <c r="BL278" s="162">
        <f t="shared" si="1588"/>
        <v>292001.40549999999</v>
      </c>
      <c r="BM278" s="162">
        <f t="shared" si="1588"/>
        <v>287237.15988329239</v>
      </c>
      <c r="BN278" s="162">
        <f t="shared" si="1588"/>
        <v>204120.32274999999</v>
      </c>
      <c r="BO278" s="162">
        <f t="shared" si="1588"/>
        <v>216368.53455593006</v>
      </c>
      <c r="BP278" s="162">
        <f t="shared" si="1588"/>
        <v>215716.70750000002</v>
      </c>
      <c r="BQ278" s="162">
        <f t="shared" si="1588"/>
        <v>218546.53374816012</v>
      </c>
      <c r="BR278" s="162">
        <f t="shared" si="1588"/>
        <v>261560.48500000004</v>
      </c>
      <c r="BS278" s="162">
        <f t="shared" si="1588"/>
        <v>262981.01015570445</v>
      </c>
      <c r="BT278" s="162">
        <f t="shared" si="1588"/>
        <v>282568.20675000001</v>
      </c>
      <c r="BU278" s="162">
        <f t="shared" si="1588"/>
        <v>309915.97178950848</v>
      </c>
      <c r="BV278" s="162">
        <f t="shared" si="1588"/>
        <v>294115.70499999996</v>
      </c>
      <c r="BW278" s="162">
        <f t="shared" si="1588"/>
        <v>273172.93094540486</v>
      </c>
      <c r="BX278" s="162">
        <f t="shared" si="1588"/>
        <v>292057.125</v>
      </c>
      <c r="BY278" s="162">
        <f t="shared" si="1588"/>
        <v>328443.97345558892</v>
      </c>
      <c r="BZ278" s="162">
        <f t="shared" si="1588"/>
        <v>343522.30549999996</v>
      </c>
      <c r="CA278" s="162">
        <f t="shared" si="1588"/>
        <v>354115.7737621587</v>
      </c>
      <c r="CB278" s="162">
        <f t="shared" si="1588"/>
        <v>405260.45224999997</v>
      </c>
      <c r="CC278" s="162">
        <f t="shared" si="1588"/>
        <v>463221.62744822772</v>
      </c>
      <c r="CD278" s="162">
        <f t="shared" si="1588"/>
        <v>512703.27</v>
      </c>
      <c r="CE278" s="162">
        <f t="shared" ref="CE278:CF278" si="1589">+CE275+CE276</f>
        <v>497369.85242591985</v>
      </c>
      <c r="CF278" s="162">
        <f t="shared" si="1589"/>
        <v>535963.92275000003</v>
      </c>
      <c r="CG278" s="162">
        <f t="shared" ref="CG278:CH278" si="1590">+CG275+CG276</f>
        <v>513955.41622102051</v>
      </c>
      <c r="CH278" s="162">
        <f t="shared" si="1590"/>
        <v>495334.90150000004</v>
      </c>
      <c r="CI278" s="162">
        <f t="shared" ref="CI278:CJ278" si="1591">+CI275+CI276</f>
        <v>449924.79384248494</v>
      </c>
      <c r="CJ278" s="162">
        <f t="shared" si="1591"/>
        <v>535914.21149999998</v>
      </c>
      <c r="CK278" s="162">
        <f t="shared" ref="CK278" si="1592">+CK275+CK276</f>
        <v>567087.48707301379</v>
      </c>
      <c r="CL278" s="162">
        <f t="shared" ref="CL278" si="1593">+CL275+CL276</f>
        <v>493713.62725000002</v>
      </c>
      <c r="CM278" s="21">
        <f t="shared" ref="CM278:DB278" si="1594">+CM279*CM281</f>
        <v>502380.95219510014</v>
      </c>
      <c r="CN278" s="21">
        <f t="shared" si="1594"/>
        <v>510169.08515645546</v>
      </c>
      <c r="CO278" s="21">
        <f t="shared" si="1594"/>
        <v>513783.23244561721</v>
      </c>
      <c r="CP278" s="21">
        <f t="shared" si="1594"/>
        <v>518008.46602550277</v>
      </c>
      <c r="CQ278" s="21">
        <f t="shared" si="1594"/>
        <v>532019.26174539281</v>
      </c>
      <c r="CR278" s="21">
        <f t="shared" si="1594"/>
        <v>548010.66696392209</v>
      </c>
      <c r="CS278" s="21">
        <f t="shared" si="1594"/>
        <v>566843.23663334025</v>
      </c>
      <c r="CT278" s="21">
        <f t="shared" si="1594"/>
        <v>593230.54428478144</v>
      </c>
      <c r="CU278" s="21">
        <f t="shared" si="1594"/>
        <v>612116.90759683517</v>
      </c>
      <c r="CV278" s="21">
        <f t="shared" si="1594"/>
        <v>632994.94842019596</v>
      </c>
      <c r="CW278" s="21">
        <f t="shared" si="1594"/>
        <v>655817.11735545809</v>
      </c>
      <c r="CX278" s="21">
        <f t="shared" si="1594"/>
        <v>682853.56663725118</v>
      </c>
      <c r="CY278" s="21">
        <f t="shared" si="1594"/>
        <v>705615.50016091496</v>
      </c>
      <c r="CZ278" s="21">
        <f t="shared" si="1594"/>
        <v>730166.35092123388</v>
      </c>
      <c r="DA278" s="21">
        <f t="shared" si="1594"/>
        <v>756370.32751593657</v>
      </c>
      <c r="DB278" s="21">
        <f t="shared" si="1594"/>
        <v>787008.37589829881</v>
      </c>
      <c r="DE278" s="22"/>
      <c r="DF278" s="162">
        <v>449555.26224999997</v>
      </c>
    </row>
    <row r="279" spans="1:110" s="162" customFormat="1" x14ac:dyDescent="0.2">
      <c r="A279" s="49" t="s">
        <v>13</v>
      </c>
      <c r="B279" s="162">
        <f t="shared" ref="B279:AE279" si="1595">+B190</f>
        <v>832.29000000000087</v>
      </c>
      <c r="C279" s="162">
        <f t="shared" si="1595"/>
        <v>1153.2700000000004</v>
      </c>
      <c r="D279" s="162">
        <f t="shared" si="1595"/>
        <v>1000.6000000000004</v>
      </c>
      <c r="E279" s="162">
        <f t="shared" si="1595"/>
        <v>975.42000000000007</v>
      </c>
      <c r="F279" s="162">
        <f t="shared" si="1595"/>
        <v>1247.0999999999985</v>
      </c>
      <c r="G279" s="162">
        <f t="shared" si="1595"/>
        <v>1668.4799999999959</v>
      </c>
      <c r="H279" s="162">
        <f t="shared" si="1595"/>
        <v>2756.4500000000007</v>
      </c>
      <c r="I279" s="162">
        <f t="shared" si="1595"/>
        <v>4069.6900000000023</v>
      </c>
      <c r="J279" s="162">
        <f t="shared" si="1595"/>
        <v>5670.4099999999926</v>
      </c>
      <c r="K279" s="162">
        <f t="shared" si="1595"/>
        <v>7090.619999999999</v>
      </c>
      <c r="L279" s="162">
        <f t="shared" si="1595"/>
        <v>8662.130000000001</v>
      </c>
      <c r="M279" s="162">
        <f t="shared" si="1595"/>
        <v>10537.880000000005</v>
      </c>
      <c r="N279" s="162">
        <f t="shared" si="1595"/>
        <v>12263.729999999996</v>
      </c>
      <c r="O279" s="162">
        <f t="shared" si="1595"/>
        <v>13862.61</v>
      </c>
      <c r="P279" s="162">
        <f t="shared" si="1595"/>
        <v>15390.339999999989</v>
      </c>
      <c r="Q279" s="162">
        <f t="shared" si="1595"/>
        <v>15423.310000000012</v>
      </c>
      <c r="R279" s="162">
        <f t="shared" si="1595"/>
        <v>16433.100000000006</v>
      </c>
      <c r="S279" s="162">
        <f t="shared" si="1595"/>
        <v>17141.010000000009</v>
      </c>
      <c r="T279" s="162">
        <f t="shared" si="1595"/>
        <v>22518.589999999967</v>
      </c>
      <c r="U279" s="162">
        <f t="shared" si="1595"/>
        <v>24201.119999999981</v>
      </c>
      <c r="V279" s="162">
        <f t="shared" si="1595"/>
        <v>23131.069999999992</v>
      </c>
      <c r="W279" s="162">
        <f t="shared" si="1595"/>
        <v>23864.800000000032</v>
      </c>
      <c r="X279" s="162">
        <f t="shared" si="1595"/>
        <v>26268.98000000001</v>
      </c>
      <c r="Y279" s="162">
        <f t="shared" si="1595"/>
        <v>29175.72000000003</v>
      </c>
      <c r="Z279" s="162">
        <f t="shared" si="1595"/>
        <v>32736.97</v>
      </c>
      <c r="AA279" s="162">
        <f t="shared" ref="AA279" si="1596">+AA190</f>
        <v>37399.459999999934</v>
      </c>
      <c r="AB279" s="21">
        <f t="shared" si="1595"/>
        <v>37925.189064186416</v>
      </c>
      <c r="AC279" s="21">
        <f t="shared" si="1595"/>
        <v>43432.457240077085</v>
      </c>
      <c r="AD279" s="21">
        <f t="shared" si="1595"/>
        <v>49994.068275704165</v>
      </c>
      <c r="AE279" s="21">
        <f t="shared" si="1595"/>
        <v>57619.601625529816</v>
      </c>
      <c r="AL279" s="162">
        <f t="shared" ref="AL279:BQ279" si="1597">+SUM(AI190:AL190)</f>
        <v>5875.83</v>
      </c>
      <c r="AM279" s="162">
        <f t="shared" si="1597"/>
        <v>6663.9600000000009</v>
      </c>
      <c r="AN279" s="162">
        <f t="shared" si="1597"/>
        <v>7763.68</v>
      </c>
      <c r="AO279" s="162">
        <f t="shared" si="1597"/>
        <v>9138.4600000000064</v>
      </c>
      <c r="AP279" s="162">
        <f t="shared" si="1597"/>
        <v>10747.940000000006</v>
      </c>
      <c r="AQ279" s="162">
        <f t="shared" si="1597"/>
        <v>11386.110000000006</v>
      </c>
      <c r="AR279" s="162">
        <f t="shared" si="1597"/>
        <v>11217.030000000006</v>
      </c>
      <c r="AS279" s="162">
        <f t="shared" si="1597"/>
        <v>11469.809999999998</v>
      </c>
      <c r="AT279" s="162">
        <f t="shared" si="1597"/>
        <v>11326.409999999996</v>
      </c>
      <c r="AU279" s="162">
        <f t="shared" si="1597"/>
        <v>11647.539999999997</v>
      </c>
      <c r="AV279" s="162">
        <f t="shared" si="1597"/>
        <v>13019.289999999995</v>
      </c>
      <c r="AW279" s="162">
        <f t="shared" si="1597"/>
        <v>13471.859999999999</v>
      </c>
      <c r="AX279" s="162">
        <f t="shared" si="1597"/>
        <v>15712.620000000008</v>
      </c>
      <c r="AY279" s="162">
        <f t="shared" si="1597"/>
        <v>16103.780000000002</v>
      </c>
      <c r="AZ279" s="162">
        <f t="shared" si="1597"/>
        <v>16067.870000000004</v>
      </c>
      <c r="BA279" s="162">
        <f t="shared" si="1597"/>
        <v>16567.120000000003</v>
      </c>
      <c r="BB279" s="162">
        <f t="shared" si="1597"/>
        <v>16453.78</v>
      </c>
      <c r="BC279" s="162">
        <f t="shared" si="1597"/>
        <v>16699.760000000002</v>
      </c>
      <c r="BD279" s="162">
        <f t="shared" si="1597"/>
        <v>17512.2</v>
      </c>
      <c r="BE279" s="162">
        <f t="shared" si="1597"/>
        <v>18344.43</v>
      </c>
      <c r="BF279" s="162">
        <f t="shared" si="1597"/>
        <v>19610.910000000003</v>
      </c>
      <c r="BG279" s="162">
        <f t="shared" si="1597"/>
        <v>20554.359999999997</v>
      </c>
      <c r="BH279" s="162">
        <f t="shared" si="1597"/>
        <v>21400.959999999999</v>
      </c>
      <c r="BI279" s="162">
        <f t="shared" si="1597"/>
        <v>22458.69</v>
      </c>
      <c r="BJ279" s="162">
        <f t="shared" si="1597"/>
        <v>22715.260000000002</v>
      </c>
      <c r="BK279" s="162">
        <f t="shared" si="1597"/>
        <v>23449.500000000007</v>
      </c>
      <c r="BL279" s="162">
        <f t="shared" si="1597"/>
        <v>24165.49</v>
      </c>
      <c r="BM279" s="162">
        <f t="shared" si="1597"/>
        <v>24559.970000000005</v>
      </c>
      <c r="BN279" s="162">
        <f t="shared" si="1597"/>
        <v>24370.85</v>
      </c>
      <c r="BO279" s="162">
        <f t="shared" si="1597"/>
        <v>22948.239999999998</v>
      </c>
      <c r="BP279" s="162">
        <f t="shared" si="1597"/>
        <v>22222.610000000008</v>
      </c>
      <c r="BQ279" s="162">
        <f t="shared" si="1597"/>
        <v>22166.379999999997</v>
      </c>
      <c r="BR279" s="162">
        <f t="shared" ref="BR279:CW279" si="1598">+SUM(BO190:BR190)</f>
        <v>23315.139999999992</v>
      </c>
      <c r="BS279" s="162">
        <f t="shared" si="1598"/>
        <v>24328.05999999999</v>
      </c>
      <c r="BT279" s="162">
        <f t="shared" si="1598"/>
        <v>24494.819999999985</v>
      </c>
      <c r="BU279" s="162">
        <f t="shared" si="1598"/>
        <v>24411.28999999999</v>
      </c>
      <c r="BV279" s="162">
        <f t="shared" si="1598"/>
        <v>24164.369999999992</v>
      </c>
      <c r="BW279" s="162">
        <f t="shared" si="1598"/>
        <v>24836.909999999989</v>
      </c>
      <c r="BX279" s="162">
        <f t="shared" si="1598"/>
        <v>25712.799999999988</v>
      </c>
      <c r="BY279" s="162">
        <f t="shared" si="1598"/>
        <v>26383.959999999995</v>
      </c>
      <c r="BZ279" s="162">
        <f t="shared" si="1598"/>
        <v>26779.69</v>
      </c>
      <c r="CA279" s="162">
        <f t="shared" si="1598"/>
        <v>27686.229999999996</v>
      </c>
      <c r="CB279" s="162">
        <f t="shared" si="1598"/>
        <v>28364.54</v>
      </c>
      <c r="CC279" s="162">
        <f t="shared" si="1598"/>
        <v>28909.719999999987</v>
      </c>
      <c r="CD279" s="162">
        <f t="shared" si="1598"/>
        <v>29208.51999999999</v>
      </c>
      <c r="CE279" s="162">
        <f t="shared" si="1598"/>
        <v>29937.980000000003</v>
      </c>
      <c r="CF279" s="162">
        <f t="shared" si="1598"/>
        <v>30814.560000000005</v>
      </c>
      <c r="CG279" s="162">
        <f t="shared" si="1598"/>
        <v>31514.070000000007</v>
      </c>
      <c r="CH279" s="162">
        <f t="shared" si="1598"/>
        <v>32736.970000000008</v>
      </c>
      <c r="CI279" s="162">
        <f t="shared" si="1598"/>
        <v>33715.159999999996</v>
      </c>
      <c r="CJ279" s="162">
        <f t="shared" si="1598"/>
        <v>34311.349999999991</v>
      </c>
      <c r="CK279" s="162">
        <f t="shared" si="1598"/>
        <v>35603.399999999994</v>
      </c>
      <c r="CL279" s="162">
        <f t="shared" si="1598"/>
        <v>36146.479999999989</v>
      </c>
      <c r="CM279" s="21">
        <f t="shared" si="1598"/>
        <v>36781.044797262351</v>
      </c>
      <c r="CN279" s="21">
        <f t="shared" si="1598"/>
        <v>37351.240912554953</v>
      </c>
      <c r="CO279" s="21">
        <f t="shared" si="1598"/>
        <v>37615.845119314246</v>
      </c>
      <c r="CP279" s="21">
        <f t="shared" si="1598"/>
        <v>37925.189064186416</v>
      </c>
      <c r="CQ279" s="21">
        <f t="shared" si="1598"/>
        <v>38950.967813891955</v>
      </c>
      <c r="CR279" s="21">
        <f t="shared" si="1598"/>
        <v>40121.753826267435</v>
      </c>
      <c r="CS279" s="21">
        <f t="shared" si="1598"/>
        <v>41500.551301832216</v>
      </c>
      <c r="CT279" s="21">
        <f t="shared" si="1598"/>
        <v>43432.457240077034</v>
      </c>
      <c r="CU279" s="21">
        <f t="shared" si="1598"/>
        <v>44815.193134029178</v>
      </c>
      <c r="CV279" s="21">
        <f t="shared" si="1598"/>
        <v>46343.74661808899</v>
      </c>
      <c r="CW279" s="21">
        <f t="shared" si="1598"/>
        <v>48014.636436484361</v>
      </c>
      <c r="CX279" s="21">
        <f t="shared" ref="CX279:DB279" si="1599">+SUM(CU190:CX190)</f>
        <v>49994.068275704165</v>
      </c>
      <c r="CY279" s="21">
        <f t="shared" si="1599"/>
        <v>51660.548051555728</v>
      </c>
      <c r="CZ279" s="21">
        <f t="shared" si="1599"/>
        <v>53458.000637448175</v>
      </c>
      <c r="DA279" s="21">
        <f t="shared" si="1599"/>
        <v>55376.484275780618</v>
      </c>
      <c r="DB279" s="21">
        <f t="shared" si="1599"/>
        <v>57619.601625529831</v>
      </c>
      <c r="DE279" s="22"/>
      <c r="DF279" s="162">
        <v>37399.459999999934</v>
      </c>
    </row>
    <row r="280" spans="1:110" s="162" customFormat="1" x14ac:dyDescent="0.2">
      <c r="A280" s="49" t="s">
        <v>343</v>
      </c>
      <c r="B280" s="162">
        <f>+B277/B279</f>
        <v>6.0274795377145463</v>
      </c>
      <c r="C280" s="162">
        <f t="shared" ref="C280:W280" si="1600">+C277/C279</f>
        <v>4.6334645351430668</v>
      </c>
      <c r="D280" s="162">
        <f t="shared" si="1600"/>
        <v>4.5263641814911031</v>
      </c>
      <c r="E280" s="162">
        <f t="shared" si="1600"/>
        <v>11.606628426729003</v>
      </c>
      <c r="F280" s="162">
        <f t="shared" si="1600"/>
        <v>16.000882046347595</v>
      </c>
      <c r="G280" s="162">
        <f t="shared" si="1600"/>
        <v>25.113003452244012</v>
      </c>
      <c r="H280" s="162">
        <f t="shared" si="1600"/>
        <v>20.875825790418823</v>
      </c>
      <c r="I280" s="162">
        <f t="shared" si="1600"/>
        <v>36.591541370472989</v>
      </c>
      <c r="J280" s="162">
        <f t="shared" si="1600"/>
        <v>19.998924240046161</v>
      </c>
      <c r="K280" s="162">
        <f t="shared" si="1600"/>
        <v>17.31411780634134</v>
      </c>
      <c r="L280" s="162">
        <f t="shared" si="1600"/>
        <v>18.609113462854978</v>
      </c>
      <c r="M280" s="162">
        <f t="shared" si="1600"/>
        <v>14.724489081295289</v>
      </c>
      <c r="N280" s="162">
        <f t="shared" si="1600"/>
        <v>13.099309100901602</v>
      </c>
      <c r="O280" s="162">
        <f t="shared" si="1600"/>
        <v>13.875760048071752</v>
      </c>
      <c r="P280" s="162">
        <f t="shared" si="1600"/>
        <v>16.472050942344396</v>
      </c>
      <c r="Q280" s="162">
        <f t="shared" si="1600"/>
        <v>16.095078002063097</v>
      </c>
      <c r="R280" s="162">
        <f t="shared" si="1600"/>
        <v>13.537276594191015</v>
      </c>
      <c r="S280" s="162">
        <f t="shared" si="1600"/>
        <v>17.046406483631937</v>
      </c>
      <c r="T280" s="162">
        <f t="shared" si="1600"/>
        <v>13.349141820158385</v>
      </c>
      <c r="U280" s="162">
        <f t="shared" si="1600"/>
        <v>13.809909438075604</v>
      </c>
      <c r="V280" s="162">
        <f t="shared" si="1600"/>
        <v>13.163834401089103</v>
      </c>
      <c r="W280" s="162">
        <f t="shared" si="1600"/>
        <v>15.110248692635157</v>
      </c>
      <c r="X280" s="162">
        <f t="shared" ref="X280:Y280" si="1601">+X277/X279</f>
        <v>14.330531086475375</v>
      </c>
      <c r="Y280" s="162">
        <f t="shared" si="1601"/>
        <v>20.157909727677652</v>
      </c>
      <c r="Z280" s="162">
        <f t="shared" ref="Z280:AA280" si="1602">+Z277/Z279</f>
        <v>18.584599460487638</v>
      </c>
      <c r="AA280" s="162">
        <f t="shared" si="1602"/>
        <v>17.436056296000025</v>
      </c>
      <c r="AB280" s="21">
        <f t="shared" ref="AB280:AD280" si="1603">+AB277/AB279</f>
        <v>18.262390041017142</v>
      </c>
      <c r="AC280" s="21">
        <f t="shared" si="1603"/>
        <v>18.040458987984429</v>
      </c>
      <c r="AD280" s="21">
        <f t="shared" si="1603"/>
        <v>18.040458987984451</v>
      </c>
      <c r="AE280" s="21">
        <f t="shared" ref="AE280" si="1604">+AE277/AE279</f>
        <v>18.040458987984458</v>
      </c>
      <c r="AL280" s="162">
        <f t="shared" ref="AL280" si="1605">+AL277/AL279</f>
        <v>26.05731237591587</v>
      </c>
      <c r="AM280" s="162">
        <f t="shared" ref="AM280:AO280" si="1606">+AM277/AM279</f>
        <v>22.739843257507353</v>
      </c>
      <c r="AN280" s="162">
        <f t="shared" si="1606"/>
        <v>20.056127506543287</v>
      </c>
      <c r="AO280" s="162">
        <f t="shared" si="1606"/>
        <v>18.552923644369002</v>
      </c>
      <c r="AP280" s="162">
        <f t="shared" ref="AP280:CD280" si="1607">+AP277/AP279</f>
        <v>17.572083270530591</v>
      </c>
      <c r="AQ280" s="162">
        <f t="shared" si="1607"/>
        <v>20.022971278379082</v>
      </c>
      <c r="AR280" s="162">
        <f t="shared" si="1607"/>
        <v>21.013248307855655</v>
      </c>
      <c r="AS280" s="162">
        <f t="shared" si="1607"/>
        <v>20.040090274814215</v>
      </c>
      <c r="AT280" s="162">
        <f t="shared" si="1607"/>
        <v>22.111068276120491</v>
      </c>
      <c r="AU280" s="162">
        <f t="shared" si="1607"/>
        <v>20.592678134335344</v>
      </c>
      <c r="AV280" s="162">
        <f t="shared" si="1607"/>
        <v>19.685873231182356</v>
      </c>
      <c r="AW280" s="162">
        <f t="shared" si="1607"/>
        <v>17.212150614724578</v>
      </c>
      <c r="AX280" s="162">
        <f t="shared" si="1607"/>
        <v>12.325335887119175</v>
      </c>
      <c r="AY280" s="162">
        <f t="shared" si="1607"/>
        <v>13.180632647066558</v>
      </c>
      <c r="AZ280" s="162">
        <f t="shared" si="1607"/>
        <v>13.925832940727908</v>
      </c>
      <c r="BA280" s="162">
        <f t="shared" si="1607"/>
        <v>12.93824121896666</v>
      </c>
      <c r="BB280" s="162">
        <f t="shared" si="1607"/>
        <v>13.396993274493765</v>
      </c>
      <c r="BC280" s="162">
        <f t="shared" si="1607"/>
        <v>14.415987673420663</v>
      </c>
      <c r="BD280" s="162">
        <f t="shared" si="1607"/>
        <v>14.559984596452759</v>
      </c>
      <c r="BE280" s="162">
        <f t="shared" si="1607"/>
        <v>14.032786277822911</v>
      </c>
      <c r="BF280" s="162">
        <f t="shared" si="1607"/>
        <v>14.898744015448543</v>
      </c>
      <c r="BG280" s="162">
        <f t="shared" si="1607"/>
        <v>13.85122905864918</v>
      </c>
      <c r="BH280" s="162">
        <f t="shared" si="1607"/>
        <v>13.692961203609558</v>
      </c>
      <c r="BI280" s="162">
        <f t="shared" si="1607"/>
        <v>13.408742352146584</v>
      </c>
      <c r="BJ280" s="162">
        <f t="shared" si="1607"/>
        <v>13.171760085510794</v>
      </c>
      <c r="BK280" s="162">
        <f t="shared" si="1607"/>
        <v>13.618037150777628</v>
      </c>
      <c r="BL280" s="162">
        <f t="shared" si="1607"/>
        <v>13.8906812152371</v>
      </c>
      <c r="BM280" s="162">
        <f t="shared" si="1607"/>
        <v>13.041485968154371</v>
      </c>
      <c r="BN280" s="162">
        <f t="shared" si="1607"/>
        <v>12.455251940330355</v>
      </c>
      <c r="BO280" s="162">
        <f t="shared" si="1607"/>
        <v>10.819186767958243</v>
      </c>
      <c r="BP280" s="162">
        <f t="shared" si="1607"/>
        <v>10.83642368065677</v>
      </c>
      <c r="BQ280" s="162">
        <f t="shared" si="1607"/>
        <v>12.727273330068336</v>
      </c>
      <c r="BR280" s="162">
        <f t="shared" si="1607"/>
        <v>13.059224392390529</v>
      </c>
      <c r="BS280" s="162">
        <f t="shared" si="1607"/>
        <v>12.371745996421605</v>
      </c>
      <c r="BT280" s="162">
        <f t="shared" si="1607"/>
        <v>13.412313705509991</v>
      </c>
      <c r="BU280" s="162">
        <f t="shared" si="1607"/>
        <v>14.377897154943826</v>
      </c>
      <c r="BV280" s="162">
        <f t="shared" si="1607"/>
        <v>14.922064220999765</v>
      </c>
      <c r="BW280" s="162">
        <f t="shared" si="1607"/>
        <v>13.231722744310989</v>
      </c>
      <c r="BX280" s="162">
        <f t="shared" si="1607"/>
        <v>13.819281641828203</v>
      </c>
      <c r="BY280" s="162">
        <f t="shared" si="1607"/>
        <v>14.515809262733455</v>
      </c>
      <c r="BZ280" s="162">
        <f t="shared" si="1607"/>
        <v>14.056378602590248</v>
      </c>
      <c r="CA280" s="162">
        <f t="shared" si="1607"/>
        <v>14.41696037207517</v>
      </c>
      <c r="CB280" s="162">
        <f t="shared" si="1607"/>
        <v>17.376973679107788</v>
      </c>
      <c r="CC280" s="162">
        <f t="shared" si="1607"/>
        <v>19.367501205415621</v>
      </c>
      <c r="CD280" s="162">
        <f t="shared" si="1607"/>
        <v>20.133968102457786</v>
      </c>
      <c r="CE280" s="162">
        <f t="shared" ref="CE280:CF280" si="1608">+CE277/CE279</f>
        <v>20.165476191978211</v>
      </c>
      <c r="CF280" s="162">
        <f t="shared" si="1608"/>
        <v>19.343731664511839</v>
      </c>
      <c r="CG280" s="162">
        <f t="shared" ref="CG280:CH280" si="1609">+CG277/CG279</f>
        <v>19.364391650174682</v>
      </c>
      <c r="CH280" s="162">
        <f t="shared" si="1609"/>
        <v>17.579152866010503</v>
      </c>
      <c r="CI280" s="162">
        <f t="shared" ref="CI280:CJ280" si="1610">+CI277/CI279</f>
        <v>16.455204367782475</v>
      </c>
      <c r="CJ280" s="162">
        <f t="shared" si="1610"/>
        <v>17.180266253003747</v>
      </c>
      <c r="CK280" s="162">
        <f t="shared" ref="CK280" si="1611">+CK277/CK279</f>
        <v>17.953241518310438</v>
      </c>
      <c r="CL280" s="162">
        <f t="shared" ref="CL280" si="1612">+CL277/CL279</f>
        <v>18.040458987984451</v>
      </c>
      <c r="CM280" s="21">
        <f t="shared" ref="CM280:CM281" si="1613">+CL280</f>
        <v>18.040458987984451</v>
      </c>
      <c r="CN280" s="21">
        <f t="shared" ref="CN280:CN281" si="1614">+CM280</f>
        <v>18.040458987984451</v>
      </c>
      <c r="CO280" s="21">
        <f t="shared" ref="CO280:CO281" si="1615">+CN280</f>
        <v>18.040458987984451</v>
      </c>
      <c r="CP280" s="21">
        <f t="shared" ref="CP280:CP281" si="1616">+CO280</f>
        <v>18.040458987984451</v>
      </c>
      <c r="CQ280" s="21">
        <f t="shared" ref="CQ280:CQ281" si="1617">+CP280</f>
        <v>18.040458987984451</v>
      </c>
      <c r="CR280" s="21">
        <f t="shared" ref="CR280:CR281" si="1618">+CQ280</f>
        <v>18.040458987984451</v>
      </c>
      <c r="CS280" s="21">
        <f t="shared" ref="CS280:CS281" si="1619">+CR280</f>
        <v>18.040458987984451</v>
      </c>
      <c r="CT280" s="21">
        <f t="shared" ref="CT280:CT281" si="1620">+CS280</f>
        <v>18.040458987984451</v>
      </c>
      <c r="CU280" s="21">
        <f t="shared" ref="CU280:CU281" si="1621">+CT280</f>
        <v>18.040458987984451</v>
      </c>
      <c r="CV280" s="21">
        <f t="shared" ref="CV280:CV281" si="1622">+CU280</f>
        <v>18.040458987984451</v>
      </c>
      <c r="CW280" s="21">
        <f t="shared" ref="CW280:CW281" si="1623">+CV280</f>
        <v>18.040458987984451</v>
      </c>
      <c r="CX280" s="21">
        <f t="shared" ref="CX280:CX281" si="1624">+CW280</f>
        <v>18.040458987984451</v>
      </c>
      <c r="CY280" s="21">
        <f t="shared" ref="CY280:CY281" si="1625">+CX280</f>
        <v>18.040458987984451</v>
      </c>
      <c r="CZ280" s="21">
        <f t="shared" ref="CZ280:CZ281" si="1626">+CY280</f>
        <v>18.040458987984451</v>
      </c>
      <c r="DA280" s="21">
        <f t="shared" ref="DA280:DA281" si="1627">+CZ280</f>
        <v>18.040458987984451</v>
      </c>
      <c r="DB280" s="21">
        <f t="shared" ref="DB280:DB281" si="1628">+DA280</f>
        <v>18.040458987984451</v>
      </c>
      <c r="DE280" s="22"/>
      <c r="DF280" s="162">
        <v>17.436056296000025</v>
      </c>
    </row>
    <row r="281" spans="1:110" s="162" customFormat="1" x14ac:dyDescent="0.2">
      <c r="A281" s="49" t="s">
        <v>344</v>
      </c>
      <c r="B281" s="162">
        <f>+B278/B279</f>
        <v>5.4244943001971722</v>
      </c>
      <c r="C281" s="162">
        <f t="shared" ref="C281:W281" si="1629">+C278/C279</f>
        <v>4.3578392551421397</v>
      </c>
      <c r="D281" s="162">
        <f t="shared" si="1629"/>
        <v>4.320920247851288</v>
      </c>
      <c r="E281" s="162">
        <f t="shared" si="1629"/>
        <v>4.7415257017489907</v>
      </c>
      <c r="F281" s="162">
        <f t="shared" si="1629"/>
        <v>6.8820944591452262</v>
      </c>
      <c r="G281" s="162">
        <f t="shared" si="1629"/>
        <v>9.5630663837744674</v>
      </c>
      <c r="H281" s="162">
        <f t="shared" si="1629"/>
        <v>11.167609153077308</v>
      </c>
      <c r="I281" s="162">
        <f t="shared" si="1629"/>
        <v>12.839771579653476</v>
      </c>
      <c r="J281" s="162">
        <f t="shared" si="1629"/>
        <v>8.4187457344354506</v>
      </c>
      <c r="K281" s="162">
        <f t="shared" si="1629"/>
        <v>7.5101542601352298</v>
      </c>
      <c r="L281" s="162">
        <f t="shared" si="1629"/>
        <v>13.322792084625826</v>
      </c>
      <c r="M281" s="162">
        <f t="shared" si="1629"/>
        <v>9.521031744525466</v>
      </c>
      <c r="N281" s="162">
        <f t="shared" si="1629"/>
        <v>10.04274034082616</v>
      </c>
      <c r="O281" s="162">
        <f t="shared" si="1629"/>
        <v>9.7548795645264512</v>
      </c>
      <c r="P281" s="162">
        <f t="shared" si="1629"/>
        <v>12.595765233256712</v>
      </c>
      <c r="Q281" s="162">
        <f t="shared" si="1629"/>
        <v>10.923970016812204</v>
      </c>
      <c r="R281" s="162">
        <f t="shared" si="1629"/>
        <v>11.092882049035177</v>
      </c>
      <c r="S281" s="162">
        <f t="shared" si="1629"/>
        <v>13.69496196548511</v>
      </c>
      <c r="T281" s="162">
        <f t="shared" si="1629"/>
        <v>11.664903575223864</v>
      </c>
      <c r="U281" s="162">
        <f t="shared" si="1629"/>
        <v>8.4346068797642495</v>
      </c>
      <c r="V281" s="162">
        <f t="shared" si="1629"/>
        <v>8.2276619715387174</v>
      </c>
      <c r="W281" s="162">
        <f t="shared" si="1629"/>
        <v>10.661325299185398</v>
      </c>
      <c r="X281" s="162">
        <f t="shared" ref="X281:Y281" si="1630">+X278/X279</f>
        <v>9.9290133077112195</v>
      </c>
      <c r="Y281" s="162">
        <f t="shared" si="1630"/>
        <v>12.347663939398911</v>
      </c>
      <c r="Z281" s="162">
        <f t="shared" ref="Z281:AA281" si="1631">+Z278/Z279</f>
        <v>15.131709333514983</v>
      </c>
      <c r="AA281" s="162">
        <f t="shared" si="1631"/>
        <v>12.020367733919173</v>
      </c>
      <c r="AB281" s="21">
        <f t="shared" ref="AB281:AD281" si="1632">+AB278/AB279</f>
        <v>13.53703935272094</v>
      </c>
      <c r="AC281" s="21">
        <f t="shared" si="1632"/>
        <v>12.539246187971122</v>
      </c>
      <c r="AD281" s="21">
        <f t="shared" si="1632"/>
        <v>12.619183098707614</v>
      </c>
      <c r="AE281" s="21">
        <f t="shared" ref="AE281" si="1633">+AE278/AE279</f>
        <v>12.601948932804232</v>
      </c>
      <c r="AL281" s="162">
        <f t="shared" ref="AL281:AM281" si="1634">+AL278/AL279</f>
        <v>22.623800287694589</v>
      </c>
      <c r="AM281" s="162">
        <f t="shared" si="1634"/>
        <v>19.630755001008552</v>
      </c>
      <c r="AN281" s="162">
        <f t="shared" ref="AN281:AO281" si="1635">+AN278/AN279</f>
        <v>16.138140718490892</v>
      </c>
      <c r="AO281" s="162">
        <f t="shared" si="1635"/>
        <v>14.786833843680487</v>
      </c>
      <c r="AP281" s="162">
        <f t="shared" ref="AP281:CD281" si="1636">+AP278/AP279</f>
        <v>14.590940403463355</v>
      </c>
      <c r="AQ281" s="162">
        <f t="shared" si="1636"/>
        <v>15.736248317976786</v>
      </c>
      <c r="AR281" s="162">
        <f t="shared" si="1636"/>
        <v>18.334589414488494</v>
      </c>
      <c r="AS281" s="162">
        <f t="shared" si="1636"/>
        <v>17.700697091027088</v>
      </c>
      <c r="AT281" s="162">
        <f t="shared" si="1636"/>
        <v>18.820684591734423</v>
      </c>
      <c r="AU281" s="162">
        <f t="shared" si="1636"/>
        <v>18.430305607604378</v>
      </c>
      <c r="AV281" s="162">
        <f t="shared" si="1636"/>
        <v>16.353522004656174</v>
      </c>
      <c r="AW281" s="162">
        <f t="shared" si="1636"/>
        <v>14.864406526924778</v>
      </c>
      <c r="AX281" s="162">
        <f t="shared" si="1636"/>
        <v>10.722400125928491</v>
      </c>
      <c r="AY281" s="162">
        <f t="shared" si="1636"/>
        <v>11.255884130465697</v>
      </c>
      <c r="AZ281" s="162">
        <f t="shared" si="1636"/>
        <v>12.770400401546686</v>
      </c>
      <c r="BA281" s="162">
        <f t="shared" si="1636"/>
        <v>11.694468070706758</v>
      </c>
      <c r="BB281" s="162">
        <f t="shared" si="1636"/>
        <v>12.042659498303733</v>
      </c>
      <c r="BC281" s="162">
        <f t="shared" si="1636"/>
        <v>13.010215774103919</v>
      </c>
      <c r="BD281" s="162">
        <f t="shared" si="1636"/>
        <v>13.492123205536712</v>
      </c>
      <c r="BE281" s="162">
        <f t="shared" si="1636"/>
        <v>12.904267839256002</v>
      </c>
      <c r="BF281" s="162">
        <f t="shared" si="1636"/>
        <v>13.31037663474056</v>
      </c>
      <c r="BG281" s="162">
        <f t="shared" si="1636"/>
        <v>12.38629463597681</v>
      </c>
      <c r="BH281" s="162">
        <f t="shared" si="1636"/>
        <v>12.645597568987561</v>
      </c>
      <c r="BI281" s="162">
        <f t="shared" si="1636"/>
        <v>11.720134802017883</v>
      </c>
      <c r="BJ281" s="162">
        <f t="shared" si="1636"/>
        <v>11.677838444288113</v>
      </c>
      <c r="BK281" s="162">
        <f t="shared" si="1636"/>
        <v>11.730355153293672</v>
      </c>
      <c r="BL281" s="162">
        <f t="shared" si="1636"/>
        <v>12.083405116138756</v>
      </c>
      <c r="BM281" s="162">
        <f t="shared" si="1636"/>
        <v>11.695338385319376</v>
      </c>
      <c r="BN281" s="162">
        <f t="shared" si="1636"/>
        <v>8.3755930855920084</v>
      </c>
      <c r="BO281" s="162">
        <f t="shared" si="1636"/>
        <v>9.4285459170694601</v>
      </c>
      <c r="BP281" s="162">
        <f t="shared" si="1636"/>
        <v>9.7070824489112635</v>
      </c>
      <c r="BQ281" s="162">
        <f t="shared" si="1636"/>
        <v>9.8593696286069328</v>
      </c>
      <c r="BR281" s="162">
        <f t="shared" si="1636"/>
        <v>11.218482282328141</v>
      </c>
      <c r="BS281" s="162">
        <f t="shared" si="1636"/>
        <v>10.80978138641982</v>
      </c>
      <c r="BT281" s="162">
        <f t="shared" si="1636"/>
        <v>11.535835199033926</v>
      </c>
      <c r="BU281" s="162">
        <f t="shared" si="1636"/>
        <v>12.695599937140093</v>
      </c>
      <c r="BV281" s="162">
        <f t="shared" si="1636"/>
        <v>12.171461743053928</v>
      </c>
      <c r="BW281" s="162">
        <f t="shared" si="1636"/>
        <v>10.998668149355334</v>
      </c>
      <c r="BX281" s="162">
        <f t="shared" si="1636"/>
        <v>11.358433348371245</v>
      </c>
      <c r="BY281" s="162">
        <f t="shared" si="1636"/>
        <v>12.448623082190428</v>
      </c>
      <c r="BZ281" s="162">
        <f t="shared" si="1636"/>
        <v>12.827717777913037</v>
      </c>
      <c r="CA281" s="162">
        <f t="shared" si="1636"/>
        <v>12.790321172733115</v>
      </c>
      <c r="CB281" s="162">
        <f t="shared" si="1636"/>
        <v>14.287573577784091</v>
      </c>
      <c r="CC281" s="162">
        <f t="shared" si="1636"/>
        <v>16.023040951217375</v>
      </c>
      <c r="CD281" s="162">
        <f t="shared" si="1636"/>
        <v>17.553209474495805</v>
      </c>
      <c r="CE281" s="162">
        <f t="shared" ref="CE281:CF281" si="1637">+CE278/CE279</f>
        <v>16.613340393236946</v>
      </c>
      <c r="CF281" s="162">
        <f t="shared" si="1637"/>
        <v>17.393203821505157</v>
      </c>
      <c r="CG281" s="162">
        <f t="shared" ref="CG281:CH281" si="1638">+CG278/CG279</f>
        <v>16.308760379761178</v>
      </c>
      <c r="CH281" s="162">
        <f t="shared" si="1638"/>
        <v>15.130749776170486</v>
      </c>
      <c r="CI281" s="162">
        <f t="shared" ref="CI281:CJ281" si="1639">+CI278/CI279</f>
        <v>13.344880873840877</v>
      </c>
      <c r="CJ281" s="162">
        <f t="shared" si="1639"/>
        <v>15.619152598192729</v>
      </c>
      <c r="CK281" s="162">
        <f t="shared" ref="CK281" si="1640">+CK278/CK279</f>
        <v>15.927902590005839</v>
      </c>
      <c r="CL281" s="162">
        <f t="shared" ref="CL281" si="1641">+CL278/CL279</f>
        <v>13.658691724616068</v>
      </c>
      <c r="CM281" s="21">
        <f t="shared" si="1613"/>
        <v>13.658691724616068</v>
      </c>
      <c r="CN281" s="21">
        <f t="shared" si="1614"/>
        <v>13.658691724616068</v>
      </c>
      <c r="CO281" s="21">
        <f t="shared" si="1615"/>
        <v>13.658691724616068</v>
      </c>
      <c r="CP281" s="21">
        <f t="shared" si="1616"/>
        <v>13.658691724616068</v>
      </c>
      <c r="CQ281" s="21">
        <f t="shared" si="1617"/>
        <v>13.658691724616068</v>
      </c>
      <c r="CR281" s="21">
        <f t="shared" si="1618"/>
        <v>13.658691724616068</v>
      </c>
      <c r="CS281" s="21">
        <f t="shared" si="1619"/>
        <v>13.658691724616068</v>
      </c>
      <c r="CT281" s="21">
        <f t="shared" si="1620"/>
        <v>13.658691724616068</v>
      </c>
      <c r="CU281" s="21">
        <f t="shared" si="1621"/>
        <v>13.658691724616068</v>
      </c>
      <c r="CV281" s="21">
        <f t="shared" si="1622"/>
        <v>13.658691724616068</v>
      </c>
      <c r="CW281" s="21">
        <f t="shared" si="1623"/>
        <v>13.658691724616068</v>
      </c>
      <c r="CX281" s="21">
        <f t="shared" si="1624"/>
        <v>13.658691724616068</v>
      </c>
      <c r="CY281" s="21">
        <f t="shared" si="1625"/>
        <v>13.658691724616068</v>
      </c>
      <c r="CZ281" s="21">
        <f t="shared" si="1626"/>
        <v>13.658691724616068</v>
      </c>
      <c r="DA281" s="21">
        <f t="shared" si="1627"/>
        <v>13.658691724616068</v>
      </c>
      <c r="DB281" s="21">
        <f t="shared" si="1628"/>
        <v>13.658691724616068</v>
      </c>
      <c r="DE281" s="22"/>
      <c r="DF281" s="162">
        <v>12.020367733919173</v>
      </c>
    </row>
    <row r="282" spans="1:110" s="10" customFormat="1" x14ac:dyDescent="0.2">
      <c r="A282" s="149" t="s">
        <v>490</v>
      </c>
      <c r="AB282" s="20"/>
      <c r="AC282" s="20"/>
      <c r="AD282" s="20"/>
      <c r="AE282" s="20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E282" s="126"/>
    </row>
    <row r="283" spans="1:110" x14ac:dyDescent="0.2">
      <c r="A283" s="152" t="s">
        <v>491</v>
      </c>
      <c r="AA283" s="2"/>
    </row>
    <row r="284" spans="1:110" s="23" customFormat="1" outlineLevel="1" x14ac:dyDescent="0.2">
      <c r="A284" s="23" t="s">
        <v>41</v>
      </c>
      <c r="B284" s="23">
        <f>'Annual Raw'!C41</f>
        <v>248.65</v>
      </c>
      <c r="C284" s="23">
        <f>'Annual Raw'!D41</f>
        <v>248.66</v>
      </c>
      <c r="D284" s="23">
        <f>'Annual Raw'!E41</f>
        <v>248.67</v>
      </c>
      <c r="E284" s="23">
        <f>'Annual Raw'!F41</f>
        <v>24.88</v>
      </c>
      <c r="F284" s="23">
        <f>'Annual Raw'!G41</f>
        <v>25.98</v>
      </c>
      <c r="G284" s="23">
        <f>'Annual Raw'!H41</f>
        <v>27.48</v>
      </c>
      <c r="H284" s="23">
        <f>'Annual Raw'!I41</f>
        <v>56.65</v>
      </c>
      <c r="I284" s="23">
        <f>'Annual Raw'!J41</f>
        <v>58.47</v>
      </c>
      <c r="J284" s="23">
        <f>'Annual Raw'!K41</f>
        <v>117.14</v>
      </c>
      <c r="K284" s="23">
        <f>'Annual Raw'!L41</f>
        <v>120.44</v>
      </c>
      <c r="L284" s="23">
        <f>'Annual Raw'!M41</f>
        <v>121.77</v>
      </c>
      <c r="M284" s="23">
        <f>'Annual Raw'!N41</f>
        <v>122.48</v>
      </c>
      <c r="N284" s="23">
        <f>'Annual Raw'!O41</f>
        <v>123.08</v>
      </c>
      <c r="O284" s="23">
        <f>'Annual Raw'!P41</f>
        <v>185.38</v>
      </c>
      <c r="P284" s="23">
        <f>'Annual Raw'!Q41</f>
        <v>185.91</v>
      </c>
      <c r="Q284" s="23">
        <f>'Annual Raw'!R41</f>
        <v>186.3</v>
      </c>
      <c r="R284" s="23">
        <f>'Annual Raw'!S41</f>
        <v>186.59</v>
      </c>
      <c r="S284" s="23">
        <f>'Annual Raw'!T41</f>
        <v>280.27</v>
      </c>
      <c r="T284" s="23">
        <f>'Annual Raw'!U41</f>
        <v>280.55</v>
      </c>
      <c r="U284" s="23">
        <f>'Annual Raw'!V41</f>
        <v>280.77999999999997</v>
      </c>
      <c r="V284" s="23">
        <f>'Annual Raw'!W41</f>
        <v>280.91000000000003</v>
      </c>
      <c r="W284" s="23">
        <f>'Annual Raw'!X41</f>
        <v>281.01</v>
      </c>
      <c r="X284" s="23">
        <f>'Annual Raw'!Y41</f>
        <v>281.10000000000002</v>
      </c>
      <c r="Y284" s="23">
        <f>'Annual Raw'!Z41</f>
        <v>274.93</v>
      </c>
      <c r="Z284" s="23">
        <f>'Annual Raw'!AA41</f>
        <v>275.04000000000002</v>
      </c>
      <c r="AA284" s="23">
        <f>'Annual Raw'!AB41</f>
        <v>275.13</v>
      </c>
      <c r="AB284" s="24">
        <f>+CP284</f>
        <v>275.13</v>
      </c>
      <c r="AC284" s="24">
        <f>+CT284</f>
        <v>275.13</v>
      </c>
      <c r="AD284" s="24">
        <f>+CX284</f>
        <v>275.13</v>
      </c>
      <c r="AE284" s="24">
        <f>+DB284</f>
        <v>275.13</v>
      </c>
      <c r="AJ284" s="23">
        <f>+'QTR Raw'!D56</f>
        <v>122.76</v>
      </c>
      <c r="AK284" s="23">
        <f t="shared" ref="AK284:CE284" si="1642">+AJ284</f>
        <v>122.76</v>
      </c>
      <c r="AL284" s="23">
        <f>+'QTR Raw'!F56</f>
        <v>123.08</v>
      </c>
      <c r="AM284" s="23">
        <f t="shared" si="1642"/>
        <v>123.08</v>
      </c>
      <c r="AN284" s="23">
        <f>+'QTR Raw'!H56</f>
        <v>185.05</v>
      </c>
      <c r="AO284" s="23">
        <f t="shared" si="1642"/>
        <v>185.05</v>
      </c>
      <c r="AP284" s="23">
        <f>+'QTR Raw'!J56</f>
        <v>185.38</v>
      </c>
      <c r="AQ284" s="23">
        <f t="shared" si="1642"/>
        <v>185.38</v>
      </c>
      <c r="AR284" s="23">
        <f>+'QTR Raw'!L56</f>
        <v>185.65</v>
      </c>
      <c r="AS284" s="23">
        <f t="shared" si="1642"/>
        <v>185.65</v>
      </c>
      <c r="AT284" s="23">
        <f>+'QTR Raw'!N56</f>
        <v>185.91</v>
      </c>
      <c r="AU284" s="23">
        <f t="shared" si="1642"/>
        <v>185.91</v>
      </c>
      <c r="AV284" s="23">
        <f>+'QTR Raw'!P56</f>
        <v>186.13</v>
      </c>
      <c r="AW284" s="23">
        <f t="shared" si="1642"/>
        <v>186.13</v>
      </c>
      <c r="AX284" s="23">
        <f>+'QTR Raw'!R56</f>
        <v>186.3</v>
      </c>
      <c r="AY284" s="23">
        <f t="shared" si="1642"/>
        <v>186.3</v>
      </c>
      <c r="AZ284" s="23">
        <f>+'QTR Raw'!T56</f>
        <v>186.47</v>
      </c>
      <c r="BA284" s="23">
        <f t="shared" si="1642"/>
        <v>186.47</v>
      </c>
      <c r="BB284" s="23">
        <f>+'QTR Raw'!V56</f>
        <v>186.59</v>
      </c>
      <c r="BC284" s="23">
        <f t="shared" si="1642"/>
        <v>186.59</v>
      </c>
      <c r="BD284" s="23">
        <f>+'QTR Raw'!X56</f>
        <v>280.11</v>
      </c>
      <c r="BE284" s="23">
        <f t="shared" si="1642"/>
        <v>280.11</v>
      </c>
      <c r="BF284" s="23">
        <f>+'QTR Raw'!Z56</f>
        <v>280.27</v>
      </c>
      <c r="BG284" s="23">
        <f t="shared" si="1642"/>
        <v>280.27</v>
      </c>
      <c r="BH284" s="23">
        <f>+'QTR Raw'!AB56</f>
        <v>280.44</v>
      </c>
      <c r="BI284" s="23">
        <f t="shared" si="1642"/>
        <v>280.44</v>
      </c>
      <c r="BJ284" s="23">
        <f>+'QTR Raw'!AD56</f>
        <v>280.55</v>
      </c>
      <c r="BK284" s="23">
        <f t="shared" si="1642"/>
        <v>280.55</v>
      </c>
      <c r="BL284" s="23">
        <f>+'QTR Raw'!AF56</f>
        <v>280.64999999999998</v>
      </c>
      <c r="BM284" s="23">
        <f t="shared" si="1642"/>
        <v>280.64999999999998</v>
      </c>
      <c r="BN284" s="23">
        <f>+'QTR Raw'!AH56</f>
        <v>280.77999999999997</v>
      </c>
      <c r="BO284" s="23">
        <f t="shared" si="1642"/>
        <v>280.77999999999997</v>
      </c>
      <c r="BP284" s="23">
        <f>+'QTR Raw'!AJ56</f>
        <v>280.81</v>
      </c>
      <c r="BQ284" s="23">
        <f t="shared" si="1642"/>
        <v>280.81</v>
      </c>
      <c r="BR284" s="23">
        <f>+'QTR Raw'!AL56</f>
        <v>280.91000000000003</v>
      </c>
      <c r="BS284" s="23">
        <f t="shared" si="1642"/>
        <v>280.91000000000003</v>
      </c>
      <c r="BT284" s="23">
        <f>+'QTR Raw'!AN56</f>
        <v>280.93</v>
      </c>
      <c r="BU284" s="23">
        <f t="shared" si="1642"/>
        <v>280.93</v>
      </c>
      <c r="BV284" s="23">
        <f>+'QTR Raw'!AP56</f>
        <v>281.01</v>
      </c>
      <c r="BW284" s="23">
        <f t="shared" si="1642"/>
        <v>281.01</v>
      </c>
      <c r="BX284" s="23">
        <f>+'QTR Raw'!AR56</f>
        <v>281.04000000000002</v>
      </c>
      <c r="BY284" s="23">
        <f t="shared" si="1642"/>
        <v>281.04000000000002</v>
      </c>
      <c r="BZ284" s="23">
        <f>+'QTR Raw'!AT56</f>
        <v>281.10000000000002</v>
      </c>
      <c r="CA284" s="23">
        <f t="shared" si="1642"/>
        <v>281.10000000000002</v>
      </c>
      <c r="CB284" s="23">
        <f>+'QTR Raw'!AV56</f>
        <v>274.88</v>
      </c>
      <c r="CC284" s="23">
        <f t="shared" si="1642"/>
        <v>274.88</v>
      </c>
      <c r="CD284" s="23">
        <f>+'QTR Raw'!AX56</f>
        <v>274.93</v>
      </c>
      <c r="CE284" s="23">
        <f t="shared" si="1642"/>
        <v>274.93</v>
      </c>
      <c r="CF284" s="23">
        <f>+'QTR Raw'!AZ56</f>
        <v>275</v>
      </c>
      <c r="CG284" s="23">
        <f t="shared" ref="CG284:CG285" si="1643">+CF284</f>
        <v>275</v>
      </c>
      <c r="CH284" s="23">
        <f>Z284</f>
        <v>275.04000000000002</v>
      </c>
      <c r="CI284" s="23">
        <f>CH284</f>
        <v>275.04000000000002</v>
      </c>
      <c r="CJ284" s="23">
        <f>+'QTR Raw'!BD56</f>
        <v>275.11</v>
      </c>
      <c r="CK284" s="23">
        <f t="shared" ref="CK284:DB284" si="1644">CJ284</f>
        <v>275.11</v>
      </c>
      <c r="CL284" s="23">
        <f>+'QTR Raw'!BF56</f>
        <v>275.13</v>
      </c>
      <c r="CM284" s="24">
        <f t="shared" si="1644"/>
        <v>275.13</v>
      </c>
      <c r="CN284" s="24">
        <f t="shared" si="1644"/>
        <v>275.13</v>
      </c>
      <c r="CO284" s="24">
        <f t="shared" si="1644"/>
        <v>275.13</v>
      </c>
      <c r="CP284" s="24">
        <f t="shared" si="1644"/>
        <v>275.13</v>
      </c>
      <c r="CQ284" s="24">
        <f t="shared" si="1644"/>
        <v>275.13</v>
      </c>
      <c r="CR284" s="24">
        <f t="shared" si="1644"/>
        <v>275.13</v>
      </c>
      <c r="CS284" s="24">
        <f t="shared" si="1644"/>
        <v>275.13</v>
      </c>
      <c r="CT284" s="24">
        <f t="shared" si="1644"/>
        <v>275.13</v>
      </c>
      <c r="CU284" s="24">
        <f t="shared" si="1644"/>
        <v>275.13</v>
      </c>
      <c r="CV284" s="24">
        <f t="shared" si="1644"/>
        <v>275.13</v>
      </c>
      <c r="CW284" s="24">
        <f t="shared" si="1644"/>
        <v>275.13</v>
      </c>
      <c r="CX284" s="24">
        <f t="shared" si="1644"/>
        <v>275.13</v>
      </c>
      <c r="CY284" s="24">
        <f t="shared" si="1644"/>
        <v>275.13</v>
      </c>
      <c r="CZ284" s="24">
        <f t="shared" si="1644"/>
        <v>275.13</v>
      </c>
      <c r="DA284" s="24">
        <f t="shared" si="1644"/>
        <v>275.13</v>
      </c>
      <c r="DB284" s="24">
        <f t="shared" si="1644"/>
        <v>275.13</v>
      </c>
      <c r="DE284" s="123"/>
      <c r="DF284" s="23">
        <v>275.13</v>
      </c>
    </row>
    <row r="285" spans="1:110" s="23" customFormat="1" outlineLevel="1" x14ac:dyDescent="0.2">
      <c r="A285" s="23" t="s">
        <v>42</v>
      </c>
      <c r="B285" s="23">
        <f>'Annual Raw'!C42</f>
        <v>0</v>
      </c>
      <c r="C285" s="23">
        <f>'Annual Raw'!D42</f>
        <v>0.11</v>
      </c>
      <c r="D285" s="23">
        <f>'Annual Raw'!E42</f>
        <v>0.04</v>
      </c>
      <c r="E285" s="23">
        <f>'Annual Raw'!F42</f>
        <v>0</v>
      </c>
      <c r="F285" s="23">
        <f>'Annual Raw'!G42</f>
        <v>28.19</v>
      </c>
      <c r="G285" s="23">
        <f>'Annual Raw'!H42</f>
        <v>34.99</v>
      </c>
      <c r="H285" s="23">
        <f>'Annual Raw'!I42</f>
        <v>79.41</v>
      </c>
      <c r="I285" s="23">
        <f>'Annual Raw'!J42</f>
        <v>144.31</v>
      </c>
      <c r="J285" s="23">
        <f>'Annual Raw'!K42</f>
        <v>272.47000000000003</v>
      </c>
      <c r="K285" s="23">
        <f>'Annual Raw'!L42</f>
        <v>349.45</v>
      </c>
      <c r="L285" s="23">
        <f>'Annual Raw'!M42</f>
        <v>413.85</v>
      </c>
      <c r="M285" s="23">
        <f>'Annual Raw'!N42</f>
        <v>483.18</v>
      </c>
      <c r="N285" s="23">
        <f>'Annual Raw'!O42</f>
        <v>446.92</v>
      </c>
      <c r="O285" s="23">
        <f>'Annual Raw'!P42</f>
        <v>376.79</v>
      </c>
      <c r="P285" s="23">
        <f>'Annual Raw'!Q42</f>
        <v>305.10000000000002</v>
      </c>
      <c r="Q285" s="23">
        <f>'Annual Raw'!R42</f>
        <v>282.22000000000003</v>
      </c>
      <c r="R285" s="23">
        <f>'Annual Raw'!S42</f>
        <v>303.25</v>
      </c>
      <c r="S285" s="23">
        <f>'Annual Raw'!T42</f>
        <v>317.12</v>
      </c>
      <c r="T285" s="23">
        <f>'Annual Raw'!U42</f>
        <v>337.05</v>
      </c>
      <c r="U285" s="23">
        <f>'Annual Raw'!V42</f>
        <v>401.49</v>
      </c>
      <c r="V285" s="23">
        <f>'Annual Raw'!W42</f>
        <v>383.6</v>
      </c>
      <c r="W285" s="23">
        <f>'Annual Raw'!X42</f>
        <v>371.65</v>
      </c>
      <c r="X285" s="23">
        <f>'Annual Raw'!Y42</f>
        <v>467.09</v>
      </c>
      <c r="Y285" s="23">
        <f>'Annual Raw'!Z42</f>
        <v>550.54</v>
      </c>
      <c r="Z285" s="23">
        <f>'Annual Raw'!AA42</f>
        <v>499.36</v>
      </c>
      <c r="AA285" s="23">
        <f>'Annual Raw'!AB42</f>
        <v>342.18</v>
      </c>
      <c r="AB285" s="24">
        <f t="shared" ref="AB285:AB286" si="1645">+CP285</f>
        <v>0</v>
      </c>
      <c r="AC285" s="24">
        <f t="shared" ref="AC285:AC286" si="1646">+CT285</f>
        <v>0</v>
      </c>
      <c r="AD285" s="24">
        <f t="shared" ref="AD285:AD286" si="1647">+CX285</f>
        <v>0</v>
      </c>
      <c r="AE285" s="24">
        <f t="shared" ref="AE285:AE286" si="1648">+DB285</f>
        <v>0</v>
      </c>
      <c r="AJ285" s="23">
        <f>+'QTR Raw'!D57</f>
        <v>0</v>
      </c>
      <c r="AK285" s="23">
        <f t="shared" ref="AK285:CE285" si="1649">+AJ285</f>
        <v>0</v>
      </c>
      <c r="AL285" s="23">
        <f>+'QTR Raw'!F57</f>
        <v>0</v>
      </c>
      <c r="AM285" s="23">
        <f t="shared" si="1649"/>
        <v>0</v>
      </c>
      <c r="AN285" s="23">
        <f>+'QTR Raw'!H57</f>
        <v>0</v>
      </c>
      <c r="AO285" s="23">
        <f t="shared" si="1649"/>
        <v>0</v>
      </c>
      <c r="AP285" s="23">
        <f>+'QTR Raw'!J57</f>
        <v>0</v>
      </c>
      <c r="AQ285" s="23">
        <f t="shared" si="1649"/>
        <v>0</v>
      </c>
      <c r="AR285" s="23">
        <f>+'QTR Raw'!L57</f>
        <v>0</v>
      </c>
      <c r="AS285" s="23">
        <f t="shared" si="1649"/>
        <v>0</v>
      </c>
      <c r="AT285" s="23">
        <f>+'QTR Raw'!N57</f>
        <v>0</v>
      </c>
      <c r="AU285" s="23">
        <f t="shared" si="1649"/>
        <v>0</v>
      </c>
      <c r="AV285" s="23">
        <f>+'QTR Raw'!P57</f>
        <v>0</v>
      </c>
      <c r="AW285" s="23">
        <f t="shared" si="1649"/>
        <v>0</v>
      </c>
      <c r="AX285" s="23">
        <f>+'QTR Raw'!R57</f>
        <v>0</v>
      </c>
      <c r="AY285" s="23">
        <f t="shared" si="1649"/>
        <v>0</v>
      </c>
      <c r="AZ285" s="23">
        <f>+'QTR Raw'!T57</f>
        <v>0</v>
      </c>
      <c r="BA285" s="23">
        <f t="shared" si="1649"/>
        <v>0</v>
      </c>
      <c r="BB285" s="23">
        <f>+'QTR Raw'!V57</f>
        <v>0</v>
      </c>
      <c r="BC285" s="23">
        <f t="shared" si="1649"/>
        <v>0</v>
      </c>
      <c r="BD285" s="23">
        <f>+'QTR Raw'!X57</f>
        <v>0</v>
      </c>
      <c r="BE285" s="23">
        <f t="shared" si="1649"/>
        <v>0</v>
      </c>
      <c r="BF285" s="23">
        <f>+'QTR Raw'!Z57</f>
        <v>0</v>
      </c>
      <c r="BG285" s="23">
        <f t="shared" si="1649"/>
        <v>0</v>
      </c>
      <c r="BH285" s="23">
        <f>+'QTR Raw'!AB57</f>
        <v>0</v>
      </c>
      <c r="BI285" s="23">
        <f t="shared" si="1649"/>
        <v>0</v>
      </c>
      <c r="BJ285" s="23">
        <f>+'QTR Raw'!AD57</f>
        <v>0</v>
      </c>
      <c r="BK285" s="23">
        <f t="shared" si="1649"/>
        <v>0</v>
      </c>
      <c r="BL285" s="23">
        <f>+'QTR Raw'!AF57</f>
        <v>0</v>
      </c>
      <c r="BM285" s="23">
        <f t="shared" si="1649"/>
        <v>0</v>
      </c>
      <c r="BN285" s="23">
        <f>+'QTR Raw'!AH57</f>
        <v>0</v>
      </c>
      <c r="BO285" s="23">
        <f t="shared" si="1649"/>
        <v>0</v>
      </c>
      <c r="BP285" s="23">
        <f>+'QTR Raw'!AJ57</f>
        <v>0</v>
      </c>
      <c r="BQ285" s="23">
        <f t="shared" si="1649"/>
        <v>0</v>
      </c>
      <c r="BR285" s="23">
        <f>+'QTR Raw'!AL57</f>
        <v>0</v>
      </c>
      <c r="BS285" s="23">
        <f t="shared" si="1649"/>
        <v>0</v>
      </c>
      <c r="BT285" s="23">
        <f>+'QTR Raw'!AN57</f>
        <v>0</v>
      </c>
      <c r="BU285" s="23">
        <f t="shared" si="1649"/>
        <v>0</v>
      </c>
      <c r="BV285" s="23">
        <f>+'QTR Raw'!AP57</f>
        <v>0</v>
      </c>
      <c r="BW285" s="23">
        <f t="shared" si="1649"/>
        <v>0</v>
      </c>
      <c r="BX285" s="23">
        <f>+'QTR Raw'!AR57</f>
        <v>0</v>
      </c>
      <c r="BY285" s="23">
        <f t="shared" si="1649"/>
        <v>0</v>
      </c>
      <c r="BZ285" s="23">
        <f>+'QTR Raw'!AT57</f>
        <v>0</v>
      </c>
      <c r="CA285" s="23">
        <f t="shared" si="1649"/>
        <v>0</v>
      </c>
      <c r="CB285" s="23">
        <f>+'QTR Raw'!AV57</f>
        <v>0</v>
      </c>
      <c r="CC285" s="23">
        <f t="shared" si="1649"/>
        <v>0</v>
      </c>
      <c r="CD285" s="23">
        <f>+'QTR Raw'!AX57</f>
        <v>0</v>
      </c>
      <c r="CE285" s="23">
        <f t="shared" si="1649"/>
        <v>0</v>
      </c>
      <c r="CF285" s="23">
        <f>+'QTR Raw'!AZ57</f>
        <v>0</v>
      </c>
      <c r="CG285" s="23">
        <f t="shared" si="1643"/>
        <v>0</v>
      </c>
      <c r="CH285" s="23">
        <f t="shared" ref="CH285:CH286" si="1650">Z285</f>
        <v>499.36</v>
      </c>
      <c r="CI285" s="23">
        <f>CH285</f>
        <v>499.36</v>
      </c>
      <c r="CJ285" s="23">
        <f>+'QTR Raw'!BD57</f>
        <v>0</v>
      </c>
      <c r="CK285" s="23">
        <f t="shared" ref="CK285:DB285" si="1651">CJ285</f>
        <v>0</v>
      </c>
      <c r="CL285" s="23">
        <f>+'QTR Raw'!BF57</f>
        <v>0</v>
      </c>
      <c r="CM285" s="24">
        <f t="shared" si="1651"/>
        <v>0</v>
      </c>
      <c r="CN285" s="24">
        <f t="shared" si="1651"/>
        <v>0</v>
      </c>
      <c r="CO285" s="24">
        <f t="shared" si="1651"/>
        <v>0</v>
      </c>
      <c r="CP285" s="24">
        <f t="shared" si="1651"/>
        <v>0</v>
      </c>
      <c r="CQ285" s="24">
        <f t="shared" si="1651"/>
        <v>0</v>
      </c>
      <c r="CR285" s="24">
        <f t="shared" si="1651"/>
        <v>0</v>
      </c>
      <c r="CS285" s="24">
        <f t="shared" si="1651"/>
        <v>0</v>
      </c>
      <c r="CT285" s="24">
        <f t="shared" si="1651"/>
        <v>0</v>
      </c>
      <c r="CU285" s="24">
        <f t="shared" si="1651"/>
        <v>0</v>
      </c>
      <c r="CV285" s="24">
        <f t="shared" si="1651"/>
        <v>0</v>
      </c>
      <c r="CW285" s="24">
        <f t="shared" si="1651"/>
        <v>0</v>
      </c>
      <c r="CX285" s="24">
        <f t="shared" si="1651"/>
        <v>0</v>
      </c>
      <c r="CY285" s="24">
        <f t="shared" si="1651"/>
        <v>0</v>
      </c>
      <c r="CZ285" s="24">
        <f t="shared" si="1651"/>
        <v>0</v>
      </c>
      <c r="DA285" s="24">
        <f t="shared" si="1651"/>
        <v>0</v>
      </c>
      <c r="DB285" s="24">
        <f t="shared" si="1651"/>
        <v>0</v>
      </c>
      <c r="DE285" s="123"/>
      <c r="DF285" s="23">
        <v>342.18</v>
      </c>
    </row>
    <row r="286" spans="1:110" s="23" customFormat="1" outlineLevel="1" x14ac:dyDescent="0.2">
      <c r="A286" s="23" t="s">
        <v>43</v>
      </c>
      <c r="B286" s="23">
        <f>'Annual Raw'!C43</f>
        <v>3750.76</v>
      </c>
      <c r="C286" s="23">
        <f>'Annual Raw'!D43</f>
        <v>2888.79</v>
      </c>
      <c r="D286" s="23">
        <f>'Annual Raw'!E43</f>
        <v>2967.89</v>
      </c>
      <c r="E286" s="23">
        <f>'Annual Raw'!F43</f>
        <v>2622.44</v>
      </c>
      <c r="F286" s="23">
        <f>'Annual Raw'!G43</f>
        <v>3261.76</v>
      </c>
      <c r="G286" s="23">
        <f>'Annual Raw'!H43</f>
        <v>4902.01</v>
      </c>
      <c r="H286" s="23">
        <f>'Annual Raw'!I43</f>
        <v>6785.49</v>
      </c>
      <c r="I286" s="23">
        <f>'Annual Raw'!J43</f>
        <v>10628.33</v>
      </c>
      <c r="J286" s="23">
        <f>'Annual Raw'!K43</f>
        <v>13598.09</v>
      </c>
      <c r="K286" s="23">
        <f>'Annual Raw'!L43</f>
        <v>20521.37</v>
      </c>
      <c r="L286" s="23">
        <f>'Annual Raw'!M43</f>
        <v>24514.93</v>
      </c>
      <c r="M286" s="23">
        <f>'Annual Raw'!N43</f>
        <v>28781.119999999999</v>
      </c>
      <c r="N286" s="23">
        <f>'Annual Raw'!O43</f>
        <v>33289.69</v>
      </c>
      <c r="O286" s="23">
        <f>'Annual Raw'!P43</f>
        <v>37149.440000000002</v>
      </c>
      <c r="P286" s="23">
        <f>'Annual Raw'!Q43</f>
        <v>40418.06</v>
      </c>
      <c r="Q286" s="23">
        <f>'Annual Raw'!R43</f>
        <v>43711.839999999997</v>
      </c>
      <c r="R286" s="23">
        <f>'Annual Raw'!S43</f>
        <v>49726.68</v>
      </c>
      <c r="S286" s="23">
        <f>'Annual Raw'!T43</f>
        <v>54306.11</v>
      </c>
      <c r="T286" s="23">
        <f>'Annual Raw'!U43</f>
        <v>61757.2</v>
      </c>
      <c r="U286" s="23">
        <f>'Annual Raw'!V43</f>
        <v>66040.95</v>
      </c>
      <c r="V286" s="23">
        <f>'Annual Raw'!W43</f>
        <v>75204.02</v>
      </c>
      <c r="W286" s="23">
        <f>'Annual Raw'!X43</f>
        <v>81755</v>
      </c>
      <c r="X286" s="23">
        <f>'Annual Raw'!Y43</f>
        <v>88577.76</v>
      </c>
      <c r="Y286" s="23">
        <f>'Annual Raw'!Z43</f>
        <v>85533.77</v>
      </c>
      <c r="Z286" s="23">
        <f>'Annual Raw'!AA43</f>
        <v>96881.2</v>
      </c>
      <c r="AA286" s="23">
        <f>'Annual Raw'!AB43</f>
        <v>108672.49</v>
      </c>
      <c r="AB286" s="24">
        <f t="shared" si="1645"/>
        <v>130838.93973389841</v>
      </c>
      <c r="AC286" s="24">
        <f t="shared" si="1646"/>
        <v>157130.4416470578</v>
      </c>
      <c r="AD286" s="24">
        <f t="shared" si="1647"/>
        <v>188704.34851904921</v>
      </c>
      <c r="AE286" s="24">
        <f t="shared" si="1648"/>
        <v>226322.45415390059</v>
      </c>
      <c r="AJ286" s="23">
        <f>+'QTR Raw'!D58</f>
        <v>27269.48</v>
      </c>
      <c r="AK286" s="23">
        <f>+AJ286+AK210</f>
        <v>28282.71</v>
      </c>
      <c r="AL286" s="23">
        <f>+'QTR Raw'!F58</f>
        <v>33736.61</v>
      </c>
      <c r="AM286" s="23">
        <f>+AL286+AM210</f>
        <v>34195.200000000004</v>
      </c>
      <c r="AN286" s="23">
        <f>+'QTR Raw'!H58</f>
        <v>34783.800000000003</v>
      </c>
      <c r="AO286" s="23">
        <f>+AN286+AO210</f>
        <v>35580.460000000006</v>
      </c>
      <c r="AP286" s="23">
        <f>+'QTR Raw'!J58</f>
        <v>37526.230000000003</v>
      </c>
      <c r="AQ286" s="23">
        <f>+AP286+AQ210</f>
        <v>38493.120000000003</v>
      </c>
      <c r="AR286" s="23">
        <f>+'QTR Raw'!L58</f>
        <v>39433.230000000003</v>
      </c>
      <c r="AS286" s="23">
        <f>+AR286+AS210</f>
        <v>40299.770000000004</v>
      </c>
      <c r="AT286" s="23">
        <f>+'QTR Raw'!N58</f>
        <v>40723.160000000003</v>
      </c>
      <c r="AU286" s="23">
        <f>+AT286+AU210</f>
        <v>41142.100000000006</v>
      </c>
      <c r="AV286" s="23">
        <f>+'QTR Raw'!P58</f>
        <v>41999.16</v>
      </c>
      <c r="AW286" s="23">
        <f>+AV286+AW210</f>
        <v>42699.500000000007</v>
      </c>
      <c r="AX286" s="23">
        <f>+'QTR Raw'!R58</f>
        <v>43994.06</v>
      </c>
      <c r="AY286" s="23">
        <f>+AX286+AY210</f>
        <v>44603.659999999996</v>
      </c>
      <c r="AZ286" s="23">
        <f>+'QTR Raw'!T58</f>
        <v>46054.19</v>
      </c>
      <c r="BA286" s="23">
        <f>+AZ286+BA210</f>
        <v>47026.590000000004</v>
      </c>
      <c r="BB286" s="23">
        <f>+'QTR Raw'!V58</f>
        <v>50029.93</v>
      </c>
      <c r="BC286" s="23">
        <f>+BB286+BC210</f>
        <v>50922.47</v>
      </c>
      <c r="BD286" s="23">
        <f>+'QTR Raw'!X58</f>
        <v>50541.45</v>
      </c>
      <c r="BE286" s="23">
        <f>+BD286+BE210</f>
        <v>52031.43</v>
      </c>
      <c r="BF286" s="23">
        <f>+'QTR Raw'!Z58</f>
        <v>54623.23</v>
      </c>
      <c r="BG286" s="23">
        <f>+BF286+BG210</f>
        <v>55838.01</v>
      </c>
      <c r="BH286" s="23">
        <f>+'QTR Raw'!AB58</f>
        <v>56066.22</v>
      </c>
      <c r="BI286" s="23">
        <f>+BH286+BI210</f>
        <v>58107.840000000004</v>
      </c>
      <c r="BJ286" s="23">
        <f>+'QTR Raw'!AD58</f>
        <v>62094.25</v>
      </c>
      <c r="BK286" s="23">
        <f>+BJ286+BK210</f>
        <v>63566.83</v>
      </c>
      <c r="BL286" s="23">
        <f>+'QTR Raw'!AF58</f>
        <v>62980.34</v>
      </c>
      <c r="BM286" s="23">
        <f>+BL286+BM210</f>
        <v>65332.46</v>
      </c>
      <c r="BN286" s="23">
        <f>+'QTR Raw'!AH58</f>
        <v>66442.44</v>
      </c>
      <c r="BO286" s="23">
        <f>+BN286+BO210</f>
        <v>66745.58</v>
      </c>
      <c r="BP286" s="23">
        <f>+'QTR Raw'!AJ58</f>
        <v>72046.69</v>
      </c>
      <c r="BQ286" s="23">
        <f>+BP286+BQ210</f>
        <v>74513.399999999994</v>
      </c>
      <c r="BR286" s="23">
        <f>+'QTR Raw'!AL58</f>
        <v>75587.62</v>
      </c>
      <c r="BS286" s="23">
        <f>+BR286+BS210</f>
        <v>76762.06</v>
      </c>
      <c r="BT286" s="23">
        <f>+'QTR Raw'!AN58</f>
        <v>76258.16</v>
      </c>
      <c r="BU286" s="23">
        <f>+BT286+BU210</f>
        <v>78312.900000000009</v>
      </c>
      <c r="BV286" s="23">
        <f>+'QTR Raw'!AP58</f>
        <v>82126.649999999994</v>
      </c>
      <c r="BW286" s="23">
        <f>+BV286+BW210</f>
        <v>83828.719999999987</v>
      </c>
      <c r="BX286" s="23">
        <f>+'QTR Raw'!AR58</f>
        <v>81553.88</v>
      </c>
      <c r="BY286" s="23">
        <f>+BX286+BY210</f>
        <v>84106.800000000017</v>
      </c>
      <c r="BZ286" s="23">
        <f>+'QTR Raw'!AT58</f>
        <v>89044.85</v>
      </c>
      <c r="CA286" s="23">
        <f>+BZ286+CA210</f>
        <v>91537.85</v>
      </c>
      <c r="CB286" s="23">
        <f>+'QTR Raw'!AV58</f>
        <v>78136.89</v>
      </c>
      <c r="CC286" s="23">
        <f>+CB286+CC210</f>
        <v>81084.25</v>
      </c>
      <c r="CD286" s="23">
        <f>+'QTR Raw'!AX58</f>
        <v>86084.31</v>
      </c>
      <c r="CE286" s="23">
        <f>+CD286+CE210</f>
        <v>88870.03</v>
      </c>
      <c r="CF286" s="23">
        <f>+'QTR Raw'!AZ58</f>
        <v>88954.87</v>
      </c>
      <c r="CG286" s="23">
        <f>+CF286+CG210</f>
        <v>92313.709999999992</v>
      </c>
      <c r="CH286" s="23">
        <f t="shared" si="1650"/>
        <v>96881.2</v>
      </c>
      <c r="CI286" s="23">
        <f>CH286+CI210</f>
        <v>100498.38999999998</v>
      </c>
      <c r="CJ286" s="23">
        <f>+'QTR Raw'!BD58</f>
        <v>101108.44</v>
      </c>
      <c r="CK286" s="23">
        <f>CJ286+CK210</f>
        <v>104323.55</v>
      </c>
      <c r="CL286" s="23">
        <f>+'QTR Raw'!BF58</f>
        <v>109014.67</v>
      </c>
      <c r="CM286" s="24">
        <f t="shared" ref="CM286:DB286" si="1652">CL286+CM210</f>
        <v>113713.46065845534</v>
      </c>
      <c r="CN286" s="24">
        <f t="shared" si="1652"/>
        <v>118912.67692638464</v>
      </c>
      <c r="CO286" s="24">
        <f t="shared" si="1652"/>
        <v>124392.66658418858</v>
      </c>
      <c r="CP286" s="24">
        <f t="shared" si="1652"/>
        <v>130838.93973389841</v>
      </c>
      <c r="CQ286" s="24">
        <f t="shared" si="1652"/>
        <v>136357.95566993958</v>
      </c>
      <c r="CR286" s="24">
        <f t="shared" si="1652"/>
        <v>142540.5589572785</v>
      </c>
      <c r="CS286" s="24">
        <f t="shared" si="1652"/>
        <v>149150.42722881911</v>
      </c>
      <c r="CT286" s="24">
        <f t="shared" si="1652"/>
        <v>157130.4416470578</v>
      </c>
      <c r="CU286" s="24">
        <f t="shared" si="1652"/>
        <v>163779.07735451372</v>
      </c>
      <c r="CV286" s="24">
        <f t="shared" si="1652"/>
        <v>171213.00738591689</v>
      </c>
      <c r="CW286" s="24">
        <f t="shared" si="1652"/>
        <v>179166.02521943068</v>
      </c>
      <c r="CX286" s="24">
        <f t="shared" si="1652"/>
        <v>188704.34851904921</v>
      </c>
      <c r="CY286" s="24">
        <f t="shared" si="1652"/>
        <v>196649.79918386953</v>
      </c>
      <c r="CZ286" s="24">
        <f t="shared" si="1652"/>
        <v>205522.37771409148</v>
      </c>
      <c r="DA286" s="24">
        <f t="shared" si="1652"/>
        <v>215006.5815645043</v>
      </c>
      <c r="DB286" s="24">
        <f t="shared" si="1652"/>
        <v>226322.45415390059</v>
      </c>
      <c r="DE286" s="123"/>
      <c r="DF286" s="23">
        <v>108672.49</v>
      </c>
    </row>
    <row r="287" spans="1:110" s="22" customFormat="1" x14ac:dyDescent="0.2">
      <c r="A287" s="22" t="s">
        <v>44</v>
      </c>
      <c r="B287" s="22">
        <f>B284+B285+B286</f>
        <v>3999.4100000000003</v>
      </c>
      <c r="C287" s="22">
        <f t="shared" ref="C287:V287" si="1653">C284+C285+C286</f>
        <v>3137.56</v>
      </c>
      <c r="D287" s="22">
        <f t="shared" si="1653"/>
        <v>3216.6</v>
      </c>
      <c r="E287" s="22">
        <f t="shared" si="1653"/>
        <v>2647.32</v>
      </c>
      <c r="F287" s="22">
        <f t="shared" si="1653"/>
        <v>3315.9300000000003</v>
      </c>
      <c r="G287" s="22">
        <f t="shared" si="1653"/>
        <v>4964.4800000000005</v>
      </c>
      <c r="H287" s="22">
        <f t="shared" si="1653"/>
        <v>6921.55</v>
      </c>
      <c r="I287" s="22">
        <f t="shared" si="1653"/>
        <v>10831.11</v>
      </c>
      <c r="J287" s="22">
        <f t="shared" si="1653"/>
        <v>13987.7</v>
      </c>
      <c r="K287" s="22">
        <f t="shared" si="1653"/>
        <v>20991.26</v>
      </c>
      <c r="L287" s="22">
        <f t="shared" si="1653"/>
        <v>25050.55</v>
      </c>
      <c r="M287" s="22">
        <f>M284+M285+M286</f>
        <v>29386.78</v>
      </c>
      <c r="N287" s="22">
        <f t="shared" si="1653"/>
        <v>33859.69</v>
      </c>
      <c r="O287" s="22">
        <f t="shared" si="1653"/>
        <v>37711.61</v>
      </c>
      <c r="P287" s="22">
        <f t="shared" si="1653"/>
        <v>40909.07</v>
      </c>
      <c r="Q287" s="22">
        <f t="shared" si="1653"/>
        <v>44180.359999999993</v>
      </c>
      <c r="R287" s="22">
        <f t="shared" si="1653"/>
        <v>50216.52</v>
      </c>
      <c r="S287" s="22">
        <f t="shared" si="1653"/>
        <v>54903.5</v>
      </c>
      <c r="T287" s="22">
        <f t="shared" si="1653"/>
        <v>62374.799999999996</v>
      </c>
      <c r="U287" s="22">
        <f t="shared" si="1653"/>
        <v>66723.22</v>
      </c>
      <c r="V287" s="22">
        <f t="shared" si="1653"/>
        <v>75868.53</v>
      </c>
      <c r="W287" s="22">
        <f t="shared" ref="W287" si="1654">W284+W285+W286</f>
        <v>82407.66</v>
      </c>
      <c r="X287" s="22">
        <f t="shared" ref="X287:Y287" si="1655">X284+X285+X286</f>
        <v>89325.95</v>
      </c>
      <c r="Y287" s="22">
        <f t="shared" si="1655"/>
        <v>86359.24</v>
      </c>
      <c r="Z287" s="22">
        <f t="shared" ref="Z287:AA287" si="1656">Z284+Z285+Z286</f>
        <v>97655.599999999991</v>
      </c>
      <c r="AA287" s="22">
        <f t="shared" si="1656"/>
        <v>109289.8</v>
      </c>
      <c r="AB287" s="21">
        <f t="shared" ref="AB287:AD287" si="1657">AB284+AB285+AB286</f>
        <v>131114.06973389842</v>
      </c>
      <c r="AC287" s="21">
        <f t="shared" si="1657"/>
        <v>157405.5716470578</v>
      </c>
      <c r="AD287" s="21">
        <f t="shared" si="1657"/>
        <v>188979.47851904921</v>
      </c>
      <c r="AE287" s="21">
        <f t="shared" ref="AE287" si="1658">AE284+AE285+AE286</f>
        <v>226597.58415390059</v>
      </c>
      <c r="AJ287" s="22">
        <f t="shared" ref="AJ287" si="1659">AJ284+AJ285+AJ286</f>
        <v>27392.239999999998</v>
      </c>
      <c r="AK287" s="22">
        <f t="shared" ref="AK287" si="1660">AK284+AK285+AK286</f>
        <v>28405.469999999998</v>
      </c>
      <c r="AL287" s="22">
        <f t="shared" ref="AL287:AM287" si="1661">AL284+AL285+AL286</f>
        <v>33859.69</v>
      </c>
      <c r="AM287" s="22">
        <f t="shared" si="1661"/>
        <v>34318.280000000006</v>
      </c>
      <c r="AN287" s="22">
        <f t="shared" ref="AN287:AO287" si="1662">AN284+AN285+AN286</f>
        <v>34968.850000000006</v>
      </c>
      <c r="AO287" s="22">
        <f t="shared" si="1662"/>
        <v>35765.510000000009</v>
      </c>
      <c r="AP287" s="22">
        <f t="shared" ref="AP287:CE287" si="1663">AP284+AP285+AP286</f>
        <v>37711.61</v>
      </c>
      <c r="AQ287" s="22">
        <f t="shared" si="1663"/>
        <v>38678.5</v>
      </c>
      <c r="AR287" s="22">
        <f t="shared" si="1663"/>
        <v>39618.880000000005</v>
      </c>
      <c r="AS287" s="22">
        <f t="shared" si="1663"/>
        <v>40485.420000000006</v>
      </c>
      <c r="AT287" s="22">
        <f t="shared" si="1663"/>
        <v>40909.070000000007</v>
      </c>
      <c r="AU287" s="22">
        <f t="shared" si="1663"/>
        <v>41328.010000000009</v>
      </c>
      <c r="AV287" s="22">
        <f t="shared" si="1663"/>
        <v>42185.29</v>
      </c>
      <c r="AW287" s="22">
        <f t="shared" si="1663"/>
        <v>42885.630000000005</v>
      </c>
      <c r="AX287" s="22">
        <f t="shared" si="1663"/>
        <v>44180.36</v>
      </c>
      <c r="AY287" s="22">
        <f t="shared" si="1663"/>
        <v>44789.96</v>
      </c>
      <c r="AZ287" s="22">
        <f t="shared" si="1663"/>
        <v>46240.66</v>
      </c>
      <c r="BA287" s="22">
        <f t="shared" si="1663"/>
        <v>47213.060000000005</v>
      </c>
      <c r="BB287" s="22">
        <f t="shared" si="1663"/>
        <v>50216.52</v>
      </c>
      <c r="BC287" s="22">
        <f t="shared" si="1663"/>
        <v>51109.06</v>
      </c>
      <c r="BD287" s="22">
        <f t="shared" si="1663"/>
        <v>50821.56</v>
      </c>
      <c r="BE287" s="22">
        <f t="shared" si="1663"/>
        <v>52311.54</v>
      </c>
      <c r="BF287" s="22">
        <f t="shared" si="1663"/>
        <v>54903.5</v>
      </c>
      <c r="BG287" s="22">
        <f t="shared" si="1663"/>
        <v>56118.28</v>
      </c>
      <c r="BH287" s="22">
        <f t="shared" si="1663"/>
        <v>56346.66</v>
      </c>
      <c r="BI287" s="22">
        <f t="shared" si="1663"/>
        <v>58388.280000000006</v>
      </c>
      <c r="BJ287" s="22">
        <f t="shared" si="1663"/>
        <v>62374.8</v>
      </c>
      <c r="BK287" s="22">
        <f t="shared" si="1663"/>
        <v>63847.380000000005</v>
      </c>
      <c r="BL287" s="22">
        <f t="shared" si="1663"/>
        <v>63260.99</v>
      </c>
      <c r="BM287" s="22">
        <f t="shared" si="1663"/>
        <v>65613.11</v>
      </c>
      <c r="BN287" s="22">
        <f t="shared" si="1663"/>
        <v>66723.22</v>
      </c>
      <c r="BO287" s="22">
        <f t="shared" si="1663"/>
        <v>67026.36</v>
      </c>
      <c r="BP287" s="22">
        <f t="shared" si="1663"/>
        <v>72327.5</v>
      </c>
      <c r="BQ287" s="22">
        <f t="shared" si="1663"/>
        <v>74794.209999999992</v>
      </c>
      <c r="BR287" s="22">
        <f t="shared" si="1663"/>
        <v>75868.53</v>
      </c>
      <c r="BS287" s="22">
        <f t="shared" si="1663"/>
        <v>77042.97</v>
      </c>
      <c r="BT287" s="22">
        <f t="shared" si="1663"/>
        <v>76539.09</v>
      </c>
      <c r="BU287" s="22">
        <f t="shared" si="1663"/>
        <v>78593.83</v>
      </c>
      <c r="BV287" s="22">
        <f t="shared" si="1663"/>
        <v>82407.659999999989</v>
      </c>
      <c r="BW287" s="22">
        <f t="shared" si="1663"/>
        <v>84109.729999999981</v>
      </c>
      <c r="BX287" s="22">
        <f t="shared" si="1663"/>
        <v>81834.92</v>
      </c>
      <c r="BY287" s="22">
        <f t="shared" si="1663"/>
        <v>84387.840000000011</v>
      </c>
      <c r="BZ287" s="22">
        <f t="shared" si="1663"/>
        <v>89325.950000000012</v>
      </c>
      <c r="CA287" s="22">
        <f t="shared" si="1663"/>
        <v>91818.950000000012</v>
      </c>
      <c r="CB287" s="22">
        <f t="shared" si="1663"/>
        <v>78411.77</v>
      </c>
      <c r="CC287" s="22">
        <f t="shared" si="1663"/>
        <v>81359.13</v>
      </c>
      <c r="CD287" s="22">
        <f t="shared" si="1663"/>
        <v>86359.239999999991</v>
      </c>
      <c r="CE287" s="22">
        <f t="shared" si="1663"/>
        <v>89144.959999999992</v>
      </c>
      <c r="CF287" s="22">
        <f t="shared" ref="CF287:CG287" si="1664">CF284+CF285+CF286</f>
        <v>89229.87</v>
      </c>
      <c r="CG287" s="22">
        <f t="shared" si="1664"/>
        <v>92588.709999999992</v>
      </c>
      <c r="CH287" s="22">
        <f t="shared" ref="CH287:CI287" si="1665">CH284+CH285+CH286</f>
        <v>97655.599999999991</v>
      </c>
      <c r="CI287" s="22">
        <f t="shared" si="1665"/>
        <v>101272.78999999998</v>
      </c>
      <c r="CJ287" s="22">
        <f t="shared" ref="CJ287:DB287" si="1666">CJ284+CJ285+CJ286</f>
        <v>101383.55</v>
      </c>
      <c r="CK287" s="22">
        <f t="shared" si="1666"/>
        <v>104598.66</v>
      </c>
      <c r="CL287" s="22">
        <f t="shared" ref="CL287" si="1667">CL284+CL285+CL286</f>
        <v>109289.8</v>
      </c>
      <c r="CM287" s="21">
        <f t="shared" si="1666"/>
        <v>113988.59065845534</v>
      </c>
      <c r="CN287" s="21">
        <f t="shared" si="1666"/>
        <v>119187.80692638464</v>
      </c>
      <c r="CO287" s="21">
        <f t="shared" si="1666"/>
        <v>124667.79658418859</v>
      </c>
      <c r="CP287" s="21">
        <f t="shared" si="1666"/>
        <v>131114.06973389842</v>
      </c>
      <c r="CQ287" s="21">
        <f t="shared" si="1666"/>
        <v>136633.08566993958</v>
      </c>
      <c r="CR287" s="21">
        <f t="shared" si="1666"/>
        <v>142815.6889572785</v>
      </c>
      <c r="CS287" s="21">
        <f t="shared" si="1666"/>
        <v>149425.55722881912</v>
      </c>
      <c r="CT287" s="21">
        <f t="shared" si="1666"/>
        <v>157405.5716470578</v>
      </c>
      <c r="CU287" s="21">
        <f t="shared" si="1666"/>
        <v>164054.20735451372</v>
      </c>
      <c r="CV287" s="21">
        <f t="shared" si="1666"/>
        <v>171488.1373859169</v>
      </c>
      <c r="CW287" s="21">
        <f t="shared" si="1666"/>
        <v>179441.15521943069</v>
      </c>
      <c r="CX287" s="21">
        <f t="shared" si="1666"/>
        <v>188979.47851904921</v>
      </c>
      <c r="CY287" s="21">
        <f t="shared" si="1666"/>
        <v>196924.92918386954</v>
      </c>
      <c r="CZ287" s="21">
        <f t="shared" si="1666"/>
        <v>205797.50771409148</v>
      </c>
      <c r="DA287" s="21">
        <f t="shared" si="1666"/>
        <v>215281.71156450431</v>
      </c>
      <c r="DB287" s="21">
        <f t="shared" si="1666"/>
        <v>226597.58415390059</v>
      </c>
      <c r="DE287" s="126"/>
      <c r="DF287" s="22">
        <v>109289.8</v>
      </c>
    </row>
    <row r="288" spans="1:110" s="22" customFormat="1" x14ac:dyDescent="0.2">
      <c r="AB288" s="21"/>
      <c r="AC288" s="21"/>
      <c r="AD288" s="21"/>
      <c r="AE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E288" s="126"/>
    </row>
    <row r="289" spans="1:110" s="23" customFormat="1" x14ac:dyDescent="0.2">
      <c r="A289" s="23" t="s">
        <v>23</v>
      </c>
      <c r="B289" s="23">
        <f>'Annual Raw'!C45</f>
        <v>0</v>
      </c>
      <c r="C289" s="23">
        <f>'Annual Raw'!D45</f>
        <v>44.4</v>
      </c>
      <c r="D289" s="23">
        <f>'Annual Raw'!E45</f>
        <v>50.15</v>
      </c>
      <c r="E289" s="23">
        <f>'Annual Raw'!F45</f>
        <v>54.08</v>
      </c>
      <c r="F289" s="23">
        <f>'Annual Raw'!G45</f>
        <v>104.77</v>
      </c>
      <c r="G289" s="23">
        <f>'Annual Raw'!H45</f>
        <v>106.63</v>
      </c>
      <c r="H289" s="23">
        <f>'Annual Raw'!I45</f>
        <v>645.70000000000005</v>
      </c>
      <c r="I289" s="23">
        <f>'Annual Raw'!J45</f>
        <v>922.62</v>
      </c>
      <c r="J289" s="23">
        <f>'Annual Raw'!K45</f>
        <v>1058.58</v>
      </c>
      <c r="K289" s="23">
        <f>'Annual Raw'!L45</f>
        <v>1087.25</v>
      </c>
      <c r="L289" s="23">
        <f>'Annual Raw'!M45</f>
        <v>1026</v>
      </c>
      <c r="M289" s="23">
        <f>'Annual Raw'!N45</f>
        <v>1753.46</v>
      </c>
      <c r="N289" s="23">
        <f>'Annual Raw'!O45</f>
        <v>2652.87</v>
      </c>
      <c r="O289" s="23">
        <f>'Annual Raw'!P45</f>
        <v>3179.18</v>
      </c>
      <c r="P289" s="23">
        <f>'Annual Raw'!Q45</f>
        <v>4998.62</v>
      </c>
      <c r="Q289" s="23">
        <f>'Annual Raw'!R45</f>
        <v>2892.84</v>
      </c>
      <c r="R289" s="23">
        <f>'Annual Raw'!S45</f>
        <v>3563.6</v>
      </c>
      <c r="S289" s="23">
        <f>'Annual Raw'!T45</f>
        <v>5201.43</v>
      </c>
      <c r="T289" s="23">
        <f>'Annual Raw'!U45</f>
        <v>6826.11</v>
      </c>
      <c r="U289" s="23">
        <f>'Annual Raw'!V45</f>
        <v>9520.83</v>
      </c>
      <c r="V289" s="23">
        <f>'Annual Raw'!W45</f>
        <v>12051.53</v>
      </c>
      <c r="W289" s="23">
        <f>'Annual Raw'!X45</f>
        <v>12966.07</v>
      </c>
      <c r="X289" s="23">
        <f>'Annual Raw'!Y45</f>
        <v>14241.27</v>
      </c>
      <c r="Y289" s="23">
        <f>'Annual Raw'!Z45</f>
        <v>16190.42</v>
      </c>
      <c r="Z289" s="23">
        <f>'Annual Raw'!AA45</f>
        <v>17748.080000000002</v>
      </c>
      <c r="AA289" s="23">
        <f>'Annual Raw'!AB45</f>
        <v>19240.66</v>
      </c>
      <c r="AB289" s="24">
        <f>+CP289</f>
        <v>19240.66</v>
      </c>
      <c r="AC289" s="24">
        <f>+CT289</f>
        <v>19240.66</v>
      </c>
      <c r="AD289" s="24">
        <f>+CX289</f>
        <v>19240.66</v>
      </c>
      <c r="AE289" s="24">
        <f>+DB289</f>
        <v>19240.66</v>
      </c>
      <c r="AJ289" s="23">
        <f>+'QTR Raw'!D60</f>
        <v>0</v>
      </c>
      <c r="AK289" s="23">
        <f t="shared" ref="AK289:CE289" si="1668">+AJ289</f>
        <v>0</v>
      </c>
      <c r="AL289" s="23">
        <f>+'QTR Raw'!F60</f>
        <v>2652.87</v>
      </c>
      <c r="AM289" s="23">
        <f t="shared" si="1668"/>
        <v>2652.87</v>
      </c>
      <c r="AN289" s="23">
        <f>+'QTR Raw'!H60</f>
        <v>2645.02</v>
      </c>
      <c r="AO289" s="23">
        <f t="shared" si="1668"/>
        <v>2645.02</v>
      </c>
      <c r="AP289" s="23">
        <f>+'QTR Raw'!J60</f>
        <v>3179.18</v>
      </c>
      <c r="AQ289" s="23">
        <f t="shared" si="1668"/>
        <v>3179.18</v>
      </c>
      <c r="AR289" s="23">
        <f>+'QTR Raw'!L60</f>
        <v>3684.56</v>
      </c>
      <c r="AS289" s="23">
        <f t="shared" si="1668"/>
        <v>3684.56</v>
      </c>
      <c r="AT289" s="23">
        <f>+'QTR Raw'!N60</f>
        <v>4998.62</v>
      </c>
      <c r="AU289" s="23">
        <f t="shared" si="1668"/>
        <v>4998.62</v>
      </c>
      <c r="AV289" s="23">
        <f>+'QTR Raw'!P60</f>
        <v>6047.98</v>
      </c>
      <c r="AW289" s="23">
        <f t="shared" si="1668"/>
        <v>6047.98</v>
      </c>
      <c r="AX289" s="23">
        <f>+'QTR Raw'!R60</f>
        <v>2892.84</v>
      </c>
      <c r="AY289" s="23">
        <f t="shared" si="1668"/>
        <v>2892.84</v>
      </c>
      <c r="AZ289" s="23">
        <f>+'QTR Raw'!T60</f>
        <v>3174.87</v>
      </c>
      <c r="BA289" s="23">
        <f t="shared" si="1668"/>
        <v>3174.87</v>
      </c>
      <c r="BB289" s="23">
        <f>+'QTR Raw'!V60</f>
        <v>3563.6</v>
      </c>
      <c r="BC289" s="23">
        <f t="shared" si="1668"/>
        <v>3563.6</v>
      </c>
      <c r="BD289" s="23">
        <f>+'QTR Raw'!X60</f>
        <v>4155.01</v>
      </c>
      <c r="BE289" s="23">
        <f t="shared" si="1668"/>
        <v>4155.01</v>
      </c>
      <c r="BF289" s="23">
        <f>+'QTR Raw'!Z60</f>
        <v>5201.43</v>
      </c>
      <c r="BG289" s="23">
        <f t="shared" si="1668"/>
        <v>5201.43</v>
      </c>
      <c r="BH289" s="22">
        <f>+'QTR Raw'!AB60</f>
        <v>6077.09</v>
      </c>
      <c r="BI289" s="23">
        <f t="shared" si="1668"/>
        <v>6077.09</v>
      </c>
      <c r="BJ289" s="23">
        <f>+'QTR Raw'!AD60</f>
        <v>6826.11</v>
      </c>
      <c r="BK289" s="23">
        <f t="shared" si="1668"/>
        <v>6826.11</v>
      </c>
      <c r="BL289" s="23">
        <f>+'QTR Raw'!AF60</f>
        <v>9139.57</v>
      </c>
      <c r="BM289" s="23">
        <f t="shared" si="1668"/>
        <v>9139.57</v>
      </c>
      <c r="BN289" s="23">
        <f>+'QTR Raw'!AH60</f>
        <v>9520.83</v>
      </c>
      <c r="BO289" s="23">
        <f t="shared" si="1668"/>
        <v>9520.83</v>
      </c>
      <c r="BP289" s="23">
        <f>+'QTR Raw'!AJ60</f>
        <v>10173.44</v>
      </c>
      <c r="BQ289" s="23">
        <f t="shared" si="1668"/>
        <v>10173.44</v>
      </c>
      <c r="BR289" s="23">
        <f>+'QTR Raw'!AL60</f>
        <v>12051.53</v>
      </c>
      <c r="BS289" s="23">
        <f t="shared" si="1668"/>
        <v>12051.53</v>
      </c>
      <c r="BT289" s="23">
        <f>+'QTR Raw'!AN60</f>
        <v>12634.88</v>
      </c>
      <c r="BU289" s="23">
        <f t="shared" si="1668"/>
        <v>12634.88</v>
      </c>
      <c r="BV289" s="23">
        <f>+'QTR Raw'!AP60</f>
        <v>12966.07</v>
      </c>
      <c r="BW289" s="23">
        <f t="shared" si="1668"/>
        <v>12966.07</v>
      </c>
      <c r="BX289" s="23">
        <f>+'QTR Raw'!AR60</f>
        <v>13398.96</v>
      </c>
      <c r="BY289" s="23">
        <f t="shared" si="1668"/>
        <v>13398.96</v>
      </c>
      <c r="BZ289" s="23">
        <f>+'QTR Raw'!AT60</f>
        <v>14241.27</v>
      </c>
      <c r="CA289" s="23">
        <f t="shared" si="1668"/>
        <v>14241.27</v>
      </c>
      <c r="CB289" s="23">
        <f>+'QTR Raw'!AV60</f>
        <v>15038.14</v>
      </c>
      <c r="CC289" s="23">
        <f t="shared" si="1668"/>
        <v>15038.14</v>
      </c>
      <c r="CD289" s="23">
        <f>+'QTR Raw'!AX60</f>
        <v>16190.42</v>
      </c>
      <c r="CE289" s="23">
        <f t="shared" si="1668"/>
        <v>16190.42</v>
      </c>
      <c r="CF289" s="23">
        <f>+'QTR Raw'!AZ60</f>
        <v>16751.12</v>
      </c>
      <c r="CG289" s="23">
        <f t="shared" ref="CG289:CI289" si="1669">+CF289</f>
        <v>16751.12</v>
      </c>
      <c r="CH289" s="23">
        <f t="shared" ref="CH289:CH294" si="1670">Z289</f>
        <v>17748.080000000002</v>
      </c>
      <c r="CI289" s="23">
        <f t="shared" si="1669"/>
        <v>17748.080000000002</v>
      </c>
      <c r="CJ289" s="23">
        <f>+'QTR Raw'!BD60</f>
        <v>18423.580000000002</v>
      </c>
      <c r="CK289" s="23">
        <f t="shared" ref="CK289" si="1671">+CJ289</f>
        <v>18423.580000000002</v>
      </c>
      <c r="CL289" s="23">
        <f>+'QTR Raw'!BF60</f>
        <v>19240.66</v>
      </c>
      <c r="CM289" s="24">
        <f t="shared" ref="CM289" si="1672">+CL289</f>
        <v>19240.66</v>
      </c>
      <c r="CN289" s="24">
        <f t="shared" ref="CN289" si="1673">+CM289</f>
        <v>19240.66</v>
      </c>
      <c r="CO289" s="24">
        <f t="shared" ref="CO289" si="1674">+CN289</f>
        <v>19240.66</v>
      </c>
      <c r="CP289" s="24">
        <f t="shared" ref="CP289" si="1675">+CO289</f>
        <v>19240.66</v>
      </c>
      <c r="CQ289" s="24">
        <f t="shared" ref="CQ289" si="1676">+CP289</f>
        <v>19240.66</v>
      </c>
      <c r="CR289" s="24">
        <f t="shared" ref="CR289" si="1677">+CQ289</f>
        <v>19240.66</v>
      </c>
      <c r="CS289" s="24">
        <f t="shared" ref="CS289" si="1678">+CR289</f>
        <v>19240.66</v>
      </c>
      <c r="CT289" s="24">
        <f t="shared" ref="CT289" si="1679">+CS289</f>
        <v>19240.66</v>
      </c>
      <c r="CU289" s="24">
        <f t="shared" ref="CU289" si="1680">+CT289</f>
        <v>19240.66</v>
      </c>
      <c r="CV289" s="24">
        <f t="shared" ref="CV289" si="1681">+CU289</f>
        <v>19240.66</v>
      </c>
      <c r="CW289" s="24">
        <f t="shared" ref="CW289" si="1682">+CV289</f>
        <v>19240.66</v>
      </c>
      <c r="CX289" s="24">
        <f t="shared" ref="CX289" si="1683">+CW289</f>
        <v>19240.66</v>
      </c>
      <c r="CY289" s="24">
        <f t="shared" ref="CY289" si="1684">+CX289</f>
        <v>19240.66</v>
      </c>
      <c r="CZ289" s="24">
        <f t="shared" ref="CZ289" si="1685">+CY289</f>
        <v>19240.66</v>
      </c>
      <c r="DA289" s="24">
        <f t="shared" ref="DA289" si="1686">+CZ289</f>
        <v>19240.66</v>
      </c>
      <c r="DB289" s="24">
        <f t="shared" ref="DB289" si="1687">+DA289</f>
        <v>19240.66</v>
      </c>
      <c r="DE289" s="123"/>
      <c r="DF289" s="23">
        <v>19240.66</v>
      </c>
    </row>
    <row r="290" spans="1:110" s="23" customFormat="1" x14ac:dyDescent="0.2">
      <c r="AB290" s="24"/>
      <c r="AC290" s="24"/>
      <c r="AD290" s="24"/>
      <c r="AE290" s="24"/>
      <c r="BH290" s="22"/>
      <c r="CM290" s="24"/>
      <c r="CN290" s="24"/>
      <c r="CO290" s="24"/>
      <c r="CP290" s="24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  <c r="DA290" s="24"/>
      <c r="DB290" s="24"/>
      <c r="DE290" s="123"/>
    </row>
    <row r="291" spans="1:110" s="23" customFormat="1" outlineLevel="1" x14ac:dyDescent="0.2">
      <c r="A291" s="23" t="s">
        <v>45</v>
      </c>
      <c r="B291" s="23">
        <f>'Annual Raw'!C47</f>
        <v>3001.95</v>
      </c>
      <c r="C291" s="23">
        <f>'Annual Raw'!D47</f>
        <v>4081.21</v>
      </c>
      <c r="D291" s="23">
        <f>'Annual Raw'!E47</f>
        <v>3979.65</v>
      </c>
      <c r="E291" s="23">
        <f>'Annual Raw'!F47</f>
        <v>2269.06</v>
      </c>
      <c r="F291" s="23">
        <f>'Annual Raw'!G47</f>
        <v>1848.28</v>
      </c>
      <c r="G291" s="23">
        <f>'Annual Raw'!H47</f>
        <v>1911.43</v>
      </c>
      <c r="H291" s="23">
        <f>'Annual Raw'!I47</f>
        <v>3109.04</v>
      </c>
      <c r="I291" s="23">
        <f>'Annual Raw'!J47</f>
        <v>6756.16</v>
      </c>
      <c r="J291" s="23">
        <f>'Annual Raw'!K47</f>
        <v>12465.03</v>
      </c>
      <c r="K291" s="23">
        <f>'Annual Raw'!L47</f>
        <v>16120.68</v>
      </c>
      <c r="L291" s="23">
        <f>'Annual Raw'!M47</f>
        <v>19422.98</v>
      </c>
      <c r="M291" s="23">
        <f>'Annual Raw'!N47</f>
        <v>28900.29</v>
      </c>
      <c r="N291" s="23">
        <f>'Annual Raw'!O47</f>
        <v>33288.720000000001</v>
      </c>
      <c r="O291" s="23">
        <f>'Annual Raw'!P47</f>
        <v>41673.74</v>
      </c>
      <c r="P291" s="23">
        <f>'Annual Raw'!Q47</f>
        <v>44225.27</v>
      </c>
      <c r="Q291" s="23">
        <f>'Annual Raw'!R47</f>
        <v>36521.71</v>
      </c>
      <c r="R291" s="23">
        <f>'Annual Raw'!S47</f>
        <v>42321.55</v>
      </c>
      <c r="S291" s="23">
        <f>'Annual Raw'!T47</f>
        <v>49092.72</v>
      </c>
      <c r="T291" s="23">
        <f>'Annual Raw'!U47</f>
        <v>57298.2</v>
      </c>
      <c r="U291" s="23">
        <f>'Annual Raw'!V47</f>
        <v>66520.2</v>
      </c>
      <c r="V291" s="23">
        <f>'Annual Raw'!W47</f>
        <v>58497.68</v>
      </c>
      <c r="W291" s="23">
        <f>'Annual Raw'!X47</f>
        <v>44602.91</v>
      </c>
      <c r="X291" s="23">
        <f>'Annual Raw'!Y47</f>
        <v>49204</v>
      </c>
      <c r="Y291" s="23">
        <f>'Annual Raw'!Z47</f>
        <v>42472.94</v>
      </c>
      <c r="Z291" s="23">
        <f>'Annual Raw'!AA47</f>
        <v>47255.22</v>
      </c>
      <c r="AA291" s="23">
        <f>'Annual Raw'!AB47</f>
        <v>53514.83</v>
      </c>
      <c r="AB291" s="24">
        <f t="shared" ref="AB291:AB294" si="1688">+CP291</f>
        <v>0</v>
      </c>
      <c r="AC291" s="24">
        <f t="shared" ref="AC291:AC294" si="1689">+CT291</f>
        <v>0</v>
      </c>
      <c r="AD291" s="24">
        <f t="shared" ref="AD291:AD294" si="1690">+CX291</f>
        <v>0</v>
      </c>
      <c r="AE291" s="24">
        <f t="shared" ref="AE291:AE294" si="1691">+DB291</f>
        <v>0</v>
      </c>
      <c r="AJ291" s="23">
        <f>+'QTR Raw'!D62</f>
        <v>0</v>
      </c>
      <c r="AK291" s="23">
        <f t="shared" ref="AK291:CC294" si="1692">+AJ291</f>
        <v>0</v>
      </c>
      <c r="AL291" s="23">
        <f>+'QTR Raw'!F62</f>
        <v>0</v>
      </c>
      <c r="AM291" s="23">
        <f t="shared" si="1692"/>
        <v>0</v>
      </c>
      <c r="AN291" s="23">
        <f>+'QTR Raw'!H62</f>
        <v>0</v>
      </c>
      <c r="AO291" s="23">
        <f t="shared" si="1692"/>
        <v>0</v>
      </c>
      <c r="AP291" s="23">
        <f>+'QTR Raw'!J62</f>
        <v>0</v>
      </c>
      <c r="AQ291" s="23">
        <f t="shared" si="1692"/>
        <v>0</v>
      </c>
      <c r="AR291" s="23">
        <f>+'QTR Raw'!L62</f>
        <v>0</v>
      </c>
      <c r="AS291" s="23">
        <f t="shared" si="1692"/>
        <v>0</v>
      </c>
      <c r="AT291" s="23">
        <f>+'QTR Raw'!N62</f>
        <v>0</v>
      </c>
      <c r="AU291" s="23">
        <f t="shared" si="1692"/>
        <v>0</v>
      </c>
      <c r="AV291" s="23">
        <f>+'QTR Raw'!P62</f>
        <v>0</v>
      </c>
      <c r="AW291" s="23">
        <f t="shared" si="1692"/>
        <v>0</v>
      </c>
      <c r="AX291" s="23">
        <f>+'QTR Raw'!R62</f>
        <v>0</v>
      </c>
      <c r="AY291" s="23">
        <f t="shared" si="1692"/>
        <v>0</v>
      </c>
      <c r="AZ291" s="23">
        <f>+'QTR Raw'!T62</f>
        <v>0</v>
      </c>
      <c r="BA291" s="23">
        <f t="shared" si="1692"/>
        <v>0</v>
      </c>
      <c r="BB291" s="23">
        <f>+'QTR Raw'!V62</f>
        <v>0</v>
      </c>
      <c r="BC291" s="23">
        <f t="shared" si="1692"/>
        <v>0</v>
      </c>
      <c r="BD291" s="23">
        <f>+'QTR Raw'!X62</f>
        <v>0</v>
      </c>
      <c r="BE291" s="23">
        <f t="shared" si="1692"/>
        <v>0</v>
      </c>
      <c r="BF291" s="23">
        <f>+'QTR Raw'!Z62</f>
        <v>0</v>
      </c>
      <c r="BG291" s="23">
        <f t="shared" si="1692"/>
        <v>0</v>
      </c>
      <c r="BH291" s="22">
        <f>+'QTR Raw'!AB62</f>
        <v>0</v>
      </c>
      <c r="BI291" s="23">
        <f t="shared" si="1692"/>
        <v>0</v>
      </c>
      <c r="BJ291" s="23">
        <f>+'QTR Raw'!AD62</f>
        <v>0</v>
      </c>
      <c r="BK291" s="23">
        <f t="shared" si="1692"/>
        <v>0</v>
      </c>
      <c r="BL291" s="23">
        <f>+'QTR Raw'!AF62</f>
        <v>0</v>
      </c>
      <c r="BM291" s="23">
        <f t="shared" si="1692"/>
        <v>0</v>
      </c>
      <c r="BN291" s="23">
        <f>+'QTR Raw'!AH62</f>
        <v>0</v>
      </c>
      <c r="BO291" s="23">
        <f t="shared" si="1692"/>
        <v>0</v>
      </c>
      <c r="BP291" s="23">
        <f>+'QTR Raw'!AJ62</f>
        <v>0</v>
      </c>
      <c r="BQ291" s="23">
        <f t="shared" si="1692"/>
        <v>0</v>
      </c>
      <c r="BR291" s="23">
        <f>+'QTR Raw'!AL62</f>
        <v>0</v>
      </c>
      <c r="BS291" s="23">
        <f t="shared" si="1692"/>
        <v>0</v>
      </c>
      <c r="BT291" s="23">
        <f>+'QTR Raw'!AN62</f>
        <v>0</v>
      </c>
      <c r="BU291" s="23">
        <f t="shared" si="1692"/>
        <v>0</v>
      </c>
      <c r="BV291" s="23">
        <f>+'QTR Raw'!AP62</f>
        <v>0</v>
      </c>
      <c r="BW291" s="23">
        <f t="shared" si="1692"/>
        <v>0</v>
      </c>
      <c r="BX291" s="23">
        <f>+'QTR Raw'!AR62</f>
        <v>0</v>
      </c>
      <c r="BY291" s="23">
        <f t="shared" si="1692"/>
        <v>0</v>
      </c>
      <c r="BZ291" s="23">
        <f>+'QTR Raw'!AT62</f>
        <v>0</v>
      </c>
      <c r="CA291" s="23">
        <f t="shared" si="1692"/>
        <v>0</v>
      </c>
      <c r="CB291" s="23">
        <f>+'QTR Raw'!AV62</f>
        <v>0</v>
      </c>
      <c r="CC291" s="23">
        <f t="shared" si="1692"/>
        <v>0</v>
      </c>
      <c r="CD291" s="23">
        <f>+'QTR Raw'!AX62</f>
        <v>0</v>
      </c>
      <c r="CE291" s="23">
        <f t="shared" ref="CE291:CE294" si="1693">+CD291</f>
        <v>0</v>
      </c>
      <c r="CF291" s="23">
        <f>+'QTR Raw'!AZ62</f>
        <v>0</v>
      </c>
      <c r="CG291" s="23">
        <f t="shared" ref="CG291:CI294" si="1694">+CF291</f>
        <v>0</v>
      </c>
      <c r="CH291" s="23">
        <f t="shared" si="1670"/>
        <v>47255.22</v>
      </c>
      <c r="CI291" s="23">
        <f t="shared" si="1694"/>
        <v>47255.22</v>
      </c>
      <c r="CJ291" s="23">
        <f>+'QTR Raw'!BD62</f>
        <v>0</v>
      </c>
      <c r="CK291" s="23">
        <f t="shared" ref="CK291:CK294" si="1695">+CJ291</f>
        <v>0</v>
      </c>
      <c r="CL291" s="23">
        <f>+'QTR Raw'!BF62</f>
        <v>0</v>
      </c>
      <c r="CM291" s="24">
        <f t="shared" ref="CM291:CM294" si="1696">+CL291</f>
        <v>0</v>
      </c>
      <c r="CN291" s="24">
        <f t="shared" ref="CN291:CN294" si="1697">+CM291</f>
        <v>0</v>
      </c>
      <c r="CO291" s="24">
        <f t="shared" ref="CO291:CO294" si="1698">+CN291</f>
        <v>0</v>
      </c>
      <c r="CP291" s="24">
        <f t="shared" ref="CP291:CP294" si="1699">+CO291</f>
        <v>0</v>
      </c>
      <c r="CQ291" s="24">
        <f t="shared" ref="CQ291:CQ294" si="1700">+CP291</f>
        <v>0</v>
      </c>
      <c r="CR291" s="24">
        <f t="shared" ref="CR291:CR294" si="1701">+CQ291</f>
        <v>0</v>
      </c>
      <c r="CS291" s="24">
        <f t="shared" ref="CS291:CS294" si="1702">+CR291</f>
        <v>0</v>
      </c>
      <c r="CT291" s="24">
        <f t="shared" ref="CT291:CT294" si="1703">+CS291</f>
        <v>0</v>
      </c>
      <c r="CU291" s="24">
        <f t="shared" ref="CU291:CU294" si="1704">+CT291</f>
        <v>0</v>
      </c>
      <c r="CV291" s="24">
        <f t="shared" ref="CV291:CV294" si="1705">+CU291</f>
        <v>0</v>
      </c>
      <c r="CW291" s="24">
        <f t="shared" ref="CW291:CW294" si="1706">+CV291</f>
        <v>0</v>
      </c>
      <c r="CX291" s="24">
        <f t="shared" ref="CX291:CX294" si="1707">+CW291</f>
        <v>0</v>
      </c>
      <c r="CY291" s="24">
        <f t="shared" ref="CY291:CY294" si="1708">+CX291</f>
        <v>0</v>
      </c>
      <c r="CZ291" s="24">
        <f t="shared" ref="CZ291:CZ294" si="1709">+CY291</f>
        <v>0</v>
      </c>
      <c r="DA291" s="24">
        <f t="shared" ref="DA291:DA294" si="1710">+CZ291</f>
        <v>0</v>
      </c>
      <c r="DB291" s="24">
        <f t="shared" ref="DB291:DB294" si="1711">+DA291</f>
        <v>0</v>
      </c>
      <c r="DE291" s="123"/>
      <c r="DF291" s="23">
        <v>53514.83</v>
      </c>
    </row>
    <row r="292" spans="1:110" s="23" customFormat="1" outlineLevel="1" x14ac:dyDescent="0.2">
      <c r="A292" s="23" t="s">
        <v>46</v>
      </c>
      <c r="B292" s="23">
        <f>'Annual Raw'!C48</f>
        <v>1261.44</v>
      </c>
      <c r="C292" s="23">
        <f>'Annual Raw'!D48</f>
        <v>896.88</v>
      </c>
      <c r="D292" s="23">
        <f>'Annual Raw'!E48</f>
        <v>721.24</v>
      </c>
      <c r="E292" s="23">
        <f>'Annual Raw'!F48</f>
        <v>500.16</v>
      </c>
      <c r="F292" s="23">
        <f>'Annual Raw'!G48</f>
        <v>1605.55</v>
      </c>
      <c r="G292" s="23">
        <f>'Annual Raw'!H48</f>
        <v>1587.26</v>
      </c>
      <c r="H292" s="23">
        <f>'Annual Raw'!I48</f>
        <v>3323.18</v>
      </c>
      <c r="I292" s="23">
        <f>'Annual Raw'!J48</f>
        <v>5559.77</v>
      </c>
      <c r="J292" s="23">
        <f>'Annual Raw'!K48</f>
        <v>7905.01</v>
      </c>
      <c r="K292" s="23">
        <f>'Annual Raw'!L48</f>
        <v>8486.64</v>
      </c>
      <c r="L292" s="23">
        <f>'Annual Raw'!M48</f>
        <v>9835.83</v>
      </c>
      <c r="M292" s="23">
        <f>'Annual Raw'!N48</f>
        <v>11709.71</v>
      </c>
      <c r="N292" s="23">
        <f>'Annual Raw'!O48</f>
        <v>17584.87</v>
      </c>
      <c r="O292" s="23">
        <f>'Annual Raw'!P48</f>
        <v>16737.900000000001</v>
      </c>
      <c r="P292" s="23">
        <f>'Annual Raw'!Q48</f>
        <v>24243.49</v>
      </c>
      <c r="Q292" s="23">
        <f>'Annual Raw'!R48</f>
        <v>24702.13</v>
      </c>
      <c r="R292" s="23">
        <f>'Annual Raw'!S48</f>
        <v>25019.03</v>
      </c>
      <c r="S292" s="23">
        <f>'Annual Raw'!T48</f>
        <v>23822.04</v>
      </c>
      <c r="T292" s="23">
        <f>'Annual Raw'!U48</f>
        <v>16822.59</v>
      </c>
      <c r="U292" s="23">
        <f>'Annual Raw'!V48</f>
        <v>15811.13</v>
      </c>
      <c r="V292" s="23">
        <f>'Annual Raw'!W48</f>
        <v>23622.36</v>
      </c>
      <c r="W292" s="23">
        <f>'Annual Raw'!X48</f>
        <v>17015.400000000001</v>
      </c>
      <c r="X292" s="23">
        <f>'Annual Raw'!Y48</f>
        <v>12013.68</v>
      </c>
      <c r="Y292" s="23">
        <f>'Annual Raw'!Z48</f>
        <v>14034.03</v>
      </c>
      <c r="Z292" s="23">
        <f>'Annual Raw'!AA48</f>
        <v>10248.120000000001</v>
      </c>
      <c r="AA292" s="23">
        <f>'Annual Raw'!AB48</f>
        <v>10223.76</v>
      </c>
      <c r="AB292" s="24">
        <f t="shared" si="1688"/>
        <v>63738.59</v>
      </c>
      <c r="AC292" s="24">
        <f t="shared" si="1689"/>
        <v>63738.59</v>
      </c>
      <c r="AD292" s="24">
        <f t="shared" si="1690"/>
        <v>63738.59</v>
      </c>
      <c r="AE292" s="24">
        <f t="shared" si="1691"/>
        <v>63738.59</v>
      </c>
      <c r="AJ292" s="23">
        <f>+'QTR Raw'!D63</f>
        <v>5749.96</v>
      </c>
      <c r="AK292" s="23">
        <f t="shared" si="1692"/>
        <v>5749.96</v>
      </c>
      <c r="AL292" s="23">
        <f>+'QTR Raw'!F63</f>
        <v>47392.14</v>
      </c>
      <c r="AM292" s="23">
        <f t="shared" si="1692"/>
        <v>47392.14</v>
      </c>
      <c r="AN292" s="23">
        <f>+'QTR Raw'!H63</f>
        <v>53702.39</v>
      </c>
      <c r="AO292" s="23">
        <f t="shared" si="1692"/>
        <v>53702.39</v>
      </c>
      <c r="AP292" s="23">
        <f>+'QTR Raw'!J63</f>
        <v>55444.89</v>
      </c>
      <c r="AQ292" s="23">
        <f t="shared" si="1692"/>
        <v>55444.89</v>
      </c>
      <c r="AR292" s="23">
        <f>+'QTR Raw'!L63</f>
        <v>57733.63</v>
      </c>
      <c r="AS292" s="23">
        <f t="shared" si="1692"/>
        <v>57733.63</v>
      </c>
      <c r="AT292" s="23">
        <f>+'QTR Raw'!N63</f>
        <v>65537.179999999993</v>
      </c>
      <c r="AU292" s="23">
        <f t="shared" si="1692"/>
        <v>65537.179999999993</v>
      </c>
      <c r="AV292" s="23">
        <f>+'QTR Raw'!P63</f>
        <v>68234.240000000005</v>
      </c>
      <c r="AW292" s="23">
        <f t="shared" si="1692"/>
        <v>68234.240000000005</v>
      </c>
      <c r="AX292" s="23">
        <f>+'QTR Raw'!R63</f>
        <v>61223.839999999997</v>
      </c>
      <c r="AY292" s="23">
        <f t="shared" si="1692"/>
        <v>61223.839999999997</v>
      </c>
      <c r="AZ292" s="23">
        <f>+'QTR Raw'!T63</f>
        <v>61504.35</v>
      </c>
      <c r="BA292" s="23">
        <f t="shared" si="1692"/>
        <v>61504.35</v>
      </c>
      <c r="BB292" s="23">
        <f>+'QTR Raw'!V63</f>
        <v>67340.58</v>
      </c>
      <c r="BC292" s="23">
        <f t="shared" si="1692"/>
        <v>67340.58</v>
      </c>
      <c r="BD292" s="23">
        <f>+'QTR Raw'!X63</f>
        <v>67626.539999999994</v>
      </c>
      <c r="BE292" s="23">
        <f t="shared" si="1692"/>
        <v>67626.539999999994</v>
      </c>
      <c r="BF292" s="23">
        <f>+'QTR Raw'!Z63</f>
        <v>72914.759999999995</v>
      </c>
      <c r="BG292" s="23">
        <f t="shared" si="1692"/>
        <v>72914.759999999995</v>
      </c>
      <c r="BH292" s="23">
        <f>+'QTR Raw'!AB63</f>
        <v>75526.899999999994</v>
      </c>
      <c r="BI292" s="23">
        <f t="shared" si="1692"/>
        <v>75526.899999999994</v>
      </c>
      <c r="BJ292" s="23">
        <f>+'QTR Raw'!AD63</f>
        <v>74120.789999999994</v>
      </c>
      <c r="BK292" s="23">
        <f t="shared" si="1692"/>
        <v>74120.789999999994</v>
      </c>
      <c r="BL292" s="23">
        <f>+'QTR Raw'!AF63</f>
        <v>68828.67</v>
      </c>
      <c r="BM292" s="23">
        <f t="shared" si="1692"/>
        <v>68828.67</v>
      </c>
      <c r="BN292" s="23">
        <f>+'QTR Raw'!AH63</f>
        <v>82331.33</v>
      </c>
      <c r="BO292" s="23">
        <f t="shared" si="1692"/>
        <v>82331.33</v>
      </c>
      <c r="BP292" s="23">
        <f>+'QTR Raw'!AJ63</f>
        <v>88944.06</v>
      </c>
      <c r="BQ292" s="23">
        <f t="shared" si="1692"/>
        <v>88944.06</v>
      </c>
      <c r="BR292" s="23">
        <f>+'QTR Raw'!AL63</f>
        <v>82120.039999999994</v>
      </c>
      <c r="BS292" s="23">
        <f t="shared" si="1692"/>
        <v>82120.039999999994</v>
      </c>
      <c r="BT292" s="23">
        <f>+'QTR Raw'!AN63</f>
        <v>72509.88</v>
      </c>
      <c r="BU292" s="23">
        <f t="shared" si="1692"/>
        <v>72509.88</v>
      </c>
      <c r="BV292" s="23">
        <f>+'QTR Raw'!AP63</f>
        <v>61618.31</v>
      </c>
      <c r="BW292" s="23">
        <f t="shared" si="1692"/>
        <v>61618.31</v>
      </c>
      <c r="BX292" s="23">
        <f>+'QTR Raw'!AR63</f>
        <v>56780.53</v>
      </c>
      <c r="BY292" s="23">
        <f t="shared" si="1692"/>
        <v>56780.53</v>
      </c>
      <c r="BZ292" s="23">
        <f>+'QTR Raw'!AT63</f>
        <v>61217.68</v>
      </c>
      <c r="CA292" s="23">
        <f t="shared" si="1692"/>
        <v>61217.68</v>
      </c>
      <c r="CB292" s="23">
        <f>+'QTR Raw'!AV63</f>
        <v>58393.38</v>
      </c>
      <c r="CC292" s="23">
        <f t="shared" si="1692"/>
        <v>58393.38</v>
      </c>
      <c r="CD292" s="23">
        <f>+'QTR Raw'!AX63</f>
        <v>56506.97</v>
      </c>
      <c r="CE292" s="23">
        <f t="shared" si="1693"/>
        <v>56506.97</v>
      </c>
      <c r="CF292" s="23">
        <f>+'QTR Raw'!AZ63</f>
        <v>50958.39</v>
      </c>
      <c r="CG292" s="23">
        <f t="shared" si="1694"/>
        <v>50958.39</v>
      </c>
      <c r="CH292" s="23">
        <f t="shared" si="1670"/>
        <v>10248.120000000001</v>
      </c>
      <c r="CI292" s="23">
        <f t="shared" si="1694"/>
        <v>10248.120000000001</v>
      </c>
      <c r="CJ292" s="23">
        <f>+'QTR Raw'!BD63</f>
        <v>66942.55</v>
      </c>
      <c r="CK292" s="23">
        <f t="shared" si="1695"/>
        <v>66942.55</v>
      </c>
      <c r="CL292" s="23">
        <f>+'QTR Raw'!BF63</f>
        <v>63738.59</v>
      </c>
      <c r="CM292" s="24">
        <f t="shared" si="1696"/>
        <v>63738.59</v>
      </c>
      <c r="CN292" s="24">
        <f t="shared" si="1697"/>
        <v>63738.59</v>
      </c>
      <c r="CO292" s="24">
        <f t="shared" si="1698"/>
        <v>63738.59</v>
      </c>
      <c r="CP292" s="24">
        <f t="shared" si="1699"/>
        <v>63738.59</v>
      </c>
      <c r="CQ292" s="24">
        <f t="shared" si="1700"/>
        <v>63738.59</v>
      </c>
      <c r="CR292" s="24">
        <f t="shared" si="1701"/>
        <v>63738.59</v>
      </c>
      <c r="CS292" s="24">
        <f t="shared" si="1702"/>
        <v>63738.59</v>
      </c>
      <c r="CT292" s="24">
        <f t="shared" si="1703"/>
        <v>63738.59</v>
      </c>
      <c r="CU292" s="24">
        <f t="shared" si="1704"/>
        <v>63738.59</v>
      </c>
      <c r="CV292" s="24">
        <f t="shared" si="1705"/>
        <v>63738.59</v>
      </c>
      <c r="CW292" s="24">
        <f t="shared" si="1706"/>
        <v>63738.59</v>
      </c>
      <c r="CX292" s="24">
        <f t="shared" si="1707"/>
        <v>63738.59</v>
      </c>
      <c r="CY292" s="24">
        <f t="shared" si="1708"/>
        <v>63738.59</v>
      </c>
      <c r="CZ292" s="24">
        <f t="shared" si="1709"/>
        <v>63738.59</v>
      </c>
      <c r="DA292" s="24">
        <f t="shared" si="1710"/>
        <v>63738.59</v>
      </c>
      <c r="DB292" s="24">
        <f t="shared" si="1711"/>
        <v>63738.59</v>
      </c>
      <c r="DE292" s="123"/>
      <c r="DF292" s="23">
        <v>10223.76</v>
      </c>
    </row>
    <row r="293" spans="1:110" s="23" customFormat="1" outlineLevel="1" x14ac:dyDescent="0.2">
      <c r="A293" s="23" t="s">
        <v>47</v>
      </c>
      <c r="B293" s="23">
        <f>'Annual Raw'!C87+'Annual Raw'!C88+'Annual Raw'!C89+'Annual Raw'!C90</f>
        <v>0</v>
      </c>
      <c r="C293" s="23">
        <f>'Annual Raw'!D87+'Annual Raw'!D88+'Annual Raw'!D89+'Annual Raw'!D90</f>
        <v>0</v>
      </c>
      <c r="D293" s="23">
        <f>'Annual Raw'!E87+'Annual Raw'!E88+'Annual Raw'!E89+'Annual Raw'!E90</f>
        <v>0</v>
      </c>
      <c r="E293" s="23">
        <f>'Annual Raw'!F87+'Annual Raw'!F88+'Annual Raw'!F89+'Annual Raw'!F90</f>
        <v>0</v>
      </c>
      <c r="F293" s="23">
        <f>'Annual Raw'!G87+'Annual Raw'!G88+'Annual Raw'!G89+'Annual Raw'!G90</f>
        <v>0</v>
      </c>
      <c r="G293" s="23">
        <f>'Annual Raw'!H87+'Annual Raw'!H88+'Annual Raw'!H89+'Annual Raw'!H90</f>
        <v>0</v>
      </c>
      <c r="H293" s="23">
        <f>'Annual Raw'!I87+'Annual Raw'!I88+'Annual Raw'!I89+'Annual Raw'!I90</f>
        <v>0</v>
      </c>
      <c r="I293" s="23">
        <f>'Annual Raw'!J87+'Annual Raw'!J88+'Annual Raw'!J89+'Annual Raw'!J90</f>
        <v>0</v>
      </c>
      <c r="J293" s="23">
        <f>'Annual Raw'!K87+'Annual Raw'!K88+'Annual Raw'!K89+'Annual Raw'!K90</f>
        <v>0</v>
      </c>
      <c r="K293" s="23">
        <f>'Annual Raw'!L87+'Annual Raw'!L88+'Annual Raw'!L89+'Annual Raw'!L90</f>
        <v>0</v>
      </c>
      <c r="L293" s="23">
        <f>'Annual Raw'!M87+'Annual Raw'!M88+'Annual Raw'!M89+'Annual Raw'!M90</f>
        <v>4014.32</v>
      </c>
      <c r="M293" s="23">
        <f>'Annual Raw'!N87+'Annual Raw'!N88+'Annual Raw'!N89+'Annual Raw'!N90</f>
        <v>5701.3899999999994</v>
      </c>
      <c r="N293" s="23">
        <f>'Annual Raw'!O87+'Annual Raw'!O88+'Annual Raw'!O89+'Annual Raw'!O90</f>
        <v>7786.26</v>
      </c>
      <c r="O293" s="23">
        <f>'Annual Raw'!P87+'Annual Raw'!P88+'Annual Raw'!P89+'Annual Raw'!P90</f>
        <v>11542.11</v>
      </c>
      <c r="P293" s="23">
        <f>'Annual Raw'!Q87+'Annual Raw'!Q88+'Annual Raw'!Q89+'Annual Raw'!Q90</f>
        <v>8431.4</v>
      </c>
      <c r="Q293" s="23">
        <f>'Annual Raw'!R87+'Annual Raw'!R88+'Annual Raw'!R89+'Annual Raw'!R90</f>
        <v>12014.900000000001</v>
      </c>
      <c r="R293" s="23">
        <f>'Annual Raw'!S87+'Annual Raw'!S88+'Annual Raw'!S89+'Annual Raw'!S90</f>
        <v>10078.9</v>
      </c>
      <c r="S293" s="23">
        <f>'Annual Raw'!T87+'Annual Raw'!T88+'Annual Raw'!T89+'Annual Raw'!T90</f>
        <v>15277.470000000001</v>
      </c>
      <c r="T293" s="23">
        <f>'Annual Raw'!U87+'Annual Raw'!U88+'Annual Raw'!U89+'Annual Raw'!U90</f>
        <v>22210.539999999997</v>
      </c>
      <c r="U293" s="23">
        <f>'Annual Raw'!V87+'Annual Raw'!V88+'Annual Raw'!V89+'Annual Raw'!V90</f>
        <v>23654.77</v>
      </c>
      <c r="V293" s="23">
        <f>'Annual Raw'!W87+'Annual Raw'!W88+'Annual Raw'!W89+'Annual Raw'!W90</f>
        <v>22719.39</v>
      </c>
      <c r="W293" s="23">
        <f>'Annual Raw'!X87+'Annual Raw'!X88+'Annual Raw'!X89+'Annual Raw'!X90</f>
        <v>31372.959999999999</v>
      </c>
      <c r="X293" s="23">
        <f>'Annual Raw'!Y87+'Annual Raw'!Y88+'Annual Raw'!Y89+'Annual Raw'!Y90</f>
        <v>26399.379999999997</v>
      </c>
      <c r="Y293" s="23">
        <f>'Annual Raw'!Z87+'Annual Raw'!Z88+'Annual Raw'!Z89+'Annual Raw'!Z90</f>
        <v>29698.53</v>
      </c>
      <c r="Z293" s="23">
        <f>'Annual Raw'!AA87+'Annual Raw'!AA88+'Annual Raw'!AA89+'Annual Raw'!AA90</f>
        <v>36194.699999999997</v>
      </c>
      <c r="AA293" s="23">
        <f>'Annual Raw'!AB87+'Annual Raw'!AB88+'Annual Raw'!AB89+'Annual Raw'!AB90</f>
        <v>23165.899999999998</v>
      </c>
      <c r="AB293" s="24">
        <f t="shared" si="1688"/>
        <v>23165.9</v>
      </c>
      <c r="AC293" s="24">
        <f t="shared" si="1689"/>
        <v>23165.9</v>
      </c>
      <c r="AD293" s="24">
        <f t="shared" si="1690"/>
        <v>23165.9</v>
      </c>
      <c r="AE293" s="24">
        <f t="shared" si="1691"/>
        <v>23165.9</v>
      </c>
      <c r="AJ293" s="23">
        <f>+'QTR Raw'!D90</f>
        <v>2483.42</v>
      </c>
      <c r="AK293" s="23">
        <f t="shared" si="1692"/>
        <v>2483.42</v>
      </c>
      <c r="AL293" s="23">
        <f>+'QTR Raw'!F90</f>
        <v>7313.73</v>
      </c>
      <c r="AM293" s="23">
        <f t="shared" si="1692"/>
        <v>7313.73</v>
      </c>
      <c r="AN293" s="23">
        <f>+'QTR Raw'!H90</f>
        <v>8514.2000000000007</v>
      </c>
      <c r="AO293" s="23">
        <f t="shared" si="1692"/>
        <v>8514.2000000000007</v>
      </c>
      <c r="AP293" s="23">
        <f>+'QTR Raw'!J90</f>
        <v>11026.98</v>
      </c>
      <c r="AQ293" s="23">
        <f t="shared" si="1692"/>
        <v>11026.98</v>
      </c>
      <c r="AR293" s="23">
        <f>+'QTR Raw'!L90</f>
        <v>8893.15</v>
      </c>
      <c r="AS293" s="23">
        <f t="shared" si="1692"/>
        <v>8893.15</v>
      </c>
      <c r="AT293" s="23">
        <f>+'QTR Raw'!N90</f>
        <v>8304.16</v>
      </c>
      <c r="AU293" s="23">
        <f t="shared" si="1692"/>
        <v>8304.16</v>
      </c>
      <c r="AV293" s="23">
        <f>+'QTR Raw'!P90</f>
        <v>9997.2099999999991</v>
      </c>
      <c r="AW293" s="23">
        <f t="shared" si="1692"/>
        <v>9997.2099999999991</v>
      </c>
      <c r="AX293" s="23">
        <f>+'QTR Raw'!R90</f>
        <v>12014.9</v>
      </c>
      <c r="AY293" s="23">
        <f t="shared" si="1692"/>
        <v>12014.9</v>
      </c>
      <c r="AZ293" s="23">
        <f>+'QTR Raw'!T90</f>
        <v>11116.72</v>
      </c>
      <c r="BA293" s="23">
        <f t="shared" si="1692"/>
        <v>11116.72</v>
      </c>
      <c r="BB293" s="23">
        <f>+'QTR Raw'!V90</f>
        <v>10078.9</v>
      </c>
      <c r="BC293" s="23">
        <f t="shared" si="1692"/>
        <v>10078.9</v>
      </c>
      <c r="BD293" s="23">
        <f>+'QTR Raw'!X90</f>
        <v>11344.35</v>
      </c>
      <c r="BE293" s="23">
        <f t="shared" si="1692"/>
        <v>11344.35</v>
      </c>
      <c r="BF293" s="23">
        <f>+'QTR Raw'!Z90</f>
        <v>15277.47</v>
      </c>
      <c r="BG293" s="23">
        <f t="shared" si="1692"/>
        <v>15277.47</v>
      </c>
      <c r="BH293" s="22">
        <f>+'QTR Raw'!AB90</f>
        <v>13291.48</v>
      </c>
      <c r="BI293" s="23">
        <f t="shared" si="1692"/>
        <v>13291.48</v>
      </c>
      <c r="BJ293" s="23">
        <f>+'QTR Raw'!AD90</f>
        <v>22210.54</v>
      </c>
      <c r="BK293" s="23">
        <f t="shared" si="1692"/>
        <v>22210.54</v>
      </c>
      <c r="BL293" s="23">
        <f>+'QTR Raw'!AF90</f>
        <v>29317.48</v>
      </c>
      <c r="BM293" s="23">
        <f t="shared" si="1692"/>
        <v>29317.48</v>
      </c>
      <c r="BN293" s="23">
        <f>+'QTR Raw'!AH90</f>
        <v>23654.77</v>
      </c>
      <c r="BO293" s="23">
        <f t="shared" si="1692"/>
        <v>23654.77</v>
      </c>
      <c r="BP293" s="23">
        <f>+'QTR Raw'!AJ90</f>
        <v>18501.060000000001</v>
      </c>
      <c r="BQ293" s="23">
        <f t="shared" si="1692"/>
        <v>18501.060000000001</v>
      </c>
      <c r="BR293" s="23">
        <f>+'QTR Raw'!AL90</f>
        <v>22719.39</v>
      </c>
      <c r="BS293" s="23">
        <f t="shared" si="1692"/>
        <v>22719.39</v>
      </c>
      <c r="BT293" s="23">
        <f>+'QTR Raw'!AN90</f>
        <v>26826.959999999999</v>
      </c>
      <c r="BU293" s="23">
        <f t="shared" si="1692"/>
        <v>26826.959999999999</v>
      </c>
      <c r="BV293" s="23">
        <f>+'QTR Raw'!AP90</f>
        <v>31372.959999999999</v>
      </c>
      <c r="BW293" s="23">
        <f t="shared" si="1692"/>
        <v>31372.959999999999</v>
      </c>
      <c r="BX293" s="23">
        <f>+'QTR Raw'!AR90</f>
        <v>33234.67</v>
      </c>
      <c r="BY293" s="23">
        <f t="shared" si="1692"/>
        <v>33234.67</v>
      </c>
      <c r="BZ293" s="23">
        <f>+'QTR Raw'!AT90</f>
        <v>26399.38</v>
      </c>
      <c r="CA293" s="23">
        <f t="shared" si="1692"/>
        <v>26399.38</v>
      </c>
      <c r="CB293" s="23">
        <f>+'QTR Raw'!AV90</f>
        <v>25195.35</v>
      </c>
      <c r="CC293" s="23">
        <f t="shared" si="1692"/>
        <v>25195.35</v>
      </c>
      <c r="CD293" s="23">
        <f>+'QTR Raw'!AX90</f>
        <v>29698.53</v>
      </c>
      <c r="CE293" s="23">
        <f t="shared" si="1693"/>
        <v>29698.53</v>
      </c>
      <c r="CF293" s="23">
        <f>+'QTR Raw'!AZ90</f>
        <v>34179.199999999997</v>
      </c>
      <c r="CG293" s="23">
        <f t="shared" si="1694"/>
        <v>34179.199999999997</v>
      </c>
      <c r="CH293" s="23">
        <f>+Z293</f>
        <v>36194.699999999997</v>
      </c>
      <c r="CI293" s="23">
        <f t="shared" si="1694"/>
        <v>36194.699999999997</v>
      </c>
      <c r="CJ293" s="23">
        <f>+'QTR Raw'!BD90</f>
        <v>30023.51</v>
      </c>
      <c r="CK293" s="23">
        <f t="shared" si="1695"/>
        <v>30023.51</v>
      </c>
      <c r="CL293" s="23">
        <f>+'QTR Raw'!BF90</f>
        <v>23165.9</v>
      </c>
      <c r="CM293" s="24">
        <f t="shared" si="1696"/>
        <v>23165.9</v>
      </c>
      <c r="CN293" s="24">
        <f t="shared" si="1697"/>
        <v>23165.9</v>
      </c>
      <c r="CO293" s="24">
        <f t="shared" si="1698"/>
        <v>23165.9</v>
      </c>
      <c r="CP293" s="24">
        <f t="shared" si="1699"/>
        <v>23165.9</v>
      </c>
      <c r="CQ293" s="24">
        <f t="shared" si="1700"/>
        <v>23165.9</v>
      </c>
      <c r="CR293" s="24">
        <f t="shared" si="1701"/>
        <v>23165.9</v>
      </c>
      <c r="CS293" s="24">
        <f t="shared" si="1702"/>
        <v>23165.9</v>
      </c>
      <c r="CT293" s="24">
        <f t="shared" si="1703"/>
        <v>23165.9</v>
      </c>
      <c r="CU293" s="24">
        <f t="shared" si="1704"/>
        <v>23165.9</v>
      </c>
      <c r="CV293" s="24">
        <f t="shared" si="1705"/>
        <v>23165.9</v>
      </c>
      <c r="CW293" s="24">
        <f t="shared" si="1706"/>
        <v>23165.9</v>
      </c>
      <c r="CX293" s="24">
        <f t="shared" si="1707"/>
        <v>23165.9</v>
      </c>
      <c r="CY293" s="24">
        <f t="shared" si="1708"/>
        <v>23165.9</v>
      </c>
      <c r="CZ293" s="24">
        <f t="shared" si="1709"/>
        <v>23165.9</v>
      </c>
      <c r="DA293" s="24">
        <f t="shared" si="1710"/>
        <v>23165.9</v>
      </c>
      <c r="DB293" s="24">
        <f t="shared" si="1711"/>
        <v>23165.9</v>
      </c>
      <c r="DE293" s="123"/>
      <c r="DF293" s="23">
        <v>23165.899999999998</v>
      </c>
    </row>
    <row r="294" spans="1:110" s="23" customFormat="1" outlineLevel="1" x14ac:dyDescent="0.2">
      <c r="A294" s="23" t="s">
        <v>48</v>
      </c>
      <c r="B294" s="23">
        <f>'Annual Raw'!C56</f>
        <v>0</v>
      </c>
      <c r="C294" s="23">
        <f>'Annual Raw'!D56</f>
        <v>0</v>
      </c>
      <c r="D294" s="23">
        <f>'Annual Raw'!E56</f>
        <v>0</v>
      </c>
      <c r="E294" s="23">
        <f>'Annual Raw'!F56</f>
        <v>0</v>
      </c>
      <c r="F294" s="23">
        <f>'Annual Raw'!G56</f>
        <v>0</v>
      </c>
      <c r="G294" s="23">
        <f>'Annual Raw'!H56</f>
        <v>0</v>
      </c>
      <c r="H294" s="23">
        <f>'Annual Raw'!I56</f>
        <v>0</v>
      </c>
      <c r="I294" s="23">
        <f>'Annual Raw'!J56</f>
        <v>0</v>
      </c>
      <c r="J294" s="23">
        <f>'Annual Raw'!K56</f>
        <v>0</v>
      </c>
      <c r="K294" s="23">
        <f>'Annual Raw'!L56</f>
        <v>0</v>
      </c>
      <c r="L294" s="23">
        <f>'Annual Raw'!M56</f>
        <v>4036.83</v>
      </c>
      <c r="M294" s="23">
        <f>'Annual Raw'!N56</f>
        <v>5256.36</v>
      </c>
      <c r="N294" s="23">
        <f>'Annual Raw'!O56</f>
        <v>7965.76</v>
      </c>
      <c r="O294" s="23">
        <f>'Annual Raw'!P56</f>
        <v>13858.52</v>
      </c>
      <c r="P294" s="23">
        <f>'Annual Raw'!Q56</f>
        <v>16729.39</v>
      </c>
      <c r="Q294" s="23">
        <f>'Annual Raw'!R56</f>
        <v>14896.75</v>
      </c>
      <c r="R294" s="23">
        <f>'Annual Raw'!S56</f>
        <v>16534.47</v>
      </c>
      <c r="S294" s="23">
        <f>'Annual Raw'!T56</f>
        <v>19331.849999999999</v>
      </c>
      <c r="T294" s="23">
        <f>'Annual Raw'!U56</f>
        <v>29223.84</v>
      </c>
      <c r="U294" s="23">
        <f>'Annual Raw'!V56</f>
        <v>35021.019999999997</v>
      </c>
      <c r="V294" s="23">
        <f>'Annual Raw'!W56</f>
        <v>27765.83</v>
      </c>
      <c r="W294" s="23">
        <f>'Annual Raw'!X56</f>
        <v>30476.959999999999</v>
      </c>
      <c r="X294" s="23">
        <f>'Annual Raw'!Y56</f>
        <v>30896.32</v>
      </c>
      <c r="Y294" s="23">
        <f>'Annual Raw'!Z56</f>
        <v>27834.27</v>
      </c>
      <c r="Z294" s="23">
        <f>'Annual Raw'!AA56</f>
        <v>35861.300000000003</v>
      </c>
      <c r="AA294" s="23">
        <f>'Annual Raw'!AB56</f>
        <v>34778.53</v>
      </c>
      <c r="AB294" s="24">
        <f t="shared" si="1688"/>
        <v>34778.53</v>
      </c>
      <c r="AC294" s="24">
        <f t="shared" si="1689"/>
        <v>34778.53</v>
      </c>
      <c r="AD294" s="24">
        <f t="shared" si="1690"/>
        <v>34778.53</v>
      </c>
      <c r="AE294" s="24">
        <f t="shared" si="1691"/>
        <v>34778.53</v>
      </c>
      <c r="AJ294" s="23">
        <f>+'QTR Raw'!D88</f>
        <v>3806.26</v>
      </c>
      <c r="AK294" s="23">
        <f t="shared" si="1692"/>
        <v>3806.26</v>
      </c>
      <c r="AL294" s="23">
        <f>+'QTR Raw'!F88</f>
        <v>7965.76</v>
      </c>
      <c r="AM294" s="23">
        <f t="shared" si="1692"/>
        <v>7965.76</v>
      </c>
      <c r="AN294" s="23">
        <f>+'QTR Raw'!H88</f>
        <v>11944.73</v>
      </c>
      <c r="AO294" s="23">
        <f t="shared" si="1692"/>
        <v>11944.73</v>
      </c>
      <c r="AP294" s="23">
        <f>+'QTR Raw'!J88</f>
        <v>13858.52</v>
      </c>
      <c r="AQ294" s="23">
        <f t="shared" si="1692"/>
        <v>13858.52</v>
      </c>
      <c r="AR294" s="23">
        <f>+'QTR Raw'!L88</f>
        <v>18606.62</v>
      </c>
      <c r="AS294" s="23">
        <f t="shared" si="1692"/>
        <v>18606.62</v>
      </c>
      <c r="AT294" s="23">
        <f>+'QTR Raw'!N88</f>
        <v>16729.39</v>
      </c>
      <c r="AU294" s="23">
        <f t="shared" si="1692"/>
        <v>16729.39</v>
      </c>
      <c r="AV294" s="23">
        <f>+'QTR Raw'!P88</f>
        <v>20033.52</v>
      </c>
      <c r="AW294" s="23">
        <f t="shared" si="1692"/>
        <v>20033.52</v>
      </c>
      <c r="AX294" s="23">
        <f>+'QTR Raw'!R88</f>
        <v>14896.75</v>
      </c>
      <c r="AY294" s="23">
        <f t="shared" si="1692"/>
        <v>14896.75</v>
      </c>
      <c r="AZ294" s="23">
        <f>+'QTR Raw'!T88</f>
        <v>18175.38</v>
      </c>
      <c r="BA294" s="23">
        <f t="shared" si="1692"/>
        <v>18175.38</v>
      </c>
      <c r="BB294" s="23">
        <f>+'QTR Raw'!V88</f>
        <v>16534.47</v>
      </c>
      <c r="BC294" s="23">
        <f t="shared" si="1692"/>
        <v>16534.47</v>
      </c>
      <c r="BD294" s="23">
        <f>+'QTR Raw'!X88</f>
        <v>23834.240000000002</v>
      </c>
      <c r="BE294" s="23">
        <f t="shared" si="1692"/>
        <v>23834.240000000002</v>
      </c>
      <c r="BF294" s="23">
        <f>+'QTR Raw'!Z88</f>
        <v>19331.849999999999</v>
      </c>
      <c r="BG294" s="23">
        <f t="shared" si="1692"/>
        <v>19331.849999999999</v>
      </c>
      <c r="BH294" s="23">
        <f>+'QTR Raw'!AB88</f>
        <v>34734.83</v>
      </c>
      <c r="BI294" s="23">
        <f t="shared" si="1692"/>
        <v>34734.83</v>
      </c>
      <c r="BJ294" s="23">
        <f>+'QTR Raw'!AD88</f>
        <v>29223.84</v>
      </c>
      <c r="BK294" s="23">
        <f t="shared" si="1692"/>
        <v>29223.84</v>
      </c>
      <c r="BL294" s="23">
        <f>+'QTR Raw'!AF88</f>
        <v>34870.68</v>
      </c>
      <c r="BM294" s="23">
        <f t="shared" si="1692"/>
        <v>34870.68</v>
      </c>
      <c r="BN294" s="23">
        <f>+'QTR Raw'!AH88</f>
        <v>35021.019999999997</v>
      </c>
      <c r="BO294" s="23">
        <f t="shared" si="1692"/>
        <v>35021.019999999997</v>
      </c>
      <c r="BP294" s="23">
        <f>+'QTR Raw'!AJ88</f>
        <v>39176.230000000003</v>
      </c>
      <c r="BQ294" s="23">
        <f t="shared" si="1692"/>
        <v>39176.230000000003</v>
      </c>
      <c r="BR294" s="23">
        <f>+'QTR Raw'!AL88</f>
        <v>27765.83</v>
      </c>
      <c r="BS294" s="23">
        <f t="shared" si="1692"/>
        <v>27765.83</v>
      </c>
      <c r="BT294" s="23">
        <f>+'QTR Raw'!AN88</f>
        <v>25689.5</v>
      </c>
      <c r="BU294" s="23">
        <f t="shared" si="1692"/>
        <v>25689.5</v>
      </c>
      <c r="BV294" s="23">
        <f>+'QTR Raw'!AP88</f>
        <v>30476.959999999999</v>
      </c>
      <c r="BW294" s="23">
        <f t="shared" si="1692"/>
        <v>30476.959999999999</v>
      </c>
      <c r="BX294" s="23">
        <f>+'QTR Raw'!AR88</f>
        <v>37031.56</v>
      </c>
      <c r="BY294" s="23">
        <f t="shared" si="1692"/>
        <v>37031.56</v>
      </c>
      <c r="BZ294" s="23">
        <f>+'QTR Raw'!AT88</f>
        <v>30896.32</v>
      </c>
      <c r="CA294" s="23">
        <f t="shared" si="1692"/>
        <v>30896.32</v>
      </c>
      <c r="CB294" s="23">
        <f>+'QTR Raw'!AV88</f>
        <v>36147.51</v>
      </c>
      <c r="CC294" s="23">
        <f t="shared" si="1692"/>
        <v>36147.51</v>
      </c>
      <c r="CD294" s="23">
        <f>+'QTR Raw'!AX88</f>
        <v>27834.27</v>
      </c>
      <c r="CE294" s="23">
        <f t="shared" si="1693"/>
        <v>27834.27</v>
      </c>
      <c r="CF294" s="23">
        <f>+'QTR Raw'!AZ88</f>
        <v>38434</v>
      </c>
      <c r="CG294" s="23">
        <f t="shared" si="1694"/>
        <v>38434</v>
      </c>
      <c r="CH294" s="23">
        <f t="shared" si="1670"/>
        <v>35861.300000000003</v>
      </c>
      <c r="CI294" s="23">
        <f t="shared" si="1694"/>
        <v>35861.300000000003</v>
      </c>
      <c r="CJ294" s="23">
        <f>+'QTR Raw'!BD88</f>
        <v>33655.71</v>
      </c>
      <c r="CK294" s="23">
        <f t="shared" si="1695"/>
        <v>33655.71</v>
      </c>
      <c r="CL294" s="23">
        <f>+'QTR Raw'!BF88</f>
        <v>34778.53</v>
      </c>
      <c r="CM294" s="24">
        <f t="shared" si="1696"/>
        <v>34778.53</v>
      </c>
      <c r="CN294" s="24">
        <f t="shared" si="1697"/>
        <v>34778.53</v>
      </c>
      <c r="CO294" s="24">
        <f t="shared" si="1698"/>
        <v>34778.53</v>
      </c>
      <c r="CP294" s="24">
        <f t="shared" si="1699"/>
        <v>34778.53</v>
      </c>
      <c r="CQ294" s="24">
        <f t="shared" si="1700"/>
        <v>34778.53</v>
      </c>
      <c r="CR294" s="24">
        <f t="shared" si="1701"/>
        <v>34778.53</v>
      </c>
      <c r="CS294" s="24">
        <f t="shared" si="1702"/>
        <v>34778.53</v>
      </c>
      <c r="CT294" s="24">
        <f t="shared" si="1703"/>
        <v>34778.53</v>
      </c>
      <c r="CU294" s="24">
        <f t="shared" si="1704"/>
        <v>34778.53</v>
      </c>
      <c r="CV294" s="24">
        <f t="shared" si="1705"/>
        <v>34778.53</v>
      </c>
      <c r="CW294" s="24">
        <f t="shared" si="1706"/>
        <v>34778.53</v>
      </c>
      <c r="CX294" s="24">
        <f t="shared" si="1707"/>
        <v>34778.53</v>
      </c>
      <c r="CY294" s="24">
        <f t="shared" si="1708"/>
        <v>34778.53</v>
      </c>
      <c r="CZ294" s="24">
        <f t="shared" si="1709"/>
        <v>34778.53</v>
      </c>
      <c r="DA294" s="24">
        <f t="shared" si="1710"/>
        <v>34778.53</v>
      </c>
      <c r="DB294" s="24">
        <f t="shared" si="1711"/>
        <v>34778.53</v>
      </c>
      <c r="DE294" s="123"/>
      <c r="DF294" s="23">
        <v>34778.53</v>
      </c>
    </row>
    <row r="295" spans="1:110" s="22" customFormat="1" x14ac:dyDescent="0.2">
      <c r="A295" s="22" t="s">
        <v>49</v>
      </c>
      <c r="B295" s="22">
        <f>SUM(B291:B294)</f>
        <v>4263.3899999999994</v>
      </c>
      <c r="C295" s="22">
        <f t="shared" ref="C295:V295" si="1712">SUM(C291:C294)</f>
        <v>4978.09</v>
      </c>
      <c r="D295" s="22">
        <f t="shared" si="1712"/>
        <v>4700.8900000000003</v>
      </c>
      <c r="E295" s="22">
        <f t="shared" si="1712"/>
        <v>2769.22</v>
      </c>
      <c r="F295" s="22">
        <f t="shared" si="1712"/>
        <v>3453.83</v>
      </c>
      <c r="G295" s="22">
        <f t="shared" si="1712"/>
        <v>3498.69</v>
      </c>
      <c r="H295" s="22">
        <f t="shared" si="1712"/>
        <v>6432.2199999999993</v>
      </c>
      <c r="I295" s="22">
        <f t="shared" si="1712"/>
        <v>12315.93</v>
      </c>
      <c r="J295" s="22">
        <f t="shared" si="1712"/>
        <v>20370.04</v>
      </c>
      <c r="K295" s="22">
        <f t="shared" si="1712"/>
        <v>24607.32</v>
      </c>
      <c r="L295" s="22">
        <f t="shared" si="1712"/>
        <v>37309.96</v>
      </c>
      <c r="M295" s="22">
        <f t="shared" si="1712"/>
        <v>51567.75</v>
      </c>
      <c r="N295" s="22">
        <f t="shared" si="1712"/>
        <v>66625.61</v>
      </c>
      <c r="O295" s="22">
        <f t="shared" si="1712"/>
        <v>83812.27</v>
      </c>
      <c r="P295" s="22">
        <f t="shared" si="1712"/>
        <v>93629.549999999988</v>
      </c>
      <c r="Q295" s="22">
        <f t="shared" si="1712"/>
        <v>88135.489999999991</v>
      </c>
      <c r="R295" s="22">
        <f t="shared" si="1712"/>
        <v>93953.95</v>
      </c>
      <c r="S295" s="22">
        <f t="shared" si="1712"/>
        <v>107524.08000000002</v>
      </c>
      <c r="T295" s="22">
        <f t="shared" si="1712"/>
        <v>125555.16999999998</v>
      </c>
      <c r="U295" s="22">
        <f t="shared" si="1712"/>
        <v>141007.12</v>
      </c>
      <c r="V295" s="22">
        <f t="shared" si="1712"/>
        <v>132605.26</v>
      </c>
      <c r="W295" s="22">
        <f t="shared" ref="W295" si="1713">SUM(W291:W294)</f>
        <v>123468.23000000001</v>
      </c>
      <c r="X295" s="22">
        <f t="shared" ref="X295:Y295" si="1714">SUM(X291:X294)</f>
        <v>118513.38</v>
      </c>
      <c r="Y295" s="22">
        <f t="shared" si="1714"/>
        <v>114039.77</v>
      </c>
      <c r="Z295" s="22">
        <f t="shared" ref="Z295:AA295" si="1715">SUM(Z291:Z294)</f>
        <v>129559.34000000001</v>
      </c>
      <c r="AA295" s="22">
        <f t="shared" si="1715"/>
        <v>121683.02</v>
      </c>
      <c r="AB295" s="21">
        <f t="shared" ref="AB295:AD295" si="1716">SUM(AB291:AB294)</f>
        <v>121683.01999999999</v>
      </c>
      <c r="AC295" s="21">
        <f t="shared" si="1716"/>
        <v>121683.01999999999</v>
      </c>
      <c r="AD295" s="21">
        <f t="shared" si="1716"/>
        <v>121683.01999999999</v>
      </c>
      <c r="AE295" s="21">
        <f t="shared" ref="AE295" si="1717">SUM(AE291:AE294)</f>
        <v>121683.01999999999</v>
      </c>
      <c r="AJ295" s="22">
        <f t="shared" ref="AJ295" si="1718">SUM(AJ291:AJ294)</f>
        <v>12039.640000000001</v>
      </c>
      <c r="AK295" s="22">
        <f t="shared" ref="AK295" si="1719">SUM(AK291:AK294)</f>
        <v>12039.640000000001</v>
      </c>
      <c r="AL295" s="22">
        <f t="shared" ref="AL295:AM295" si="1720">SUM(AL291:AL294)</f>
        <v>62671.63</v>
      </c>
      <c r="AM295" s="22">
        <f t="shared" si="1720"/>
        <v>62671.63</v>
      </c>
      <c r="AN295" s="22">
        <f t="shared" ref="AN295:AO295" si="1721">SUM(AN291:AN294)</f>
        <v>74161.319999999992</v>
      </c>
      <c r="AO295" s="22">
        <f t="shared" si="1721"/>
        <v>74161.319999999992</v>
      </c>
      <c r="AP295" s="22">
        <f t="shared" ref="AP295:CE295" si="1722">SUM(AP291:AP294)</f>
        <v>80330.39</v>
      </c>
      <c r="AQ295" s="22">
        <f t="shared" si="1722"/>
        <v>80330.39</v>
      </c>
      <c r="AR295" s="22">
        <f t="shared" si="1722"/>
        <v>85233.4</v>
      </c>
      <c r="AS295" s="22">
        <f t="shared" si="1722"/>
        <v>85233.4</v>
      </c>
      <c r="AT295" s="22">
        <f t="shared" si="1722"/>
        <v>90570.73</v>
      </c>
      <c r="AU295" s="22">
        <f t="shared" si="1722"/>
        <v>90570.73</v>
      </c>
      <c r="AV295" s="22">
        <f t="shared" si="1722"/>
        <v>98264.970000000016</v>
      </c>
      <c r="AW295" s="22">
        <f t="shared" si="1722"/>
        <v>98264.970000000016</v>
      </c>
      <c r="AX295" s="22">
        <f t="shared" si="1722"/>
        <v>88135.489999999991</v>
      </c>
      <c r="AY295" s="22">
        <f t="shared" si="1722"/>
        <v>88135.489999999991</v>
      </c>
      <c r="AZ295" s="22">
        <f t="shared" si="1722"/>
        <v>90796.45</v>
      </c>
      <c r="BA295" s="22">
        <f t="shared" si="1722"/>
        <v>90796.45</v>
      </c>
      <c r="BB295" s="22">
        <f t="shared" si="1722"/>
        <v>93953.95</v>
      </c>
      <c r="BC295" s="22">
        <f t="shared" si="1722"/>
        <v>93953.95</v>
      </c>
      <c r="BD295" s="22">
        <f t="shared" si="1722"/>
        <v>102805.13</v>
      </c>
      <c r="BE295" s="22">
        <f t="shared" si="1722"/>
        <v>102805.13</v>
      </c>
      <c r="BF295" s="22">
        <f t="shared" si="1722"/>
        <v>107524.07999999999</v>
      </c>
      <c r="BG295" s="22">
        <f t="shared" si="1722"/>
        <v>107524.07999999999</v>
      </c>
      <c r="BH295" s="22">
        <f t="shared" ref="BH295" si="1723">SUM(BH291:BH294)</f>
        <v>123553.20999999999</v>
      </c>
      <c r="BI295" s="22">
        <f t="shared" si="1722"/>
        <v>123553.20999999999</v>
      </c>
      <c r="BJ295" s="22">
        <f t="shared" si="1722"/>
        <v>125555.16999999998</v>
      </c>
      <c r="BK295" s="22">
        <f t="shared" si="1722"/>
        <v>125555.16999999998</v>
      </c>
      <c r="BL295" s="22">
        <f t="shared" si="1722"/>
        <v>133016.82999999999</v>
      </c>
      <c r="BM295" s="22">
        <f t="shared" si="1722"/>
        <v>133016.82999999999</v>
      </c>
      <c r="BN295" s="22">
        <f t="shared" si="1722"/>
        <v>141007.12</v>
      </c>
      <c r="BO295" s="22">
        <f t="shared" si="1722"/>
        <v>141007.12</v>
      </c>
      <c r="BP295" s="22">
        <f t="shared" si="1722"/>
        <v>146621.35</v>
      </c>
      <c r="BQ295" s="22">
        <f t="shared" si="1722"/>
        <v>146621.35</v>
      </c>
      <c r="BR295" s="22">
        <f t="shared" si="1722"/>
        <v>132605.26</v>
      </c>
      <c r="BS295" s="22">
        <f t="shared" si="1722"/>
        <v>132605.26</v>
      </c>
      <c r="BT295" s="22">
        <f t="shared" si="1722"/>
        <v>125026.34</v>
      </c>
      <c r="BU295" s="22">
        <f t="shared" si="1722"/>
        <v>125026.34</v>
      </c>
      <c r="BV295" s="22">
        <f t="shared" si="1722"/>
        <v>123468.22999999998</v>
      </c>
      <c r="BW295" s="22">
        <f t="shared" si="1722"/>
        <v>123468.22999999998</v>
      </c>
      <c r="BX295" s="22">
        <f t="shared" si="1722"/>
        <v>127046.76</v>
      </c>
      <c r="BY295" s="22">
        <f t="shared" si="1722"/>
        <v>127046.76</v>
      </c>
      <c r="BZ295" s="22">
        <f t="shared" si="1722"/>
        <v>118513.38</v>
      </c>
      <c r="CA295" s="22">
        <f t="shared" si="1722"/>
        <v>118513.38</v>
      </c>
      <c r="CB295" s="22">
        <f t="shared" si="1722"/>
        <v>119736.23999999999</v>
      </c>
      <c r="CC295" s="22">
        <f t="shared" si="1722"/>
        <v>119736.23999999999</v>
      </c>
      <c r="CD295" s="22">
        <f t="shared" si="1722"/>
        <v>114039.77</v>
      </c>
      <c r="CE295" s="22">
        <f t="shared" si="1722"/>
        <v>114039.77</v>
      </c>
      <c r="CF295" s="22">
        <f t="shared" ref="CF295:CG295" si="1724">SUM(CF291:CF294)</f>
        <v>123571.59</v>
      </c>
      <c r="CG295" s="22">
        <f t="shared" si="1724"/>
        <v>123571.59</v>
      </c>
      <c r="CH295" s="22">
        <f t="shared" ref="CH295:CI295" si="1725">SUM(CH291:CH294)</f>
        <v>129559.34000000001</v>
      </c>
      <c r="CI295" s="22">
        <f t="shared" si="1725"/>
        <v>129559.34000000001</v>
      </c>
      <c r="CJ295" s="22">
        <f t="shared" ref="CJ295:DB295" si="1726">SUM(CJ291:CJ294)</f>
        <v>130621.76999999999</v>
      </c>
      <c r="CK295" s="22">
        <f t="shared" si="1726"/>
        <v>130621.76999999999</v>
      </c>
      <c r="CL295" s="22">
        <f t="shared" ref="CL295" si="1727">SUM(CL291:CL294)</f>
        <v>121683.01999999999</v>
      </c>
      <c r="CM295" s="21">
        <f t="shared" si="1726"/>
        <v>121683.01999999999</v>
      </c>
      <c r="CN295" s="21">
        <f t="shared" si="1726"/>
        <v>121683.01999999999</v>
      </c>
      <c r="CO295" s="21">
        <f t="shared" si="1726"/>
        <v>121683.01999999999</v>
      </c>
      <c r="CP295" s="21">
        <f t="shared" si="1726"/>
        <v>121683.01999999999</v>
      </c>
      <c r="CQ295" s="21">
        <f t="shared" si="1726"/>
        <v>121683.01999999999</v>
      </c>
      <c r="CR295" s="21">
        <f t="shared" si="1726"/>
        <v>121683.01999999999</v>
      </c>
      <c r="CS295" s="21">
        <f t="shared" si="1726"/>
        <v>121683.01999999999</v>
      </c>
      <c r="CT295" s="21">
        <f t="shared" si="1726"/>
        <v>121683.01999999999</v>
      </c>
      <c r="CU295" s="21">
        <f t="shared" si="1726"/>
        <v>121683.01999999999</v>
      </c>
      <c r="CV295" s="21">
        <f t="shared" si="1726"/>
        <v>121683.01999999999</v>
      </c>
      <c r="CW295" s="21">
        <f t="shared" si="1726"/>
        <v>121683.01999999999</v>
      </c>
      <c r="CX295" s="21">
        <f t="shared" si="1726"/>
        <v>121683.01999999999</v>
      </c>
      <c r="CY295" s="21">
        <f t="shared" si="1726"/>
        <v>121683.01999999999</v>
      </c>
      <c r="CZ295" s="21">
        <f t="shared" si="1726"/>
        <v>121683.01999999999</v>
      </c>
      <c r="DA295" s="21">
        <f t="shared" si="1726"/>
        <v>121683.01999999999</v>
      </c>
      <c r="DB295" s="21">
        <f t="shared" si="1726"/>
        <v>121683.01999999999</v>
      </c>
      <c r="DE295" s="126"/>
      <c r="DF295" s="22">
        <v>121683.02</v>
      </c>
    </row>
    <row r="296" spans="1:110" s="26" customFormat="1" x14ac:dyDescent="0.2">
      <c r="A296" s="26" t="s">
        <v>437</v>
      </c>
      <c r="B296" s="26">
        <f>B295+B287+B289</f>
        <v>8262.7999999999993</v>
      </c>
      <c r="C296" s="26">
        <f t="shared" ref="C296:V296" si="1728">C295+C287+C289</f>
        <v>8160.0499999999993</v>
      </c>
      <c r="D296" s="26">
        <f>D295+D287+D289</f>
        <v>7967.6399999999994</v>
      </c>
      <c r="E296" s="26">
        <f t="shared" si="1728"/>
        <v>5470.62</v>
      </c>
      <c r="F296" s="26">
        <f t="shared" si="1728"/>
        <v>6874.5300000000007</v>
      </c>
      <c r="G296" s="26">
        <f t="shared" si="1728"/>
        <v>8569.7999999999993</v>
      </c>
      <c r="H296" s="26">
        <f t="shared" si="1728"/>
        <v>13999.470000000001</v>
      </c>
      <c r="I296" s="26">
        <f t="shared" si="1728"/>
        <v>24069.66</v>
      </c>
      <c r="J296" s="26">
        <f t="shared" si="1728"/>
        <v>35416.320000000007</v>
      </c>
      <c r="K296" s="26">
        <f t="shared" si="1728"/>
        <v>46685.83</v>
      </c>
      <c r="L296" s="26">
        <f t="shared" si="1728"/>
        <v>63386.509999999995</v>
      </c>
      <c r="M296" s="26">
        <f t="shared" si="1728"/>
        <v>82707.990000000005</v>
      </c>
      <c r="N296" s="26">
        <f t="shared" si="1728"/>
        <v>103138.17</v>
      </c>
      <c r="O296" s="26">
        <f t="shared" si="1728"/>
        <v>124703.06</v>
      </c>
      <c r="P296" s="26">
        <f t="shared" si="1728"/>
        <v>139537.24</v>
      </c>
      <c r="Q296" s="26">
        <f t="shared" si="1728"/>
        <v>135208.68999999997</v>
      </c>
      <c r="R296" s="26">
        <f t="shared" si="1728"/>
        <v>147734.07</v>
      </c>
      <c r="S296" s="26">
        <f t="shared" si="1728"/>
        <v>167629.01</v>
      </c>
      <c r="T296" s="26">
        <f t="shared" si="1728"/>
        <v>194756.07999999996</v>
      </c>
      <c r="U296" s="26">
        <f t="shared" si="1728"/>
        <v>217251.16999999998</v>
      </c>
      <c r="V296" s="26">
        <f t="shared" si="1728"/>
        <v>220525.32</v>
      </c>
      <c r="W296" s="26">
        <f t="shared" ref="W296" si="1729">W295+W287+W289</f>
        <v>218841.96000000002</v>
      </c>
      <c r="X296" s="26">
        <f t="shared" ref="X296:Y296" si="1730">X295+X287+X289</f>
        <v>222080.6</v>
      </c>
      <c r="Y296" s="26">
        <f t="shared" si="1730"/>
        <v>216589.43000000002</v>
      </c>
      <c r="Z296" s="26">
        <f t="shared" ref="Z296:AA296" si="1731">Z295+Z287+Z289</f>
        <v>244963.02000000002</v>
      </c>
      <c r="AA296" s="26">
        <f t="shared" si="1731"/>
        <v>250213.48</v>
      </c>
      <c r="AB296" s="27">
        <f t="shared" ref="AB296:AD296" si="1732">AB295+AB287+AB289</f>
        <v>272037.74973389838</v>
      </c>
      <c r="AC296" s="27">
        <f t="shared" si="1732"/>
        <v>298329.25164705777</v>
      </c>
      <c r="AD296" s="27">
        <f t="shared" si="1732"/>
        <v>329903.15851904918</v>
      </c>
      <c r="AE296" s="27">
        <f t="shared" ref="AE296" si="1733">AE295+AE287+AE289</f>
        <v>367521.26415390056</v>
      </c>
      <c r="AJ296" s="26">
        <f t="shared" ref="AJ296" si="1734">AJ295+AJ287+AJ289</f>
        <v>39431.879999999997</v>
      </c>
      <c r="AK296" s="26">
        <f t="shared" ref="AK296" si="1735">AK295+AK287+AK289</f>
        <v>40445.11</v>
      </c>
      <c r="AL296" s="26">
        <f t="shared" ref="AL296" si="1736">AL295+AL287+AL289</f>
        <v>99184.19</v>
      </c>
      <c r="AM296" s="26">
        <f t="shared" ref="AM296:AO296" si="1737">AM295+AM287+AM289</f>
        <v>99642.78</v>
      </c>
      <c r="AN296" s="26">
        <f t="shared" si="1737"/>
        <v>111775.19</v>
      </c>
      <c r="AO296" s="26">
        <f t="shared" si="1737"/>
        <v>112571.85</v>
      </c>
      <c r="AP296" s="26">
        <f t="shared" ref="AP296:CE296" si="1738">AP295+AP287+AP289</f>
        <v>121221.18</v>
      </c>
      <c r="AQ296" s="26">
        <f t="shared" si="1738"/>
        <v>122188.06999999999</v>
      </c>
      <c r="AR296" s="26">
        <f t="shared" si="1738"/>
        <v>128536.84</v>
      </c>
      <c r="AS296" s="26">
        <f t="shared" si="1738"/>
        <v>129403.38</v>
      </c>
      <c r="AT296" s="26">
        <f t="shared" si="1738"/>
        <v>136478.41999999998</v>
      </c>
      <c r="AU296" s="26">
        <f t="shared" si="1738"/>
        <v>136897.35999999999</v>
      </c>
      <c r="AV296" s="26">
        <f t="shared" si="1738"/>
        <v>146498.24000000002</v>
      </c>
      <c r="AW296" s="26">
        <f t="shared" si="1738"/>
        <v>147198.58000000005</v>
      </c>
      <c r="AX296" s="26">
        <f t="shared" si="1738"/>
        <v>135208.68999999997</v>
      </c>
      <c r="AY296" s="26">
        <f t="shared" si="1738"/>
        <v>135818.28999999998</v>
      </c>
      <c r="AZ296" s="26">
        <f t="shared" si="1738"/>
        <v>140211.97999999998</v>
      </c>
      <c r="BA296" s="26">
        <f t="shared" si="1738"/>
        <v>141184.38</v>
      </c>
      <c r="BB296" s="26">
        <f t="shared" si="1738"/>
        <v>147734.07</v>
      </c>
      <c r="BC296" s="26">
        <f t="shared" si="1738"/>
        <v>148626.61000000002</v>
      </c>
      <c r="BD296" s="26">
        <f t="shared" si="1738"/>
        <v>157781.70000000001</v>
      </c>
      <c r="BE296" s="26">
        <f t="shared" si="1738"/>
        <v>159271.68000000002</v>
      </c>
      <c r="BF296" s="26">
        <f t="shared" si="1738"/>
        <v>167629.00999999998</v>
      </c>
      <c r="BG296" s="26">
        <f t="shared" si="1738"/>
        <v>168843.78999999998</v>
      </c>
      <c r="BH296" s="26">
        <f t="shared" ref="BH296" si="1739">BH295+BH287+BH289</f>
        <v>185976.95999999999</v>
      </c>
      <c r="BI296" s="26">
        <f t="shared" si="1738"/>
        <v>188018.58</v>
      </c>
      <c r="BJ296" s="26">
        <f t="shared" si="1738"/>
        <v>194756.07999999996</v>
      </c>
      <c r="BK296" s="26">
        <f t="shared" si="1738"/>
        <v>196228.65999999997</v>
      </c>
      <c r="BL296" s="26">
        <f t="shared" si="1738"/>
        <v>205417.38999999998</v>
      </c>
      <c r="BM296" s="26">
        <f t="shared" si="1738"/>
        <v>207769.51</v>
      </c>
      <c r="BN296" s="26">
        <f t="shared" si="1738"/>
        <v>217251.16999999998</v>
      </c>
      <c r="BO296" s="26">
        <f t="shared" si="1738"/>
        <v>217554.30999999997</v>
      </c>
      <c r="BP296" s="26">
        <f t="shared" si="1738"/>
        <v>229122.29</v>
      </c>
      <c r="BQ296" s="26">
        <f t="shared" si="1738"/>
        <v>231589</v>
      </c>
      <c r="BR296" s="26">
        <f t="shared" si="1738"/>
        <v>220525.32</v>
      </c>
      <c r="BS296" s="26">
        <f t="shared" si="1738"/>
        <v>221699.76</v>
      </c>
      <c r="BT296" s="26">
        <f t="shared" si="1738"/>
        <v>214200.31</v>
      </c>
      <c r="BU296" s="26">
        <f t="shared" si="1738"/>
        <v>216255.05</v>
      </c>
      <c r="BV296" s="26">
        <f t="shared" si="1738"/>
        <v>218841.95999999996</v>
      </c>
      <c r="BW296" s="26">
        <f t="shared" si="1738"/>
        <v>220544.02999999997</v>
      </c>
      <c r="BX296" s="26">
        <f t="shared" si="1738"/>
        <v>222280.63999999998</v>
      </c>
      <c r="BY296" s="26">
        <f t="shared" si="1738"/>
        <v>224833.56</v>
      </c>
      <c r="BZ296" s="26">
        <f t="shared" si="1738"/>
        <v>222080.6</v>
      </c>
      <c r="CA296" s="26">
        <f t="shared" si="1738"/>
        <v>224573.6</v>
      </c>
      <c r="CB296" s="26">
        <f t="shared" si="1738"/>
        <v>213186.15000000002</v>
      </c>
      <c r="CC296" s="26">
        <f t="shared" si="1738"/>
        <v>216133.51</v>
      </c>
      <c r="CD296" s="26">
        <f t="shared" si="1738"/>
        <v>216589.43000000002</v>
      </c>
      <c r="CE296" s="26">
        <f t="shared" si="1738"/>
        <v>219375.15</v>
      </c>
      <c r="CF296" s="26">
        <f t="shared" ref="CF296:CG296" si="1740">CF295+CF287+CF289</f>
        <v>229552.58</v>
      </c>
      <c r="CG296" s="26">
        <f t="shared" si="1740"/>
        <v>232911.41999999998</v>
      </c>
      <c r="CH296" s="26">
        <f t="shared" ref="CH296:CI296" si="1741">CH295+CH287+CH289</f>
        <v>244963.02000000002</v>
      </c>
      <c r="CI296" s="26">
        <f t="shared" si="1741"/>
        <v>248580.21000000002</v>
      </c>
      <c r="CJ296" s="26">
        <f t="shared" ref="CJ296:DB296" si="1742">CJ295+CJ287+CJ289</f>
        <v>250428.90000000002</v>
      </c>
      <c r="CK296" s="26">
        <f t="shared" si="1742"/>
        <v>253644.01</v>
      </c>
      <c r="CL296" s="26">
        <f t="shared" ref="CL296" si="1743">CL295+CL287+CL289</f>
        <v>250213.48</v>
      </c>
      <c r="CM296" s="27">
        <f t="shared" si="1742"/>
        <v>254912.27065845535</v>
      </c>
      <c r="CN296" s="27">
        <f t="shared" si="1742"/>
        <v>260111.48692638465</v>
      </c>
      <c r="CO296" s="27">
        <f t="shared" si="1742"/>
        <v>265591.47658418858</v>
      </c>
      <c r="CP296" s="27">
        <f t="shared" si="1742"/>
        <v>272037.74973389838</v>
      </c>
      <c r="CQ296" s="27">
        <f t="shared" si="1742"/>
        <v>277556.76566993957</v>
      </c>
      <c r="CR296" s="27">
        <f t="shared" si="1742"/>
        <v>283739.36895727849</v>
      </c>
      <c r="CS296" s="27">
        <f t="shared" si="1742"/>
        <v>290349.23722881911</v>
      </c>
      <c r="CT296" s="27">
        <f t="shared" si="1742"/>
        <v>298329.25164705777</v>
      </c>
      <c r="CU296" s="27">
        <f t="shared" si="1742"/>
        <v>304977.88735451369</v>
      </c>
      <c r="CV296" s="27">
        <f t="shared" si="1742"/>
        <v>312411.81738591689</v>
      </c>
      <c r="CW296" s="27">
        <f t="shared" si="1742"/>
        <v>320364.83521943068</v>
      </c>
      <c r="CX296" s="27">
        <f t="shared" si="1742"/>
        <v>329903.15851904918</v>
      </c>
      <c r="CY296" s="27">
        <f t="shared" si="1742"/>
        <v>337848.6091838695</v>
      </c>
      <c r="CZ296" s="27">
        <f t="shared" si="1742"/>
        <v>346721.18771409144</v>
      </c>
      <c r="DA296" s="27">
        <f t="shared" si="1742"/>
        <v>356205.3915645043</v>
      </c>
      <c r="DB296" s="27">
        <f t="shared" si="1742"/>
        <v>367521.26415390056</v>
      </c>
      <c r="DE296" s="121"/>
      <c r="DF296" s="26">
        <v>250213.48</v>
      </c>
    </row>
    <row r="297" spans="1:110" s="23" customFormat="1" x14ac:dyDescent="0.2">
      <c r="AB297" s="24"/>
      <c r="AC297" s="24"/>
      <c r="AD297" s="24"/>
      <c r="AE297" s="24"/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  <c r="DE297" s="123"/>
    </row>
    <row r="298" spans="1:110" s="23" customFormat="1" outlineLevel="1" x14ac:dyDescent="0.2">
      <c r="A298" s="23" t="s">
        <v>50</v>
      </c>
      <c r="B298" s="23">
        <f>'Annual Raw'!C62</f>
        <v>6309.08</v>
      </c>
      <c r="C298" s="23">
        <f>'Annual Raw'!D62</f>
        <v>8167.05</v>
      </c>
      <c r="D298" s="23">
        <f>'Annual Raw'!E62</f>
        <v>8277.7199999999993</v>
      </c>
      <c r="E298" s="23">
        <f>'Annual Raw'!F62-E302</f>
        <v>3652.64</v>
      </c>
      <c r="F298" s="23">
        <f>'Annual Raw'!G62-F302</f>
        <v>3794.23</v>
      </c>
      <c r="G298" s="23">
        <f>'Annual Raw'!H62-G302</f>
        <v>4403.0600000000004</v>
      </c>
      <c r="H298" s="23">
        <f>'Annual Raw'!I62-H302</f>
        <v>6062.39</v>
      </c>
      <c r="I298" s="23">
        <f>'Annual Raw'!J62-I302</f>
        <v>7763.99</v>
      </c>
      <c r="J298" s="23">
        <f>'Annual Raw'!K62-J302</f>
        <v>12102.98</v>
      </c>
      <c r="K298" s="23">
        <f>'Annual Raw'!L62-K302</f>
        <v>15580.1</v>
      </c>
      <c r="L298" s="23">
        <f>'Annual Raw'!M62-L302</f>
        <v>19439.169999999998</v>
      </c>
      <c r="M298" s="23">
        <f>'Annual Raw'!N62-M302</f>
        <v>24631.22</v>
      </c>
      <c r="N298" s="23">
        <f>'Annual Raw'!O62-N302</f>
        <v>35997.630000000005</v>
      </c>
      <c r="O298" s="23">
        <f>'Annual Raw'!P62-O302</f>
        <v>39307.199999999997</v>
      </c>
      <c r="P298" s="23">
        <f>'Annual Raw'!Q62-P302</f>
        <v>43481.479999999996</v>
      </c>
      <c r="Q298" s="23">
        <f>'Annual Raw'!R62-Q302</f>
        <v>15060.28</v>
      </c>
      <c r="R298" s="23">
        <f>'Annual Raw'!S62-R302</f>
        <v>15626.809999999998</v>
      </c>
      <c r="S298" s="23">
        <f>'Annual Raw'!T62-S302</f>
        <v>18381.36</v>
      </c>
      <c r="T298" s="23">
        <f>'Annual Raw'!U62-T302</f>
        <v>22398.95</v>
      </c>
      <c r="U298" s="23">
        <f>'Annual Raw'!V62-U302</f>
        <v>38532.120000000003</v>
      </c>
      <c r="V298" s="23">
        <f>'Annual Raw'!W62-V302</f>
        <v>42257.35</v>
      </c>
      <c r="W298" s="23">
        <f>'Annual Raw'!X62-W302</f>
        <v>43001.61</v>
      </c>
      <c r="X298" s="23">
        <f>'Annual Raw'!Y62-X302</f>
        <v>46012.38</v>
      </c>
      <c r="Y298" s="23">
        <f>'Annual Raw'!Z62-Y302</f>
        <v>50810.69</v>
      </c>
      <c r="Z298" s="23">
        <f>'Annual Raw'!AA62-Z302</f>
        <v>56602.549999999996</v>
      </c>
      <c r="AA298" s="23">
        <f>'Annual Raw'!AB62-AA302</f>
        <v>45768.369999999995</v>
      </c>
      <c r="AB298" s="24">
        <f t="shared" ref="AB298:AB304" si="1744">+CP298</f>
        <v>48476.66</v>
      </c>
      <c r="AC298" s="24">
        <f t="shared" ref="AC298:AC304" si="1745">+CT298</f>
        <v>52076.66</v>
      </c>
      <c r="AD298" s="24">
        <f t="shared" ref="AD298:AD304" si="1746">+CX298</f>
        <v>55676.66</v>
      </c>
      <c r="AE298" s="24">
        <f t="shared" ref="AE298:AE304" si="1747">+DB298</f>
        <v>59276.66</v>
      </c>
      <c r="AJ298" s="23">
        <f>+'QTR Raw'!D68</f>
        <v>8739.0400000000009</v>
      </c>
      <c r="AL298" s="23">
        <f>+'QTR Raw'!F68</f>
        <v>39619.99</v>
      </c>
      <c r="AN298" s="23">
        <f>+'QTR Raw'!H68</f>
        <v>41805.67</v>
      </c>
      <c r="AP298" s="23">
        <f>+'QTR Raw'!J68</f>
        <v>44439.81</v>
      </c>
      <c r="AR298" s="23">
        <f>+'QTR Raw'!L68</f>
        <v>44677.22</v>
      </c>
      <c r="AT298" s="23">
        <f>+'QTR Raw'!N68</f>
        <v>47515.839999999997</v>
      </c>
      <c r="AV298" s="23">
        <f>+'QTR Raw'!P68</f>
        <v>58755.12</v>
      </c>
      <c r="AX298" s="23">
        <f>+'QTR Raw'!R68</f>
        <v>21912.66</v>
      </c>
      <c r="AZ298" s="23">
        <f>+'QTR Raw'!T68</f>
        <v>22886.080000000002</v>
      </c>
      <c r="BB298" s="23">
        <f>+'QTR Raw'!V68</f>
        <v>23018.42</v>
      </c>
      <c r="BD298" s="23">
        <f>+'QTR Raw'!X68</f>
        <v>24005.06</v>
      </c>
      <c r="BF298" s="23">
        <f>+'QTR Raw'!Z68</f>
        <v>23972.91</v>
      </c>
      <c r="BH298" s="23">
        <f>+'QTR Raw'!AB68</f>
        <v>24808.71</v>
      </c>
      <c r="BJ298" s="23">
        <f>+'QTR Raw'!AD68</f>
        <v>26548.400000000001</v>
      </c>
      <c r="BL298" s="23">
        <f>+'QTR Raw'!AF68</f>
        <v>29667.17</v>
      </c>
      <c r="BN298" s="23">
        <f>+'QTR Raw'!AH68</f>
        <v>29786.95</v>
      </c>
      <c r="BP298" s="23">
        <f>+'QTR Raw'!AJ68</f>
        <v>29295.3</v>
      </c>
      <c r="BR298" s="23">
        <f>+'QTR Raw'!AL68</f>
        <v>30696.07</v>
      </c>
      <c r="BT298" s="23">
        <f>+'QTR Raw'!AN68</f>
        <v>29293.85</v>
      </c>
      <c r="BV298" s="23">
        <f>+'QTR Raw'!AP68</f>
        <v>29386.58</v>
      </c>
      <c r="BX298" s="23">
        <f>+'QTR Raw'!AR68</f>
        <v>29229.34</v>
      </c>
      <c r="BZ298" s="23">
        <f>+'QTR Raw'!AT68</f>
        <v>29460.74</v>
      </c>
      <c r="CB298" s="23">
        <f>+'QTR Raw'!AV68</f>
        <v>30391.58</v>
      </c>
      <c r="CD298" s="23">
        <f>+'QTR Raw'!AX68</f>
        <v>30830.13</v>
      </c>
      <c r="CF298" s="23">
        <f>+'QTR Raw'!AZ68</f>
        <v>30904.22</v>
      </c>
      <c r="CH298" s="23">
        <f t="shared" ref="CH298:CH304" si="1748">Z298</f>
        <v>56602.549999999996</v>
      </c>
      <c r="CI298" s="23">
        <f>CH298</f>
        <v>56602.549999999996</v>
      </c>
      <c r="CJ298" s="23">
        <f>+CJ299+CJ301</f>
        <v>56459.16</v>
      </c>
      <c r="CK298" s="23">
        <f>+CJ298+100</f>
        <v>56559.16</v>
      </c>
      <c r="CL298" s="23">
        <f>+CL299+CL301</f>
        <v>44876.66</v>
      </c>
      <c r="CM298" s="24">
        <f t="shared" ref="CM298:DB298" si="1749">+CL298+900</f>
        <v>45776.66</v>
      </c>
      <c r="CN298" s="24">
        <f t="shared" si="1749"/>
        <v>46676.66</v>
      </c>
      <c r="CO298" s="24">
        <f t="shared" si="1749"/>
        <v>47576.66</v>
      </c>
      <c r="CP298" s="24">
        <f t="shared" si="1749"/>
        <v>48476.66</v>
      </c>
      <c r="CQ298" s="24">
        <f t="shared" si="1749"/>
        <v>49376.66</v>
      </c>
      <c r="CR298" s="24">
        <f t="shared" si="1749"/>
        <v>50276.66</v>
      </c>
      <c r="CS298" s="24">
        <f t="shared" si="1749"/>
        <v>51176.66</v>
      </c>
      <c r="CT298" s="24">
        <f t="shared" si="1749"/>
        <v>52076.66</v>
      </c>
      <c r="CU298" s="24">
        <f t="shared" si="1749"/>
        <v>52976.66</v>
      </c>
      <c r="CV298" s="24">
        <f t="shared" si="1749"/>
        <v>53876.66</v>
      </c>
      <c r="CW298" s="24">
        <f t="shared" si="1749"/>
        <v>54776.66</v>
      </c>
      <c r="CX298" s="24">
        <f t="shared" si="1749"/>
        <v>55676.66</v>
      </c>
      <c r="CY298" s="24">
        <f t="shared" si="1749"/>
        <v>56576.66</v>
      </c>
      <c r="CZ298" s="24">
        <f t="shared" si="1749"/>
        <v>57476.66</v>
      </c>
      <c r="DA298" s="24">
        <f t="shared" si="1749"/>
        <v>58376.66</v>
      </c>
      <c r="DB298" s="24">
        <f t="shared" si="1749"/>
        <v>59276.66</v>
      </c>
      <c r="DE298" s="123"/>
      <c r="DF298" s="23">
        <v>45768.369999999995</v>
      </c>
    </row>
    <row r="299" spans="1:110" s="23" customFormat="1" outlineLevel="1" x14ac:dyDescent="0.2">
      <c r="A299" s="23" t="s">
        <v>51</v>
      </c>
      <c r="B299" s="23">
        <f>'Annual Raw'!C63</f>
        <v>1767.21</v>
      </c>
      <c r="C299" s="23">
        <f>'Annual Raw'!D63</f>
        <v>2377.31</v>
      </c>
      <c r="D299" s="23">
        <f>'Annual Raw'!E63</f>
        <v>2752.5</v>
      </c>
      <c r="E299" s="23">
        <f>'Annual Raw'!F63</f>
        <v>1465.22</v>
      </c>
      <c r="F299" s="23">
        <f>'Annual Raw'!G63</f>
        <v>1542.7</v>
      </c>
      <c r="G299" s="23">
        <f>'Annual Raw'!H63</f>
        <v>1678.7</v>
      </c>
      <c r="H299" s="23">
        <f>'Annual Raw'!I63</f>
        <v>2017.68</v>
      </c>
      <c r="I299" s="23">
        <f>'Annual Raw'!J63</f>
        <v>2270.6999999999998</v>
      </c>
      <c r="J299" s="23">
        <f>'Annual Raw'!K63</f>
        <v>2761.4</v>
      </c>
      <c r="K299" s="23">
        <f>'Annual Raw'!L63</f>
        <v>3458.05</v>
      </c>
      <c r="L299" s="23">
        <f>'Annual Raw'!M63</f>
        <v>4608.6099999999997</v>
      </c>
      <c r="M299" s="23">
        <f>'Annual Raw'!N63</f>
        <v>6079.98</v>
      </c>
      <c r="N299" s="23">
        <f>'Annual Raw'!O63</f>
        <v>7469.13</v>
      </c>
      <c r="O299" s="23">
        <f>'Annual Raw'!P63</f>
        <v>8821.27</v>
      </c>
      <c r="P299" s="23">
        <f>'Annual Raw'!Q63</f>
        <v>10744.71</v>
      </c>
      <c r="Q299" s="23">
        <f>'Annual Raw'!R63</f>
        <v>2346.0500000000002</v>
      </c>
      <c r="R299" s="23">
        <f>'Annual Raw'!S63</f>
        <v>3869.31</v>
      </c>
      <c r="S299" s="23">
        <f>'Annual Raw'!T63</f>
        <v>5538.53</v>
      </c>
      <c r="T299" s="23">
        <f>'Annual Raw'!U63</f>
        <v>7121.61</v>
      </c>
      <c r="U299" s="23">
        <f>'Annual Raw'!V63</f>
        <v>9141.18</v>
      </c>
      <c r="V299" s="23">
        <f>'Annual Raw'!W63</f>
        <v>11095.55</v>
      </c>
      <c r="W299" s="23">
        <f>'Annual Raw'!X63</f>
        <v>13526.95</v>
      </c>
      <c r="X299" s="23">
        <f>'Annual Raw'!Y63</f>
        <v>16029.58</v>
      </c>
      <c r="Y299" s="23">
        <f>'Annual Raw'!Z63</f>
        <v>19072.03</v>
      </c>
      <c r="Z299" s="23">
        <f>'Annual Raw'!AA63</f>
        <v>22745.97</v>
      </c>
      <c r="AA299" s="23">
        <f>'Annual Raw'!AB63</f>
        <v>24452.15</v>
      </c>
      <c r="AB299" s="24">
        <f t="shared" si="1744"/>
        <v>29307.394208036705</v>
      </c>
      <c r="AC299" s="24">
        <f t="shared" si="1745"/>
        <v>31665.031121395939</v>
      </c>
      <c r="AD299" s="24">
        <f t="shared" si="1746"/>
        <v>34165.176013383469</v>
      </c>
      <c r="AE299" s="24">
        <f t="shared" si="1747"/>
        <v>36791.482194218246</v>
      </c>
      <c r="AJ299" s="23">
        <f>+'QTR Raw'!D69</f>
        <v>0</v>
      </c>
      <c r="AL299" s="23">
        <f>+'QTR Raw'!F69</f>
        <v>0</v>
      </c>
      <c r="AN299" s="23">
        <f>+'QTR Raw'!H69</f>
        <v>0</v>
      </c>
      <c r="AP299" s="23">
        <f>+'QTR Raw'!J69</f>
        <v>0</v>
      </c>
      <c r="AR299" s="23">
        <f>+'QTR Raw'!L69</f>
        <v>0</v>
      </c>
      <c r="AT299" s="23">
        <f>+'QTR Raw'!N69</f>
        <v>0</v>
      </c>
      <c r="AV299" s="23">
        <f>+'QTR Raw'!P69</f>
        <v>0</v>
      </c>
      <c r="AX299" s="23">
        <f>+'QTR Raw'!R69</f>
        <v>0</v>
      </c>
      <c r="AZ299" s="23">
        <f>+'QTR Raw'!T69</f>
        <v>0</v>
      </c>
      <c r="BB299" s="23">
        <f>+'QTR Raw'!V69</f>
        <v>0</v>
      </c>
      <c r="BD299" s="23">
        <f>+'QTR Raw'!X69</f>
        <v>0</v>
      </c>
      <c r="BF299" s="23">
        <f>+'QTR Raw'!Z69</f>
        <v>0</v>
      </c>
      <c r="BH299" s="23">
        <f>+'QTR Raw'!AB69</f>
        <v>0</v>
      </c>
      <c r="BJ299" s="23">
        <f>+'QTR Raw'!AD69</f>
        <v>0</v>
      </c>
      <c r="BL299" s="23">
        <f>+'QTR Raw'!AF69</f>
        <v>0</v>
      </c>
      <c r="BN299" s="23">
        <f>+'QTR Raw'!AH69</f>
        <v>0</v>
      </c>
      <c r="BP299" s="23">
        <f>+'QTR Raw'!AJ69</f>
        <v>0</v>
      </c>
      <c r="BR299" s="23">
        <f>+'QTR Raw'!AL69</f>
        <v>0</v>
      </c>
      <c r="BT299" s="23">
        <f>+'QTR Raw'!AN69</f>
        <v>0</v>
      </c>
      <c r="BV299" s="23">
        <f>+'QTR Raw'!AP69</f>
        <v>0</v>
      </c>
      <c r="BX299" s="23">
        <f>+'QTR Raw'!AR69</f>
        <v>0</v>
      </c>
      <c r="BZ299" s="23">
        <f>+'QTR Raw'!AT69</f>
        <v>0</v>
      </c>
      <c r="CB299" s="23">
        <f>+'QTR Raw'!AV69</f>
        <v>0</v>
      </c>
      <c r="CD299" s="23">
        <f>+'QTR Raw'!AX69</f>
        <v>0</v>
      </c>
      <c r="CF299" s="23">
        <f>+'QTR Raw'!AZ69</f>
        <v>0</v>
      </c>
      <c r="CH299" s="23">
        <f t="shared" si="1748"/>
        <v>22745.97</v>
      </c>
      <c r="CI299" s="23">
        <f t="shared" ref="CI299:DB299" si="1750">CH299+CI194</f>
        <v>23779.27</v>
      </c>
      <c r="CJ299" s="23">
        <f t="shared" si="1750"/>
        <v>24871.040000000001</v>
      </c>
      <c r="CK299" s="23">
        <f t="shared" si="1750"/>
        <v>25942.780000000002</v>
      </c>
      <c r="CL299" s="23">
        <f t="shared" si="1750"/>
        <v>27110.730000000003</v>
      </c>
      <c r="CM299" s="24">
        <f t="shared" si="1750"/>
        <v>27643.707900000005</v>
      </c>
      <c r="CN299" s="24">
        <f t="shared" si="1750"/>
        <v>28187.696463000004</v>
      </c>
      <c r="CO299" s="24">
        <f t="shared" si="1750"/>
        <v>28742.365369110004</v>
      </c>
      <c r="CP299" s="24">
        <f t="shared" si="1750"/>
        <v>29307.394208036705</v>
      </c>
      <c r="CQ299" s="24">
        <f t="shared" si="1750"/>
        <v>29882.472181795605</v>
      </c>
      <c r="CR299" s="24">
        <f t="shared" si="1750"/>
        <v>30467.297816341736</v>
      </c>
      <c r="CS299" s="24">
        <f t="shared" si="1750"/>
        <v>31061.578681851483</v>
      </c>
      <c r="CT299" s="24">
        <f t="shared" si="1750"/>
        <v>31665.031121395939</v>
      </c>
      <c r="CU299" s="24">
        <f t="shared" si="1750"/>
        <v>32277.379987754062</v>
      </c>
      <c r="CV299" s="24">
        <f t="shared" si="1750"/>
        <v>32898.358388121444</v>
      </c>
      <c r="CW299" s="24">
        <f t="shared" si="1750"/>
        <v>33527.707436477802</v>
      </c>
      <c r="CX299" s="24">
        <f t="shared" si="1750"/>
        <v>34165.176013383469</v>
      </c>
      <c r="CY299" s="24">
        <f t="shared" si="1750"/>
        <v>34810.520532981966</v>
      </c>
      <c r="CZ299" s="24">
        <f t="shared" si="1750"/>
        <v>35463.504716992509</v>
      </c>
      <c r="DA299" s="24">
        <f t="shared" si="1750"/>
        <v>36123.899375482732</v>
      </c>
      <c r="DB299" s="24">
        <f t="shared" si="1750"/>
        <v>36791.482194218246</v>
      </c>
      <c r="DE299" s="123"/>
      <c r="DF299" s="23">
        <v>24452.15</v>
      </c>
    </row>
    <row r="300" spans="1:110" s="23" customFormat="1" outlineLevel="1" x14ac:dyDescent="0.2">
      <c r="A300" s="23" t="s">
        <v>52</v>
      </c>
      <c r="B300" s="23">
        <f>'Annual Raw'!C64</f>
        <v>0</v>
      </c>
      <c r="C300" s="23">
        <f>'Annual Raw'!D64</f>
        <v>0</v>
      </c>
      <c r="D300" s="23">
        <f>'Annual Raw'!E64</f>
        <v>0</v>
      </c>
      <c r="E300" s="23">
        <f>'Annual Raw'!F64</f>
        <v>0</v>
      </c>
      <c r="F300" s="23">
        <f>'Annual Raw'!G64</f>
        <v>71.709999999999994</v>
      </c>
      <c r="G300" s="23">
        <f>'Annual Raw'!H64</f>
        <v>5.43</v>
      </c>
      <c r="H300" s="23">
        <f>'Annual Raw'!I64</f>
        <v>7.65</v>
      </c>
      <c r="I300" s="23">
        <f>'Annual Raw'!J64</f>
        <v>7.65</v>
      </c>
      <c r="J300" s="23">
        <f>'Annual Raw'!K64</f>
        <v>48.93</v>
      </c>
      <c r="K300" s="23">
        <f>'Annual Raw'!L64</f>
        <v>50.2</v>
      </c>
      <c r="L300" s="23">
        <f>'Annual Raw'!M64</f>
        <v>49.49</v>
      </c>
      <c r="M300" s="23">
        <f>'Annual Raw'!N64</f>
        <v>55.03</v>
      </c>
      <c r="N300" s="23">
        <f>'Annual Raw'!O64</f>
        <v>105.44</v>
      </c>
      <c r="O300" s="23">
        <f>'Annual Raw'!P64</f>
        <v>61.15</v>
      </c>
      <c r="P300" s="23">
        <f>'Annual Raw'!Q64</f>
        <v>61.25</v>
      </c>
      <c r="Q300" s="23">
        <f>'Annual Raw'!R64</f>
        <v>61.61</v>
      </c>
      <c r="R300" s="23">
        <f>'Annual Raw'!S64</f>
        <v>151.1</v>
      </c>
      <c r="S300" s="23">
        <f>'Annual Raw'!T64</f>
        <v>266.02</v>
      </c>
      <c r="T300" s="23">
        <f>'Annual Raw'!U64</f>
        <v>272.83999999999997</v>
      </c>
      <c r="U300" s="23">
        <f>'Annual Raw'!V64</f>
        <v>286.07</v>
      </c>
      <c r="V300" s="23">
        <f>'Annual Raw'!W64</f>
        <v>1023.86</v>
      </c>
      <c r="W300" s="23">
        <f>'Annual Raw'!X64</f>
        <v>286.06</v>
      </c>
      <c r="X300" s="23">
        <f>'Annual Raw'!Y64</f>
        <v>292.14</v>
      </c>
      <c r="Y300" s="23">
        <f>'Annual Raw'!Z64</f>
        <v>256.44</v>
      </c>
      <c r="Z300" s="23">
        <f>'Annual Raw'!AA64</f>
        <v>1194.8</v>
      </c>
      <c r="AA300" s="23">
        <f>'Annual Raw'!AB64</f>
        <v>1196.02</v>
      </c>
      <c r="AB300" s="24">
        <f t="shared" si="1744"/>
        <v>0</v>
      </c>
      <c r="AC300" s="24">
        <f t="shared" si="1745"/>
        <v>0</v>
      </c>
      <c r="AD300" s="24">
        <f t="shared" si="1746"/>
        <v>0</v>
      </c>
      <c r="AE300" s="24">
        <f t="shared" si="1747"/>
        <v>0</v>
      </c>
      <c r="AJ300" s="23">
        <f>+'QTR Raw'!D70</f>
        <v>0</v>
      </c>
      <c r="AL300" s="23">
        <f>+'QTR Raw'!F70</f>
        <v>0</v>
      </c>
      <c r="AN300" s="23">
        <f>+'QTR Raw'!H70</f>
        <v>0</v>
      </c>
      <c r="AP300" s="23">
        <f>+'QTR Raw'!J70</f>
        <v>0</v>
      </c>
      <c r="AR300" s="23">
        <f>+'QTR Raw'!L70</f>
        <v>0</v>
      </c>
      <c r="AT300" s="23">
        <f>+'QTR Raw'!N70</f>
        <v>0</v>
      </c>
      <c r="AV300" s="23">
        <f>+'QTR Raw'!P70</f>
        <v>0</v>
      </c>
      <c r="AX300" s="23">
        <f>+'QTR Raw'!R70</f>
        <v>0</v>
      </c>
      <c r="AZ300" s="23">
        <f>+'QTR Raw'!T70</f>
        <v>0</v>
      </c>
      <c r="BB300" s="23">
        <f>+'QTR Raw'!V70</f>
        <v>0</v>
      </c>
      <c r="BD300" s="23">
        <f>+'QTR Raw'!X70</f>
        <v>0</v>
      </c>
      <c r="BF300" s="23">
        <f>+'QTR Raw'!Z70</f>
        <v>0</v>
      </c>
      <c r="BH300" s="23">
        <f>+'QTR Raw'!AB70</f>
        <v>0</v>
      </c>
      <c r="BJ300" s="23">
        <f>+'QTR Raw'!AD70</f>
        <v>0</v>
      </c>
      <c r="BL300" s="23">
        <f>+'QTR Raw'!AF70</f>
        <v>0</v>
      </c>
      <c r="BN300" s="23">
        <f>+'QTR Raw'!AH70</f>
        <v>0</v>
      </c>
      <c r="BP300" s="23">
        <f>+'QTR Raw'!AJ70</f>
        <v>0</v>
      </c>
      <c r="BR300" s="23">
        <f>+'QTR Raw'!AL70</f>
        <v>0</v>
      </c>
      <c r="BT300" s="23">
        <f>+'QTR Raw'!AN70</f>
        <v>0</v>
      </c>
      <c r="BV300" s="23">
        <f>+'QTR Raw'!AP70</f>
        <v>0</v>
      </c>
      <c r="BX300" s="23">
        <f>+'QTR Raw'!AR70</f>
        <v>0</v>
      </c>
      <c r="BZ300" s="23">
        <f>+'QTR Raw'!AT70</f>
        <v>0</v>
      </c>
      <c r="CB300" s="23">
        <f>+'QTR Raw'!AV70</f>
        <v>0</v>
      </c>
      <c r="CD300" s="23">
        <f>+'QTR Raw'!AX70</f>
        <v>0</v>
      </c>
      <c r="CF300" s="23">
        <f>+'QTR Raw'!AZ70</f>
        <v>0</v>
      </c>
      <c r="CH300" s="23">
        <f t="shared" si="1748"/>
        <v>1194.8</v>
      </c>
      <c r="CI300" s="23">
        <f>CH300</f>
        <v>1194.8</v>
      </c>
      <c r="CJ300" s="23">
        <f>+'QTR Raw'!BD70</f>
        <v>0</v>
      </c>
      <c r="CK300" s="23">
        <f t="shared" ref="CK300:DB300" si="1751">CJ300</f>
        <v>0</v>
      </c>
      <c r="CL300" s="23">
        <f>+'QTR Raw'!BF70</f>
        <v>0</v>
      </c>
      <c r="CM300" s="24">
        <f t="shared" si="1751"/>
        <v>0</v>
      </c>
      <c r="CN300" s="24">
        <f t="shared" si="1751"/>
        <v>0</v>
      </c>
      <c r="CO300" s="24">
        <f t="shared" si="1751"/>
        <v>0</v>
      </c>
      <c r="CP300" s="24">
        <f t="shared" si="1751"/>
        <v>0</v>
      </c>
      <c r="CQ300" s="24">
        <f t="shared" si="1751"/>
        <v>0</v>
      </c>
      <c r="CR300" s="24">
        <f t="shared" si="1751"/>
        <v>0</v>
      </c>
      <c r="CS300" s="24">
        <f t="shared" si="1751"/>
        <v>0</v>
      </c>
      <c r="CT300" s="24">
        <f t="shared" si="1751"/>
        <v>0</v>
      </c>
      <c r="CU300" s="24">
        <f t="shared" si="1751"/>
        <v>0</v>
      </c>
      <c r="CV300" s="24">
        <f t="shared" si="1751"/>
        <v>0</v>
      </c>
      <c r="CW300" s="24">
        <f t="shared" si="1751"/>
        <v>0</v>
      </c>
      <c r="CX300" s="24">
        <f t="shared" si="1751"/>
        <v>0</v>
      </c>
      <c r="CY300" s="24">
        <f t="shared" si="1751"/>
        <v>0</v>
      </c>
      <c r="CZ300" s="24">
        <f t="shared" si="1751"/>
        <v>0</v>
      </c>
      <c r="DA300" s="24">
        <f t="shared" si="1751"/>
        <v>0</v>
      </c>
      <c r="DB300" s="24">
        <f t="shared" si="1751"/>
        <v>0</v>
      </c>
      <c r="DE300" s="123"/>
      <c r="DF300" s="23">
        <v>1196.02</v>
      </c>
    </row>
    <row r="301" spans="1:110" s="22" customFormat="1" outlineLevel="1" x14ac:dyDescent="0.2">
      <c r="A301" s="22" t="s">
        <v>53</v>
      </c>
      <c r="B301" s="22">
        <f>+B298-B299-B300</f>
        <v>4541.87</v>
      </c>
      <c r="C301" s="22">
        <f t="shared" ref="C301:W301" si="1752">+C298-C299-C300</f>
        <v>5789.74</v>
      </c>
      <c r="D301" s="22">
        <f t="shared" si="1752"/>
        <v>5525.2199999999993</v>
      </c>
      <c r="E301" s="22">
        <f t="shared" si="1752"/>
        <v>2187.42</v>
      </c>
      <c r="F301" s="22">
        <f t="shared" si="1752"/>
        <v>2179.8199999999997</v>
      </c>
      <c r="G301" s="22">
        <f t="shared" si="1752"/>
        <v>2718.9300000000007</v>
      </c>
      <c r="H301" s="22">
        <f t="shared" si="1752"/>
        <v>4037.06</v>
      </c>
      <c r="I301" s="22">
        <f t="shared" si="1752"/>
        <v>5485.64</v>
      </c>
      <c r="J301" s="22">
        <f t="shared" si="1752"/>
        <v>9292.65</v>
      </c>
      <c r="K301" s="22">
        <f t="shared" si="1752"/>
        <v>12071.849999999999</v>
      </c>
      <c r="L301" s="22">
        <f t="shared" si="1752"/>
        <v>14781.069999999998</v>
      </c>
      <c r="M301" s="22">
        <f t="shared" si="1752"/>
        <v>18496.210000000003</v>
      </c>
      <c r="N301" s="22">
        <f t="shared" si="1752"/>
        <v>28423.060000000005</v>
      </c>
      <c r="O301" s="22">
        <f t="shared" si="1752"/>
        <v>30424.779999999995</v>
      </c>
      <c r="P301" s="22">
        <f t="shared" si="1752"/>
        <v>32675.519999999997</v>
      </c>
      <c r="Q301" s="22">
        <f t="shared" si="1752"/>
        <v>12652.619999999999</v>
      </c>
      <c r="R301" s="22">
        <f t="shared" si="1752"/>
        <v>11606.399999999998</v>
      </c>
      <c r="S301" s="22">
        <f t="shared" si="1752"/>
        <v>12576.810000000001</v>
      </c>
      <c r="T301" s="22">
        <f t="shared" si="1752"/>
        <v>15004.5</v>
      </c>
      <c r="U301" s="22">
        <f t="shared" si="1752"/>
        <v>29104.870000000003</v>
      </c>
      <c r="V301" s="22">
        <f t="shared" si="1752"/>
        <v>30137.94</v>
      </c>
      <c r="W301" s="22">
        <f t="shared" si="1752"/>
        <v>29188.6</v>
      </c>
      <c r="X301" s="22">
        <f t="shared" ref="X301:Y301" si="1753">+X298-X299-X300</f>
        <v>29690.659999999996</v>
      </c>
      <c r="Y301" s="22">
        <f t="shared" si="1753"/>
        <v>31482.220000000005</v>
      </c>
      <c r="Z301" s="22">
        <f t="shared" ref="Z301:AE301" si="1754">+Z298-Z299-Z300</f>
        <v>32661.779999999995</v>
      </c>
      <c r="AA301" s="22">
        <f t="shared" ref="AA301" si="1755">+AA298-AA299-AA300</f>
        <v>20120.199999999993</v>
      </c>
      <c r="AB301" s="21">
        <f t="shared" si="1754"/>
        <v>19169.265791963298</v>
      </c>
      <c r="AC301" s="21">
        <f t="shared" si="1754"/>
        <v>20411.628878604064</v>
      </c>
      <c r="AD301" s="21">
        <f t="shared" si="1754"/>
        <v>21511.483986616535</v>
      </c>
      <c r="AE301" s="21">
        <f t="shared" si="1754"/>
        <v>22485.177805781757</v>
      </c>
      <c r="AJ301" s="22">
        <f t="shared" ref="AJ301:AL301" si="1756">+AJ298-AJ299-AJ300</f>
        <v>8739.0400000000009</v>
      </c>
      <c r="AK301" s="22">
        <f t="shared" ref="AK301:CE301" si="1757">+AJ301</f>
        <v>8739.0400000000009</v>
      </c>
      <c r="AL301" s="22">
        <f t="shared" si="1756"/>
        <v>39619.99</v>
      </c>
      <c r="AM301" s="22">
        <f t="shared" si="1757"/>
        <v>39619.99</v>
      </c>
      <c r="AN301" s="22">
        <f t="shared" ref="AN301" si="1758">+AN298-AN299-AN300</f>
        <v>41805.67</v>
      </c>
      <c r="AO301" s="22">
        <f t="shared" si="1757"/>
        <v>41805.67</v>
      </c>
      <c r="AP301" s="22">
        <f t="shared" ref="AP301:CD301" si="1759">+AP298-AP299-AP300</f>
        <v>44439.81</v>
      </c>
      <c r="AQ301" s="22">
        <f t="shared" si="1757"/>
        <v>44439.81</v>
      </c>
      <c r="AR301" s="22">
        <f t="shared" si="1759"/>
        <v>44677.22</v>
      </c>
      <c r="AS301" s="22">
        <f t="shared" si="1757"/>
        <v>44677.22</v>
      </c>
      <c r="AT301" s="22">
        <f t="shared" si="1759"/>
        <v>47515.839999999997</v>
      </c>
      <c r="AU301" s="22">
        <f t="shared" si="1757"/>
        <v>47515.839999999997</v>
      </c>
      <c r="AV301" s="22">
        <f t="shared" si="1759"/>
        <v>58755.12</v>
      </c>
      <c r="AW301" s="22">
        <f t="shared" si="1757"/>
        <v>58755.12</v>
      </c>
      <c r="AX301" s="22">
        <f t="shared" si="1759"/>
        <v>21912.66</v>
      </c>
      <c r="AY301" s="22">
        <f t="shared" si="1757"/>
        <v>21912.66</v>
      </c>
      <c r="AZ301" s="22">
        <f t="shared" si="1759"/>
        <v>22886.080000000002</v>
      </c>
      <c r="BA301" s="22">
        <f t="shared" si="1757"/>
        <v>22886.080000000002</v>
      </c>
      <c r="BB301" s="22">
        <f t="shared" si="1759"/>
        <v>23018.42</v>
      </c>
      <c r="BC301" s="22">
        <f t="shared" si="1757"/>
        <v>23018.42</v>
      </c>
      <c r="BD301" s="22">
        <f t="shared" si="1759"/>
        <v>24005.06</v>
      </c>
      <c r="BE301" s="22">
        <f t="shared" si="1757"/>
        <v>24005.06</v>
      </c>
      <c r="BF301" s="22">
        <f t="shared" si="1759"/>
        <v>23972.91</v>
      </c>
      <c r="BG301" s="22">
        <f t="shared" si="1757"/>
        <v>23972.91</v>
      </c>
      <c r="BH301" s="22">
        <f t="shared" si="1759"/>
        <v>24808.71</v>
      </c>
      <c r="BI301" s="22">
        <f t="shared" si="1757"/>
        <v>24808.71</v>
      </c>
      <c r="BJ301" s="22">
        <f t="shared" si="1759"/>
        <v>26548.400000000001</v>
      </c>
      <c r="BK301" s="22">
        <f t="shared" si="1757"/>
        <v>26548.400000000001</v>
      </c>
      <c r="BL301" s="22">
        <f t="shared" si="1759"/>
        <v>29667.17</v>
      </c>
      <c r="BM301" s="22">
        <f t="shared" si="1757"/>
        <v>29667.17</v>
      </c>
      <c r="BN301" s="22">
        <f t="shared" si="1759"/>
        <v>29786.95</v>
      </c>
      <c r="BO301" s="22">
        <f t="shared" si="1757"/>
        <v>29786.95</v>
      </c>
      <c r="BP301" s="22">
        <f t="shared" si="1759"/>
        <v>29295.3</v>
      </c>
      <c r="BQ301" s="22">
        <f t="shared" si="1757"/>
        <v>29295.3</v>
      </c>
      <c r="BR301" s="22">
        <f t="shared" si="1759"/>
        <v>30696.07</v>
      </c>
      <c r="BS301" s="22">
        <f t="shared" si="1757"/>
        <v>30696.07</v>
      </c>
      <c r="BT301" s="22">
        <f t="shared" si="1759"/>
        <v>29293.85</v>
      </c>
      <c r="BU301" s="22">
        <f t="shared" si="1757"/>
        <v>29293.85</v>
      </c>
      <c r="BV301" s="22">
        <f t="shared" si="1759"/>
        <v>29386.58</v>
      </c>
      <c r="BW301" s="22">
        <f t="shared" si="1757"/>
        <v>29386.58</v>
      </c>
      <c r="BX301" s="22">
        <f t="shared" si="1759"/>
        <v>29229.34</v>
      </c>
      <c r="BY301" s="22">
        <f t="shared" si="1757"/>
        <v>29229.34</v>
      </c>
      <c r="BZ301" s="22">
        <f t="shared" si="1759"/>
        <v>29460.74</v>
      </c>
      <c r="CA301" s="22">
        <f t="shared" si="1757"/>
        <v>29460.74</v>
      </c>
      <c r="CB301" s="22">
        <f t="shared" si="1759"/>
        <v>30391.58</v>
      </c>
      <c r="CC301" s="22">
        <f t="shared" si="1757"/>
        <v>30391.58</v>
      </c>
      <c r="CD301" s="22">
        <f t="shared" si="1759"/>
        <v>30830.13</v>
      </c>
      <c r="CE301" s="22">
        <f t="shared" si="1757"/>
        <v>30830.13</v>
      </c>
      <c r="CF301" s="22">
        <f t="shared" ref="CF301:CI301" si="1760">+CF298-CF299-CF300</f>
        <v>30904.22</v>
      </c>
      <c r="CG301" s="22">
        <f t="shared" ref="CG301:CI304" si="1761">+CF301</f>
        <v>30904.22</v>
      </c>
      <c r="CH301" s="22">
        <f t="shared" si="1760"/>
        <v>32661.779999999995</v>
      </c>
      <c r="CI301" s="22">
        <f t="shared" si="1760"/>
        <v>31628.48</v>
      </c>
      <c r="CJ301" s="22">
        <f>+'QTR Raw'!BD68</f>
        <v>31588.12</v>
      </c>
      <c r="CK301" s="22">
        <f t="shared" ref="CK301:DB301" si="1762">+CK298-CK299-CK300</f>
        <v>30616.38</v>
      </c>
      <c r="CL301" s="22">
        <f>+'QTR Raw'!BF68</f>
        <v>17765.93</v>
      </c>
      <c r="CM301" s="21">
        <f t="shared" si="1762"/>
        <v>18132.952099999999</v>
      </c>
      <c r="CN301" s="21">
        <f t="shared" si="1762"/>
        <v>18488.963537</v>
      </c>
      <c r="CO301" s="21">
        <f t="shared" si="1762"/>
        <v>18834.294630889999</v>
      </c>
      <c r="CP301" s="21">
        <f t="shared" si="1762"/>
        <v>19169.265791963298</v>
      </c>
      <c r="CQ301" s="21">
        <f t="shared" si="1762"/>
        <v>19494.187818204398</v>
      </c>
      <c r="CR301" s="21">
        <f t="shared" si="1762"/>
        <v>19809.362183658268</v>
      </c>
      <c r="CS301" s="21">
        <f t="shared" si="1762"/>
        <v>20115.081318148521</v>
      </c>
      <c r="CT301" s="21">
        <f t="shared" si="1762"/>
        <v>20411.628878604064</v>
      </c>
      <c r="CU301" s="21">
        <f t="shared" si="1762"/>
        <v>20699.280012245941</v>
      </c>
      <c r="CV301" s="21">
        <f t="shared" si="1762"/>
        <v>20978.30161187856</v>
      </c>
      <c r="CW301" s="21">
        <f t="shared" si="1762"/>
        <v>21248.952563522202</v>
      </c>
      <c r="CX301" s="21">
        <f t="shared" si="1762"/>
        <v>21511.483986616535</v>
      </c>
      <c r="CY301" s="21">
        <f t="shared" si="1762"/>
        <v>21766.139467018038</v>
      </c>
      <c r="CZ301" s="21">
        <f t="shared" si="1762"/>
        <v>22013.155283007494</v>
      </c>
      <c r="DA301" s="21">
        <f t="shared" si="1762"/>
        <v>22252.760624517272</v>
      </c>
      <c r="DB301" s="21">
        <f t="shared" si="1762"/>
        <v>22485.177805781757</v>
      </c>
      <c r="DE301" s="126"/>
      <c r="DF301" s="22">
        <v>20120.199999999993</v>
      </c>
    </row>
    <row r="302" spans="1:110" s="23" customFormat="1" outlineLevel="1" x14ac:dyDescent="0.2">
      <c r="A302" s="23" t="s">
        <v>54</v>
      </c>
      <c r="B302" s="23">
        <f>'Annual Raw'!C86</f>
        <v>0</v>
      </c>
      <c r="C302" s="23">
        <f>'Annual Raw'!D86</f>
        <v>153.56</v>
      </c>
      <c r="D302" s="23">
        <f>'Annual Raw'!E86</f>
        <v>131.66</v>
      </c>
      <c r="E302" s="23">
        <f>'Annual Raw'!F86</f>
        <v>0</v>
      </c>
      <c r="F302" s="23">
        <f>'Annual Raw'!G86</f>
        <v>-0.36</v>
      </c>
      <c r="G302" s="23">
        <f>'Annual Raw'!H86</f>
        <v>12.95</v>
      </c>
      <c r="H302" s="23">
        <f>'Annual Raw'!I86</f>
        <v>165.28</v>
      </c>
      <c r="I302" s="23">
        <f>'Annual Raw'!J86</f>
        <v>224.12</v>
      </c>
      <c r="J302" s="23">
        <f>'Annual Raw'!K86</f>
        <v>358.98</v>
      </c>
      <c r="K302" s="23">
        <f>'Annual Raw'!L86</f>
        <v>528.02</v>
      </c>
      <c r="L302" s="23">
        <f>'Annual Raw'!M86</f>
        <v>1082.45</v>
      </c>
      <c r="M302" s="23">
        <f>'Annual Raw'!N86</f>
        <v>1146.3900000000001</v>
      </c>
      <c r="N302" s="23">
        <f>'Annual Raw'!O86</f>
        <v>2205.52</v>
      </c>
      <c r="O302" s="23">
        <f>'Annual Raw'!P86</f>
        <v>2212.04</v>
      </c>
      <c r="P302" s="23">
        <f>'Annual Raw'!Q86</f>
        <v>2301.9</v>
      </c>
      <c r="Q302" s="23">
        <f>'Annual Raw'!R86</f>
        <v>1523.08</v>
      </c>
      <c r="R302" s="23">
        <f>'Annual Raw'!S86</f>
        <v>1457.45</v>
      </c>
      <c r="S302" s="23">
        <f>'Annual Raw'!T86</f>
        <v>1657.52</v>
      </c>
      <c r="T302" s="23">
        <f>'Annual Raw'!U86</f>
        <v>1934.88</v>
      </c>
      <c r="U302" s="23">
        <f>'Annual Raw'!V86</f>
        <v>10833.79</v>
      </c>
      <c r="V302" s="23">
        <f>'Annual Raw'!W86</f>
        <v>10534.6</v>
      </c>
      <c r="W302" s="23">
        <f>'Annual Raw'!X86</f>
        <v>9793.43</v>
      </c>
      <c r="X302" s="23">
        <f>'Annual Raw'!Y86</f>
        <v>9590.1200000000008</v>
      </c>
      <c r="Y302" s="23">
        <f>'Annual Raw'!Z86</f>
        <v>9290.23</v>
      </c>
      <c r="Z302" s="23">
        <f>'Annual Raw'!AA86</f>
        <v>9735.0400000000009</v>
      </c>
      <c r="AA302" s="23">
        <f>'Annual Raw'!AB86</f>
        <v>9626.3700000000008</v>
      </c>
      <c r="AB302" s="24">
        <f t="shared" si="1744"/>
        <v>8481.5400000000009</v>
      </c>
      <c r="AC302" s="24">
        <f t="shared" si="1745"/>
        <v>8481.5400000000009</v>
      </c>
      <c r="AD302" s="24">
        <f t="shared" si="1746"/>
        <v>8481.5400000000009</v>
      </c>
      <c r="AE302" s="24">
        <f t="shared" si="1747"/>
        <v>8481.5400000000009</v>
      </c>
      <c r="AJ302" s="23">
        <f>+'QTR Raw'!D72</f>
        <v>0</v>
      </c>
      <c r="AK302" s="23">
        <f>+AJ302</f>
        <v>0</v>
      </c>
      <c r="AL302" s="23">
        <f>+'QTR Raw'!F72</f>
        <v>2119.75</v>
      </c>
      <c r="AM302" s="23">
        <f t="shared" ref="AK302:CE304" si="1763">+AL302</f>
        <v>2119.75</v>
      </c>
      <c r="AN302" s="23">
        <f>+'QTR Raw'!H72</f>
        <v>2156.73</v>
      </c>
      <c r="AO302" s="23">
        <f t="shared" si="1763"/>
        <v>2156.73</v>
      </c>
      <c r="AP302" s="23">
        <f>+'QTR Raw'!J72</f>
        <v>2136.17</v>
      </c>
      <c r="AQ302" s="23">
        <f t="shared" si="1763"/>
        <v>2136.17</v>
      </c>
      <c r="AR302" s="23">
        <f>+'QTR Raw'!L72</f>
        <v>2178.77</v>
      </c>
      <c r="AS302" s="23">
        <f t="shared" si="1763"/>
        <v>2178.77</v>
      </c>
      <c r="AT302" s="23">
        <f>+'QTR Raw'!N72</f>
        <v>2215</v>
      </c>
      <c r="AU302" s="23">
        <f t="shared" si="1763"/>
        <v>2215</v>
      </c>
      <c r="AV302" s="23">
        <f>+'QTR Raw'!P72</f>
        <v>2184.6</v>
      </c>
      <c r="AW302" s="23">
        <f t="shared" si="1763"/>
        <v>2184.6</v>
      </c>
      <c r="AX302" s="23">
        <f>+'QTR Raw'!R72</f>
        <v>1446.96</v>
      </c>
      <c r="AY302" s="23">
        <f t="shared" si="1763"/>
        <v>1446.96</v>
      </c>
      <c r="AZ302" s="23">
        <f>+'QTR Raw'!T72</f>
        <v>1430.79</v>
      </c>
      <c r="BA302" s="23">
        <f t="shared" si="1763"/>
        <v>1430.79</v>
      </c>
      <c r="BB302" s="23">
        <f>+'QTR Raw'!V72</f>
        <v>1398.66</v>
      </c>
      <c r="BC302" s="23">
        <f t="shared" si="1763"/>
        <v>1398.66</v>
      </c>
      <c r="BD302" s="23">
        <f>+'QTR Raw'!X72</f>
        <v>1526.46</v>
      </c>
      <c r="BE302" s="23">
        <f t="shared" si="1763"/>
        <v>1526.46</v>
      </c>
      <c r="BF302" s="23">
        <f>+'QTR Raw'!Z72</f>
        <v>1561.78</v>
      </c>
      <c r="BG302" s="23">
        <f t="shared" si="1763"/>
        <v>1561.78</v>
      </c>
      <c r="BH302" s="23">
        <f>+'QTR Raw'!AB72</f>
        <v>1606.53</v>
      </c>
      <c r="BI302" s="23">
        <f t="shared" si="1763"/>
        <v>1606.53</v>
      </c>
      <c r="BJ302" s="23">
        <f>+'QTR Raw'!AD72</f>
        <v>1826.91</v>
      </c>
      <c r="BK302" s="23">
        <f t="shared" si="1763"/>
        <v>1826.91</v>
      </c>
      <c r="BL302" s="23">
        <f>+'QTR Raw'!AF72</f>
        <v>7865.23</v>
      </c>
      <c r="BM302" s="23">
        <f t="shared" si="1763"/>
        <v>7865.23</v>
      </c>
      <c r="BN302" s="23">
        <f>+'QTR Raw'!AH72</f>
        <v>8011.4</v>
      </c>
      <c r="BO302" s="23">
        <f t="shared" si="1763"/>
        <v>8011.4</v>
      </c>
      <c r="BP302" s="23">
        <f>+'QTR Raw'!AJ72</f>
        <v>8027.45</v>
      </c>
      <c r="BQ302" s="23">
        <f t="shared" si="1763"/>
        <v>8027.45</v>
      </c>
      <c r="BR302" s="23">
        <f>+'QTR Raw'!AL72</f>
        <v>8066.96</v>
      </c>
      <c r="BS302" s="23">
        <f t="shared" si="1763"/>
        <v>8066.96</v>
      </c>
      <c r="BT302" s="23">
        <f>+'QTR Raw'!AN72</f>
        <v>8108.73</v>
      </c>
      <c r="BU302" s="23">
        <f t="shared" si="1763"/>
        <v>8108.73</v>
      </c>
      <c r="BV302" s="23">
        <f>+'QTR Raw'!AP72</f>
        <v>7685.17</v>
      </c>
      <c r="BW302" s="23">
        <f t="shared" si="1763"/>
        <v>7685.17</v>
      </c>
      <c r="BX302" s="23">
        <f>+'QTR Raw'!AR72</f>
        <v>7466.3</v>
      </c>
      <c r="BY302" s="23">
        <f t="shared" si="1763"/>
        <v>7466.3</v>
      </c>
      <c r="BZ302" s="23">
        <f>+'QTR Raw'!AT72</f>
        <v>7798.65</v>
      </c>
      <c r="CA302" s="23">
        <f t="shared" si="1763"/>
        <v>7798.65</v>
      </c>
      <c r="CB302" s="23">
        <f>+'QTR Raw'!AV72</f>
        <v>7795.59</v>
      </c>
      <c r="CC302" s="23">
        <f t="shared" si="1763"/>
        <v>7795.59</v>
      </c>
      <c r="CD302" s="23">
        <f>+'QTR Raw'!AX72</f>
        <v>7800.88</v>
      </c>
      <c r="CE302" s="23">
        <f t="shared" si="1763"/>
        <v>7800.88</v>
      </c>
      <c r="CF302" s="23">
        <f>+'QTR Raw'!AZ72</f>
        <v>7830.92</v>
      </c>
      <c r="CG302" s="23">
        <f t="shared" si="1761"/>
        <v>7830.92</v>
      </c>
      <c r="CH302" s="23">
        <f t="shared" si="1748"/>
        <v>9735.0400000000009</v>
      </c>
      <c r="CI302" s="23">
        <f t="shared" si="1761"/>
        <v>9735.0400000000009</v>
      </c>
      <c r="CJ302" s="23">
        <f>+'QTR Raw'!BD72</f>
        <v>8615.23</v>
      </c>
      <c r="CK302" s="23">
        <f t="shared" ref="CK302:CK304" si="1764">+CJ302</f>
        <v>8615.23</v>
      </c>
      <c r="CL302" s="23">
        <f>+'QTR Raw'!BF72</f>
        <v>8481.5400000000009</v>
      </c>
      <c r="CM302" s="24">
        <f t="shared" ref="CM302:CM304" si="1765">+CL302</f>
        <v>8481.5400000000009</v>
      </c>
      <c r="CN302" s="24">
        <f t="shared" ref="CN302:CN304" si="1766">+CM302</f>
        <v>8481.5400000000009</v>
      </c>
      <c r="CO302" s="24">
        <f t="shared" ref="CO302:CO304" si="1767">+CN302</f>
        <v>8481.5400000000009</v>
      </c>
      <c r="CP302" s="24">
        <f t="shared" ref="CP302:CP304" si="1768">+CO302</f>
        <v>8481.5400000000009</v>
      </c>
      <c r="CQ302" s="24">
        <f t="shared" ref="CQ302:CQ304" si="1769">+CP302</f>
        <v>8481.5400000000009</v>
      </c>
      <c r="CR302" s="24">
        <f t="shared" ref="CR302:CR304" si="1770">+CQ302</f>
        <v>8481.5400000000009</v>
      </c>
      <c r="CS302" s="24">
        <f t="shared" ref="CS302:CS304" si="1771">+CR302</f>
        <v>8481.5400000000009</v>
      </c>
      <c r="CT302" s="24">
        <f t="shared" ref="CT302:CT304" si="1772">+CS302</f>
        <v>8481.5400000000009</v>
      </c>
      <c r="CU302" s="24">
        <f t="shared" ref="CU302:CU304" si="1773">+CT302</f>
        <v>8481.5400000000009</v>
      </c>
      <c r="CV302" s="24">
        <f t="shared" ref="CV302:CV304" si="1774">+CU302</f>
        <v>8481.5400000000009</v>
      </c>
      <c r="CW302" s="24">
        <f t="shared" ref="CW302:CW304" si="1775">+CV302</f>
        <v>8481.5400000000009</v>
      </c>
      <c r="CX302" s="24">
        <f t="shared" ref="CX302:CX304" si="1776">+CW302</f>
        <v>8481.5400000000009</v>
      </c>
      <c r="CY302" s="24">
        <f t="shared" ref="CY302:CY304" si="1777">+CX302</f>
        <v>8481.5400000000009</v>
      </c>
      <c r="CZ302" s="24">
        <f t="shared" ref="CZ302:CZ304" si="1778">+CY302</f>
        <v>8481.5400000000009</v>
      </c>
      <c r="DA302" s="24">
        <f t="shared" ref="DA302:DA304" si="1779">+CZ302</f>
        <v>8481.5400000000009</v>
      </c>
      <c r="DB302" s="24">
        <f t="shared" ref="DB302:DB304" si="1780">+DA302</f>
        <v>8481.5400000000009</v>
      </c>
      <c r="DE302" s="123"/>
      <c r="DF302" s="23">
        <v>9626.3700000000008</v>
      </c>
    </row>
    <row r="303" spans="1:110" s="23" customFormat="1" outlineLevel="1" x14ac:dyDescent="0.2">
      <c r="A303" s="23" t="s">
        <v>55</v>
      </c>
      <c r="B303" s="23">
        <f>'Annual Raw'!C68</f>
        <v>0</v>
      </c>
      <c r="C303" s="23">
        <f>'Annual Raw'!D68</f>
        <v>0</v>
      </c>
      <c r="D303" s="23">
        <f>'Annual Raw'!E68</f>
        <v>0</v>
      </c>
      <c r="E303" s="23">
        <f>'Annual Raw'!F68</f>
        <v>0</v>
      </c>
      <c r="F303" s="23">
        <f>'Annual Raw'!G68</f>
        <v>0</v>
      </c>
      <c r="G303" s="23">
        <f>'Annual Raw'!H68</f>
        <v>0</v>
      </c>
      <c r="H303" s="23">
        <f>'Annual Raw'!I68</f>
        <v>0</v>
      </c>
      <c r="I303" s="23">
        <f>'Annual Raw'!J68</f>
        <v>0</v>
      </c>
      <c r="J303" s="23">
        <f>'Annual Raw'!K68</f>
        <v>0</v>
      </c>
      <c r="K303" s="23">
        <f>'Annual Raw'!L68</f>
        <v>0</v>
      </c>
      <c r="L303" s="23">
        <f>'Annual Raw'!M68</f>
        <v>4969.4799999999996</v>
      </c>
      <c r="M303" s="23">
        <f>'Annual Raw'!N68</f>
        <v>6857.03</v>
      </c>
      <c r="N303" s="23">
        <f>'Annual Raw'!O68</f>
        <v>7289.44</v>
      </c>
      <c r="O303" s="23">
        <f>'Annual Raw'!P68</f>
        <v>10013.209999999999</v>
      </c>
      <c r="P303" s="23">
        <f>'Annual Raw'!Q68</f>
        <v>10109.75</v>
      </c>
      <c r="Q303" s="23">
        <f>'Annual Raw'!R68</f>
        <v>9183.92</v>
      </c>
      <c r="R303" s="23">
        <f>'Annual Raw'!S68</f>
        <v>11353.23</v>
      </c>
      <c r="S303" s="23">
        <f>'Annual Raw'!T68</f>
        <v>11300.36</v>
      </c>
      <c r="T303" s="23">
        <f>'Annual Raw'!U68</f>
        <v>11435.93</v>
      </c>
      <c r="U303" s="23">
        <f>'Annual Raw'!V68</f>
        <v>86.18</v>
      </c>
      <c r="V303" s="23">
        <f>'Annual Raw'!W68</f>
        <v>112.02</v>
      </c>
      <c r="W303" s="23">
        <f>'Annual Raw'!X68</f>
        <v>79.23</v>
      </c>
      <c r="X303" s="23">
        <f>'Annual Raw'!Y68</f>
        <v>116.48</v>
      </c>
      <c r="Y303" s="23">
        <f>'Annual Raw'!Z68</f>
        <v>147.97</v>
      </c>
      <c r="Z303" s="23">
        <f>'Annual Raw'!AA68</f>
        <v>197.82</v>
      </c>
      <c r="AA303" s="23">
        <f>'Annual Raw'!AB68</f>
        <v>274.7</v>
      </c>
      <c r="AB303" s="24">
        <f t="shared" si="1744"/>
        <v>0</v>
      </c>
      <c r="AC303" s="24">
        <f t="shared" si="1745"/>
        <v>0</v>
      </c>
      <c r="AD303" s="24">
        <f t="shared" si="1746"/>
        <v>0</v>
      </c>
      <c r="AE303" s="24">
        <f t="shared" si="1747"/>
        <v>0</v>
      </c>
      <c r="AK303" s="23">
        <f t="shared" si="1763"/>
        <v>0</v>
      </c>
      <c r="AM303" s="23">
        <f t="shared" si="1763"/>
        <v>0</v>
      </c>
      <c r="AO303" s="23">
        <f t="shared" si="1763"/>
        <v>0</v>
      </c>
      <c r="AQ303" s="23">
        <f t="shared" si="1763"/>
        <v>0</v>
      </c>
      <c r="AS303" s="23">
        <f t="shared" si="1763"/>
        <v>0</v>
      </c>
      <c r="AU303" s="23">
        <f t="shared" si="1763"/>
        <v>0</v>
      </c>
      <c r="AW303" s="23">
        <f t="shared" si="1763"/>
        <v>0</v>
      </c>
      <c r="AY303" s="23">
        <f t="shared" si="1763"/>
        <v>0</v>
      </c>
      <c r="BA303" s="23">
        <f t="shared" si="1763"/>
        <v>0</v>
      </c>
      <c r="BC303" s="23">
        <f t="shared" si="1763"/>
        <v>0</v>
      </c>
      <c r="BE303" s="23">
        <f t="shared" si="1763"/>
        <v>0</v>
      </c>
      <c r="BG303" s="23">
        <f t="shared" si="1763"/>
        <v>0</v>
      </c>
      <c r="BI303" s="23">
        <f t="shared" si="1763"/>
        <v>0</v>
      </c>
      <c r="BK303" s="23">
        <f t="shared" si="1763"/>
        <v>0</v>
      </c>
      <c r="BM303" s="23">
        <f t="shared" si="1763"/>
        <v>0</v>
      </c>
      <c r="BO303" s="23">
        <f t="shared" si="1763"/>
        <v>0</v>
      </c>
      <c r="BQ303" s="23">
        <f t="shared" si="1763"/>
        <v>0</v>
      </c>
      <c r="BS303" s="23">
        <f t="shared" si="1763"/>
        <v>0</v>
      </c>
      <c r="BU303" s="23">
        <f t="shared" si="1763"/>
        <v>0</v>
      </c>
      <c r="BW303" s="23">
        <f t="shared" si="1763"/>
        <v>0</v>
      </c>
      <c r="BY303" s="23">
        <f t="shared" si="1763"/>
        <v>0</v>
      </c>
      <c r="CA303" s="23">
        <f t="shared" si="1763"/>
        <v>0</v>
      </c>
      <c r="CC303" s="23">
        <f t="shared" si="1763"/>
        <v>0</v>
      </c>
      <c r="CE303" s="23">
        <f t="shared" si="1763"/>
        <v>0</v>
      </c>
      <c r="CG303" s="23">
        <f t="shared" si="1761"/>
        <v>0</v>
      </c>
      <c r="CH303" s="23">
        <f t="shared" si="1748"/>
        <v>197.82</v>
      </c>
      <c r="CI303" s="23">
        <f t="shared" si="1761"/>
        <v>197.82</v>
      </c>
      <c r="CK303" s="23">
        <f t="shared" si="1764"/>
        <v>0</v>
      </c>
      <c r="CM303" s="24">
        <f t="shared" si="1765"/>
        <v>0</v>
      </c>
      <c r="CN303" s="24">
        <f t="shared" si="1766"/>
        <v>0</v>
      </c>
      <c r="CO303" s="24">
        <f t="shared" si="1767"/>
        <v>0</v>
      </c>
      <c r="CP303" s="24">
        <f t="shared" si="1768"/>
        <v>0</v>
      </c>
      <c r="CQ303" s="24">
        <f t="shared" si="1769"/>
        <v>0</v>
      </c>
      <c r="CR303" s="24">
        <f t="shared" si="1770"/>
        <v>0</v>
      </c>
      <c r="CS303" s="24">
        <f t="shared" si="1771"/>
        <v>0</v>
      </c>
      <c r="CT303" s="24">
        <f t="shared" si="1772"/>
        <v>0</v>
      </c>
      <c r="CU303" s="24">
        <f t="shared" si="1773"/>
        <v>0</v>
      </c>
      <c r="CV303" s="24">
        <f t="shared" si="1774"/>
        <v>0</v>
      </c>
      <c r="CW303" s="24">
        <f t="shared" si="1775"/>
        <v>0</v>
      </c>
      <c r="CX303" s="24">
        <f t="shared" si="1776"/>
        <v>0</v>
      </c>
      <c r="CY303" s="24">
        <f t="shared" si="1777"/>
        <v>0</v>
      </c>
      <c r="CZ303" s="24">
        <f t="shared" si="1778"/>
        <v>0</v>
      </c>
      <c r="DA303" s="24">
        <f t="shared" si="1779"/>
        <v>0</v>
      </c>
      <c r="DB303" s="24">
        <f t="shared" si="1780"/>
        <v>0</v>
      </c>
      <c r="DE303" s="123"/>
      <c r="DF303" s="23">
        <v>274.7</v>
      </c>
    </row>
    <row r="304" spans="1:110" s="23" customFormat="1" outlineLevel="1" x14ac:dyDescent="0.2">
      <c r="A304" s="23" t="s">
        <v>56</v>
      </c>
      <c r="B304" s="23">
        <f>'Annual Raw'!C67+'Annual Raw'!C66+'Annual Raw'!C69+'Annual Raw'!C70</f>
        <v>129.12</v>
      </c>
      <c r="C304" s="23">
        <f>'Annual Raw'!D67+'Annual Raw'!D66+'Annual Raw'!D69+'Annual Raw'!D70</f>
        <v>33.97999999999999</v>
      </c>
      <c r="D304" s="23">
        <f>'Annual Raw'!E67+'Annual Raw'!E66+'Annual Raw'!E69+'Annual Raw'!E70</f>
        <v>6.5099999999999909</v>
      </c>
      <c r="E304" s="23">
        <f>'Annual Raw'!F67+'Annual Raw'!F66+'Annual Raw'!F69+'Annual Raw'!F70</f>
        <v>-47.32</v>
      </c>
      <c r="F304" s="23">
        <f>'Annual Raw'!G67+'Annual Raw'!G66+'Annual Raw'!G69+'Annual Raw'!G70</f>
        <v>35.52000000000001</v>
      </c>
      <c r="G304" s="23">
        <f>'Annual Raw'!H67+'Annual Raw'!H66+'Annual Raw'!H69+'Annual Raw'!H70</f>
        <v>241.57999999999998</v>
      </c>
      <c r="H304" s="23">
        <f>'Annual Raw'!I67+'Annual Raw'!I66+'Annual Raw'!I69+'Annual Raw'!I70</f>
        <v>1237.6599999999999</v>
      </c>
      <c r="I304" s="23">
        <f>'Annual Raw'!J67+'Annual Raw'!J66+'Annual Raw'!J69+'Annual Raw'!J70</f>
        <v>2813.71</v>
      </c>
      <c r="J304" s="23">
        <f>'Annual Raw'!K67+'Annual Raw'!K66+'Annual Raw'!K69+'Annual Raw'!K70</f>
        <v>5966.05</v>
      </c>
      <c r="K304" s="23">
        <f>'Annual Raw'!L67+'Annual Raw'!L66+'Annual Raw'!L69+'Annual Raw'!L70</f>
        <v>6379.0700000000006</v>
      </c>
      <c r="L304" s="23">
        <f>'Annual Raw'!M67+'Annual Raw'!M66+'Annual Raw'!M69+'Annual Raw'!M70</f>
        <v>7153.5300000000007</v>
      </c>
      <c r="M304" s="23">
        <f>'Annual Raw'!N67+'Annual Raw'!N66+'Annual Raw'!N69+'Annual Raw'!N70</f>
        <v>7816.84</v>
      </c>
      <c r="N304" s="23">
        <f>'Annual Raw'!O67+'Annual Raw'!O66+'Annual Raw'!O69+'Annual Raw'!O70</f>
        <v>3821.72</v>
      </c>
      <c r="O304" s="23">
        <f>'Annual Raw'!P67+'Annual Raw'!P66+'Annual Raw'!P69+'Annual Raw'!P70</f>
        <v>3925.9500000000003</v>
      </c>
      <c r="P304" s="23">
        <f>'Annual Raw'!Q67+'Annual Raw'!Q66+'Annual Raw'!Q69+'Annual Raw'!Q70</f>
        <v>4643.67</v>
      </c>
      <c r="Q304" s="23">
        <f>'Annual Raw'!R67+'Annual Raw'!R66+'Annual Raw'!R69+'Annual Raw'!R70</f>
        <v>6176.53</v>
      </c>
      <c r="R304" s="23">
        <f>'Annual Raw'!S67+'Annual Raw'!S66+'Annual Raw'!S69+'Annual Raw'!S70</f>
        <v>5557.97</v>
      </c>
      <c r="S304" s="23">
        <f>'Annual Raw'!T67+'Annual Raw'!T66+'Annual Raw'!T69+'Annual Raw'!T70</f>
        <v>6488.93</v>
      </c>
      <c r="T304" s="23">
        <f>'Annual Raw'!U67+'Annual Raw'!U66+'Annual Raw'!U69+'Annual Raw'!U70</f>
        <v>6738.1200000000008</v>
      </c>
      <c r="U304" s="23">
        <f>'Annual Raw'!V67+'Annual Raw'!V66+'Annual Raw'!V69+'Annual Raw'!V70</f>
        <v>6939.6299999999992</v>
      </c>
      <c r="V304" s="23">
        <f>'Annual Raw'!W67+'Annual Raw'!W66+'Annual Raw'!W69+'Annual Raw'!W70</f>
        <v>4035.15</v>
      </c>
      <c r="W304" s="23">
        <f>'Annual Raw'!X67+'Annual Raw'!X66+'Annual Raw'!X69+'Annual Raw'!X70</f>
        <v>5133.3</v>
      </c>
      <c r="X304" s="23">
        <f>'Annual Raw'!Y67+'Annual Raw'!Y66+'Annual Raw'!Y69+'Annual Raw'!Y70</f>
        <v>6309.3099999999995</v>
      </c>
      <c r="Y304" s="23">
        <f>'Annual Raw'!Z67+'Annual Raw'!Z66+'Annual Raw'!Z69+'Annual Raw'!Z70</f>
        <v>5088.41</v>
      </c>
      <c r="Z304" s="23">
        <f>'Annual Raw'!AA67+'Annual Raw'!AA66+'Annual Raw'!AA69+'Annual Raw'!AA70</f>
        <v>4049.4900000000002</v>
      </c>
      <c r="AA304" s="23">
        <f>'Annual Raw'!AB67+'Annual Raw'!AB66+'Annual Raw'!AB69+'Annual Raw'!AB70</f>
        <v>4156.59</v>
      </c>
      <c r="AB304" s="24">
        <f t="shared" si="1744"/>
        <v>3036.25</v>
      </c>
      <c r="AC304" s="24">
        <f t="shared" si="1745"/>
        <v>3036.25</v>
      </c>
      <c r="AD304" s="24">
        <f t="shared" si="1746"/>
        <v>3036.25</v>
      </c>
      <c r="AE304" s="24">
        <f t="shared" si="1747"/>
        <v>3036.25</v>
      </c>
      <c r="AJ304" s="23">
        <f>+'QTR Raw'!D74+'QTR Raw'!D75</f>
        <v>0</v>
      </c>
      <c r="AK304" s="23">
        <f t="shared" si="1763"/>
        <v>0</v>
      </c>
      <c r="AL304" s="23">
        <f>+'QTR Raw'!F74+'QTR Raw'!F75</f>
        <v>0</v>
      </c>
      <c r="AM304" s="23">
        <f t="shared" si="1763"/>
        <v>0</v>
      </c>
      <c r="AN304" s="23">
        <f>+'QTR Raw'!H74+'QTR Raw'!H75</f>
        <v>0</v>
      </c>
      <c r="AO304" s="23">
        <f t="shared" si="1763"/>
        <v>0</v>
      </c>
      <c r="AP304" s="23">
        <f>+'QTR Raw'!J74+'QTR Raw'!J75</f>
        <v>0</v>
      </c>
      <c r="AQ304" s="23">
        <f t="shared" si="1763"/>
        <v>0</v>
      </c>
      <c r="AR304" s="23">
        <f>+'QTR Raw'!L74+'QTR Raw'!L75</f>
        <v>0</v>
      </c>
      <c r="AS304" s="23">
        <f t="shared" si="1763"/>
        <v>0</v>
      </c>
      <c r="AT304" s="23">
        <f>+'QTR Raw'!N74+'QTR Raw'!N75</f>
        <v>0</v>
      </c>
      <c r="AU304" s="23">
        <f t="shared" si="1763"/>
        <v>0</v>
      </c>
      <c r="AV304" s="23">
        <f>+'QTR Raw'!P74+'QTR Raw'!P75</f>
        <v>0</v>
      </c>
      <c r="AW304" s="23">
        <f t="shared" si="1763"/>
        <v>0</v>
      </c>
      <c r="AX304" s="23">
        <f>+'QTR Raw'!R74+'QTR Raw'!R75</f>
        <v>1790.53</v>
      </c>
      <c r="AY304" s="23">
        <f t="shared" si="1763"/>
        <v>1790.53</v>
      </c>
      <c r="AZ304" s="23">
        <f>+'QTR Raw'!T74+'QTR Raw'!T75</f>
        <v>1866.58</v>
      </c>
      <c r="BA304" s="23">
        <f t="shared" si="1763"/>
        <v>1866.58</v>
      </c>
      <c r="BB304" s="23">
        <f>+'QTR Raw'!V74+'QTR Raw'!V75</f>
        <v>1944.71</v>
      </c>
      <c r="BC304" s="23">
        <f t="shared" si="1763"/>
        <v>1944.71</v>
      </c>
      <c r="BD304" s="23">
        <f>+'QTR Raw'!X74+'QTR Raw'!X75</f>
        <v>1907.27</v>
      </c>
      <c r="BE304" s="23">
        <f t="shared" si="1763"/>
        <v>1907.27</v>
      </c>
      <c r="BF304" s="23">
        <f>+'QTR Raw'!Z74+'QTR Raw'!Z75</f>
        <v>2143.0700000000002</v>
      </c>
      <c r="BG304" s="23">
        <f t="shared" si="1763"/>
        <v>2143.0700000000002</v>
      </c>
      <c r="BH304" s="23">
        <f>+'QTR Raw'!AB74+'QTR Raw'!AB75</f>
        <v>2238.11</v>
      </c>
      <c r="BI304" s="23">
        <f t="shared" si="1763"/>
        <v>2238.11</v>
      </c>
      <c r="BJ304" s="23">
        <f>+'QTR Raw'!AD74+'QTR Raw'!AD75</f>
        <v>2483.56</v>
      </c>
      <c r="BK304" s="23">
        <f t="shared" si="1763"/>
        <v>2483.56</v>
      </c>
      <c r="BL304" s="23">
        <f>+'QTR Raw'!AF74+'QTR Raw'!AF75</f>
        <v>2648.76</v>
      </c>
      <c r="BM304" s="23">
        <f t="shared" si="1763"/>
        <v>2648.76</v>
      </c>
      <c r="BN304" s="23">
        <f>+'QTR Raw'!AH74+'QTR Raw'!AH75</f>
        <v>3224.91</v>
      </c>
      <c r="BO304" s="23">
        <f t="shared" si="1763"/>
        <v>3224.91</v>
      </c>
      <c r="BP304" s="23">
        <f>+'QTR Raw'!AJ74+'QTR Raw'!AJ75</f>
        <v>1944.98</v>
      </c>
      <c r="BQ304" s="23">
        <f t="shared" si="1763"/>
        <v>1944.98</v>
      </c>
      <c r="BR304" s="23">
        <f>+'QTR Raw'!AL74+'QTR Raw'!AL75</f>
        <v>388.37</v>
      </c>
      <c r="BS304" s="23">
        <f t="shared" si="1763"/>
        <v>388.37</v>
      </c>
      <c r="BT304" s="23">
        <f>+'QTR Raw'!AN74+'QTR Raw'!AN75</f>
        <v>755.75</v>
      </c>
      <c r="BU304" s="23">
        <f t="shared" si="1763"/>
        <v>755.75</v>
      </c>
      <c r="BV304" s="23">
        <f>+'QTR Raw'!AP74+'QTR Raw'!AP75</f>
        <v>1170.32</v>
      </c>
      <c r="BW304" s="23">
        <f t="shared" si="1763"/>
        <v>1170.32</v>
      </c>
      <c r="BX304" s="23">
        <f>+'QTR Raw'!AR74+'QTR Raw'!AR75</f>
        <v>2212.42</v>
      </c>
      <c r="BY304" s="23">
        <f t="shared" si="1763"/>
        <v>2212.42</v>
      </c>
      <c r="BZ304" s="23">
        <f>+'QTR Raw'!AT74+'QTR Raw'!AT75</f>
        <v>2949.09</v>
      </c>
      <c r="CA304" s="23">
        <f t="shared" si="1763"/>
        <v>2949.09</v>
      </c>
      <c r="CB304" s="23">
        <f>+'QTR Raw'!AV74+'QTR Raw'!AV75</f>
        <v>2739.11</v>
      </c>
      <c r="CC304" s="23">
        <f t="shared" si="1763"/>
        <v>2739.11</v>
      </c>
      <c r="CD304" s="23">
        <f>+'QTR Raw'!AX74+'QTR Raw'!AX75</f>
        <v>2897.04</v>
      </c>
      <c r="CE304" s="23">
        <f t="shared" si="1763"/>
        <v>2897.04</v>
      </c>
      <c r="CF304" s="23">
        <f>+'QTR Raw'!AZ74+'QTR Raw'!AZ75</f>
        <v>2560.64</v>
      </c>
      <c r="CG304" s="23">
        <f t="shared" si="1761"/>
        <v>2560.64</v>
      </c>
      <c r="CH304" s="23">
        <f t="shared" si="1748"/>
        <v>4049.4900000000002</v>
      </c>
      <c r="CI304" s="23">
        <f t="shared" si="1761"/>
        <v>4049.4900000000002</v>
      </c>
      <c r="CJ304" s="23">
        <f>+'QTR Raw'!BD74+'QTR Raw'!BD75</f>
        <v>3255.5</v>
      </c>
      <c r="CK304" s="23">
        <f t="shared" si="1764"/>
        <v>3255.5</v>
      </c>
      <c r="CL304" s="23">
        <f>+'QTR Raw'!BF74+'QTR Raw'!BF75</f>
        <v>3036.25</v>
      </c>
      <c r="CM304" s="24">
        <f t="shared" si="1765"/>
        <v>3036.25</v>
      </c>
      <c r="CN304" s="24">
        <f t="shared" si="1766"/>
        <v>3036.25</v>
      </c>
      <c r="CO304" s="24">
        <f t="shared" si="1767"/>
        <v>3036.25</v>
      </c>
      <c r="CP304" s="24">
        <f t="shared" si="1768"/>
        <v>3036.25</v>
      </c>
      <c r="CQ304" s="24">
        <f t="shared" si="1769"/>
        <v>3036.25</v>
      </c>
      <c r="CR304" s="24">
        <f t="shared" si="1770"/>
        <v>3036.25</v>
      </c>
      <c r="CS304" s="24">
        <f t="shared" si="1771"/>
        <v>3036.25</v>
      </c>
      <c r="CT304" s="24">
        <f t="shared" si="1772"/>
        <v>3036.25</v>
      </c>
      <c r="CU304" s="24">
        <f t="shared" si="1773"/>
        <v>3036.25</v>
      </c>
      <c r="CV304" s="24">
        <f t="shared" si="1774"/>
        <v>3036.25</v>
      </c>
      <c r="CW304" s="24">
        <f t="shared" si="1775"/>
        <v>3036.25</v>
      </c>
      <c r="CX304" s="24">
        <f t="shared" si="1776"/>
        <v>3036.25</v>
      </c>
      <c r="CY304" s="24">
        <f t="shared" si="1777"/>
        <v>3036.25</v>
      </c>
      <c r="CZ304" s="24">
        <f t="shared" si="1778"/>
        <v>3036.25</v>
      </c>
      <c r="DA304" s="24">
        <f t="shared" si="1779"/>
        <v>3036.25</v>
      </c>
      <c r="DB304" s="24">
        <f t="shared" si="1780"/>
        <v>3036.25</v>
      </c>
      <c r="DE304" s="123"/>
      <c r="DF304" s="23">
        <v>4156.59</v>
      </c>
    </row>
    <row r="305" spans="1:110" s="22" customFormat="1" x14ac:dyDescent="0.2">
      <c r="A305" s="22" t="s">
        <v>57</v>
      </c>
      <c r="B305" s="22">
        <f>B301+B304+B303</f>
        <v>4670.99</v>
      </c>
      <c r="C305" s="22">
        <f t="shared" ref="C305:D305" si="1781">C301+C304+C303</f>
        <v>5823.7199999999993</v>
      </c>
      <c r="D305" s="22">
        <f t="shared" si="1781"/>
        <v>5531.73</v>
      </c>
      <c r="E305" s="22">
        <f t="shared" ref="E305:Y305" si="1782">E301+E304+E303+E302</f>
        <v>2140.1</v>
      </c>
      <c r="F305" s="22">
        <f t="shared" si="1782"/>
        <v>2214.9799999999996</v>
      </c>
      <c r="G305" s="22">
        <f t="shared" si="1782"/>
        <v>2973.4600000000005</v>
      </c>
      <c r="H305" s="22">
        <f t="shared" si="1782"/>
        <v>5439.9999999999991</v>
      </c>
      <c r="I305" s="22">
        <f t="shared" si="1782"/>
        <v>8523.4700000000012</v>
      </c>
      <c r="J305" s="22">
        <f t="shared" si="1782"/>
        <v>15617.68</v>
      </c>
      <c r="K305" s="22">
        <f t="shared" si="1782"/>
        <v>18978.939999999999</v>
      </c>
      <c r="L305" s="22">
        <f t="shared" si="1782"/>
        <v>27986.53</v>
      </c>
      <c r="M305" s="22">
        <f t="shared" si="1782"/>
        <v>34316.47</v>
      </c>
      <c r="N305" s="22">
        <f t="shared" si="1782"/>
        <v>41739.740000000005</v>
      </c>
      <c r="O305" s="22">
        <f t="shared" si="1782"/>
        <v>46575.979999999996</v>
      </c>
      <c r="P305" s="22">
        <f t="shared" si="1782"/>
        <v>49730.84</v>
      </c>
      <c r="Q305" s="22">
        <f t="shared" si="1782"/>
        <v>29536.15</v>
      </c>
      <c r="R305" s="22">
        <f t="shared" si="1782"/>
        <v>29975.05</v>
      </c>
      <c r="S305" s="22">
        <f t="shared" si="1782"/>
        <v>32023.620000000003</v>
      </c>
      <c r="T305" s="22">
        <f t="shared" si="1782"/>
        <v>35113.43</v>
      </c>
      <c r="U305" s="22">
        <f t="shared" si="1782"/>
        <v>46964.47</v>
      </c>
      <c r="V305" s="22">
        <f t="shared" si="1782"/>
        <v>44819.709999999992</v>
      </c>
      <c r="W305" s="22">
        <f t="shared" si="1782"/>
        <v>44194.560000000005</v>
      </c>
      <c r="X305" s="22">
        <f t="shared" si="1782"/>
        <v>45706.57</v>
      </c>
      <c r="Y305" s="22">
        <f t="shared" si="1782"/>
        <v>46008.83</v>
      </c>
      <c r="Z305" s="22">
        <f>Z301+Z304+Z303+Z302</f>
        <v>46644.13</v>
      </c>
      <c r="AA305" s="22">
        <f>AA301+AA304+AA303+AA302</f>
        <v>34177.859999999993</v>
      </c>
      <c r="AB305" s="161">
        <f t="shared" ref="AB305:AE305" si="1783">AB301+AB304+AB303+AB302</f>
        <v>30687.055791963299</v>
      </c>
      <c r="AC305" s="161">
        <f t="shared" si="1783"/>
        <v>31929.418878604065</v>
      </c>
      <c r="AD305" s="161">
        <f t="shared" si="1783"/>
        <v>33029.273986616536</v>
      </c>
      <c r="AE305" s="161">
        <f t="shared" si="1783"/>
        <v>34002.967805781758</v>
      </c>
      <c r="AJ305" s="22">
        <f t="shared" ref="AJ305" si="1784">AJ301+AJ304+AJ302+AJ303</f>
        <v>8739.0400000000009</v>
      </c>
      <c r="AK305" s="22">
        <f t="shared" ref="AK305" si="1785">AK301+AK304+AK302+AK303</f>
        <v>8739.0400000000009</v>
      </c>
      <c r="AL305" s="22">
        <f t="shared" ref="AL305:AM305" si="1786">AL301+AL304+AL302+AL303</f>
        <v>41739.74</v>
      </c>
      <c r="AM305" s="22">
        <f t="shared" si="1786"/>
        <v>41739.74</v>
      </c>
      <c r="AN305" s="22">
        <f t="shared" ref="AN305:AO305" si="1787">AN301+AN304+AN302+AN303</f>
        <v>43962.400000000001</v>
      </c>
      <c r="AO305" s="22">
        <f t="shared" si="1787"/>
        <v>43962.400000000001</v>
      </c>
      <c r="AP305" s="22">
        <f t="shared" ref="AP305:CE305" si="1788">AP301+AP304+AP302+AP303</f>
        <v>46575.979999999996</v>
      </c>
      <c r="AQ305" s="22">
        <f t="shared" si="1788"/>
        <v>46575.979999999996</v>
      </c>
      <c r="AR305" s="22">
        <f t="shared" si="1788"/>
        <v>46855.99</v>
      </c>
      <c r="AS305" s="22">
        <f t="shared" si="1788"/>
        <v>46855.99</v>
      </c>
      <c r="AT305" s="22">
        <f t="shared" si="1788"/>
        <v>49730.84</v>
      </c>
      <c r="AU305" s="22">
        <f t="shared" si="1788"/>
        <v>49730.84</v>
      </c>
      <c r="AV305" s="22">
        <f t="shared" si="1788"/>
        <v>60939.72</v>
      </c>
      <c r="AW305" s="22">
        <f t="shared" si="1788"/>
        <v>60939.72</v>
      </c>
      <c r="AX305" s="22">
        <f t="shared" si="1788"/>
        <v>25150.149999999998</v>
      </c>
      <c r="AY305" s="22">
        <f t="shared" si="1788"/>
        <v>25150.149999999998</v>
      </c>
      <c r="AZ305" s="22">
        <f t="shared" si="1788"/>
        <v>26183.450000000004</v>
      </c>
      <c r="BA305" s="22">
        <f t="shared" si="1788"/>
        <v>26183.450000000004</v>
      </c>
      <c r="BB305" s="22">
        <f t="shared" si="1788"/>
        <v>26361.789999999997</v>
      </c>
      <c r="BC305" s="22">
        <f t="shared" si="1788"/>
        <v>26361.789999999997</v>
      </c>
      <c r="BD305" s="22">
        <f t="shared" si="1788"/>
        <v>27438.79</v>
      </c>
      <c r="BE305" s="22">
        <f t="shared" si="1788"/>
        <v>27438.79</v>
      </c>
      <c r="BF305" s="22">
        <f t="shared" si="1788"/>
        <v>27677.759999999998</v>
      </c>
      <c r="BG305" s="22">
        <f t="shared" si="1788"/>
        <v>27677.759999999998</v>
      </c>
      <c r="BH305" s="22">
        <f t="shared" si="1788"/>
        <v>28653.35</v>
      </c>
      <c r="BI305" s="22">
        <f t="shared" si="1788"/>
        <v>28653.35</v>
      </c>
      <c r="BJ305" s="22">
        <f t="shared" si="1788"/>
        <v>30858.870000000003</v>
      </c>
      <c r="BK305" s="22">
        <f t="shared" si="1788"/>
        <v>30858.870000000003</v>
      </c>
      <c r="BL305" s="22">
        <f t="shared" si="1788"/>
        <v>40181.160000000003</v>
      </c>
      <c r="BM305" s="22">
        <f t="shared" si="1788"/>
        <v>40181.160000000003</v>
      </c>
      <c r="BN305" s="22">
        <f t="shared" si="1788"/>
        <v>41023.26</v>
      </c>
      <c r="BO305" s="22">
        <f t="shared" si="1788"/>
        <v>41023.26</v>
      </c>
      <c r="BP305" s="22">
        <f t="shared" si="1788"/>
        <v>39267.729999999996</v>
      </c>
      <c r="BQ305" s="22">
        <f t="shared" si="1788"/>
        <v>39267.729999999996</v>
      </c>
      <c r="BR305" s="22">
        <f t="shared" si="1788"/>
        <v>39151.4</v>
      </c>
      <c r="BS305" s="22">
        <f t="shared" si="1788"/>
        <v>39151.4</v>
      </c>
      <c r="BT305" s="22">
        <f t="shared" si="1788"/>
        <v>38158.33</v>
      </c>
      <c r="BU305" s="22">
        <f t="shared" si="1788"/>
        <v>38158.33</v>
      </c>
      <c r="BV305" s="22">
        <f t="shared" si="1788"/>
        <v>38242.07</v>
      </c>
      <c r="BW305" s="22">
        <f t="shared" si="1788"/>
        <v>38242.07</v>
      </c>
      <c r="BX305" s="22">
        <f t="shared" si="1788"/>
        <v>38908.060000000005</v>
      </c>
      <c r="BY305" s="22">
        <f t="shared" si="1788"/>
        <v>38908.060000000005</v>
      </c>
      <c r="BZ305" s="22">
        <f t="shared" si="1788"/>
        <v>40208.480000000003</v>
      </c>
      <c r="CA305" s="22">
        <f t="shared" si="1788"/>
        <v>40208.480000000003</v>
      </c>
      <c r="CB305" s="22">
        <f t="shared" si="1788"/>
        <v>40926.28</v>
      </c>
      <c r="CC305" s="22">
        <f t="shared" si="1788"/>
        <v>40926.28</v>
      </c>
      <c r="CD305" s="22">
        <f t="shared" si="1788"/>
        <v>41528.049999999996</v>
      </c>
      <c r="CE305" s="22">
        <f t="shared" si="1788"/>
        <v>41528.049999999996</v>
      </c>
      <c r="CF305" s="22">
        <f t="shared" ref="CF305:CG305" si="1789">CF301+CF304+CF302+CF303</f>
        <v>41295.78</v>
      </c>
      <c r="CG305" s="22">
        <f t="shared" si="1789"/>
        <v>41295.78</v>
      </c>
      <c r="CH305" s="22">
        <f t="shared" ref="CH305:CJ305" si="1790">CH301+CH304+CH302+CH303</f>
        <v>46644.13</v>
      </c>
      <c r="CI305" s="22">
        <f t="shared" si="1790"/>
        <v>45610.83</v>
      </c>
      <c r="CJ305" s="22">
        <f t="shared" si="1790"/>
        <v>43458.849999999991</v>
      </c>
      <c r="CK305" s="22">
        <f t="shared" ref="CK305:DB305" si="1791">CK301+CK304+CK302+CK303</f>
        <v>42487.11</v>
      </c>
      <c r="CL305" s="22">
        <f t="shared" si="1791"/>
        <v>29283.72</v>
      </c>
      <c r="CM305" s="21">
        <f t="shared" si="1791"/>
        <v>29650.742099999999</v>
      </c>
      <c r="CN305" s="21">
        <f t="shared" si="1791"/>
        <v>30006.753537000001</v>
      </c>
      <c r="CO305" s="21">
        <f t="shared" si="1791"/>
        <v>30352.08463089</v>
      </c>
      <c r="CP305" s="21">
        <f t="shared" si="1791"/>
        <v>30687.055791963299</v>
      </c>
      <c r="CQ305" s="21">
        <f t="shared" si="1791"/>
        <v>31011.977818204399</v>
      </c>
      <c r="CR305" s="21">
        <f t="shared" si="1791"/>
        <v>31327.152183658269</v>
      </c>
      <c r="CS305" s="21">
        <f t="shared" si="1791"/>
        <v>31632.871318148522</v>
      </c>
      <c r="CT305" s="21">
        <f t="shared" si="1791"/>
        <v>31929.418878604065</v>
      </c>
      <c r="CU305" s="21">
        <f t="shared" si="1791"/>
        <v>32217.070012245942</v>
      </c>
      <c r="CV305" s="21">
        <f t="shared" si="1791"/>
        <v>32496.091611878561</v>
      </c>
      <c r="CW305" s="21">
        <f t="shared" si="1791"/>
        <v>32766.742563522203</v>
      </c>
      <c r="CX305" s="21">
        <f t="shared" si="1791"/>
        <v>33029.273986616536</v>
      </c>
      <c r="CY305" s="21">
        <f t="shared" si="1791"/>
        <v>33283.929467018039</v>
      </c>
      <c r="CZ305" s="21">
        <f t="shared" si="1791"/>
        <v>33530.945283007495</v>
      </c>
      <c r="DA305" s="21">
        <f t="shared" si="1791"/>
        <v>33770.550624517273</v>
      </c>
      <c r="DB305" s="21">
        <f t="shared" si="1791"/>
        <v>34002.967805781758</v>
      </c>
      <c r="DE305" s="126"/>
      <c r="DF305" s="22">
        <v>34177.859999999993</v>
      </c>
    </row>
    <row r="306" spans="1:110" s="23" customFormat="1" x14ac:dyDescent="0.2">
      <c r="AB306" s="24"/>
      <c r="AC306" s="24"/>
      <c r="AD306" s="24"/>
      <c r="AE306" s="24"/>
      <c r="CM306" s="24"/>
      <c r="CN306" s="24"/>
      <c r="CO306" s="24"/>
      <c r="CP306" s="24"/>
      <c r="CQ306" s="24"/>
      <c r="CR306" s="24"/>
      <c r="CS306" s="24"/>
      <c r="CT306" s="24"/>
      <c r="CU306" s="24"/>
      <c r="CV306" s="24"/>
      <c r="CW306" s="24"/>
      <c r="CX306" s="24"/>
      <c r="CY306" s="24"/>
      <c r="CZ306" s="24"/>
      <c r="DA306" s="24"/>
      <c r="DB306" s="24"/>
      <c r="DE306" s="123"/>
    </row>
    <row r="307" spans="1:110" s="23" customFormat="1" x14ac:dyDescent="0.2">
      <c r="A307" s="23" t="s">
        <v>58</v>
      </c>
      <c r="B307" s="23">
        <f>'Annual Raw'!C71</f>
        <v>813.47</v>
      </c>
      <c r="C307" s="23">
        <f>'Annual Raw'!D71</f>
        <v>298.18</v>
      </c>
      <c r="D307" s="23">
        <f>'Annual Raw'!E71</f>
        <v>206.34</v>
      </c>
      <c r="E307" s="23">
        <f>'Annual Raw'!F71</f>
        <v>335.81</v>
      </c>
      <c r="F307" s="23">
        <f>'Annual Raw'!G71</f>
        <v>557</v>
      </c>
      <c r="G307" s="23">
        <f>'Annual Raw'!H71</f>
        <v>901.83</v>
      </c>
      <c r="H307" s="23">
        <f>'Annual Raw'!I71</f>
        <v>953.79</v>
      </c>
      <c r="I307" s="23">
        <f>'Annual Raw'!J71</f>
        <v>951.46</v>
      </c>
      <c r="J307" s="23">
        <f>'Annual Raw'!K71</f>
        <v>1577.16</v>
      </c>
      <c r="K307" s="23">
        <f>'Annual Raw'!L71</f>
        <v>1290.96</v>
      </c>
      <c r="L307" s="23">
        <f>'Annual Raw'!M71</f>
        <v>1503.33</v>
      </c>
      <c r="M307" s="23">
        <f>'Annual Raw'!N71</f>
        <v>1564.87</v>
      </c>
      <c r="N307" s="23">
        <f>'Annual Raw'!O71</f>
        <v>1224.19</v>
      </c>
      <c r="O307" s="23">
        <f>'Annual Raw'!P71</f>
        <v>1432.79</v>
      </c>
      <c r="P307" s="23">
        <f>'Annual Raw'!Q71</f>
        <v>1646.8</v>
      </c>
      <c r="Q307" s="23">
        <f>'Annual Raw'!R71</f>
        <v>3584.89</v>
      </c>
      <c r="R307" s="23">
        <f>'Annual Raw'!S71</f>
        <v>5452.8</v>
      </c>
      <c r="S307" s="23">
        <f>'Annual Raw'!T71</f>
        <v>5847.06</v>
      </c>
      <c r="T307" s="23">
        <f>'Annual Raw'!U71</f>
        <v>6960.93</v>
      </c>
      <c r="U307" s="23">
        <f>'Annual Raw'!V71</f>
        <v>7347.73</v>
      </c>
      <c r="V307" s="23">
        <f>'Annual Raw'!W71</f>
        <v>8615.4</v>
      </c>
      <c r="W307" s="23">
        <f>'Annual Raw'!X71</f>
        <v>9595.6</v>
      </c>
      <c r="X307" s="23">
        <f>'Annual Raw'!Y71</f>
        <v>9224.89</v>
      </c>
      <c r="Y307" s="23">
        <f>'Annual Raw'!Z71</f>
        <v>10690.19</v>
      </c>
      <c r="Z307" s="23">
        <f>'Annual Raw'!AA71</f>
        <v>11444.65</v>
      </c>
      <c r="AA307" s="23">
        <f>'Annual Raw'!AB71</f>
        <v>8851.93</v>
      </c>
      <c r="AB307" s="24">
        <f>+CP307</f>
        <v>9972.27</v>
      </c>
      <c r="AC307" s="24">
        <f>+CT307</f>
        <v>9972.27</v>
      </c>
      <c r="AD307" s="24">
        <f>+CX307</f>
        <v>9972.27</v>
      </c>
      <c r="AE307" s="24">
        <f>+DB307</f>
        <v>9972.27</v>
      </c>
      <c r="AJ307" s="23">
        <f>+'QTR Raw'!D77</f>
        <v>9820.24</v>
      </c>
      <c r="AK307" s="23">
        <f t="shared" ref="AK307:CE307" si="1792">+AJ307</f>
        <v>9820.24</v>
      </c>
      <c r="AL307" s="23">
        <f>+'QTR Raw'!F77</f>
        <v>1224.19</v>
      </c>
      <c r="AM307" s="23">
        <f t="shared" si="1792"/>
        <v>1224.19</v>
      </c>
      <c r="AN307" s="23">
        <f>+'QTR Raw'!H77</f>
        <v>1217.3800000000001</v>
      </c>
      <c r="AO307" s="23">
        <f t="shared" si="1792"/>
        <v>1217.3800000000001</v>
      </c>
      <c r="AP307" s="23">
        <f>+'QTR Raw'!J77</f>
        <v>1432.79</v>
      </c>
      <c r="AQ307" s="23">
        <f t="shared" si="1792"/>
        <v>1432.79</v>
      </c>
      <c r="AR307" s="23">
        <f>+'QTR Raw'!L77</f>
        <v>1745.43</v>
      </c>
      <c r="AS307" s="23">
        <f t="shared" si="1792"/>
        <v>1745.43</v>
      </c>
      <c r="AT307" s="23">
        <f>+'QTR Raw'!N77</f>
        <v>1646.8</v>
      </c>
      <c r="AU307" s="23">
        <f t="shared" si="1792"/>
        <v>1646.8</v>
      </c>
      <c r="AV307" s="23">
        <f>+'QTR Raw'!P77</f>
        <v>1715.62</v>
      </c>
      <c r="AW307" s="23">
        <f t="shared" si="1792"/>
        <v>1715.62</v>
      </c>
      <c r="AX307" s="23">
        <f>+'QTR Raw'!R77</f>
        <v>7970.89</v>
      </c>
      <c r="AY307" s="23">
        <f t="shared" si="1792"/>
        <v>7970.89</v>
      </c>
      <c r="AZ307" s="23">
        <f>+'QTR Raw'!T77</f>
        <v>6883.57</v>
      </c>
      <c r="BA307" s="23">
        <f t="shared" si="1792"/>
        <v>6883.57</v>
      </c>
      <c r="BB307" s="23">
        <f>+'QTR Raw'!V77</f>
        <v>9066.06</v>
      </c>
      <c r="BC307" s="23">
        <f t="shared" si="1792"/>
        <v>9066.06</v>
      </c>
      <c r="BD307" s="23">
        <f>+'QTR Raw'!X77</f>
        <v>9550.0499999999993</v>
      </c>
      <c r="BE307" s="23">
        <f t="shared" si="1792"/>
        <v>9550.0499999999993</v>
      </c>
      <c r="BF307" s="23">
        <f>+'QTR Raw'!Z77</f>
        <v>10192.92</v>
      </c>
      <c r="BG307" s="23">
        <f t="shared" si="1792"/>
        <v>10192.92</v>
      </c>
      <c r="BH307" s="23">
        <f>+'QTR Raw'!AB77</f>
        <v>11114.4</v>
      </c>
      <c r="BI307" s="23">
        <f t="shared" si="1792"/>
        <v>11114.4</v>
      </c>
      <c r="BJ307" s="23">
        <f>+'QTR Raw'!AD77</f>
        <v>11215.49</v>
      </c>
      <c r="BK307" s="23">
        <f t="shared" si="1792"/>
        <v>11215.49</v>
      </c>
      <c r="BL307" s="23">
        <f>+'QTR Raw'!AF77</f>
        <v>8931.65</v>
      </c>
      <c r="BM307" s="23">
        <f t="shared" si="1792"/>
        <v>8931.65</v>
      </c>
      <c r="BN307" s="23">
        <f>+'QTR Raw'!AH77</f>
        <v>11062.45</v>
      </c>
      <c r="BO307" s="23">
        <f t="shared" si="1792"/>
        <v>11062.45</v>
      </c>
      <c r="BP307" s="23">
        <f>+'QTR Raw'!AJ77</f>
        <v>10759.87</v>
      </c>
      <c r="BQ307" s="23">
        <f t="shared" si="1792"/>
        <v>10759.87</v>
      </c>
      <c r="BR307" s="23">
        <f>+'QTR Raw'!AL77</f>
        <v>12262.18</v>
      </c>
      <c r="BS307" s="23">
        <f t="shared" si="1792"/>
        <v>12262.18</v>
      </c>
      <c r="BT307" s="23">
        <f>+'QTR Raw'!AN77</f>
        <v>12728.28</v>
      </c>
      <c r="BU307" s="23">
        <f t="shared" si="1792"/>
        <v>12728.28</v>
      </c>
      <c r="BV307" s="23">
        <f>+'QTR Raw'!AP77</f>
        <v>13558.58</v>
      </c>
      <c r="BW307" s="23">
        <f t="shared" si="1792"/>
        <v>13558.58</v>
      </c>
      <c r="BX307" s="23">
        <f>+'QTR Raw'!AR77</f>
        <v>13952.83</v>
      </c>
      <c r="BY307" s="23">
        <f t="shared" si="1792"/>
        <v>13952.83</v>
      </c>
      <c r="BZ307" s="23">
        <f>+'QTR Raw'!AT77</f>
        <v>12585.11</v>
      </c>
      <c r="CA307" s="23">
        <f t="shared" si="1792"/>
        <v>12585.11</v>
      </c>
      <c r="CB307" s="23">
        <f>+'QTR Raw'!AV77</f>
        <v>14109.93</v>
      </c>
      <c r="CC307" s="23">
        <f t="shared" si="1792"/>
        <v>14109.93</v>
      </c>
      <c r="CD307" s="23">
        <f>+'QTR Raw'!AX77</f>
        <v>12881.56</v>
      </c>
      <c r="CE307" s="23">
        <f t="shared" si="1792"/>
        <v>12881.56</v>
      </c>
      <c r="CF307" s="23">
        <f>+'QTR Raw'!AZ77</f>
        <v>12477.6</v>
      </c>
      <c r="CG307" s="23">
        <f t="shared" ref="CG307:CI310" si="1793">+CF307</f>
        <v>12477.6</v>
      </c>
      <c r="CH307" s="23">
        <f t="shared" ref="CH307:CH322" si="1794">Z307</f>
        <v>11444.65</v>
      </c>
      <c r="CI307" s="23">
        <f t="shared" si="1793"/>
        <v>11444.65</v>
      </c>
      <c r="CJ307" s="23">
        <f>+'QTR Raw'!BD77</f>
        <v>12546.86</v>
      </c>
      <c r="CK307" s="23">
        <f t="shared" ref="CK307" si="1795">+CJ307</f>
        <v>12546.86</v>
      </c>
      <c r="CL307" s="23">
        <f>+'QTR Raw'!BF77</f>
        <v>9972.27</v>
      </c>
      <c r="CM307" s="24">
        <f t="shared" ref="CM307" si="1796">+CL307</f>
        <v>9972.27</v>
      </c>
      <c r="CN307" s="24">
        <f t="shared" ref="CN307" si="1797">+CM307</f>
        <v>9972.27</v>
      </c>
      <c r="CO307" s="24">
        <f t="shared" ref="CO307" si="1798">+CN307</f>
        <v>9972.27</v>
      </c>
      <c r="CP307" s="24">
        <f t="shared" ref="CP307" si="1799">+CO307</f>
        <v>9972.27</v>
      </c>
      <c r="CQ307" s="24">
        <f t="shared" ref="CQ307" si="1800">+CP307</f>
        <v>9972.27</v>
      </c>
      <c r="CR307" s="24">
        <f t="shared" ref="CR307" si="1801">+CQ307</f>
        <v>9972.27</v>
      </c>
      <c r="CS307" s="24">
        <f t="shared" ref="CS307" si="1802">+CR307</f>
        <v>9972.27</v>
      </c>
      <c r="CT307" s="24">
        <f t="shared" ref="CT307" si="1803">+CS307</f>
        <v>9972.27</v>
      </c>
      <c r="CU307" s="24">
        <f t="shared" ref="CU307" si="1804">+CT307</f>
        <v>9972.27</v>
      </c>
      <c r="CV307" s="24">
        <f t="shared" ref="CV307" si="1805">+CU307</f>
        <v>9972.27</v>
      </c>
      <c r="CW307" s="24">
        <f t="shared" ref="CW307" si="1806">+CV307</f>
        <v>9972.27</v>
      </c>
      <c r="CX307" s="24">
        <f t="shared" ref="CX307" si="1807">+CW307</f>
        <v>9972.27</v>
      </c>
      <c r="CY307" s="24">
        <f t="shared" ref="CY307" si="1808">+CX307</f>
        <v>9972.27</v>
      </c>
      <c r="CZ307" s="24">
        <f t="shared" ref="CZ307" si="1809">+CY307</f>
        <v>9972.27</v>
      </c>
      <c r="DA307" s="24">
        <f t="shared" ref="DA307" si="1810">+CZ307</f>
        <v>9972.27</v>
      </c>
      <c r="DB307" s="24">
        <f t="shared" ref="DB307" si="1811">+DA307</f>
        <v>9972.27</v>
      </c>
      <c r="DE307" s="123"/>
      <c r="DF307" s="23">
        <v>8851.93</v>
      </c>
    </row>
    <row r="308" spans="1:110" s="23" customFormat="1" x14ac:dyDescent="0.2">
      <c r="AB308" s="24"/>
      <c r="AC308" s="24"/>
      <c r="AD308" s="24"/>
      <c r="AE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  <c r="DB308" s="24"/>
      <c r="DE308" s="123"/>
    </row>
    <row r="309" spans="1:110" s="23" customFormat="1" outlineLevel="1" x14ac:dyDescent="0.2">
      <c r="A309" s="23" t="s">
        <v>59</v>
      </c>
      <c r="B309" s="23">
        <f>'Annual Raw'!C72</f>
        <v>0</v>
      </c>
      <c r="C309" s="23">
        <f>'Annual Raw'!D72</f>
        <v>0</v>
      </c>
      <c r="D309" s="23">
        <f>'Annual Raw'!E72</f>
        <v>0</v>
      </c>
      <c r="E309" s="23">
        <f>'Annual Raw'!F72+'Annual Raw'!F61</f>
        <v>0</v>
      </c>
      <c r="F309" s="23">
        <f>'Annual Raw'!G72+'Annual Raw'!G61</f>
        <v>0</v>
      </c>
      <c r="G309" s="23">
        <f>'Annual Raw'!H72+'Annual Raw'!H61</f>
        <v>0</v>
      </c>
      <c r="H309" s="23">
        <f>'Annual Raw'!I72+'Annual Raw'!I61</f>
        <v>0</v>
      </c>
      <c r="I309" s="23">
        <f>'Annual Raw'!J72+'Annual Raw'!J61</f>
        <v>0</v>
      </c>
      <c r="J309" s="23">
        <f>'Annual Raw'!K72+'Annual Raw'!K61</f>
        <v>0</v>
      </c>
      <c r="K309" s="23">
        <f>'Annual Raw'!L72+'Annual Raw'!L61</f>
        <v>0</v>
      </c>
      <c r="L309" s="23">
        <f>'Annual Raw'!M72+'Annual Raw'!M61</f>
        <v>12545.76</v>
      </c>
      <c r="M309" s="23">
        <f>'Annual Raw'!N72+'Annual Raw'!N61</f>
        <v>18876.14</v>
      </c>
      <c r="N309" s="23">
        <f>'Annual Raw'!O72+'Annual Raw'!O61</f>
        <v>24257.71</v>
      </c>
      <c r="O309" s="23">
        <f>'Annual Raw'!P72+'Annual Raw'!P61</f>
        <v>35528.370000000003</v>
      </c>
      <c r="P309" s="23">
        <f>'Annual Raw'!Q72+'Annual Raw'!Q61</f>
        <v>47884.22</v>
      </c>
      <c r="Q309" s="23">
        <f>'Annual Raw'!R72+'Annual Raw'!R61</f>
        <v>52217.1</v>
      </c>
      <c r="R309" s="23">
        <f>'Annual Raw'!S72+'Annual Raw'!S61</f>
        <v>52318.75</v>
      </c>
      <c r="S309" s="23">
        <f>'Annual Raw'!T72+'Annual Raw'!T61</f>
        <v>61007.08</v>
      </c>
      <c r="T309" s="23">
        <f>'Annual Raw'!U72+'Annual Raw'!U61</f>
        <v>64918.58</v>
      </c>
      <c r="U309" s="23">
        <f>'Annual Raw'!V72+'Annual Raw'!V61</f>
        <v>66653.31</v>
      </c>
      <c r="V309" s="23">
        <f>'Annual Raw'!W72+'Annual Raw'!W61</f>
        <v>59112.49</v>
      </c>
      <c r="W309" s="23">
        <f>'Annual Raw'!X72+'Annual Raw'!X61</f>
        <v>53497.14</v>
      </c>
      <c r="X309" s="23">
        <f>'Annual Raw'!Y72+'Annual Raw'!Y61</f>
        <v>47723.56</v>
      </c>
      <c r="Y309" s="23">
        <f>'Annual Raw'!Z72+'Annual Raw'!Z61</f>
        <v>59520.54</v>
      </c>
      <c r="Z309" s="23">
        <f>'Annual Raw'!AA72+'Annual Raw'!AA61</f>
        <v>70923.509999999995</v>
      </c>
      <c r="AA309" s="23">
        <f>'Annual Raw'!AB72+'Annual Raw'!AB61</f>
        <v>83147.09</v>
      </c>
      <c r="AB309" s="24">
        <f t="shared" ref="AB309:AB314" si="1812">+CP309</f>
        <v>0</v>
      </c>
      <c r="AC309" s="24">
        <f t="shared" ref="AC309:AC314" si="1813">+CT309</f>
        <v>0</v>
      </c>
      <c r="AD309" s="24">
        <f t="shared" ref="AD309:AD314" si="1814">+CX309</f>
        <v>0</v>
      </c>
      <c r="AE309" s="24">
        <f t="shared" ref="AE309:AE314" si="1815">+DB309</f>
        <v>0</v>
      </c>
      <c r="AJ309" s="23">
        <f>+'QTR Raw'!D78</f>
        <v>4029.75</v>
      </c>
      <c r="AK309" s="23">
        <f t="shared" ref="AK309:CE314" si="1816">+AJ309</f>
        <v>4029.75</v>
      </c>
      <c r="AL309" s="23">
        <f>+'QTR Raw'!F78</f>
        <v>24099.37</v>
      </c>
      <c r="AM309" s="23">
        <f t="shared" si="1816"/>
        <v>24099.37</v>
      </c>
      <c r="AN309" s="23">
        <f>+'QTR Raw'!H78</f>
        <v>26236.87</v>
      </c>
      <c r="AO309" s="23">
        <f t="shared" si="1816"/>
        <v>26236.87</v>
      </c>
      <c r="AP309" s="23">
        <f>+'QTR Raw'!J78</f>
        <v>35401.15</v>
      </c>
      <c r="AQ309" s="23">
        <f t="shared" si="1816"/>
        <v>35401.15</v>
      </c>
      <c r="AR309" s="23">
        <f>+'QTR Raw'!L78</f>
        <v>43358.2</v>
      </c>
      <c r="AS309" s="23">
        <f t="shared" si="1816"/>
        <v>43358.2</v>
      </c>
      <c r="AT309" s="23">
        <f>+'QTR Raw'!N78</f>
        <v>47457.8</v>
      </c>
      <c r="AU309" s="23">
        <f t="shared" si="1816"/>
        <v>47457.8</v>
      </c>
      <c r="AV309" s="23">
        <f>+'QTR Raw'!P78</f>
        <v>50311.22</v>
      </c>
      <c r="AW309" s="23">
        <f t="shared" si="1816"/>
        <v>50311.22</v>
      </c>
      <c r="AX309" s="23">
        <f>+'QTR Raw'!R78</f>
        <v>48925.919999999998</v>
      </c>
      <c r="AY309" s="23">
        <f t="shared" si="1816"/>
        <v>48925.919999999998</v>
      </c>
      <c r="AZ309" s="23">
        <f>+'QTR Raw'!T78</f>
        <v>54245.89</v>
      </c>
      <c r="BA309" s="23">
        <f t="shared" si="1816"/>
        <v>54245.89</v>
      </c>
      <c r="BB309" s="23">
        <f>+'QTR Raw'!V78</f>
        <v>48621.24</v>
      </c>
      <c r="BC309" s="23">
        <f t="shared" si="1816"/>
        <v>48621.24</v>
      </c>
      <c r="BD309" s="23">
        <f>+'QTR Raw'!X78</f>
        <v>57394.54</v>
      </c>
      <c r="BE309" s="23">
        <f t="shared" si="1816"/>
        <v>57394.54</v>
      </c>
      <c r="BF309" s="23">
        <f>+'QTR Raw'!Z78</f>
        <v>56253.3</v>
      </c>
      <c r="BG309" s="23">
        <f t="shared" si="1816"/>
        <v>56253.3</v>
      </c>
      <c r="BH309" s="23">
        <f>+'QTR Raw'!AB78</f>
        <v>1823.7</v>
      </c>
      <c r="BI309" s="23">
        <f t="shared" si="1816"/>
        <v>1823.7</v>
      </c>
      <c r="BJ309" s="23">
        <f>+'QTR Raw'!AD78</f>
        <v>59269.96</v>
      </c>
      <c r="BK309" s="23">
        <f t="shared" si="1816"/>
        <v>59269.96</v>
      </c>
      <c r="BL309" s="23">
        <f>+'QTR Raw'!AF78</f>
        <v>58278.43</v>
      </c>
      <c r="BM309" s="23">
        <f t="shared" si="1816"/>
        <v>58278.43</v>
      </c>
      <c r="BN309" s="23">
        <f>+'QTR Raw'!AH78</f>
        <v>60111.69</v>
      </c>
      <c r="BO309" s="23">
        <f t="shared" si="1816"/>
        <v>60111.69</v>
      </c>
      <c r="BP309" s="23">
        <f>+'QTR Raw'!AJ78</f>
        <v>54897.69</v>
      </c>
      <c r="BQ309" s="23">
        <f t="shared" si="1816"/>
        <v>54897.69</v>
      </c>
      <c r="BR309" s="23">
        <f>+'QTR Raw'!AL78</f>
        <v>52804.91</v>
      </c>
      <c r="BS309" s="23">
        <f t="shared" si="1816"/>
        <v>52804.91</v>
      </c>
      <c r="BT309" s="23">
        <f>+'QTR Raw'!AN78</f>
        <v>47892.65</v>
      </c>
      <c r="BU309" s="23">
        <f t="shared" si="1816"/>
        <v>47892.65</v>
      </c>
      <c r="BV309" s="23">
        <f>+'QTR Raw'!AP78</f>
        <v>47021.38</v>
      </c>
      <c r="BW309" s="23">
        <f t="shared" si="1816"/>
        <v>47021.38</v>
      </c>
      <c r="BX309" s="23">
        <f>+'QTR Raw'!AR78</f>
        <v>51839.360000000001</v>
      </c>
      <c r="BY309" s="23">
        <f t="shared" si="1816"/>
        <v>51839.360000000001</v>
      </c>
      <c r="BZ309" s="23">
        <f>+'QTR Raw'!AT78</f>
        <v>41276.92</v>
      </c>
      <c r="CA309" s="23">
        <f t="shared" si="1816"/>
        <v>41276.92</v>
      </c>
      <c r="CB309" s="23">
        <f>+'QTR Raw'!AV78</f>
        <v>45687.68</v>
      </c>
      <c r="CC309" s="23">
        <f t="shared" si="1816"/>
        <v>45687.68</v>
      </c>
      <c r="CD309" s="23">
        <f>+'QTR Raw'!AX78</f>
        <v>52630.22</v>
      </c>
      <c r="CE309" s="23">
        <f t="shared" si="1816"/>
        <v>52630.22</v>
      </c>
      <c r="CF309" s="23">
        <f>+'QTR Raw'!AZ78</f>
        <v>59002.69</v>
      </c>
      <c r="CG309" s="23">
        <f t="shared" si="1793"/>
        <v>59002.69</v>
      </c>
      <c r="CH309" s="23">
        <f t="shared" si="1794"/>
        <v>70923.509999999995</v>
      </c>
      <c r="CJ309" s="23">
        <f>+'QTR Raw'!BD78</f>
        <v>70134.69</v>
      </c>
      <c r="CL309" s="23">
        <f>+'QTR Raw'!BF78</f>
        <v>75582.53</v>
      </c>
      <c r="CM309" s="24"/>
      <c r="CN309" s="24"/>
      <c r="CO309" s="24"/>
      <c r="CP309" s="24"/>
      <c r="CQ309" s="24"/>
      <c r="CR309" s="24"/>
      <c r="CS309" s="24"/>
      <c r="CT309" s="24"/>
      <c r="CU309" s="24"/>
      <c r="CV309" s="24"/>
      <c r="CW309" s="24"/>
      <c r="CX309" s="24"/>
      <c r="CY309" s="24"/>
      <c r="CZ309" s="24"/>
      <c r="DA309" s="24"/>
      <c r="DB309" s="24"/>
      <c r="DE309" s="123"/>
      <c r="DF309" s="23">
        <v>83147.09</v>
      </c>
    </row>
    <row r="310" spans="1:110" s="23" customFormat="1" outlineLevel="1" x14ac:dyDescent="0.2">
      <c r="A310" s="23" t="s">
        <v>60</v>
      </c>
      <c r="B310" s="23">
        <f>'Annual Raw'!C73+'Annual Raw'!C81</f>
        <v>0</v>
      </c>
      <c r="C310" s="23">
        <f>'Annual Raw'!D73+'Annual Raw'!D81</f>
        <v>0</v>
      </c>
      <c r="D310" s="23">
        <f>'Annual Raw'!E73+'Annual Raw'!E81</f>
        <v>0</v>
      </c>
      <c r="E310" s="23">
        <f>'Annual Raw'!F73+'Annual Raw'!F81</f>
        <v>0</v>
      </c>
      <c r="F310" s="23">
        <f>'Annual Raw'!G73+'Annual Raw'!G81</f>
        <v>0</v>
      </c>
      <c r="G310" s="23">
        <f>'Annual Raw'!H73+'Annual Raw'!H81</f>
        <v>0</v>
      </c>
      <c r="H310" s="23">
        <f>'Annual Raw'!I73+'Annual Raw'!I81</f>
        <v>0</v>
      </c>
      <c r="I310" s="23">
        <f>'Annual Raw'!J73+'Annual Raw'!J81</f>
        <v>0</v>
      </c>
      <c r="J310" s="23">
        <f>'Annual Raw'!K73+'Annual Raw'!K81</f>
        <v>0</v>
      </c>
      <c r="K310" s="23">
        <f>'Annual Raw'!L73+'Annual Raw'!L81</f>
        <v>0</v>
      </c>
      <c r="L310" s="23">
        <f>'Annual Raw'!M73+'Annual Raw'!M81</f>
        <v>86.29</v>
      </c>
      <c r="M310" s="23">
        <f>'Annual Raw'!N73+'Annual Raw'!N81</f>
        <v>170.81</v>
      </c>
      <c r="N310" s="23">
        <f>'Annual Raw'!O73+'Annual Raw'!O81</f>
        <v>121.72</v>
      </c>
      <c r="O310" s="23">
        <f>'Annual Raw'!P73+'Annual Raw'!P81</f>
        <v>126.13</v>
      </c>
      <c r="P310" s="23">
        <f>'Annual Raw'!Q73+'Annual Raw'!Q81</f>
        <v>371.52</v>
      </c>
      <c r="Q310" s="23">
        <f>'Annual Raw'!R73+'Annual Raw'!R81</f>
        <v>2143.0100000000002</v>
      </c>
      <c r="R310" s="23">
        <f>'Annual Raw'!S73+'Annual Raw'!S81</f>
        <v>2506.9699999999998</v>
      </c>
      <c r="S310" s="23">
        <f>'Annual Raw'!T73+'Annual Raw'!T81</f>
        <v>2126.75</v>
      </c>
      <c r="T310" s="23">
        <f>'Annual Raw'!U73+'Annual Raw'!U81</f>
        <v>1151.46</v>
      </c>
      <c r="U310" s="23">
        <f>'Annual Raw'!V73+'Annual Raw'!V81</f>
        <v>5005.3599999999997</v>
      </c>
      <c r="V310" s="23">
        <f>'Annual Raw'!W73+'Annual Raw'!W81</f>
        <v>1068.52</v>
      </c>
      <c r="W310" s="23">
        <f>'Annual Raw'!X73+'Annual Raw'!X81</f>
        <v>2567.54</v>
      </c>
      <c r="X310" s="23">
        <f>'Annual Raw'!Y73+'Annual Raw'!Y81</f>
        <v>2496.98</v>
      </c>
      <c r="Y310" s="23">
        <f>'Annual Raw'!Z73+'Annual Raw'!Z81</f>
        <v>2469.4499999999998</v>
      </c>
      <c r="Z310" s="23">
        <f>'Annual Raw'!AA73+'Annual Raw'!AA81</f>
        <v>1534.66</v>
      </c>
      <c r="AA310" s="23">
        <f>'Annual Raw'!AB73+'Annual Raw'!AB81</f>
        <v>29279.11</v>
      </c>
      <c r="AB310" s="24">
        <f t="shared" si="1812"/>
        <v>0</v>
      </c>
      <c r="AC310" s="24">
        <f t="shared" si="1813"/>
        <v>0</v>
      </c>
      <c r="AD310" s="24">
        <f t="shared" si="1814"/>
        <v>0</v>
      </c>
      <c r="AE310" s="24">
        <f t="shared" si="1815"/>
        <v>0</v>
      </c>
      <c r="AJ310" s="23">
        <f>+'QTR Raw'!D79+'QTR Raw'!D76</f>
        <v>147.69</v>
      </c>
      <c r="AK310" s="23">
        <f t="shared" si="1816"/>
        <v>147.69</v>
      </c>
      <c r="AL310" s="23">
        <f>+'QTR Raw'!F79+'QTR Raw'!F76</f>
        <v>213.24</v>
      </c>
      <c r="AM310" s="23">
        <f t="shared" si="1816"/>
        <v>213.24</v>
      </c>
      <c r="AN310" s="23">
        <f>+'QTR Raw'!H79+'QTR Raw'!H76</f>
        <v>283.69</v>
      </c>
      <c r="AO310" s="23">
        <f t="shared" si="1816"/>
        <v>283.69</v>
      </c>
      <c r="AP310" s="23">
        <f>+'QTR Raw'!J79+'QTR Raw'!J76</f>
        <v>223.61</v>
      </c>
      <c r="AQ310" s="23">
        <f t="shared" si="1816"/>
        <v>223.61</v>
      </c>
      <c r="AR310" s="23">
        <f>+'QTR Raw'!L79+'QTR Raw'!L76</f>
        <v>347.59</v>
      </c>
      <c r="AS310" s="23">
        <f t="shared" si="1816"/>
        <v>347.59</v>
      </c>
      <c r="AT310" s="23">
        <f>+'QTR Raw'!N79+'QTR Raw'!N76</f>
        <v>468.72</v>
      </c>
      <c r="AU310" s="23">
        <f t="shared" si="1816"/>
        <v>468.72</v>
      </c>
      <c r="AV310" s="23">
        <f>+'QTR Raw'!P79+'QTR Raw'!P76</f>
        <v>499.12</v>
      </c>
      <c r="AW310" s="23">
        <f t="shared" si="1816"/>
        <v>499.12</v>
      </c>
      <c r="AX310" s="23">
        <f>+'QTR Raw'!R79+'QTR Raw'!R76</f>
        <v>3854.73</v>
      </c>
      <c r="AY310" s="23">
        <f t="shared" si="1816"/>
        <v>3854.73</v>
      </c>
      <c r="AZ310" s="23">
        <f>+'QTR Raw'!T79+'QTR Raw'!T76</f>
        <v>4142.3100000000004</v>
      </c>
      <c r="BA310" s="23">
        <f t="shared" si="1816"/>
        <v>4142.3100000000004</v>
      </c>
      <c r="BB310" s="23">
        <f>+'QTR Raw'!V79+'QTR Raw'!V76</f>
        <v>4555.1099999999997</v>
      </c>
      <c r="BC310" s="23">
        <f t="shared" si="1816"/>
        <v>4555.1099999999997</v>
      </c>
      <c r="BD310" s="23">
        <f>+'QTR Raw'!X79+'QTR Raw'!X76</f>
        <v>5080.17</v>
      </c>
      <c r="BE310" s="23">
        <f t="shared" si="1816"/>
        <v>5080.17</v>
      </c>
      <c r="BF310" s="23">
        <f>+'QTR Raw'!Z79+'QTR Raw'!Z76</f>
        <v>5368.1</v>
      </c>
      <c r="BG310" s="23">
        <f t="shared" si="1816"/>
        <v>5368.1</v>
      </c>
      <c r="BH310" s="23">
        <f>+'QTR Raw'!AB79+'QTR Raw'!AB76</f>
        <v>60825.29</v>
      </c>
      <c r="BI310" s="23">
        <f t="shared" si="1816"/>
        <v>60825.29</v>
      </c>
      <c r="BJ310" s="23">
        <f>+'QTR Raw'!AD79+'QTR Raw'!AD76</f>
        <v>6792.67</v>
      </c>
      <c r="BK310" s="23">
        <f t="shared" si="1816"/>
        <v>6792.67</v>
      </c>
      <c r="BL310" s="23">
        <f>+'QTR Raw'!AF79+'QTR Raw'!AF76</f>
        <v>9465.6</v>
      </c>
      <c r="BM310" s="23">
        <f t="shared" si="1816"/>
        <v>9465.6</v>
      </c>
      <c r="BN310" s="23">
        <f>+'QTR Raw'!AH79+'QTR Raw'!AH76</f>
        <v>9406.26</v>
      </c>
      <c r="BO310" s="23">
        <f t="shared" si="1816"/>
        <v>9406.26</v>
      </c>
      <c r="BP310" s="23">
        <f>+'QTR Raw'!AJ79+'QTR Raw'!AJ76</f>
        <v>8799.26</v>
      </c>
      <c r="BQ310" s="23">
        <f t="shared" si="1816"/>
        <v>8799.26</v>
      </c>
      <c r="BR310" s="23">
        <f>+'QTR Raw'!AL79+'QTR Raw'!AL76</f>
        <v>9391.39</v>
      </c>
      <c r="BS310" s="23">
        <f t="shared" si="1816"/>
        <v>9391.39</v>
      </c>
      <c r="BT310" s="23">
        <f>+'QTR Raw'!AN79+'QTR Raw'!AN76</f>
        <v>10534.42</v>
      </c>
      <c r="BU310" s="23">
        <f t="shared" si="1816"/>
        <v>10534.42</v>
      </c>
      <c r="BV310" s="23">
        <f>+'QTR Raw'!AP79+'QTR Raw'!AP76</f>
        <v>11032.81</v>
      </c>
      <c r="BW310" s="23">
        <f t="shared" si="1816"/>
        <v>11032.81</v>
      </c>
      <c r="BX310" s="23">
        <f>+'QTR Raw'!AR79+'QTR Raw'!AR76</f>
        <v>11261.04</v>
      </c>
      <c r="BY310" s="23">
        <f t="shared" si="1816"/>
        <v>11261.04</v>
      </c>
      <c r="BZ310" s="23">
        <f>+'QTR Raw'!AT79+'QTR Raw'!AT76</f>
        <v>11081.49</v>
      </c>
      <c r="CA310" s="23">
        <f t="shared" si="1816"/>
        <v>11081.49</v>
      </c>
      <c r="CB310" s="23">
        <f>+'QTR Raw'!AV79+'QTR Raw'!AV76</f>
        <v>10551.59</v>
      </c>
      <c r="CC310" s="23">
        <f t="shared" si="1816"/>
        <v>10551.59</v>
      </c>
      <c r="CD310" s="23">
        <f>+'QTR Raw'!AX79+'QTR Raw'!AX76</f>
        <v>11649.18</v>
      </c>
      <c r="CE310" s="23">
        <f t="shared" si="1816"/>
        <v>11649.18</v>
      </c>
      <c r="CF310" s="23">
        <f>+'QTR Raw'!AZ79+'QTR Raw'!AZ76</f>
        <v>10957.38</v>
      </c>
      <c r="CG310" s="23">
        <f t="shared" si="1793"/>
        <v>10957.38</v>
      </c>
      <c r="CH310" s="23">
        <f t="shared" si="1794"/>
        <v>1534.66</v>
      </c>
      <c r="CJ310" s="23">
        <f>+'QTR Raw'!BD79+'QTR Raw'!BD76</f>
        <v>12253.65</v>
      </c>
      <c r="CL310" s="23">
        <f>+'QTR Raw'!BF79+'QTR Raw'!BF76</f>
        <v>40617.47</v>
      </c>
      <c r="CM310" s="24"/>
      <c r="CN310" s="24"/>
      <c r="CO310" s="24"/>
      <c r="CP310" s="24"/>
      <c r="CQ310" s="24"/>
      <c r="CR310" s="24"/>
      <c r="CS310" s="24"/>
      <c r="CT310" s="24"/>
      <c r="CU310" s="24"/>
      <c r="CV310" s="24"/>
      <c r="CW310" s="24"/>
      <c r="CX310" s="24"/>
      <c r="CY310" s="24"/>
      <c r="CZ310" s="24"/>
      <c r="DA310" s="24"/>
      <c r="DB310" s="24"/>
      <c r="DE310" s="123"/>
      <c r="DF310" s="23">
        <v>29279.11</v>
      </c>
    </row>
    <row r="311" spans="1:110" s="23" customFormat="1" outlineLevel="1" x14ac:dyDescent="0.2">
      <c r="A311" s="23" t="s">
        <v>61</v>
      </c>
      <c r="B311" s="23">
        <f>'Annual Raw'!C76</f>
        <v>2537.0500000000002</v>
      </c>
      <c r="C311" s="23">
        <f>'Annual Raw'!D76</f>
        <v>2852</v>
      </c>
      <c r="D311" s="23">
        <f>'Annual Raw'!E76</f>
        <v>2835.72</v>
      </c>
      <c r="E311" s="23">
        <f>'Annual Raw'!F76</f>
        <v>1967.22</v>
      </c>
      <c r="F311" s="23">
        <f>'Annual Raw'!G76</f>
        <v>2449.6</v>
      </c>
      <c r="G311" s="23">
        <f>'Annual Raw'!H76</f>
        <v>2477.35</v>
      </c>
      <c r="H311" s="23">
        <f>'Annual Raw'!I76</f>
        <v>3677.97</v>
      </c>
      <c r="I311" s="23">
        <f>'Annual Raw'!J76</f>
        <v>5019</v>
      </c>
      <c r="J311" s="23">
        <f>'Annual Raw'!K76</f>
        <v>2501.66</v>
      </c>
      <c r="K311" s="23">
        <f>'Annual Raw'!L76</f>
        <v>2446.14</v>
      </c>
      <c r="L311" s="23">
        <f>'Annual Raw'!M76</f>
        <v>3040.27</v>
      </c>
      <c r="M311" s="23">
        <f>'Annual Raw'!N76</f>
        <v>4228.16</v>
      </c>
      <c r="N311" s="23">
        <f>'Annual Raw'!O76</f>
        <v>5169.46</v>
      </c>
      <c r="O311" s="23">
        <f>'Annual Raw'!P76</f>
        <v>5527.47</v>
      </c>
      <c r="P311" s="23">
        <f>'Annual Raw'!Q76</f>
        <v>6508.4</v>
      </c>
      <c r="Q311" s="23">
        <f>'Annual Raw'!R76</f>
        <v>4854.21</v>
      </c>
      <c r="R311" s="23">
        <f>'Annual Raw'!S76</f>
        <v>4139.74</v>
      </c>
      <c r="S311" s="23">
        <f>'Annual Raw'!T76</f>
        <v>4847.8</v>
      </c>
      <c r="T311" s="23">
        <f>'Annual Raw'!U76</f>
        <v>6413.93</v>
      </c>
      <c r="U311" s="23">
        <f>'Annual Raw'!V76</f>
        <v>5746.65</v>
      </c>
      <c r="V311" s="23">
        <f>'Annual Raw'!W76</f>
        <v>5820.54</v>
      </c>
      <c r="W311" s="23">
        <f>'Annual Raw'!X76</f>
        <v>5943.32</v>
      </c>
      <c r="X311" s="23">
        <f>'Annual Raw'!Y76</f>
        <v>6828.78</v>
      </c>
      <c r="Y311" s="23">
        <f>'Annual Raw'!Z76</f>
        <v>6620.19</v>
      </c>
      <c r="Z311" s="23">
        <f>'Annual Raw'!AA76</f>
        <v>7670.55</v>
      </c>
      <c r="AA311" s="23">
        <f>'Annual Raw'!AB76</f>
        <v>9530.93</v>
      </c>
      <c r="AB311" s="24">
        <f t="shared" si="1812"/>
        <v>11077.5842699205</v>
      </c>
      <c r="AC311" s="24">
        <f t="shared" si="1813"/>
        <v>12785.04026287633</v>
      </c>
      <c r="AD311" s="24">
        <f t="shared" si="1814"/>
        <v>14741.258599588709</v>
      </c>
      <c r="AE311" s="24">
        <f t="shared" si="1815"/>
        <v>16995.002408827546</v>
      </c>
      <c r="AJ311" s="23">
        <f>+'QTR Raw'!D81</f>
        <v>2039.78</v>
      </c>
      <c r="AK311" s="23">
        <f>+AK346*AK166/90</f>
        <v>1969.653967779476</v>
      </c>
      <c r="AL311" s="23">
        <f>+'QTR Raw'!F81</f>
        <v>5169.4799999999996</v>
      </c>
      <c r="AM311" s="23">
        <f>+AM346*AM166/90</f>
        <v>4879.4199297166069</v>
      </c>
      <c r="AN311" s="23">
        <f>+'QTR Raw'!H81</f>
        <v>5384.43</v>
      </c>
      <c r="AO311" s="23">
        <f>+AO346*AO166/90</f>
        <v>6058.7459684150372</v>
      </c>
      <c r="AP311" s="23">
        <f>+'QTR Raw'!J81</f>
        <v>5527.47</v>
      </c>
      <c r="AQ311" s="23">
        <f>+AQ346*AQ166/90</f>
        <v>3852.1000738412745</v>
      </c>
      <c r="AR311" s="23">
        <f>+'QTR Raw'!L81</f>
        <v>6169.66</v>
      </c>
      <c r="AS311" s="23">
        <f>+AS346*AS166/90</f>
        <v>6897.5935091736983</v>
      </c>
      <c r="AT311" s="23">
        <f>+'QTR Raw'!N81</f>
        <v>6508.4</v>
      </c>
      <c r="AU311" s="23">
        <f>+AU346*AU166/90</f>
        <v>4614.7941116283782</v>
      </c>
      <c r="AV311" s="23">
        <f>+'QTR Raw'!P81</f>
        <v>5976.94</v>
      </c>
      <c r="AW311" s="23">
        <f>+AW346*AW166/90</f>
        <v>6701.8683479216807</v>
      </c>
      <c r="AX311" s="23">
        <f>+'QTR Raw'!R81</f>
        <v>4854.21</v>
      </c>
      <c r="AY311" s="23">
        <f>+AY346*AY166/90</f>
        <v>3208.0153035283702</v>
      </c>
      <c r="AZ311" s="23">
        <f>+'QTR Raw'!T81</f>
        <v>4394.03</v>
      </c>
      <c r="BA311" s="23">
        <f>+BA346*BA166/90</f>
        <v>4585.1109724904836</v>
      </c>
      <c r="BB311" s="23">
        <f>+'QTR Raw'!V81</f>
        <v>4139.74</v>
      </c>
      <c r="BC311" s="23">
        <f>+BC346*BC166/90</f>
        <v>2676.5166434280018</v>
      </c>
      <c r="BD311" s="23">
        <f>+'QTR Raw'!X81</f>
        <v>4776.16</v>
      </c>
      <c r="BE311" s="23">
        <f>+BE346*BE166/90</f>
        <v>5191.6537523689112</v>
      </c>
      <c r="BF311" s="23">
        <f>+'QTR Raw'!Z81</f>
        <v>4847.8</v>
      </c>
      <c r="BG311" s="23">
        <f>+BG346*BG166/90</f>
        <v>3218.2851216256418</v>
      </c>
      <c r="BH311" s="23">
        <f>+'QTR Raw'!AB81</f>
        <v>6193.53</v>
      </c>
      <c r="BI311" s="23">
        <f>+BI346*BI166/90</f>
        <v>6911.407516651112</v>
      </c>
      <c r="BJ311" s="23">
        <f>+'QTR Raw'!AD81</f>
        <v>6413.93</v>
      </c>
      <c r="BK311" s="23">
        <f>+BK346*BK166/90</f>
        <v>4389.5608377979552</v>
      </c>
      <c r="BL311" s="23">
        <f>+'QTR Raw'!AF81</f>
        <v>5980.93</v>
      </c>
      <c r="BM311" s="23">
        <f>+BM346*BM166/90</f>
        <v>6135.7045693315167</v>
      </c>
      <c r="BN311" s="23">
        <f>+'QTR Raw'!AH81</f>
        <v>5746.65</v>
      </c>
      <c r="BO311" s="23">
        <f>+BO346*BO166/90</f>
        <v>2761.2799964312576</v>
      </c>
      <c r="BP311" s="23">
        <f>+'QTR Raw'!AJ81</f>
        <v>5362</v>
      </c>
      <c r="BQ311" s="23">
        <f>+BQ346*BQ166/90</f>
        <v>6150.1402634595934</v>
      </c>
      <c r="BR311" s="23">
        <f>+'QTR Raw'!AL81</f>
        <v>5820.54</v>
      </c>
      <c r="BS311" s="23">
        <f>+BS346*BS166/90</f>
        <v>3550.6638749914218</v>
      </c>
      <c r="BT311" s="23">
        <f>+'QTR Raw'!AN81</f>
        <v>5800.36</v>
      </c>
      <c r="BU311" s="23">
        <f>+BU346*BU166/90</f>
        <v>6599.3684349364003</v>
      </c>
      <c r="BV311" s="23">
        <f>+'QTR Raw'!AP81</f>
        <v>5943.32</v>
      </c>
      <c r="BW311" s="23">
        <f>+BW346*BW166/90</f>
        <v>4031.8701848812893</v>
      </c>
      <c r="BX311" s="23">
        <f>+'QTR Raw'!AR81</f>
        <v>6371.44</v>
      </c>
      <c r="BY311" s="23">
        <f>+BY346*BY166/90</f>
        <v>6911.8633684146034</v>
      </c>
      <c r="BZ311" s="23">
        <f>+'QTR Raw'!AT81</f>
        <v>6828.78</v>
      </c>
      <c r="CA311" s="23">
        <f>+CA346*CA166/90</f>
        <v>5605.1655067073625</v>
      </c>
      <c r="CB311" s="23">
        <f>+'QTR Raw'!AV81</f>
        <v>6623.86</v>
      </c>
      <c r="CC311" s="23">
        <f>+CC346*CC166/90</f>
        <v>7156.6062151331016</v>
      </c>
      <c r="CD311" s="23">
        <f>+'QTR Raw'!AX81</f>
        <v>6620.19</v>
      </c>
      <c r="CE311" s="23">
        <f>+CE346*CE166/90</f>
        <v>5439.9353291656907</v>
      </c>
      <c r="CF311" s="23">
        <f>+'QTR Raw'!AZ81</f>
        <v>7274.9</v>
      </c>
      <c r="CG311" s="23">
        <f>+CG346*CG166/90</f>
        <v>7642.837181603707</v>
      </c>
      <c r="CH311" s="23">
        <f t="shared" si="1794"/>
        <v>7670.55</v>
      </c>
      <c r="CI311" s="23">
        <f>+CI346*CI166/90</f>
        <v>6565.9009215203532</v>
      </c>
      <c r="CJ311" s="23">
        <f>+'QTR Raw'!BD81</f>
        <v>8313.65</v>
      </c>
      <c r="CK311" s="23">
        <f>+CK346*CK166/90</f>
        <v>8737.5250800451231</v>
      </c>
      <c r="CL311" s="23">
        <f>+'QTR Raw'!BF81</f>
        <v>9530.93</v>
      </c>
      <c r="CM311" s="24">
        <f t="shared" ref="CM311:DB311" si="1817">+CM346*CM166/90</f>
        <v>8391.3209161583072</v>
      </c>
      <c r="CN311" s="24">
        <f t="shared" si="1817"/>
        <v>8937.0240436555323</v>
      </c>
      <c r="CO311" s="24">
        <f t="shared" si="1817"/>
        <v>9468.9630686907403</v>
      </c>
      <c r="CP311" s="24">
        <f t="shared" si="1817"/>
        <v>11077.5842699205</v>
      </c>
      <c r="CQ311" s="24">
        <f t="shared" si="1817"/>
        <v>9647.6627639468206</v>
      </c>
      <c r="CR311" s="24">
        <f t="shared" si="1817"/>
        <v>10287.227336828599</v>
      </c>
      <c r="CS311" s="24">
        <f t="shared" si="1817"/>
        <v>10922.14792900877</v>
      </c>
      <c r="CT311" s="24">
        <f t="shared" si="1817"/>
        <v>12785.04026287633</v>
      </c>
      <c r="CU311" s="24">
        <f t="shared" si="1817"/>
        <v>11115.080203366289</v>
      </c>
      <c r="CV311" s="24">
        <f t="shared" si="1817"/>
        <v>11858.048148181959</v>
      </c>
      <c r="CW311" s="24">
        <f t="shared" si="1817"/>
        <v>12594.332592857794</v>
      </c>
      <c r="CX311" s="24">
        <f t="shared" si="1817"/>
        <v>14741.258599588709</v>
      </c>
      <c r="CY311" s="24">
        <f t="shared" si="1817"/>
        <v>12812.646896086018</v>
      </c>
      <c r="CZ311" s="24">
        <f t="shared" si="1817"/>
        <v>13670.94036242214</v>
      </c>
      <c r="DA311" s="24">
        <f t="shared" si="1817"/>
        <v>14520.377672027163</v>
      </c>
      <c r="DB311" s="24">
        <f t="shared" si="1817"/>
        <v>16995.002408827546</v>
      </c>
      <c r="DE311" s="123"/>
      <c r="DF311" s="23">
        <v>9530.93</v>
      </c>
    </row>
    <row r="312" spans="1:110" s="23" customFormat="1" outlineLevel="1" x14ac:dyDescent="0.2">
      <c r="A312" s="23" t="s">
        <v>62</v>
      </c>
      <c r="B312" s="23">
        <f>'Annual Raw'!C77</f>
        <v>1384.5</v>
      </c>
      <c r="C312" s="23">
        <f>'Annual Raw'!D77</f>
        <v>1563.95</v>
      </c>
      <c r="D312" s="23">
        <f>'Annual Raw'!E77</f>
        <v>1967.5</v>
      </c>
      <c r="E312" s="23">
        <f>'Annual Raw'!F77</f>
        <v>3490.72</v>
      </c>
      <c r="F312" s="23">
        <f>'Annual Raw'!G77</f>
        <v>4315.78</v>
      </c>
      <c r="G312" s="23">
        <f>'Annual Raw'!H77</f>
        <v>5282.29</v>
      </c>
      <c r="H312" s="23">
        <f>'Annual Raw'!I77</f>
        <v>6110.37</v>
      </c>
      <c r="I312" s="23">
        <f>'Annual Raw'!J77</f>
        <v>8234.36</v>
      </c>
      <c r="J312" s="23">
        <f>'Annual Raw'!K77</f>
        <v>11491.13</v>
      </c>
      <c r="K312" s="23">
        <f>'Annual Raw'!L77</f>
        <v>12522.63</v>
      </c>
      <c r="L312" s="23">
        <f>'Annual Raw'!M77</f>
        <v>14119.45</v>
      </c>
      <c r="M312" s="23">
        <f>'Annual Raw'!N77</f>
        <v>20651.099999999999</v>
      </c>
      <c r="N312" s="23">
        <f>'Annual Raw'!O77</f>
        <v>23011.32</v>
      </c>
      <c r="O312" s="23">
        <f>'Annual Raw'!P77</f>
        <v>26384.55</v>
      </c>
      <c r="P312" s="23">
        <f>'Annual Raw'!Q77</f>
        <v>30089.37</v>
      </c>
      <c r="Q312" s="23">
        <f>'Annual Raw'!R77</f>
        <v>26024.98</v>
      </c>
      <c r="R312" s="23">
        <f>'Annual Raw'!S77</f>
        <v>28688.97</v>
      </c>
      <c r="S312" s="23">
        <f>'Annual Raw'!T77</f>
        <v>33116.980000000003</v>
      </c>
      <c r="T312" s="23">
        <f>'Annual Raw'!U77</f>
        <v>36845.870000000003</v>
      </c>
      <c r="U312" s="23">
        <f>'Annual Raw'!V77</f>
        <v>40731.519999999997</v>
      </c>
      <c r="V312" s="23">
        <f>'Annual Raw'!W77</f>
        <v>42229.78</v>
      </c>
      <c r="W312" s="23">
        <f>'Annual Raw'!X77</f>
        <v>46139.32</v>
      </c>
      <c r="X312" s="23">
        <f>'Annual Raw'!Y77</f>
        <v>44731.53</v>
      </c>
      <c r="Y312" s="23">
        <f>'Annual Raw'!Z77</f>
        <v>48770.95</v>
      </c>
      <c r="Z312" s="23">
        <f>'Annual Raw'!AA77</f>
        <v>53713.68</v>
      </c>
      <c r="AA312" s="23">
        <f>'Annual Raw'!AB77</f>
        <v>60461.26</v>
      </c>
      <c r="AB312" s="24">
        <f t="shared" si="1812"/>
        <v>70272.754360337727</v>
      </c>
      <c r="AC312" s="24">
        <f t="shared" si="1813"/>
        <v>81104.324913123288</v>
      </c>
      <c r="AD312" s="24">
        <f t="shared" si="1814"/>
        <v>93513.966519213631</v>
      </c>
      <c r="AE312" s="24">
        <f t="shared" si="1815"/>
        <v>107811.01732367654</v>
      </c>
      <c r="AJ312" s="23">
        <f>+'QTR Raw'!D82</f>
        <v>18774.310000000001</v>
      </c>
      <c r="AK312" s="23">
        <f>+AK347*AK166/90</f>
        <v>18128.863987205434</v>
      </c>
      <c r="AL312" s="23">
        <f>+'QTR Raw'!F82</f>
        <v>23011.32</v>
      </c>
      <c r="AM312" s="23">
        <f>+AM347*AM166/90</f>
        <v>21720.152397743361</v>
      </c>
      <c r="AN312" s="23">
        <f>+'QTR Raw'!H82</f>
        <v>23713.42</v>
      </c>
      <c r="AO312" s="23">
        <f>+AO347*AO166/90</f>
        <v>26683.156401389278</v>
      </c>
      <c r="AP312" s="23">
        <f>+'QTR Raw'!J82</f>
        <v>26384.55</v>
      </c>
      <c r="AQ312" s="23">
        <f>+AQ347*AQ166/90</f>
        <v>18387.422636987409</v>
      </c>
      <c r="AR312" s="23">
        <f>+'QTR Raw'!L82</f>
        <v>26004.22</v>
      </c>
      <c r="AS312" s="23">
        <f>+AS347*AS166/90</f>
        <v>29072.353919523102</v>
      </c>
      <c r="AT312" s="23">
        <f>+'QTR Raw'!N82</f>
        <v>30089.37</v>
      </c>
      <c r="AU312" s="23">
        <f>+AU347*AU166/90</f>
        <v>21334.928323183507</v>
      </c>
      <c r="AV312" s="23">
        <f>+'QTR Raw'!P82</f>
        <v>30971</v>
      </c>
      <c r="AW312" s="23">
        <f>+AW347*AW166/90</f>
        <v>34727.396394054871</v>
      </c>
      <c r="AX312" s="23">
        <f>+'QTR Raw'!R82</f>
        <v>26024.98</v>
      </c>
      <c r="AY312" s="23">
        <f>+AY347*AY166/90</f>
        <v>17199.201129333051</v>
      </c>
      <c r="AZ312" s="23">
        <f>+'QTR Raw'!T82</f>
        <v>25721.08</v>
      </c>
      <c r="BA312" s="23">
        <f>+BA347*BA166/90</f>
        <v>26839.599668710849</v>
      </c>
      <c r="BB312" s="23">
        <f>+'QTR Raw'!V82</f>
        <v>28688.97</v>
      </c>
      <c r="BC312" s="23">
        <f>+BC347*BC166/90</f>
        <v>18548.630031791039</v>
      </c>
      <c r="BD312" s="23">
        <f>+'QTR Raw'!X82</f>
        <v>29229.83</v>
      </c>
      <c r="BE312" s="23">
        <f>+BE347*BE166/90</f>
        <v>31772.628345910813</v>
      </c>
      <c r="BF312" s="23">
        <f>+'QTR Raw'!Z82</f>
        <v>33116.980000000003</v>
      </c>
      <c r="BG312" s="23">
        <f>+BG347*BG166/90</f>
        <v>21985.206486895899</v>
      </c>
      <c r="BH312" s="23">
        <f>+'QTR Raw'!AB82</f>
        <v>33224.58</v>
      </c>
      <c r="BI312" s="23">
        <f>+BI347*BI166/90</f>
        <v>37075.563039103101</v>
      </c>
      <c r="BJ312" s="23">
        <f>+'QTR Raw'!AD82</f>
        <v>36845.870000000003</v>
      </c>
      <c r="BK312" s="23">
        <f>+BK347*BK166/90</f>
        <v>25216.550225305637</v>
      </c>
      <c r="BL312" s="23">
        <f>+'QTR Raw'!AF82</f>
        <v>34352.9</v>
      </c>
      <c r="BM312" s="23">
        <f>+BM347*BM166/90</f>
        <v>35241.884706858073</v>
      </c>
      <c r="BN312" s="23">
        <f>+'QTR Raw'!AH82</f>
        <v>40731.519999999997</v>
      </c>
      <c r="BO312" s="23">
        <f>+BO347*BO166/90</f>
        <v>19571.599349227759</v>
      </c>
      <c r="BP312" s="23">
        <f>+'QTR Raw'!AJ82</f>
        <v>36088.269999999997</v>
      </c>
      <c r="BQ312" s="23">
        <f>+BQ347*BQ166/90</f>
        <v>41392.749415442173</v>
      </c>
      <c r="BR312" s="23">
        <f>+'QTR Raw'!AL82</f>
        <v>42229.78</v>
      </c>
      <c r="BS312" s="23">
        <f>+BS347*BS166/90</f>
        <v>25761.14145677811</v>
      </c>
      <c r="BT312" s="23">
        <f>+'QTR Raw'!AN82</f>
        <v>39293.11</v>
      </c>
      <c r="BU312" s="23">
        <f>+BU347*BU166/90</f>
        <v>44705.79582034285</v>
      </c>
      <c r="BV312" s="23">
        <f>+'QTR Raw'!AP82</f>
        <v>46139.32</v>
      </c>
      <c r="BW312" s="23">
        <f>+BW347*BW166/90</f>
        <v>31300.308356053003</v>
      </c>
      <c r="BX312" s="23">
        <f>+'QTR Raw'!AR82</f>
        <v>44011.34</v>
      </c>
      <c r="BY312" s="23">
        <f>+BY347*BY166/90</f>
        <v>47744.366852837084</v>
      </c>
      <c r="BZ312" s="23">
        <f>+'QTR Raw'!AT82</f>
        <v>44731.53</v>
      </c>
      <c r="CA312" s="23">
        <f>+CA347*CA166/90</f>
        <v>36716.313751247748</v>
      </c>
      <c r="CB312" s="23">
        <f>+'QTR Raw'!AV82</f>
        <v>47977.25</v>
      </c>
      <c r="CC312" s="23">
        <f>+CC347*CC166/90</f>
        <v>51835.981668542918</v>
      </c>
      <c r="CD312" s="23">
        <f>+'QTR Raw'!AX82</f>
        <v>48770.95</v>
      </c>
      <c r="CE312" s="23">
        <f>+CE347*CE166/90</f>
        <v>40076.012009016871</v>
      </c>
      <c r="CF312" s="23">
        <f>+'QTR Raw'!AZ82</f>
        <v>51143.23</v>
      </c>
      <c r="CG312" s="23">
        <f>+CG347*CG166/90</f>
        <v>53729.862930254742</v>
      </c>
      <c r="CH312" s="23">
        <f t="shared" si="1794"/>
        <v>53713.68</v>
      </c>
      <c r="CI312" s="23">
        <f>+CI347*CI166/90</f>
        <v>45978.280698287519</v>
      </c>
      <c r="CJ312" s="23">
        <f>+'QTR Raw'!BD82</f>
        <v>53654.94</v>
      </c>
      <c r="CK312" s="23">
        <f>+CK347*CK166/90</f>
        <v>56390.560574274386</v>
      </c>
      <c r="CL312" s="23">
        <f>+'QTR Raw'!BF82</f>
        <v>60461.26</v>
      </c>
      <c r="CM312" s="24">
        <f t="shared" ref="CM312:DB312" si="1818">+CM347*CM166/90</f>
        <v>53231.933888433305</v>
      </c>
      <c r="CN312" s="24">
        <f t="shared" si="1818"/>
        <v>56693.705056034247</v>
      </c>
      <c r="CO312" s="24">
        <f t="shared" si="1818"/>
        <v>60068.161032187701</v>
      </c>
      <c r="CP312" s="24">
        <f t="shared" si="1818"/>
        <v>70272.754360337727</v>
      </c>
      <c r="CQ312" s="24">
        <f t="shared" si="1818"/>
        <v>61201.776402020296</v>
      </c>
      <c r="CR312" s="24">
        <f t="shared" si="1818"/>
        <v>65258.975429585735</v>
      </c>
      <c r="CS312" s="24">
        <f t="shared" si="1818"/>
        <v>69286.714485812059</v>
      </c>
      <c r="CT312" s="24">
        <f t="shared" si="1818"/>
        <v>81104.324913123288</v>
      </c>
      <c r="CU312" s="24">
        <f t="shared" si="1818"/>
        <v>70510.616917402818</v>
      </c>
      <c r="CV312" s="24">
        <f t="shared" si="1818"/>
        <v>75223.774823626663</v>
      </c>
      <c r="CW312" s="24">
        <f t="shared" si="1818"/>
        <v>79894.53468058724</v>
      </c>
      <c r="CX312" s="24">
        <f t="shared" si="1818"/>
        <v>93513.966519213631</v>
      </c>
      <c r="CY312" s="24">
        <f t="shared" si="1818"/>
        <v>81279.452820705817</v>
      </c>
      <c r="CZ312" s="24">
        <f t="shared" si="1818"/>
        <v>86724.200020029442</v>
      </c>
      <c r="DA312" s="24">
        <f t="shared" si="1818"/>
        <v>92112.766511413793</v>
      </c>
      <c r="DB312" s="24">
        <f t="shared" si="1818"/>
        <v>107811.01732367654</v>
      </c>
      <c r="DE312" s="123"/>
      <c r="DF312" s="23">
        <v>60461.26</v>
      </c>
    </row>
    <row r="313" spans="1:110" s="23" customFormat="1" outlineLevel="1" x14ac:dyDescent="0.2">
      <c r="A313" s="23" t="s">
        <v>63</v>
      </c>
      <c r="B313" s="23">
        <f>'Annual Raw'!C79</f>
        <v>0.49</v>
      </c>
      <c r="C313" s="23">
        <f>'Annual Raw'!D79</f>
        <v>11.1</v>
      </c>
      <c r="D313" s="23">
        <f>'Annual Raw'!E79</f>
        <v>10.039999999999999</v>
      </c>
      <c r="E313" s="23">
        <f>'Annual Raw'!F79</f>
        <v>10.26</v>
      </c>
      <c r="F313" s="23">
        <f>'Annual Raw'!G79</f>
        <v>4.21</v>
      </c>
      <c r="G313" s="23">
        <f>'Annual Raw'!H79</f>
        <v>26.6</v>
      </c>
      <c r="H313" s="23">
        <f>'Annual Raw'!I79</f>
        <v>34.28</v>
      </c>
      <c r="I313" s="23">
        <f>'Annual Raw'!J79</f>
        <v>38.619999999999997</v>
      </c>
      <c r="J313" s="23">
        <f>'Annual Raw'!K79</f>
        <v>68.31</v>
      </c>
      <c r="K313" s="23">
        <f>'Annual Raw'!L79</f>
        <v>103.94</v>
      </c>
      <c r="L313" s="23">
        <f>'Annual Raw'!M79</f>
        <v>238.11</v>
      </c>
      <c r="M313" s="23">
        <f>'Annual Raw'!N79</f>
        <v>366.17</v>
      </c>
      <c r="N313" s="23">
        <f>'Annual Raw'!O79</f>
        <v>514.42999999999995</v>
      </c>
      <c r="O313" s="23">
        <f>'Annual Raw'!P79</f>
        <v>741.04</v>
      </c>
      <c r="P313" s="23">
        <f>'Annual Raw'!Q79</f>
        <v>1033.55</v>
      </c>
      <c r="Q313" s="23">
        <f>'Annual Raw'!R79</f>
        <v>35231.519999999997</v>
      </c>
      <c r="R313" s="23">
        <f>'Annual Raw'!S79</f>
        <v>25098.91</v>
      </c>
      <c r="S313" s="23">
        <f>'Annual Raw'!T79</f>
        <v>977.44</v>
      </c>
      <c r="T313" s="23">
        <f>'Annual Raw'!U79</f>
        <v>47809.09</v>
      </c>
      <c r="U313" s="23">
        <f>'Annual Raw'!V79</f>
        <v>53351.74</v>
      </c>
      <c r="V313" s="23">
        <f>'Annual Raw'!W79</f>
        <v>1286.67</v>
      </c>
      <c r="W313" s="23">
        <f>'Annual Raw'!X79</f>
        <v>1211.3399999999999</v>
      </c>
      <c r="X313" s="23">
        <f>'Annual Raw'!Y79</f>
        <v>820.45</v>
      </c>
      <c r="Y313" s="23">
        <f>'Annual Raw'!Z79</f>
        <v>577.89</v>
      </c>
      <c r="Z313" s="23">
        <f>'Annual Raw'!AA79</f>
        <v>975.64</v>
      </c>
      <c r="AA313" s="23">
        <f>'Annual Raw'!AB79</f>
        <v>2862.49</v>
      </c>
      <c r="AB313" s="24">
        <f t="shared" si="1812"/>
        <v>292103.2858555257</v>
      </c>
      <c r="AC313" s="24">
        <f t="shared" si="1813"/>
        <v>328492.11905510485</v>
      </c>
      <c r="AD313" s="24">
        <f t="shared" si="1814"/>
        <v>378754.16700711753</v>
      </c>
      <c r="AE313" s="24">
        <f t="shared" si="1815"/>
        <v>436660.67840496521</v>
      </c>
      <c r="AJ313" s="23">
        <f>+'QTR Raw'!D84</f>
        <v>12029.26</v>
      </c>
      <c r="AK313" s="23">
        <f t="shared" si="1816"/>
        <v>12029.26</v>
      </c>
      <c r="AL313" s="23">
        <f>+'QTR Raw'!F84</f>
        <v>20029.7</v>
      </c>
      <c r="AM313" s="23">
        <f t="shared" si="1816"/>
        <v>20029.7</v>
      </c>
      <c r="AN313" s="23">
        <f>+'QTR Raw'!H84</f>
        <v>24531.89</v>
      </c>
      <c r="AO313" s="23">
        <f t="shared" si="1816"/>
        <v>24531.89</v>
      </c>
      <c r="AP313" s="23">
        <f>+'QTR Raw'!J84</f>
        <v>24464.32</v>
      </c>
      <c r="AQ313" s="23">
        <f t="shared" si="1816"/>
        <v>24464.32</v>
      </c>
      <c r="AR313" s="23">
        <f>+'QTR Raw'!L84</f>
        <v>22665.57</v>
      </c>
      <c r="AS313" s="23">
        <f t="shared" si="1816"/>
        <v>22665.57</v>
      </c>
      <c r="AT313" s="23">
        <f>+'QTR Raw'!N84</f>
        <v>24343.9</v>
      </c>
      <c r="AU313" s="23">
        <f t="shared" si="1816"/>
        <v>24343.9</v>
      </c>
      <c r="AV313" s="23">
        <f>+'QTR Raw'!P84</f>
        <v>26773.24</v>
      </c>
      <c r="AW313" s="23">
        <f t="shared" si="1816"/>
        <v>26773.24</v>
      </c>
      <c r="AX313" s="23">
        <f>+'QTR Raw'!R84</f>
        <v>44331.78</v>
      </c>
      <c r="AY313" s="23">
        <f t="shared" si="1816"/>
        <v>44331.78</v>
      </c>
      <c r="AZ313" s="23">
        <f>+'QTR Raw'!T84</f>
        <v>42918.03</v>
      </c>
      <c r="BA313" s="23">
        <f t="shared" si="1816"/>
        <v>42918.03</v>
      </c>
      <c r="BB313" s="23">
        <f>+'QTR Raw'!V84</f>
        <v>43992.53</v>
      </c>
      <c r="BC313" s="23">
        <f t="shared" si="1816"/>
        <v>43992.53</v>
      </c>
      <c r="BD313" s="23">
        <f>+'QTR Raw'!X84</f>
        <v>47791.29</v>
      </c>
      <c r="BE313" s="23">
        <f t="shared" si="1816"/>
        <v>47791.29</v>
      </c>
      <c r="BF313" s="23">
        <f>+'QTR Raw'!Z84</f>
        <v>53603.86</v>
      </c>
      <c r="BG313" s="23">
        <f t="shared" si="1816"/>
        <v>53603.86</v>
      </c>
      <c r="BH313" s="23">
        <f>+'QTR Raw'!AB84</f>
        <v>94267.61</v>
      </c>
      <c r="BI313" s="23">
        <f t="shared" si="1816"/>
        <v>94267.61</v>
      </c>
      <c r="BJ313" s="23">
        <f>+'QTR Raw'!AD84</f>
        <v>54701.72</v>
      </c>
      <c r="BK313" s="23">
        <f t="shared" si="1816"/>
        <v>54701.72</v>
      </c>
      <c r="BL313" s="23">
        <f>+'QTR Raw'!AF84</f>
        <v>63325.91</v>
      </c>
      <c r="BM313" s="23">
        <f t="shared" si="1816"/>
        <v>63325.91</v>
      </c>
      <c r="BN313" s="23">
        <f>+'QTR Raw'!AH84</f>
        <v>65954.77</v>
      </c>
      <c r="BO313" s="23">
        <f t="shared" si="1816"/>
        <v>65954.77</v>
      </c>
      <c r="BP313" s="23">
        <f>+'QTR Raw'!AJ84</f>
        <v>61060.67</v>
      </c>
      <c r="BQ313" s="23">
        <f t="shared" si="1816"/>
        <v>61060.67</v>
      </c>
      <c r="BR313" s="23">
        <f>+'QTR Raw'!AL84</f>
        <v>58049.4</v>
      </c>
      <c r="BS313" s="23">
        <f t="shared" si="1816"/>
        <v>58049.4</v>
      </c>
      <c r="BT313" s="23">
        <f>+'QTR Raw'!AN84</f>
        <v>61153.21</v>
      </c>
      <c r="BU313" s="23">
        <f t="shared" si="1816"/>
        <v>61153.21</v>
      </c>
      <c r="BV313" s="23">
        <f>+'QTR Raw'!AP84</f>
        <v>63987.37</v>
      </c>
      <c r="BW313" s="23">
        <f t="shared" si="1816"/>
        <v>63987.37</v>
      </c>
      <c r="BX313" s="23">
        <f>+'QTR Raw'!AR84</f>
        <v>66664.960000000006</v>
      </c>
      <c r="BY313" s="23">
        <f t="shared" si="1816"/>
        <v>66664.960000000006</v>
      </c>
      <c r="BZ313" s="23">
        <f>+'QTR Raw'!AT84</f>
        <v>70850.490000000005</v>
      </c>
      <c r="CA313" s="23">
        <f t="shared" si="1816"/>
        <v>70850.490000000005</v>
      </c>
      <c r="CB313" s="23">
        <f>+'QTR Raw'!AV84</f>
        <v>71107.91</v>
      </c>
      <c r="CC313" s="23">
        <f t="shared" si="1816"/>
        <v>71107.91</v>
      </c>
      <c r="CD313" s="23">
        <f>+'QTR Raw'!AX84</f>
        <v>76954.95</v>
      </c>
      <c r="CE313" s="23">
        <f t="shared" si="1816"/>
        <v>76954.95</v>
      </c>
      <c r="CF313" s="23">
        <f>+'QTR Raw'!AZ84</f>
        <v>79261.42</v>
      </c>
      <c r="CG313" s="23">
        <f t="shared" ref="CG313:CG314" si="1819">+CF313</f>
        <v>79261.42</v>
      </c>
      <c r="CH313" s="23">
        <f t="shared" si="1794"/>
        <v>975.64</v>
      </c>
      <c r="CI313" s="23">
        <f>CI166/90*CI348</f>
        <v>162579.78049832588</v>
      </c>
      <c r="CJ313" s="23">
        <f>+'QTR Raw'!BD84</f>
        <v>84704.53</v>
      </c>
      <c r="CK313" s="23">
        <f>CK166/90*CK348</f>
        <v>216774.1543076683</v>
      </c>
      <c r="CL313" s="23">
        <f>+'QTR Raw'!BF84</f>
        <v>99016.47</v>
      </c>
      <c r="CM313" s="24">
        <f t="shared" ref="CM313:DB313" si="1820">CM166/90*CM348</f>
        <v>227746.58608863381</v>
      </c>
      <c r="CN313" s="24">
        <f t="shared" si="1820"/>
        <v>239108.2588272373</v>
      </c>
      <c r="CO313" s="24">
        <f t="shared" si="1820"/>
        <v>249685.7761235552</v>
      </c>
      <c r="CP313" s="24">
        <f t="shared" si="1820"/>
        <v>292103.2858555257</v>
      </c>
      <c r="CQ313" s="24">
        <f t="shared" si="1820"/>
        <v>252536.19891261825</v>
      </c>
      <c r="CR313" s="24">
        <f t="shared" si="1820"/>
        <v>267292.27358055155</v>
      </c>
      <c r="CS313" s="24">
        <f t="shared" si="1820"/>
        <v>281681.74990574323</v>
      </c>
      <c r="CT313" s="24">
        <f t="shared" si="1820"/>
        <v>328492.11905510485</v>
      </c>
      <c r="CU313" s="24">
        <f t="shared" si="1820"/>
        <v>285585.04114165396</v>
      </c>
      <c r="CV313" s="24">
        <f t="shared" si="1820"/>
        <v>304674.46984616772</v>
      </c>
      <c r="CW313" s="24">
        <f t="shared" si="1820"/>
        <v>323592.17620343051</v>
      </c>
      <c r="CX313" s="24">
        <f t="shared" si="1820"/>
        <v>378754.16700711753</v>
      </c>
      <c r="CY313" s="24">
        <f t="shared" si="1820"/>
        <v>329201.42940975109</v>
      </c>
      <c r="CZ313" s="24">
        <f t="shared" si="1820"/>
        <v>351253.97157863074</v>
      </c>
      <c r="DA313" s="24">
        <f t="shared" si="1820"/>
        <v>373078.96830131183</v>
      </c>
      <c r="DB313" s="24">
        <f t="shared" si="1820"/>
        <v>436660.67840496521</v>
      </c>
      <c r="DE313" s="123"/>
      <c r="DF313" s="23">
        <v>2862.49</v>
      </c>
    </row>
    <row r="314" spans="1:110" s="23" customFormat="1" outlineLevel="1" x14ac:dyDescent="0.2">
      <c r="A314" s="23" t="s">
        <v>64</v>
      </c>
      <c r="B314" s="23">
        <f>'Annual Raw'!C80</f>
        <v>1275.1500000000001</v>
      </c>
      <c r="C314" s="23">
        <f>'Annual Raw'!D80</f>
        <v>1419.76</v>
      </c>
      <c r="D314" s="23">
        <f>'Annual Raw'!E80</f>
        <v>1632.4</v>
      </c>
      <c r="E314" s="23">
        <f>'Annual Raw'!F80</f>
        <v>1861.89</v>
      </c>
      <c r="F314" s="23">
        <f>'Annual Raw'!G80</f>
        <v>2238.65</v>
      </c>
      <c r="G314" s="23">
        <f>'Annual Raw'!H80</f>
        <v>3036.99</v>
      </c>
      <c r="H314" s="23">
        <f>'Annual Raw'!I80</f>
        <v>5172.67</v>
      </c>
      <c r="I314" s="23">
        <f>'Annual Raw'!J80</f>
        <v>10928.9</v>
      </c>
      <c r="J314" s="23">
        <f>'Annual Raw'!K80</f>
        <v>18459.48</v>
      </c>
      <c r="K314" s="23">
        <f>'Annual Raw'!L80</f>
        <v>24249.06</v>
      </c>
      <c r="L314" s="23">
        <f>'Annual Raw'!M80</f>
        <v>25766.880000000001</v>
      </c>
      <c r="M314" s="23">
        <f>'Annual Raw'!N80</f>
        <v>30644.01</v>
      </c>
      <c r="N314" s="23">
        <f>'Annual Raw'!O80</f>
        <v>37958.35</v>
      </c>
      <c r="O314" s="23">
        <f>'Annual Raw'!P80</f>
        <v>44168.92</v>
      </c>
      <c r="P314" s="23">
        <f>'Annual Raw'!Q80</f>
        <v>44481.91</v>
      </c>
      <c r="Q314" s="23">
        <f>'Annual Raw'!R80</f>
        <v>26878.28</v>
      </c>
      <c r="R314" s="23">
        <f>'Annual Raw'!S80</f>
        <v>42658.080000000002</v>
      </c>
      <c r="S314" s="23">
        <f>'Annual Raw'!T80</f>
        <v>83678.820000000007</v>
      </c>
      <c r="T314" s="23">
        <f>'Annual Raw'!U80</f>
        <v>50042.73</v>
      </c>
      <c r="U314" s="23">
        <f>'Annual Raw'!V80</f>
        <v>50675.24</v>
      </c>
      <c r="V314" s="23">
        <f>'Annual Raw'!W80</f>
        <v>98370.87</v>
      </c>
      <c r="W314" s="23">
        <f>'Annual Raw'!X80</f>
        <v>105325.57</v>
      </c>
      <c r="X314" s="23">
        <f>'Annual Raw'!Y80</f>
        <v>110741.74</v>
      </c>
      <c r="Y314" s="23">
        <f>'Annual Raw'!Z80</f>
        <v>111298.19</v>
      </c>
      <c r="Z314" s="23">
        <f>'Annual Raw'!AA80</f>
        <v>116498.44</v>
      </c>
      <c r="AA314" s="23">
        <f>'Annual Raw'!AB80</f>
        <v>139613.92000000001</v>
      </c>
      <c r="AB314" s="24">
        <f t="shared" si="1812"/>
        <v>0</v>
      </c>
      <c r="AC314" s="24">
        <f t="shared" si="1813"/>
        <v>0</v>
      </c>
      <c r="AD314" s="24">
        <f t="shared" si="1814"/>
        <v>0</v>
      </c>
      <c r="AE314" s="24">
        <f t="shared" si="1815"/>
        <v>0</v>
      </c>
      <c r="AJ314" s="23">
        <f>+'QTR Raw'!D85</f>
        <v>6726.83</v>
      </c>
      <c r="AK314" s="23">
        <f t="shared" si="1816"/>
        <v>6726.83</v>
      </c>
      <c r="AL314" s="23">
        <f>+'QTR Raw'!F85</f>
        <v>16331.54</v>
      </c>
      <c r="AM314" s="23">
        <f t="shared" si="1816"/>
        <v>16331.54</v>
      </c>
      <c r="AN314" s="23">
        <f>+'QTR Raw'!H85</f>
        <v>18242.14</v>
      </c>
      <c r="AO314" s="23">
        <f t="shared" si="1816"/>
        <v>18242.14</v>
      </c>
      <c r="AP314" s="23">
        <f>+'QTR Raw'!J85</f>
        <v>18098.89</v>
      </c>
      <c r="AQ314" s="23">
        <f t="shared" si="1816"/>
        <v>18098.89</v>
      </c>
      <c r="AR314" s="23">
        <f>+'QTR Raw'!L85</f>
        <v>17860.34</v>
      </c>
      <c r="AS314" s="23">
        <f t="shared" si="1816"/>
        <v>17860.34</v>
      </c>
      <c r="AT314" s="23">
        <f>+'QTR Raw'!N85</f>
        <v>19114.07</v>
      </c>
      <c r="AU314" s="23">
        <f t="shared" si="1816"/>
        <v>19114.07</v>
      </c>
      <c r="AV314" s="23">
        <f>+'QTR Raw'!P85</f>
        <v>21450.48</v>
      </c>
      <c r="AW314" s="23">
        <f t="shared" si="1816"/>
        <v>21450.48</v>
      </c>
      <c r="AX314" s="23">
        <f>+'QTR Raw'!R85</f>
        <v>19357.48</v>
      </c>
      <c r="AY314" s="23">
        <f t="shared" si="1816"/>
        <v>19357.48</v>
      </c>
      <c r="AZ314" s="23">
        <f>+'QTR Raw'!T85</f>
        <v>15646.03</v>
      </c>
      <c r="BA314" s="23">
        <f t="shared" si="1816"/>
        <v>15646.03</v>
      </c>
      <c r="BB314" s="23">
        <f>+'QTR Raw'!V85</f>
        <v>25413.83</v>
      </c>
      <c r="BC314" s="23">
        <f t="shared" si="1816"/>
        <v>25413.83</v>
      </c>
      <c r="BD314" s="23">
        <f>+'QTR Raw'!X85</f>
        <v>21802.47</v>
      </c>
      <c r="BE314" s="23">
        <f t="shared" si="1816"/>
        <v>21802.47</v>
      </c>
      <c r="BF314" s="23">
        <f>+'QTR Raw'!Z85</f>
        <v>32564.83</v>
      </c>
      <c r="BG314" s="23">
        <f t="shared" si="1816"/>
        <v>32564.83</v>
      </c>
      <c r="BH314" s="23">
        <f>+'QTR Raw'!AB85</f>
        <v>613.46</v>
      </c>
      <c r="BI314" s="23">
        <f t="shared" si="1816"/>
        <v>613.46</v>
      </c>
      <c r="BJ314" s="23">
        <f>+'QTR Raw'!AD85</f>
        <v>43157.51</v>
      </c>
      <c r="BK314" s="23">
        <f t="shared" si="1816"/>
        <v>43157.51</v>
      </c>
      <c r="BL314" s="23">
        <f>+'QTR Raw'!AF85</f>
        <v>46179.46</v>
      </c>
      <c r="BM314" s="23">
        <f t="shared" si="1816"/>
        <v>46179.46</v>
      </c>
      <c r="BN314" s="23">
        <f>+'QTR Raw'!AH85</f>
        <v>42439.42</v>
      </c>
      <c r="BO314" s="23">
        <f t="shared" si="1816"/>
        <v>42439.42</v>
      </c>
      <c r="BP314" s="23">
        <f>+'QTR Raw'!AJ85</f>
        <v>43775.88</v>
      </c>
      <c r="BQ314" s="23">
        <f t="shared" si="1816"/>
        <v>43775.88</v>
      </c>
      <c r="BR314" s="23">
        <f>+'QTR Raw'!AL85</f>
        <v>41614.379999999997</v>
      </c>
      <c r="BS314" s="23">
        <f t="shared" si="1816"/>
        <v>41614.379999999997</v>
      </c>
      <c r="BT314" s="23">
        <f>+'QTR Raw'!AN85</f>
        <v>39346.519999999997</v>
      </c>
      <c r="BU314" s="23">
        <f t="shared" si="1816"/>
        <v>39346.519999999997</v>
      </c>
      <c r="BV314" s="23">
        <f>+'QTR Raw'!AP85</f>
        <v>42549.54</v>
      </c>
      <c r="BW314" s="23">
        <f t="shared" si="1816"/>
        <v>42549.54</v>
      </c>
      <c r="BX314" s="23">
        <f>+'QTR Raw'!AR85</f>
        <v>40215.230000000003</v>
      </c>
      <c r="BY314" s="23">
        <f t="shared" si="1816"/>
        <v>40215.230000000003</v>
      </c>
      <c r="BZ314" s="23">
        <f>+'QTR Raw'!AT85</f>
        <v>40711.699999999997</v>
      </c>
      <c r="CA314" s="23">
        <f t="shared" si="1816"/>
        <v>40711.699999999997</v>
      </c>
      <c r="CB314" s="23">
        <f>+'QTR Raw'!AV85</f>
        <v>34898.589999999997</v>
      </c>
      <c r="CC314" s="23">
        <f t="shared" si="1816"/>
        <v>34898.589999999997</v>
      </c>
      <c r="CD314" s="23">
        <f>+'QTR Raw'!AX85</f>
        <v>34921.129999999997</v>
      </c>
      <c r="CE314" s="23">
        <f t="shared" si="1816"/>
        <v>34921.129999999997</v>
      </c>
      <c r="CF314" s="23">
        <f>+'QTR Raw'!AZ85</f>
        <v>35951.64</v>
      </c>
      <c r="CG314" s="23">
        <f t="shared" si="1819"/>
        <v>35951.64</v>
      </c>
      <c r="CH314" s="23">
        <f t="shared" si="1794"/>
        <v>116498.44</v>
      </c>
      <c r="CJ314" s="23">
        <f>+'QTR Raw'!BD85</f>
        <v>39165.129999999997</v>
      </c>
      <c r="CL314" s="23">
        <f>+'QTR Raw'!BF85</f>
        <v>43459.94</v>
      </c>
      <c r="CM314" s="24"/>
      <c r="CN314" s="24"/>
      <c r="CO314" s="24"/>
      <c r="CP314" s="24"/>
      <c r="CQ314" s="24"/>
      <c r="CR314" s="24"/>
      <c r="CS314" s="24"/>
      <c r="CT314" s="24"/>
      <c r="CU314" s="24"/>
      <c r="CV314" s="24"/>
      <c r="CW314" s="24"/>
      <c r="CX314" s="24"/>
      <c r="CY314" s="24"/>
      <c r="CZ314" s="24"/>
      <c r="DA314" s="24"/>
      <c r="DB314" s="24"/>
      <c r="DE314" s="123"/>
      <c r="DF314" s="23">
        <v>139613.92000000001</v>
      </c>
    </row>
    <row r="315" spans="1:110" s="22" customFormat="1" x14ac:dyDescent="0.2">
      <c r="A315" s="22" t="s">
        <v>65</v>
      </c>
      <c r="B315" s="22">
        <f>SUM(B309:B314)</f>
        <v>5197.1900000000005</v>
      </c>
      <c r="C315" s="22">
        <f t="shared" ref="C315:V315" si="1821">SUM(C309:C314)</f>
        <v>5846.81</v>
      </c>
      <c r="D315" s="22">
        <f t="shared" si="1821"/>
        <v>6445.66</v>
      </c>
      <c r="E315" s="22">
        <f t="shared" si="1821"/>
        <v>7330.09</v>
      </c>
      <c r="F315" s="22">
        <f t="shared" si="1821"/>
        <v>9008.24</v>
      </c>
      <c r="G315" s="22">
        <f t="shared" si="1821"/>
        <v>10823.23</v>
      </c>
      <c r="H315" s="22">
        <f t="shared" si="1821"/>
        <v>14995.29</v>
      </c>
      <c r="I315" s="22">
        <f t="shared" si="1821"/>
        <v>24220.880000000001</v>
      </c>
      <c r="J315" s="22">
        <f t="shared" si="1821"/>
        <v>32520.579999999998</v>
      </c>
      <c r="K315" s="22">
        <f t="shared" si="1821"/>
        <v>39321.770000000004</v>
      </c>
      <c r="L315" s="22">
        <f>SUM(L309:L314)</f>
        <v>55796.760000000009</v>
      </c>
      <c r="M315" s="22">
        <f>SUM(M309:M314)</f>
        <v>74936.39</v>
      </c>
      <c r="N315" s="22">
        <f t="shared" si="1821"/>
        <v>91032.989999999991</v>
      </c>
      <c r="O315" s="22">
        <f t="shared" si="1821"/>
        <v>112476.48</v>
      </c>
      <c r="P315" s="22">
        <f t="shared" si="1821"/>
        <v>130368.97</v>
      </c>
      <c r="Q315" s="22">
        <f t="shared" si="1821"/>
        <v>147349.1</v>
      </c>
      <c r="R315" s="22">
        <f t="shared" si="1821"/>
        <v>155411.41999999998</v>
      </c>
      <c r="S315" s="22">
        <f t="shared" si="1821"/>
        <v>185754.87000000002</v>
      </c>
      <c r="T315" s="22">
        <f t="shared" si="1821"/>
        <v>207181.66</v>
      </c>
      <c r="U315" s="22">
        <f t="shared" si="1821"/>
        <v>222163.81999999998</v>
      </c>
      <c r="V315" s="22">
        <f t="shared" si="1821"/>
        <v>207888.87</v>
      </c>
      <c r="W315" s="22">
        <f t="shared" ref="W315" si="1822">SUM(W309:W314)</f>
        <v>214684.23</v>
      </c>
      <c r="X315" s="22">
        <f t="shared" ref="X315:Y315" si="1823">SUM(X309:X314)</f>
        <v>213343.04</v>
      </c>
      <c r="Y315" s="22">
        <f t="shared" si="1823"/>
        <v>229257.21</v>
      </c>
      <c r="Z315" s="22">
        <f t="shared" ref="Z315:AA315" si="1824">SUM(Z309:Z314)</f>
        <v>251316.48000000001</v>
      </c>
      <c r="AA315" s="22">
        <f t="shared" si="1824"/>
        <v>324894.80000000005</v>
      </c>
      <c r="AB315" s="21">
        <f t="shared" ref="AB315:AD315" si="1825">SUM(AB309:AB314)</f>
        <v>373453.62448578392</v>
      </c>
      <c r="AC315" s="21">
        <f t="shared" si="1825"/>
        <v>422381.48423110449</v>
      </c>
      <c r="AD315" s="21">
        <f t="shared" si="1825"/>
        <v>487009.39212591987</v>
      </c>
      <c r="AE315" s="21">
        <f t="shared" ref="AE315" si="1826">SUM(AE309:AE314)</f>
        <v>561466.69813746936</v>
      </c>
      <c r="AJ315" s="22">
        <f t="shared" ref="AJ315" si="1827">SUM(AJ309:AJ314)</f>
        <v>43747.62</v>
      </c>
      <c r="AK315" s="22">
        <f t="shared" ref="AK315" si="1828">SUM(AK309:AK314)</f>
        <v>43032.047954984911</v>
      </c>
      <c r="AL315" s="22">
        <f t="shared" ref="AL315:AM315" si="1829">SUM(AL309:AL314)</f>
        <v>88854.65</v>
      </c>
      <c r="AM315" s="22">
        <f t="shared" si="1829"/>
        <v>87273.422327459964</v>
      </c>
      <c r="AN315" s="22">
        <f t="shared" ref="AN315:AO315" si="1830">SUM(AN309:AN314)</f>
        <v>98392.439999999988</v>
      </c>
      <c r="AO315" s="22">
        <f t="shared" si="1830"/>
        <v>102036.49236980431</v>
      </c>
      <c r="AP315" s="22">
        <f t="shared" ref="AP315:CE315" si="1831">SUM(AP309:AP314)</f>
        <v>110099.99</v>
      </c>
      <c r="AQ315" s="22">
        <f t="shared" si="1831"/>
        <v>100427.49271082868</v>
      </c>
      <c r="AR315" s="22">
        <f t="shared" si="1831"/>
        <v>116405.57999999999</v>
      </c>
      <c r="AS315" s="22">
        <f t="shared" si="1831"/>
        <v>120201.6474286968</v>
      </c>
      <c r="AT315" s="22">
        <f t="shared" si="1831"/>
        <v>127982.26000000001</v>
      </c>
      <c r="AU315" s="22">
        <f t="shared" si="1831"/>
        <v>117334.2124348119</v>
      </c>
      <c r="AV315" s="22">
        <f t="shared" si="1831"/>
        <v>135982</v>
      </c>
      <c r="AW315" s="22">
        <f t="shared" si="1831"/>
        <v>140463.32474197657</v>
      </c>
      <c r="AX315" s="22">
        <f t="shared" si="1831"/>
        <v>147349.1</v>
      </c>
      <c r="AY315" s="22">
        <f t="shared" si="1831"/>
        <v>136877.12643286143</v>
      </c>
      <c r="AZ315" s="22">
        <f t="shared" si="1831"/>
        <v>147067.37</v>
      </c>
      <c r="BA315" s="22">
        <f t="shared" si="1831"/>
        <v>148376.97064120133</v>
      </c>
      <c r="BB315" s="22">
        <f t="shared" si="1831"/>
        <v>155411.41999999998</v>
      </c>
      <c r="BC315" s="22">
        <f t="shared" si="1831"/>
        <v>143807.85667521902</v>
      </c>
      <c r="BD315" s="22">
        <f t="shared" si="1831"/>
        <v>166074.46</v>
      </c>
      <c r="BE315" s="22">
        <f t="shared" si="1831"/>
        <v>169032.75209827971</v>
      </c>
      <c r="BF315" s="22">
        <f t="shared" si="1831"/>
        <v>185754.87</v>
      </c>
      <c r="BG315" s="22">
        <f t="shared" si="1831"/>
        <v>172993.58160852158</v>
      </c>
      <c r="BH315" s="22">
        <f t="shared" si="1831"/>
        <v>196948.17</v>
      </c>
      <c r="BI315" s="22">
        <f t="shared" si="1831"/>
        <v>201517.0305557542</v>
      </c>
      <c r="BJ315" s="22">
        <f t="shared" si="1831"/>
        <v>207181.66</v>
      </c>
      <c r="BK315" s="22">
        <f t="shared" si="1831"/>
        <v>193527.97106310359</v>
      </c>
      <c r="BL315" s="22">
        <f t="shared" si="1831"/>
        <v>217583.22999999998</v>
      </c>
      <c r="BM315" s="22">
        <f t="shared" si="1831"/>
        <v>218626.98927618959</v>
      </c>
      <c r="BN315" s="22">
        <f t="shared" si="1831"/>
        <v>224390.31</v>
      </c>
      <c r="BO315" s="22">
        <f t="shared" si="1831"/>
        <v>200245.01934565901</v>
      </c>
      <c r="BP315" s="22">
        <f t="shared" si="1831"/>
        <v>209983.77000000002</v>
      </c>
      <c r="BQ315" s="22">
        <f t="shared" si="1831"/>
        <v>216076.38967890176</v>
      </c>
      <c r="BR315" s="22">
        <f t="shared" si="1831"/>
        <v>209910.39999999999</v>
      </c>
      <c r="BS315" s="22">
        <f t="shared" si="1831"/>
        <v>191171.88533176953</v>
      </c>
      <c r="BT315" s="22">
        <f t="shared" si="1831"/>
        <v>204020.27</v>
      </c>
      <c r="BU315" s="22">
        <f t="shared" si="1831"/>
        <v>210231.96425527922</v>
      </c>
      <c r="BV315" s="22">
        <f t="shared" si="1831"/>
        <v>216673.74</v>
      </c>
      <c r="BW315" s="22">
        <f t="shared" si="1831"/>
        <v>199923.27854093429</v>
      </c>
      <c r="BX315" s="22">
        <f t="shared" si="1831"/>
        <v>220363.37000000002</v>
      </c>
      <c r="BY315" s="22">
        <f t="shared" si="1831"/>
        <v>224636.82022125172</v>
      </c>
      <c r="BZ315" s="22">
        <f t="shared" si="1831"/>
        <v>215480.91000000003</v>
      </c>
      <c r="CA315" s="22">
        <f t="shared" si="1831"/>
        <v>206242.07925795513</v>
      </c>
      <c r="CB315" s="22">
        <f t="shared" si="1831"/>
        <v>216846.88</v>
      </c>
      <c r="CC315" s="22">
        <f t="shared" si="1831"/>
        <v>221238.35788367601</v>
      </c>
      <c r="CD315" s="22">
        <f t="shared" si="1831"/>
        <v>231546.62</v>
      </c>
      <c r="CE315" s="22">
        <f t="shared" si="1831"/>
        <v>221671.42733818258</v>
      </c>
      <c r="CF315" s="22">
        <f t="shared" ref="CF315:CG315" si="1832">SUM(CF309:CF314)</f>
        <v>243591.26</v>
      </c>
      <c r="CG315" s="22">
        <f t="shared" si="1832"/>
        <v>246545.83011185849</v>
      </c>
      <c r="CH315" s="22">
        <f t="shared" ref="CH315:CI315" si="1833">SUM(CH309:CH314)</f>
        <v>251316.48000000001</v>
      </c>
      <c r="CI315" s="22">
        <f t="shared" si="1833"/>
        <v>215123.96211813376</v>
      </c>
      <c r="CJ315" s="22">
        <f t="shared" ref="CJ315:DB315" si="1834">SUM(CJ309:CJ314)</f>
        <v>268226.58999999997</v>
      </c>
      <c r="CK315" s="22">
        <f t="shared" si="1834"/>
        <v>281902.23996198783</v>
      </c>
      <c r="CL315" s="22">
        <f t="shared" ref="CL315" si="1835">SUM(CL309:CL314)</f>
        <v>328668.60000000003</v>
      </c>
      <c r="CM315" s="21">
        <f t="shared" si="1834"/>
        <v>289369.8408932254</v>
      </c>
      <c r="CN315" s="21">
        <f t="shared" si="1834"/>
        <v>304738.98792692705</v>
      </c>
      <c r="CO315" s="21">
        <f t="shared" si="1834"/>
        <v>319222.90022443363</v>
      </c>
      <c r="CP315" s="21">
        <f t="shared" si="1834"/>
        <v>373453.62448578392</v>
      </c>
      <c r="CQ315" s="21">
        <f t="shared" si="1834"/>
        <v>323385.63807858538</v>
      </c>
      <c r="CR315" s="21">
        <f t="shared" si="1834"/>
        <v>342838.47634696588</v>
      </c>
      <c r="CS315" s="21">
        <f t="shared" si="1834"/>
        <v>361890.61232056405</v>
      </c>
      <c r="CT315" s="21">
        <f t="shared" si="1834"/>
        <v>422381.48423110449</v>
      </c>
      <c r="CU315" s="21">
        <f t="shared" si="1834"/>
        <v>367210.73826242308</v>
      </c>
      <c r="CV315" s="21">
        <f t="shared" si="1834"/>
        <v>391756.29281797633</v>
      </c>
      <c r="CW315" s="21">
        <f t="shared" si="1834"/>
        <v>416081.04347687552</v>
      </c>
      <c r="CX315" s="21">
        <f t="shared" si="1834"/>
        <v>487009.39212591987</v>
      </c>
      <c r="CY315" s="21">
        <f t="shared" si="1834"/>
        <v>423293.52912654291</v>
      </c>
      <c r="CZ315" s="21">
        <f t="shared" si="1834"/>
        <v>451649.11196108232</v>
      </c>
      <c r="DA315" s="21">
        <f t="shared" si="1834"/>
        <v>479712.11248475278</v>
      </c>
      <c r="DB315" s="21">
        <f t="shared" si="1834"/>
        <v>561466.69813746936</v>
      </c>
      <c r="DE315" s="126"/>
      <c r="DF315" s="22">
        <v>324894.80000000005</v>
      </c>
    </row>
    <row r="316" spans="1:110" s="23" customFormat="1" outlineLevel="1" x14ac:dyDescent="0.2">
      <c r="A316" s="23" t="s">
        <v>66</v>
      </c>
      <c r="B316" s="23">
        <f>'Annual Raw'!C50+'Annual Raw'!C58</f>
        <v>0</v>
      </c>
      <c r="C316" s="23">
        <f>'Annual Raw'!D50+'Annual Raw'!D58</f>
        <v>0</v>
      </c>
      <c r="D316" s="23">
        <f>'Annual Raw'!E50+'Annual Raw'!E58</f>
        <v>0</v>
      </c>
      <c r="E316" s="23">
        <f>'Annual Raw'!F50+'Annual Raw'!F58</f>
        <v>0</v>
      </c>
      <c r="F316" s="23">
        <f>'Annual Raw'!G50+'Annual Raw'!G58</f>
        <v>0</v>
      </c>
      <c r="G316" s="23">
        <f>'Annual Raw'!H50+'Annual Raw'!H58</f>
        <v>0</v>
      </c>
      <c r="H316" s="23">
        <f>'Annual Raw'!I50+'Annual Raw'!I58</f>
        <v>0</v>
      </c>
      <c r="I316" s="23">
        <f>'Annual Raw'!J50+'Annual Raw'!J58</f>
        <v>0</v>
      </c>
      <c r="J316" s="23">
        <f>'Annual Raw'!K50+'Annual Raw'!K58</f>
        <v>0</v>
      </c>
      <c r="K316" s="23">
        <f>'Annual Raw'!L50+'Annual Raw'!L58</f>
        <v>0</v>
      </c>
      <c r="L316" s="23">
        <f>'Annual Raw'!M50+'Annual Raw'!M58</f>
        <v>252.13</v>
      </c>
      <c r="M316" s="23">
        <f>'Annual Raw'!N50+'Annual Raw'!N58</f>
        <v>842.38</v>
      </c>
      <c r="N316" s="23">
        <f>'Annual Raw'!O50+'Annual Raw'!O58</f>
        <v>1160.8499999999999</v>
      </c>
      <c r="O316" s="23">
        <f>'Annual Raw'!P50+'Annual Raw'!P58</f>
        <v>1024.1099999999999</v>
      </c>
      <c r="P316" s="23">
        <f>'Annual Raw'!Q50+'Annual Raw'!Q58</f>
        <v>1276.1099999999999</v>
      </c>
      <c r="Q316" s="23">
        <f>'Annual Raw'!R50+'Annual Raw'!R58</f>
        <v>336.42</v>
      </c>
      <c r="R316" s="23">
        <f>'Annual Raw'!S50+'Annual Raw'!S58</f>
        <v>1893.83</v>
      </c>
      <c r="S316" s="23">
        <f>'Annual Raw'!T50+'Annual Raw'!T58</f>
        <v>1883.89</v>
      </c>
      <c r="T316" s="23">
        <f>'Annual Raw'!U50+'Annual Raw'!U58</f>
        <v>358.58</v>
      </c>
      <c r="U316" s="23">
        <f>'Annual Raw'!V50+'Annual Raw'!V58</f>
        <v>4658</v>
      </c>
      <c r="V316" s="23">
        <f>'Annual Raw'!W50+'Annual Raw'!W58</f>
        <v>1876.3600000000001</v>
      </c>
      <c r="W316" s="23">
        <f>'Annual Raw'!X50+'Annual Raw'!X58</f>
        <v>1857.25</v>
      </c>
      <c r="X316" s="23">
        <f>'Annual Raw'!Y50+'Annual Raw'!Y58</f>
        <v>2001</v>
      </c>
      <c r="Y316" s="23">
        <f>'Annual Raw'!Z50+'Annual Raw'!Z58</f>
        <v>2448.87</v>
      </c>
      <c r="Z316" s="23">
        <f>'Annual Raw'!AA50+'Annual Raw'!AA58</f>
        <v>3112.16</v>
      </c>
      <c r="AA316" s="23">
        <f>'Annual Raw'!AB50+'Annual Raw'!AB58</f>
        <v>25749.77</v>
      </c>
      <c r="AB316" s="24">
        <f t="shared" ref="AB316:AB322" si="1836">+CP316</f>
        <v>0</v>
      </c>
      <c r="AC316" s="24">
        <f t="shared" ref="AC316:AC322" si="1837">+CT316</f>
        <v>0</v>
      </c>
      <c r="AD316" s="24">
        <f t="shared" ref="AD316:AD322" si="1838">+CX316</f>
        <v>0</v>
      </c>
      <c r="AE316" s="24">
        <f t="shared" ref="AE316:AE322" si="1839">+DB316</f>
        <v>0</v>
      </c>
      <c r="AJ316" s="23">
        <f>+'QTR Raw'!D64</f>
        <v>632.87</v>
      </c>
      <c r="AK316" s="23">
        <f t="shared" ref="AK316:CE322" si="1840">+AJ316</f>
        <v>632.87</v>
      </c>
      <c r="AL316" s="23">
        <f>+'QTR Raw'!F64</f>
        <v>4642.3</v>
      </c>
      <c r="AM316" s="23">
        <f t="shared" si="1840"/>
        <v>4642.3</v>
      </c>
      <c r="AN316" s="23">
        <f>+'QTR Raw'!H64</f>
        <v>4416.6099999999997</v>
      </c>
      <c r="AO316" s="23">
        <f t="shared" si="1840"/>
        <v>4416.6099999999997</v>
      </c>
      <c r="AP316" s="23">
        <f>+'QTR Raw'!J64</f>
        <v>3990.86</v>
      </c>
      <c r="AQ316" s="23">
        <f t="shared" si="1840"/>
        <v>3990.86</v>
      </c>
      <c r="AR316" s="23">
        <f>+'QTR Raw'!L64</f>
        <v>4193.6899999999996</v>
      </c>
      <c r="AS316" s="23">
        <f t="shared" si="1840"/>
        <v>4193.6899999999996</v>
      </c>
      <c r="AT316" s="23">
        <f>+'QTR Raw'!N64</f>
        <v>4207.6899999999996</v>
      </c>
      <c r="AU316" s="23">
        <f t="shared" si="1840"/>
        <v>4207.6899999999996</v>
      </c>
      <c r="AV316" s="23">
        <f>+'QTR Raw'!P64</f>
        <v>12466.35</v>
      </c>
      <c r="AW316" s="23">
        <f t="shared" si="1840"/>
        <v>12466.35</v>
      </c>
      <c r="AX316" s="23">
        <f>+'QTR Raw'!R64</f>
        <v>322.54000000000002</v>
      </c>
      <c r="AY316" s="23">
        <f t="shared" si="1840"/>
        <v>322.54000000000002</v>
      </c>
      <c r="AZ316" s="23">
        <f>+'QTR Raw'!T64</f>
        <v>362.93</v>
      </c>
      <c r="BA316" s="23">
        <f t="shared" si="1840"/>
        <v>362.93</v>
      </c>
      <c r="BB316" s="23">
        <f>+'QTR Raw'!V64</f>
        <v>398.23</v>
      </c>
      <c r="BC316" s="23">
        <f t="shared" si="1840"/>
        <v>398.23</v>
      </c>
      <c r="BD316" s="23">
        <f>+'QTR Raw'!X64</f>
        <v>412.49</v>
      </c>
      <c r="BE316" s="23">
        <f t="shared" si="1840"/>
        <v>412.49</v>
      </c>
      <c r="BF316" s="23">
        <f>+'QTR Raw'!Z64</f>
        <v>421.92</v>
      </c>
      <c r="BG316" s="23">
        <f t="shared" si="1840"/>
        <v>421.92</v>
      </c>
      <c r="BH316" s="23">
        <f>+'QTR Raw'!AB64</f>
        <v>723.15</v>
      </c>
      <c r="BI316" s="23">
        <f t="shared" si="1840"/>
        <v>723.15</v>
      </c>
      <c r="BJ316" s="23">
        <f>+'QTR Raw'!AD64</f>
        <v>355.38</v>
      </c>
      <c r="BK316" s="23">
        <f t="shared" si="1840"/>
        <v>355.38</v>
      </c>
      <c r="BL316" s="23">
        <f>+'QTR Raw'!AF64</f>
        <v>2032.45</v>
      </c>
      <c r="BM316" s="23">
        <f t="shared" si="1840"/>
        <v>2032.45</v>
      </c>
      <c r="BN316" s="23">
        <f>+'QTR Raw'!AH64</f>
        <v>2673.83</v>
      </c>
      <c r="BO316" s="23">
        <f t="shared" si="1840"/>
        <v>2673.83</v>
      </c>
      <c r="BP316" s="23">
        <f>+'QTR Raw'!AJ64</f>
        <v>2117.0700000000002</v>
      </c>
      <c r="BQ316" s="23">
        <f t="shared" si="1840"/>
        <v>2117.0700000000002</v>
      </c>
      <c r="BR316" s="23">
        <f>+'QTR Raw'!AL64</f>
        <v>1873.16</v>
      </c>
      <c r="BS316" s="23">
        <f t="shared" si="1840"/>
        <v>1873.16</v>
      </c>
      <c r="BT316" s="23">
        <f>+'QTR Raw'!AN64</f>
        <v>1858.83</v>
      </c>
      <c r="BU316" s="23">
        <f t="shared" si="1840"/>
        <v>1858.83</v>
      </c>
      <c r="BV316" s="23">
        <f>+'QTR Raw'!AP64</f>
        <v>1857.25</v>
      </c>
      <c r="BW316" s="23">
        <f t="shared" si="1840"/>
        <v>1857.25</v>
      </c>
      <c r="BX316" s="23">
        <f>+'QTR Raw'!AR64</f>
        <v>2117.71</v>
      </c>
      <c r="BY316" s="23">
        <f t="shared" si="1840"/>
        <v>2117.71</v>
      </c>
      <c r="BZ316" s="23">
        <f>+'QTR Raw'!AT64</f>
        <v>2001</v>
      </c>
      <c r="CA316" s="23">
        <f t="shared" si="1840"/>
        <v>2001</v>
      </c>
      <c r="CB316" s="23">
        <f>+'QTR Raw'!AV64</f>
        <v>2543.4</v>
      </c>
      <c r="CC316" s="23">
        <f t="shared" si="1840"/>
        <v>2543.4</v>
      </c>
      <c r="CD316" s="23">
        <f>+'QTR Raw'!AX64</f>
        <v>2448.87</v>
      </c>
      <c r="CE316" s="23">
        <f t="shared" si="1840"/>
        <v>2448.87</v>
      </c>
      <c r="CF316" s="23">
        <f>+'QTR Raw'!AZ64</f>
        <v>2851</v>
      </c>
      <c r="CG316" s="23">
        <f t="shared" ref="CG316:CG319" si="1841">+CF316</f>
        <v>2851</v>
      </c>
      <c r="CH316" s="23">
        <f t="shared" si="1794"/>
        <v>3112.16</v>
      </c>
      <c r="CJ316" s="23">
        <f>+'QTR Raw'!BD64</f>
        <v>3987.3</v>
      </c>
      <c r="CL316" s="23">
        <f>+'QTR Raw'!BF64</f>
        <v>25749.77</v>
      </c>
      <c r="CM316" s="24"/>
      <c r="CN316" s="24"/>
      <c r="CO316" s="24"/>
      <c r="CP316" s="24"/>
      <c r="CQ316" s="24"/>
      <c r="CR316" s="24"/>
      <c r="CS316" s="24"/>
      <c r="CT316" s="24"/>
      <c r="CU316" s="24"/>
      <c r="CV316" s="24"/>
      <c r="CW316" s="24"/>
      <c r="CX316" s="24"/>
      <c r="CY316" s="24"/>
      <c r="CZ316" s="24"/>
      <c r="DA316" s="24"/>
      <c r="DB316" s="24"/>
      <c r="DE316" s="123"/>
      <c r="DF316" s="23">
        <v>25749.77</v>
      </c>
    </row>
    <row r="317" spans="1:110" s="23" customFormat="1" outlineLevel="1" x14ac:dyDescent="0.2">
      <c r="A317" s="23" t="s">
        <v>67</v>
      </c>
      <c r="B317" s="23">
        <f>'Annual Raw'!C51</f>
        <v>0</v>
      </c>
      <c r="C317" s="23">
        <f>'Annual Raw'!D51</f>
        <v>0</v>
      </c>
      <c r="D317" s="23">
        <f>'Annual Raw'!E51</f>
        <v>0</v>
      </c>
      <c r="E317" s="23">
        <f>'Annual Raw'!F51</f>
        <v>0</v>
      </c>
      <c r="F317" s="23">
        <f>'Annual Raw'!G51</f>
        <v>0</v>
      </c>
      <c r="G317" s="23">
        <f>'Annual Raw'!H51</f>
        <v>0</v>
      </c>
      <c r="H317" s="23">
        <f>'Annual Raw'!I51</f>
        <v>0</v>
      </c>
      <c r="I317" s="23">
        <f>'Annual Raw'!J51</f>
        <v>0</v>
      </c>
      <c r="J317" s="23">
        <f>'Annual Raw'!K51</f>
        <v>0</v>
      </c>
      <c r="K317" s="23">
        <f>'Annual Raw'!L51</f>
        <v>0</v>
      </c>
      <c r="L317" s="23">
        <f>'Annual Raw'!M51</f>
        <v>0</v>
      </c>
      <c r="M317" s="23">
        <f>'Annual Raw'!N51</f>
        <v>0</v>
      </c>
      <c r="N317" s="23">
        <f>'Annual Raw'!O51</f>
        <v>0</v>
      </c>
      <c r="O317" s="23">
        <f>'Annual Raw'!P51</f>
        <v>0</v>
      </c>
      <c r="P317" s="23">
        <f>'Annual Raw'!Q51</f>
        <v>0</v>
      </c>
      <c r="Q317" s="23">
        <f>'Annual Raw'!R51</f>
        <v>0</v>
      </c>
      <c r="R317" s="23">
        <f>'Annual Raw'!S51</f>
        <v>0</v>
      </c>
      <c r="S317" s="23">
        <f>'Annual Raw'!T51</f>
        <v>0</v>
      </c>
      <c r="T317" s="23">
        <f>'Annual Raw'!U51</f>
        <v>0</v>
      </c>
      <c r="U317" s="23">
        <f>'Annual Raw'!V51</f>
        <v>0</v>
      </c>
      <c r="V317" s="23">
        <f>'Annual Raw'!W51</f>
        <v>0</v>
      </c>
      <c r="W317" s="23">
        <f>'Annual Raw'!X51</f>
        <v>0</v>
      </c>
      <c r="X317" s="23">
        <f>'Annual Raw'!Y51</f>
        <v>0</v>
      </c>
      <c r="Y317" s="23">
        <f>'Annual Raw'!Z51</f>
        <v>0</v>
      </c>
      <c r="Z317" s="23">
        <f>'Annual Raw'!AA51</f>
        <v>0</v>
      </c>
      <c r="AA317" s="23">
        <f>'Annual Raw'!AB51</f>
        <v>0</v>
      </c>
      <c r="AB317" s="24">
        <f t="shared" si="1836"/>
        <v>0</v>
      </c>
      <c r="AC317" s="24">
        <f t="shared" si="1837"/>
        <v>0</v>
      </c>
      <c r="AD317" s="24">
        <f t="shared" si="1838"/>
        <v>0</v>
      </c>
      <c r="AE317" s="24">
        <f t="shared" si="1839"/>
        <v>0</v>
      </c>
      <c r="AJ317" s="23">
        <f>+'QTR Raw'!D65</f>
        <v>0</v>
      </c>
      <c r="AK317" s="23">
        <f t="shared" si="1840"/>
        <v>0</v>
      </c>
      <c r="AL317" s="23">
        <f>+'QTR Raw'!F65</f>
        <v>0</v>
      </c>
      <c r="AM317" s="23">
        <f t="shared" si="1840"/>
        <v>0</v>
      </c>
      <c r="AN317" s="23">
        <f>+'QTR Raw'!H65</f>
        <v>0</v>
      </c>
      <c r="AO317" s="23">
        <f t="shared" si="1840"/>
        <v>0</v>
      </c>
      <c r="AP317" s="23">
        <f>+'QTR Raw'!J65</f>
        <v>0</v>
      </c>
      <c r="AQ317" s="23">
        <f t="shared" si="1840"/>
        <v>0</v>
      </c>
      <c r="AR317" s="23">
        <f>+'QTR Raw'!L65</f>
        <v>0</v>
      </c>
      <c r="AS317" s="23">
        <f t="shared" si="1840"/>
        <v>0</v>
      </c>
      <c r="AT317" s="23">
        <f>+'QTR Raw'!N65</f>
        <v>0</v>
      </c>
      <c r="AU317" s="23">
        <f t="shared" si="1840"/>
        <v>0</v>
      </c>
      <c r="AV317" s="23">
        <f>+'QTR Raw'!P65</f>
        <v>0</v>
      </c>
      <c r="AW317" s="23">
        <f t="shared" si="1840"/>
        <v>0</v>
      </c>
      <c r="AX317" s="23">
        <f>+'QTR Raw'!R65</f>
        <v>0</v>
      </c>
      <c r="AY317" s="23">
        <f t="shared" si="1840"/>
        <v>0</v>
      </c>
      <c r="AZ317" s="23">
        <f>+'QTR Raw'!T65</f>
        <v>0</v>
      </c>
      <c r="BA317" s="23">
        <f t="shared" si="1840"/>
        <v>0</v>
      </c>
      <c r="BB317" s="23">
        <f>+'QTR Raw'!V65</f>
        <v>0</v>
      </c>
      <c r="BC317" s="23">
        <f t="shared" si="1840"/>
        <v>0</v>
      </c>
      <c r="BD317" s="23">
        <f>+'QTR Raw'!X65</f>
        <v>0</v>
      </c>
      <c r="BE317" s="23">
        <f t="shared" si="1840"/>
        <v>0</v>
      </c>
      <c r="BF317" s="23">
        <f>+'QTR Raw'!Z65</f>
        <v>0</v>
      </c>
      <c r="BG317" s="23">
        <f t="shared" si="1840"/>
        <v>0</v>
      </c>
      <c r="BH317" s="23">
        <f>+'QTR Raw'!AB65</f>
        <v>0</v>
      </c>
      <c r="BI317" s="23">
        <f t="shared" si="1840"/>
        <v>0</v>
      </c>
      <c r="BJ317" s="23">
        <f>+'QTR Raw'!AD65</f>
        <v>0</v>
      </c>
      <c r="BK317" s="23">
        <f t="shared" si="1840"/>
        <v>0</v>
      </c>
      <c r="BL317" s="23">
        <f>+'QTR Raw'!AF65</f>
        <v>0</v>
      </c>
      <c r="BM317" s="23">
        <f t="shared" si="1840"/>
        <v>0</v>
      </c>
      <c r="BN317" s="23">
        <f>+'QTR Raw'!AH65</f>
        <v>0</v>
      </c>
      <c r="BO317" s="23">
        <f t="shared" si="1840"/>
        <v>0</v>
      </c>
      <c r="BP317" s="23">
        <f>+'QTR Raw'!AJ65</f>
        <v>0</v>
      </c>
      <c r="BQ317" s="23">
        <f t="shared" si="1840"/>
        <v>0</v>
      </c>
      <c r="BR317" s="23">
        <f>+'QTR Raw'!AL65</f>
        <v>0</v>
      </c>
      <c r="BS317" s="23">
        <f t="shared" si="1840"/>
        <v>0</v>
      </c>
      <c r="BT317" s="23">
        <f>+'QTR Raw'!AN65</f>
        <v>0</v>
      </c>
      <c r="BU317" s="23">
        <f t="shared" si="1840"/>
        <v>0</v>
      </c>
      <c r="BV317" s="23">
        <f>+'QTR Raw'!AP65</f>
        <v>0</v>
      </c>
      <c r="BW317" s="23">
        <f t="shared" si="1840"/>
        <v>0</v>
      </c>
      <c r="BX317" s="23">
        <f>+'QTR Raw'!AR65</f>
        <v>0</v>
      </c>
      <c r="BY317" s="23">
        <f t="shared" si="1840"/>
        <v>0</v>
      </c>
      <c r="BZ317" s="23">
        <f>+'QTR Raw'!AT65</f>
        <v>0</v>
      </c>
      <c r="CA317" s="23">
        <f t="shared" si="1840"/>
        <v>0</v>
      </c>
      <c r="CB317" s="23">
        <f>+'QTR Raw'!AV65</f>
        <v>0</v>
      </c>
      <c r="CC317" s="23">
        <f t="shared" si="1840"/>
        <v>0</v>
      </c>
      <c r="CD317" s="23">
        <f>+'QTR Raw'!AX65</f>
        <v>0</v>
      </c>
      <c r="CE317" s="23">
        <f t="shared" si="1840"/>
        <v>0</v>
      </c>
      <c r="CF317" s="23">
        <f>+'QTR Raw'!AZ65</f>
        <v>0</v>
      </c>
      <c r="CG317" s="23">
        <f t="shared" si="1841"/>
        <v>0</v>
      </c>
      <c r="CH317" s="23">
        <f t="shared" si="1794"/>
        <v>0</v>
      </c>
      <c r="CJ317" s="23">
        <f>+'QTR Raw'!BD65</f>
        <v>0</v>
      </c>
      <c r="CL317" s="23">
        <f>+'QTR Raw'!BF65</f>
        <v>0</v>
      </c>
      <c r="CM317" s="24"/>
      <c r="CN317" s="24"/>
      <c r="CO317" s="24"/>
      <c r="CP317" s="24"/>
      <c r="CQ317" s="24"/>
      <c r="CR317" s="24"/>
      <c r="CS317" s="24"/>
      <c r="CT317" s="24"/>
      <c r="CU317" s="24"/>
      <c r="CV317" s="24"/>
      <c r="CW317" s="24"/>
      <c r="CX317" s="24"/>
      <c r="CY317" s="24"/>
      <c r="CZ317" s="24"/>
      <c r="DA317" s="24"/>
      <c r="DB317" s="24"/>
      <c r="DE317" s="123"/>
      <c r="DF317" s="23">
        <v>0</v>
      </c>
    </row>
    <row r="318" spans="1:110" s="23" customFormat="1" outlineLevel="1" x14ac:dyDescent="0.2">
      <c r="A318" s="23" t="s">
        <v>68</v>
      </c>
      <c r="B318" s="23">
        <f>'Annual Raw'!C52</f>
        <v>0</v>
      </c>
      <c r="C318" s="23">
        <f>'Annual Raw'!D52</f>
        <v>0</v>
      </c>
      <c r="D318" s="23">
        <f>'Annual Raw'!E52</f>
        <v>0</v>
      </c>
      <c r="E318" s="23">
        <f>'Annual Raw'!F52</f>
        <v>0</v>
      </c>
      <c r="F318" s="23">
        <f>'Annual Raw'!G52</f>
        <v>0</v>
      </c>
      <c r="G318" s="23">
        <f>'Annual Raw'!H52</f>
        <v>0</v>
      </c>
      <c r="H318" s="23">
        <f>'Annual Raw'!I52</f>
        <v>0</v>
      </c>
      <c r="I318" s="23">
        <f>'Annual Raw'!J52</f>
        <v>0</v>
      </c>
      <c r="J318" s="23">
        <f>'Annual Raw'!K52</f>
        <v>0</v>
      </c>
      <c r="K318" s="23">
        <f>'Annual Raw'!L52</f>
        <v>0</v>
      </c>
      <c r="L318" s="23">
        <f>'Annual Raw'!M52</f>
        <v>274.25</v>
      </c>
      <c r="M318" s="23">
        <f>'Annual Raw'!N52</f>
        <v>540.85</v>
      </c>
      <c r="N318" s="23">
        <f>'Annual Raw'!O52</f>
        <v>506.17</v>
      </c>
      <c r="O318" s="23">
        <f>'Annual Raw'!P52</f>
        <v>502.5</v>
      </c>
      <c r="P318" s="23">
        <f>'Annual Raw'!Q52</f>
        <v>1000.8</v>
      </c>
      <c r="Q318" s="23">
        <f>'Annual Raw'!R52</f>
        <v>424.66</v>
      </c>
      <c r="R318" s="23">
        <f>'Annual Raw'!S52</f>
        <v>526.6</v>
      </c>
      <c r="S318" s="23">
        <f>'Annual Raw'!T52</f>
        <v>523.54</v>
      </c>
      <c r="T318" s="23">
        <f>'Annual Raw'!U52</f>
        <v>556.84</v>
      </c>
      <c r="U318" s="23">
        <f>'Annual Raw'!V52</f>
        <v>708.67</v>
      </c>
      <c r="V318" s="23">
        <f>'Annual Raw'!W52</f>
        <v>773.78</v>
      </c>
      <c r="W318" s="23">
        <f>'Annual Raw'!X52</f>
        <v>817.77</v>
      </c>
      <c r="X318" s="23">
        <f>'Annual Raw'!Y52</f>
        <v>869.99</v>
      </c>
      <c r="Y318" s="23">
        <f>'Annual Raw'!Z52</f>
        <v>987.38</v>
      </c>
      <c r="Z318" s="23">
        <f>'Annual Raw'!AA52</f>
        <v>1124.01</v>
      </c>
      <c r="AA318" s="23">
        <f>'Annual Raw'!AB52</f>
        <v>832.48</v>
      </c>
      <c r="AB318" s="24">
        <f t="shared" si="1836"/>
        <v>0</v>
      </c>
      <c r="AC318" s="24">
        <f t="shared" si="1837"/>
        <v>0</v>
      </c>
      <c r="AD318" s="24">
        <f t="shared" si="1838"/>
        <v>0</v>
      </c>
      <c r="AE318" s="24">
        <f t="shared" si="1839"/>
        <v>0</v>
      </c>
      <c r="AJ318" s="23">
        <f>+'QTR Raw'!D66</f>
        <v>286.73</v>
      </c>
      <c r="AK318" s="23">
        <f t="shared" si="1840"/>
        <v>286.73</v>
      </c>
      <c r="AL318" s="23">
        <f>+'QTR Raw'!F66</f>
        <v>346.67</v>
      </c>
      <c r="AM318" s="23">
        <f t="shared" si="1840"/>
        <v>346.67</v>
      </c>
      <c r="AN318" s="23">
        <f>+'QTR Raw'!H66</f>
        <v>312</v>
      </c>
      <c r="AO318" s="23">
        <f t="shared" si="1840"/>
        <v>312</v>
      </c>
      <c r="AP318" s="23">
        <f>+'QTR Raw'!J66</f>
        <v>374.24</v>
      </c>
      <c r="AQ318" s="23">
        <f t="shared" si="1840"/>
        <v>374.24</v>
      </c>
      <c r="AR318" s="23">
        <f>+'QTR Raw'!L66</f>
        <v>411.5</v>
      </c>
      <c r="AS318" s="23">
        <f t="shared" si="1840"/>
        <v>411.5</v>
      </c>
      <c r="AT318" s="23">
        <f>+'QTR Raw'!N66</f>
        <v>574.38</v>
      </c>
      <c r="AU318" s="23">
        <f t="shared" si="1840"/>
        <v>574.38</v>
      </c>
      <c r="AV318" s="23">
        <f>+'QTR Raw'!P66</f>
        <v>685.8</v>
      </c>
      <c r="AW318" s="23">
        <f t="shared" si="1840"/>
        <v>685.8</v>
      </c>
      <c r="AX318" s="23">
        <f>+'QTR Raw'!R66</f>
        <v>424.66</v>
      </c>
      <c r="AY318" s="23">
        <f t="shared" si="1840"/>
        <v>424.66</v>
      </c>
      <c r="AZ318" s="23">
        <f>+'QTR Raw'!T66</f>
        <v>565.72</v>
      </c>
      <c r="BA318" s="23">
        <f t="shared" si="1840"/>
        <v>565.72</v>
      </c>
      <c r="BB318" s="23">
        <f>+'QTR Raw'!V66</f>
        <v>526.6</v>
      </c>
      <c r="BC318" s="23">
        <f t="shared" si="1840"/>
        <v>526.6</v>
      </c>
      <c r="BD318" s="23">
        <f>+'QTR Raw'!X66</f>
        <v>583</v>
      </c>
      <c r="BE318" s="23">
        <f t="shared" si="1840"/>
        <v>583</v>
      </c>
      <c r="BF318" s="23">
        <f>+'QTR Raw'!Z66</f>
        <v>523.54</v>
      </c>
      <c r="BG318" s="23">
        <f t="shared" si="1840"/>
        <v>523.54</v>
      </c>
      <c r="BH318" s="23">
        <f>+'QTR Raw'!AB66</f>
        <v>530.41</v>
      </c>
      <c r="BI318" s="23">
        <f t="shared" si="1840"/>
        <v>530.41</v>
      </c>
      <c r="BJ318" s="23">
        <f>+'QTR Raw'!AD66</f>
        <v>556.84</v>
      </c>
      <c r="BK318" s="23">
        <f t="shared" si="1840"/>
        <v>556.84</v>
      </c>
      <c r="BL318" s="23">
        <f>+'QTR Raw'!AF66</f>
        <v>644.24</v>
      </c>
      <c r="BM318" s="23">
        <f t="shared" si="1840"/>
        <v>644.24</v>
      </c>
      <c r="BN318" s="23">
        <f>+'QTR Raw'!AH66</f>
        <v>708.67</v>
      </c>
      <c r="BO318" s="23">
        <f t="shared" si="1840"/>
        <v>708.67</v>
      </c>
      <c r="BP318" s="23">
        <f>+'QTR Raw'!AJ66</f>
        <v>756.86</v>
      </c>
      <c r="BQ318" s="23">
        <f t="shared" si="1840"/>
        <v>756.86</v>
      </c>
      <c r="BR318" s="23">
        <f>+'QTR Raw'!AL66</f>
        <v>773.78</v>
      </c>
      <c r="BS318" s="23">
        <f t="shared" si="1840"/>
        <v>773.78</v>
      </c>
      <c r="BT318" s="23">
        <f>+'QTR Raw'!AN66</f>
        <v>825.44</v>
      </c>
      <c r="BU318" s="23">
        <f t="shared" si="1840"/>
        <v>825.44</v>
      </c>
      <c r="BV318" s="23">
        <f>+'QTR Raw'!AP66</f>
        <v>817.77</v>
      </c>
      <c r="BW318" s="23">
        <f t="shared" si="1840"/>
        <v>817.77</v>
      </c>
      <c r="BX318" s="23">
        <f>+'QTR Raw'!AR66</f>
        <v>825.31</v>
      </c>
      <c r="BY318" s="23">
        <f t="shared" si="1840"/>
        <v>825.31</v>
      </c>
      <c r="BZ318" s="23">
        <f>+'QTR Raw'!AT66</f>
        <v>869.99</v>
      </c>
      <c r="CA318" s="23">
        <f t="shared" si="1840"/>
        <v>869.99</v>
      </c>
      <c r="CB318" s="23">
        <f>+'QTR Raw'!AV66</f>
        <v>939.43</v>
      </c>
      <c r="CC318" s="23">
        <f t="shared" si="1840"/>
        <v>939.43</v>
      </c>
      <c r="CD318" s="23">
        <f>+'QTR Raw'!AX66</f>
        <v>987.38</v>
      </c>
      <c r="CE318" s="23">
        <f t="shared" si="1840"/>
        <v>987.38</v>
      </c>
      <c r="CF318" s="23">
        <f>+'QTR Raw'!AZ66</f>
        <v>1054.0899999999999</v>
      </c>
      <c r="CG318" s="23">
        <f t="shared" si="1841"/>
        <v>1054.0899999999999</v>
      </c>
      <c r="CH318" s="23">
        <f t="shared" si="1794"/>
        <v>1124.01</v>
      </c>
      <c r="CJ318" s="23">
        <f>+'QTR Raw'!BD66</f>
        <v>1168.4000000000001</v>
      </c>
      <c r="CL318" s="23">
        <f>+'QTR Raw'!BF66</f>
        <v>832.48</v>
      </c>
      <c r="CM318" s="24"/>
      <c r="CN318" s="24"/>
      <c r="CO318" s="24"/>
      <c r="CP318" s="24"/>
      <c r="CQ318" s="24"/>
      <c r="CR318" s="24"/>
      <c r="CS318" s="24"/>
      <c r="CT318" s="24"/>
      <c r="CU318" s="24"/>
      <c r="CV318" s="24"/>
      <c r="CW318" s="24"/>
      <c r="CX318" s="24"/>
      <c r="CY318" s="24"/>
      <c r="CZ318" s="24"/>
      <c r="DA318" s="24"/>
      <c r="DB318" s="24"/>
      <c r="DE318" s="123"/>
      <c r="DF318" s="23">
        <v>832.48</v>
      </c>
    </row>
    <row r="319" spans="1:110" s="23" customFormat="1" outlineLevel="1" x14ac:dyDescent="0.2">
      <c r="A319" s="23" t="s">
        <v>69</v>
      </c>
      <c r="B319" s="23">
        <v>0</v>
      </c>
      <c r="C319" s="23">
        <v>0</v>
      </c>
      <c r="D319" s="23">
        <v>0</v>
      </c>
      <c r="E319" s="23">
        <v>0</v>
      </c>
      <c r="F319" s="23">
        <v>0</v>
      </c>
      <c r="G319" s="23">
        <v>0</v>
      </c>
      <c r="H319" s="23">
        <v>0</v>
      </c>
      <c r="I319" s="23">
        <v>0</v>
      </c>
      <c r="J319" s="23">
        <v>0</v>
      </c>
      <c r="K319" s="23">
        <v>0</v>
      </c>
      <c r="L319" s="23">
        <v>0</v>
      </c>
      <c r="M319" s="23">
        <v>0</v>
      </c>
      <c r="N319" s="23">
        <v>0</v>
      </c>
      <c r="O319" s="23">
        <v>0</v>
      </c>
      <c r="P319" s="23">
        <v>0</v>
      </c>
      <c r="Q319" s="23">
        <v>0</v>
      </c>
      <c r="R319" s="23">
        <v>0</v>
      </c>
      <c r="S319" s="23">
        <v>0</v>
      </c>
      <c r="T319" s="23">
        <v>0</v>
      </c>
      <c r="U319" s="23">
        <v>0</v>
      </c>
      <c r="V319" s="23">
        <v>0</v>
      </c>
      <c r="W319" s="23">
        <v>0</v>
      </c>
      <c r="X319" s="23">
        <v>0</v>
      </c>
      <c r="Y319" s="23">
        <v>0</v>
      </c>
      <c r="Z319" s="23">
        <v>0</v>
      </c>
      <c r="AA319" s="23">
        <v>0</v>
      </c>
      <c r="AB319" s="24">
        <f t="shared" si="1836"/>
        <v>154250.0839288063</v>
      </c>
      <c r="AC319" s="24">
        <f t="shared" si="1837"/>
        <v>178025.59524974792</v>
      </c>
      <c r="AD319" s="24">
        <f t="shared" si="1838"/>
        <v>205265.003704559</v>
      </c>
      <c r="AE319" s="24">
        <f t="shared" si="1839"/>
        <v>236647.31263206428</v>
      </c>
      <c r="AJ319" s="23">
        <f>+'QTR Raw'!D87</f>
        <v>0</v>
      </c>
      <c r="AK319" s="23">
        <f t="shared" si="1840"/>
        <v>0</v>
      </c>
      <c r="AL319" s="23">
        <f>+'QTR Raw'!F87</f>
        <v>0</v>
      </c>
      <c r="AM319" s="23">
        <f t="shared" si="1840"/>
        <v>0</v>
      </c>
      <c r="AN319" s="23">
        <f>+'QTR Raw'!H87</f>
        <v>0</v>
      </c>
      <c r="AO319" s="23">
        <f t="shared" si="1840"/>
        <v>0</v>
      </c>
      <c r="AP319" s="23">
        <f>+'QTR Raw'!J87</f>
        <v>0</v>
      </c>
      <c r="AQ319" s="23">
        <f t="shared" si="1840"/>
        <v>0</v>
      </c>
      <c r="AR319" s="23">
        <f>+'QTR Raw'!L87</f>
        <v>0</v>
      </c>
      <c r="AS319" s="23">
        <f t="shared" si="1840"/>
        <v>0</v>
      </c>
      <c r="AT319" s="23">
        <f>+'QTR Raw'!N87</f>
        <v>0</v>
      </c>
      <c r="AU319" s="23">
        <f t="shared" si="1840"/>
        <v>0</v>
      </c>
      <c r="AV319" s="23">
        <f>+'QTR Raw'!P87</f>
        <v>0</v>
      </c>
      <c r="AW319" s="23">
        <f t="shared" si="1840"/>
        <v>0</v>
      </c>
      <c r="AX319" s="23">
        <f>+'QTR Raw'!R87</f>
        <v>0</v>
      </c>
      <c r="AY319" s="23">
        <f t="shared" si="1840"/>
        <v>0</v>
      </c>
      <c r="AZ319" s="23">
        <f>+'QTR Raw'!T87</f>
        <v>0</v>
      </c>
      <c r="BA319" s="23">
        <f t="shared" si="1840"/>
        <v>0</v>
      </c>
      <c r="BB319" s="23">
        <f>+'QTR Raw'!V87</f>
        <v>0</v>
      </c>
      <c r="BC319" s="23">
        <f t="shared" si="1840"/>
        <v>0</v>
      </c>
      <c r="BD319" s="23">
        <f>+'QTR Raw'!X87</f>
        <v>0</v>
      </c>
      <c r="BE319" s="23">
        <f t="shared" si="1840"/>
        <v>0</v>
      </c>
      <c r="BF319" s="23">
        <f>+'QTR Raw'!Z87</f>
        <v>0</v>
      </c>
      <c r="BG319" s="23">
        <f t="shared" si="1840"/>
        <v>0</v>
      </c>
      <c r="BH319" s="23">
        <f>+'QTR Raw'!AB87</f>
        <v>0</v>
      </c>
      <c r="BI319" s="23">
        <f t="shared" si="1840"/>
        <v>0</v>
      </c>
      <c r="BJ319" s="23">
        <f>+'QTR Raw'!AD87</f>
        <v>0</v>
      </c>
      <c r="BK319" s="23">
        <f t="shared" si="1840"/>
        <v>0</v>
      </c>
      <c r="BL319" s="23">
        <f>+'QTR Raw'!AF87</f>
        <v>0</v>
      </c>
      <c r="BM319" s="23">
        <f t="shared" si="1840"/>
        <v>0</v>
      </c>
      <c r="BN319" s="23">
        <f>+'QTR Raw'!AH87</f>
        <v>0</v>
      </c>
      <c r="BO319" s="23">
        <f t="shared" si="1840"/>
        <v>0</v>
      </c>
      <c r="BP319" s="23">
        <f>+'QTR Raw'!AJ87</f>
        <v>0</v>
      </c>
      <c r="BQ319" s="23">
        <f t="shared" si="1840"/>
        <v>0</v>
      </c>
      <c r="BR319" s="23">
        <f>+'QTR Raw'!AL87</f>
        <v>0</v>
      </c>
      <c r="BS319" s="23">
        <f t="shared" si="1840"/>
        <v>0</v>
      </c>
      <c r="BT319" s="23">
        <f>+'QTR Raw'!AN87</f>
        <v>0</v>
      </c>
      <c r="BU319" s="23">
        <f t="shared" si="1840"/>
        <v>0</v>
      </c>
      <c r="BV319" s="23">
        <f>+'QTR Raw'!AP87</f>
        <v>0</v>
      </c>
      <c r="BW319" s="23">
        <f t="shared" si="1840"/>
        <v>0</v>
      </c>
      <c r="BX319" s="23">
        <f>+'QTR Raw'!AR87</f>
        <v>0</v>
      </c>
      <c r="BY319" s="23">
        <f t="shared" si="1840"/>
        <v>0</v>
      </c>
      <c r="BZ319" s="23">
        <f>+'QTR Raw'!AT87</f>
        <v>0</v>
      </c>
      <c r="CA319" s="23">
        <f t="shared" si="1840"/>
        <v>0</v>
      </c>
      <c r="CB319" s="23">
        <f>+'QTR Raw'!AV87</f>
        <v>0</v>
      </c>
      <c r="CC319" s="23">
        <f t="shared" si="1840"/>
        <v>0</v>
      </c>
      <c r="CD319" s="23">
        <f>+'QTR Raw'!AX87</f>
        <v>0</v>
      </c>
      <c r="CE319" s="23">
        <f t="shared" si="1840"/>
        <v>0</v>
      </c>
      <c r="CF319" s="23">
        <f>+'QTR Raw'!AZ87</f>
        <v>0</v>
      </c>
      <c r="CG319" s="23">
        <f t="shared" si="1841"/>
        <v>0</v>
      </c>
      <c r="CH319" s="23">
        <f t="shared" si="1794"/>
        <v>0</v>
      </c>
      <c r="CI319" s="23">
        <f>CI166/90*CI351</f>
        <v>69927.16366982703</v>
      </c>
      <c r="CJ319" s="23">
        <f>+'QTR Raw'!BD87</f>
        <v>0</v>
      </c>
      <c r="CK319" s="23">
        <f>CK166/90*CK351</f>
        <v>91849.611102277297</v>
      </c>
      <c r="CL319" s="23">
        <f>+'QTR Raw'!BF87</f>
        <v>0</v>
      </c>
      <c r="CM319" s="24">
        <f t="shared" ref="CM319:DB319" si="1842">CM166/90*CM351</f>
        <v>116845.14638318846</v>
      </c>
      <c r="CN319" s="24">
        <f t="shared" si="1842"/>
        <v>124443.80247693832</v>
      </c>
      <c r="CO319" s="24">
        <f t="shared" si="1842"/>
        <v>131850.80000071134</v>
      </c>
      <c r="CP319" s="24">
        <f t="shared" si="1842"/>
        <v>154250.0839288063</v>
      </c>
      <c r="CQ319" s="24">
        <f t="shared" si="1842"/>
        <v>134339.108129962</v>
      </c>
      <c r="CR319" s="24">
        <f t="shared" si="1842"/>
        <v>143244.74013790642</v>
      </c>
      <c r="CS319" s="24">
        <f t="shared" si="1842"/>
        <v>152085.70692683442</v>
      </c>
      <c r="CT319" s="24">
        <f t="shared" si="1842"/>
        <v>178025.59524974792</v>
      </c>
      <c r="CU319" s="24">
        <f t="shared" si="1842"/>
        <v>154772.19694009767</v>
      </c>
      <c r="CV319" s="24">
        <f t="shared" si="1842"/>
        <v>165117.67164394772</v>
      </c>
      <c r="CW319" s="24">
        <f t="shared" si="1842"/>
        <v>175370.08179217015</v>
      </c>
      <c r="CX319" s="24">
        <f t="shared" si="1842"/>
        <v>205265.003704559</v>
      </c>
      <c r="CY319" s="24">
        <f t="shared" si="1842"/>
        <v>178410.00446621844</v>
      </c>
      <c r="CZ319" s="24">
        <f t="shared" si="1842"/>
        <v>190361.3321196115</v>
      </c>
      <c r="DA319" s="24">
        <f t="shared" si="1842"/>
        <v>202189.34200933221</v>
      </c>
      <c r="DB319" s="24">
        <f t="shared" si="1842"/>
        <v>236647.31263206428</v>
      </c>
      <c r="DE319" s="123"/>
      <c r="DF319" s="23">
        <v>0</v>
      </c>
    </row>
    <row r="320" spans="1:110" s="23" customFormat="1" outlineLevel="1" x14ac:dyDescent="0.2">
      <c r="A320" s="23" t="s">
        <v>70</v>
      </c>
      <c r="B320" s="23">
        <f>'Annual Raw'!C54</f>
        <v>1241.4000000000001</v>
      </c>
      <c r="C320" s="23">
        <f>'Annual Raw'!D54</f>
        <v>1682.45</v>
      </c>
      <c r="D320" s="23">
        <f>'Annual Raw'!E54</f>
        <v>2322.75</v>
      </c>
      <c r="E320" s="23">
        <f>'Annual Raw'!F54</f>
        <v>2303.46</v>
      </c>
      <c r="F320" s="23">
        <f>'Annual Raw'!G54</f>
        <v>3072.85</v>
      </c>
      <c r="G320" s="23">
        <f>'Annual Raw'!H54</f>
        <v>3547.12</v>
      </c>
      <c r="H320" s="23">
        <f>'Annual Raw'!I54</f>
        <v>4602.7</v>
      </c>
      <c r="I320" s="23">
        <f>'Annual Raw'!J54</f>
        <v>7017.29</v>
      </c>
      <c r="J320" s="23">
        <f>'Annual Raw'!K54</f>
        <v>8982.31</v>
      </c>
      <c r="K320" s="23">
        <f>'Annual Raw'!L54</f>
        <v>11296.34</v>
      </c>
      <c r="L320" s="23">
        <f>'Annual Raw'!M54</f>
        <v>14687.72</v>
      </c>
      <c r="M320" s="23">
        <f>'Annual Raw'!N54</f>
        <v>17401.23</v>
      </c>
      <c r="N320" s="23">
        <f>'Annual Raw'!O54</f>
        <v>18053.650000000001</v>
      </c>
      <c r="O320" s="23">
        <f>'Annual Raw'!P54</f>
        <v>20849.88</v>
      </c>
      <c r="P320" s="23">
        <f>'Annual Raw'!Q54</f>
        <v>24649.64</v>
      </c>
      <c r="Q320" s="23">
        <f>'Annual Raw'!R54</f>
        <v>27003.56</v>
      </c>
      <c r="R320" s="23">
        <f>'Annual Raw'!S54</f>
        <v>30294.86</v>
      </c>
      <c r="S320" s="23">
        <f>'Annual Raw'!T54</f>
        <v>37797.379999999997</v>
      </c>
      <c r="T320" s="23">
        <f>'Annual Raw'!U54</f>
        <v>42994.81</v>
      </c>
      <c r="U320" s="23">
        <f>'Annual Raw'!V54</f>
        <v>43643.93</v>
      </c>
      <c r="V320" s="23">
        <f>'Annual Raw'!W54</f>
        <v>45745.23</v>
      </c>
      <c r="W320" s="23">
        <f>'Annual Raw'!X54</f>
        <v>51365.62</v>
      </c>
      <c r="X320" s="23">
        <f>'Annual Raw'!Y54</f>
        <v>49784.12</v>
      </c>
      <c r="Y320" s="23">
        <f>'Annual Raw'!Z54</f>
        <v>53292.88</v>
      </c>
      <c r="Z320" s="23">
        <f>'Annual Raw'!AA54</f>
        <v>52459.34</v>
      </c>
      <c r="AA320" s="23">
        <f>'Annual Raw'!AB54</f>
        <v>69455.63</v>
      </c>
      <c r="AB320" s="24">
        <f t="shared" si="1836"/>
        <v>80726.707083717818</v>
      </c>
      <c r="AC320" s="24">
        <f t="shared" si="1837"/>
        <v>93169.609474987345</v>
      </c>
      <c r="AD320" s="24">
        <f t="shared" si="1838"/>
        <v>107425.34076185133</v>
      </c>
      <c r="AE320" s="24">
        <f t="shared" si="1839"/>
        <v>123849.25701443983</v>
      </c>
      <c r="AJ320" s="23">
        <f>+'QTR Raw'!D89</f>
        <v>12816.3</v>
      </c>
      <c r="AK320" s="23">
        <f>+AK350*AK166/90</f>
        <v>12375.685685344544</v>
      </c>
      <c r="AL320" s="23">
        <f>+'QTR Raw'!F89</f>
        <v>18053.650000000001</v>
      </c>
      <c r="AM320" s="23">
        <f>+AM350*AM166/90</f>
        <v>17040.657786494623</v>
      </c>
      <c r="AN320" s="23">
        <f>+'QTR Raw'!H89</f>
        <v>16676.669999999998</v>
      </c>
      <c r="AO320" s="23">
        <f>+AO350*AO166/90</f>
        <v>18765.163096017219</v>
      </c>
      <c r="AP320" s="23">
        <f>+'QTR Raw'!J89</f>
        <v>20849.88</v>
      </c>
      <c r="AQ320" s="23">
        <f>+AQ350*AQ166/90</f>
        <v>14530.304875029933</v>
      </c>
      <c r="AR320" s="23">
        <f>+'QTR Raw'!L89</f>
        <v>19695.740000000002</v>
      </c>
      <c r="AS320" s="23">
        <f>+AS350*AS166/90</f>
        <v>22019.561593730086</v>
      </c>
      <c r="AT320" s="23">
        <f>+'QTR Raw'!N89</f>
        <v>24649.64</v>
      </c>
      <c r="AU320" s="23">
        <f>+AU350*AU166/90</f>
        <v>17477.876824681847</v>
      </c>
      <c r="AV320" s="23">
        <f>+'QTR Raw'!P89</f>
        <v>23918.61</v>
      </c>
      <c r="AW320" s="23">
        <f>+AW350*AW166/90</f>
        <v>26819.639361493169</v>
      </c>
      <c r="AX320" s="23">
        <f>+'QTR Raw'!R89</f>
        <v>27003.56</v>
      </c>
      <c r="AY320" s="23">
        <f>+AY350*AY166/90</f>
        <v>17845.918023683891</v>
      </c>
      <c r="AZ320" s="23">
        <f>+'QTR Raw'!T89</f>
        <v>23788.13</v>
      </c>
      <c r="BA320" s="23">
        <f>+BA350*BA166/90</f>
        <v>24822.592444300579</v>
      </c>
      <c r="BB320" s="23">
        <f>+'QTR Raw'!V89</f>
        <v>30294.86</v>
      </c>
      <c r="BC320" s="23">
        <f>+BC350*BC166/90</f>
        <v>19586.905699469346</v>
      </c>
      <c r="BD320" s="23">
        <f>+'QTR Raw'!X89</f>
        <v>28369.57</v>
      </c>
      <c r="BE320" s="23">
        <f>+BE350*BE166/90</f>
        <v>30837.531519796757</v>
      </c>
      <c r="BF320" s="23">
        <f>+'QTR Raw'!Z89</f>
        <v>37797.379999999997</v>
      </c>
      <c r="BG320" s="23">
        <f>+BG350*BG166/90</f>
        <v>25092.360594585294</v>
      </c>
      <c r="BH320" s="23">
        <f>+'QTR Raw'!AB89</f>
        <v>35110.480000000003</v>
      </c>
      <c r="BI320" s="23">
        <f>+BI350*BI166/90</f>
        <v>39180.053279023196</v>
      </c>
      <c r="BJ320" s="23">
        <f>+'QTR Raw'!AD89</f>
        <v>42994.81</v>
      </c>
      <c r="BK320" s="23">
        <f>+BK350*BK166/90</f>
        <v>29424.757395943503</v>
      </c>
      <c r="BL320" s="23">
        <f>+'QTR Raw'!AF89</f>
        <v>35208.17</v>
      </c>
      <c r="BM320" s="23">
        <f>+BM350*BM166/90</f>
        <v>36119.287392897226</v>
      </c>
      <c r="BN320" s="23">
        <f>+'QTR Raw'!AH89</f>
        <v>43643.93</v>
      </c>
      <c r="BO320" s="23">
        <f>+BO350*BO166/90</f>
        <v>20971.019789728984</v>
      </c>
      <c r="BP320" s="23">
        <f>+'QTR Raw'!AJ89</f>
        <v>37000.5</v>
      </c>
      <c r="BQ320" s="23">
        <f>+BQ350*BQ166/90</f>
        <v>42439.064680741641</v>
      </c>
      <c r="BR320" s="23">
        <f>+'QTR Raw'!AL89</f>
        <v>45745.23</v>
      </c>
      <c r="BS320" s="23">
        <f>+BS350*BS166/90</f>
        <v>27905.647176065082</v>
      </c>
      <c r="BT320" s="23">
        <f>+'QTR Raw'!AN89</f>
        <v>39899.99</v>
      </c>
      <c r="BU320" s="23">
        <f>+BU350*BU166/90</f>
        <v>45396.274465770752</v>
      </c>
      <c r="BV320" s="23">
        <f>+'QTR Raw'!AP89</f>
        <v>51365.62</v>
      </c>
      <c r="BW320" s="23">
        <f>+BW350*BW166/90</f>
        <v>34845.761595529439</v>
      </c>
      <c r="BX320" s="23">
        <f>+'QTR Raw'!AR89</f>
        <v>43757.86</v>
      </c>
      <c r="BY320" s="23">
        <f>+BY350*BY166/90</f>
        <v>47469.386765662806</v>
      </c>
      <c r="BZ320" s="23">
        <f>+'QTR Raw'!AT89</f>
        <v>49784.12</v>
      </c>
      <c r="CA320" s="23">
        <f>+CA350*CA166/90</f>
        <v>40863.55574579649</v>
      </c>
      <c r="CB320" s="23">
        <f>+'QTR Raw'!AV89</f>
        <v>44520.639999999999</v>
      </c>
      <c r="CC320" s="23">
        <f>+CC350*CC166/90</f>
        <v>48101.362185448263</v>
      </c>
      <c r="CD320" s="23">
        <f>+'QTR Raw'!AX89</f>
        <v>53292.88</v>
      </c>
      <c r="CE320" s="23">
        <f>+CE350*CE166/90</f>
        <v>43791.767412262743</v>
      </c>
      <c r="CF320" s="23">
        <f>+'QTR Raw'!AZ89</f>
        <v>51563.55</v>
      </c>
      <c r="CG320" s="23">
        <f>+CG350*CG166/90</f>
        <v>54171.441140837938</v>
      </c>
      <c r="CH320" s="23">
        <f t="shared" si="1794"/>
        <v>52459.34</v>
      </c>
      <c r="CI320" s="23">
        <f>+CI350*CI166/90</f>
        <v>44904.580355821869</v>
      </c>
      <c r="CJ320" s="23">
        <f>+'QTR Raw'!BD89</f>
        <v>52869.21</v>
      </c>
      <c r="CK320" s="23">
        <f>+CK350*CK166/90</f>
        <v>55564.769786696859</v>
      </c>
      <c r="CL320" s="23">
        <f>+'QTR Raw'!BF89</f>
        <v>69455.63</v>
      </c>
      <c r="CM320" s="24">
        <f t="shared" ref="CM320:DB320" si="1843">+CM350*CM166/90</f>
        <v>61150.851046430151</v>
      </c>
      <c r="CN320" s="24">
        <f t="shared" si="1843"/>
        <v>65127.604050941794</v>
      </c>
      <c r="CO320" s="24">
        <f t="shared" si="1843"/>
        <v>69004.052635225395</v>
      </c>
      <c r="CP320" s="24">
        <f t="shared" si="1843"/>
        <v>80726.707083717818</v>
      </c>
      <c r="CQ320" s="24">
        <f t="shared" si="1843"/>
        <v>70306.307495435161</v>
      </c>
      <c r="CR320" s="24">
        <f t="shared" si="1843"/>
        <v>74967.065714746903</v>
      </c>
      <c r="CS320" s="24">
        <f t="shared" si="1843"/>
        <v>79593.981422851648</v>
      </c>
      <c r="CT320" s="24">
        <f t="shared" si="1843"/>
        <v>93169.609474987345</v>
      </c>
      <c r="CU320" s="24">
        <f t="shared" si="1843"/>
        <v>80999.954676546142</v>
      </c>
      <c r="CV320" s="24">
        <f t="shared" si="1843"/>
        <v>86414.253876831703</v>
      </c>
      <c r="CW320" s="24">
        <f t="shared" si="1843"/>
        <v>91779.847786781756</v>
      </c>
      <c r="CX320" s="24">
        <f t="shared" si="1843"/>
        <v>107425.34076185133</v>
      </c>
      <c r="CY320" s="24">
        <f t="shared" si="1843"/>
        <v>93370.78985316219</v>
      </c>
      <c r="CZ320" s="24">
        <f t="shared" si="1843"/>
        <v>99625.511420654468</v>
      </c>
      <c r="DA320" s="24">
        <f t="shared" si="1843"/>
        <v>105815.69469596147</v>
      </c>
      <c r="DB320" s="24">
        <f t="shared" si="1843"/>
        <v>123849.25701443983</v>
      </c>
      <c r="DE320" s="123"/>
      <c r="DF320" s="23">
        <v>69455.63</v>
      </c>
    </row>
    <row r="321" spans="1:110" s="23" customFormat="1" outlineLevel="1" x14ac:dyDescent="0.2">
      <c r="A321" s="23" t="s">
        <v>71</v>
      </c>
      <c r="B321" s="23">
        <f>'Annual Raw'!C55-Template!B293</f>
        <v>1088.6199999999999</v>
      </c>
      <c r="C321" s="23">
        <f>'Annual Raw'!D55-Template!C293</f>
        <v>1314.05</v>
      </c>
      <c r="D321" s="23">
        <f>'Annual Raw'!E55-Template!D293</f>
        <v>1415.92</v>
      </c>
      <c r="E321" s="23">
        <f>'Annual Raw'!F55-Template!E293</f>
        <v>1955.7</v>
      </c>
      <c r="F321" s="23">
        <f>'Annual Raw'!G55-Template!F293</f>
        <v>1940.72</v>
      </c>
      <c r="G321" s="23">
        <f>'Annual Raw'!H55-Template!G293</f>
        <v>2970.94</v>
      </c>
      <c r="H321" s="23">
        <f>'Annual Raw'!I55-Template!H293</f>
        <v>4590.51</v>
      </c>
      <c r="I321" s="23">
        <f>'Annual Raw'!J55-Template!I293</f>
        <v>6440.67</v>
      </c>
      <c r="J321" s="23">
        <f>'Annual Raw'!K55-Template!J293</f>
        <v>8556.11</v>
      </c>
      <c r="K321" s="23">
        <f>'Annual Raw'!L55-Template!K293</f>
        <v>9526.48</v>
      </c>
      <c r="L321" s="23">
        <f>'Annual Raw'!M55-Template!L293</f>
        <v>13555.150000000001</v>
      </c>
      <c r="M321" s="23">
        <f>'Annual Raw'!N55-Template!M293</f>
        <v>15495.260000000002</v>
      </c>
      <c r="N321" s="23">
        <f>'Annual Raw'!O55-Template!N293</f>
        <v>17505.599999999999</v>
      </c>
      <c r="O321" s="23">
        <f>'Annual Raw'!P55-Template!O293</f>
        <v>18665.829999999998</v>
      </c>
      <c r="P321" s="23">
        <f>'Annual Raw'!Q55-Template!P293</f>
        <v>23684.89</v>
      </c>
      <c r="Q321" s="23">
        <f>'Annual Raw'!R55-Template!Q293</f>
        <v>28730.33</v>
      </c>
      <c r="R321" s="23">
        <f>'Annual Raw'!S55-Template!R293</f>
        <v>28213.189999999995</v>
      </c>
      <c r="S321" s="23">
        <f>'Annual Raw'!T55-Template!S293</f>
        <v>32127.82</v>
      </c>
      <c r="T321" s="23">
        <f>'Annual Raw'!U55-Template!T293</f>
        <v>35789.33</v>
      </c>
      <c r="U321" s="23">
        <f>'Annual Raw'!V55-Template!U293</f>
        <v>36164.850000000006</v>
      </c>
      <c r="V321" s="23">
        <f>'Annual Raw'!W55-Template!V293</f>
        <v>37004.660000000003</v>
      </c>
      <c r="W321" s="23">
        <f>'Annual Raw'!X55-Template!W293</f>
        <v>41479.629999999997</v>
      </c>
      <c r="X321" s="23">
        <f>'Annual Raw'!Y55-Template!X293</f>
        <v>50099.24</v>
      </c>
      <c r="Y321" s="23">
        <f>'Annual Raw'!Z55-Template!Y293</f>
        <v>60307.42</v>
      </c>
      <c r="Z321" s="23">
        <f>'Annual Raw'!AA55-Template!Z293</f>
        <v>70184.680000000008</v>
      </c>
      <c r="AA321" s="23">
        <f>'Annual Raw'!AB55-Template!AA293</f>
        <v>98000.920000000013</v>
      </c>
      <c r="AB321" s="24">
        <f t="shared" si="1836"/>
        <v>0</v>
      </c>
      <c r="AC321" s="24">
        <f t="shared" si="1837"/>
        <v>0</v>
      </c>
      <c r="AD321" s="24">
        <f t="shared" si="1838"/>
        <v>0</v>
      </c>
      <c r="AE321" s="24">
        <f t="shared" si="1839"/>
        <v>0</v>
      </c>
      <c r="AJ321" s="23">
        <f>+'QTR Raw'!D91</f>
        <v>15139.25</v>
      </c>
      <c r="AK321" s="23">
        <f t="shared" si="1840"/>
        <v>15139.25</v>
      </c>
      <c r="AL321" s="23">
        <f>+'QTR Raw'!F91</f>
        <v>17978.13</v>
      </c>
      <c r="AM321" s="23">
        <f t="shared" si="1840"/>
        <v>17978.13</v>
      </c>
      <c r="AN321" s="23">
        <f>+'QTR Raw'!H91</f>
        <v>19708.400000000001</v>
      </c>
      <c r="AO321" s="23">
        <f t="shared" si="1840"/>
        <v>19708.400000000001</v>
      </c>
      <c r="AP321" s="23">
        <f>+'QTR Raw'!J91</f>
        <v>19180.96</v>
      </c>
      <c r="AQ321" s="23">
        <f t="shared" si="1840"/>
        <v>19180.96</v>
      </c>
      <c r="AR321" s="23">
        <f>+'QTR Raw'!L91</f>
        <v>21789.8</v>
      </c>
      <c r="AS321" s="23">
        <f t="shared" si="1840"/>
        <v>21789.8</v>
      </c>
      <c r="AT321" s="23">
        <f>+'QTR Raw'!N91</f>
        <v>23812.12</v>
      </c>
      <c r="AU321" s="23">
        <f t="shared" si="1840"/>
        <v>23812.12</v>
      </c>
      <c r="AV321" s="23">
        <f>+'QTR Raw'!P91</f>
        <v>28242.83</v>
      </c>
      <c r="AW321" s="23">
        <f t="shared" si="1840"/>
        <v>28242.83</v>
      </c>
      <c r="AX321" s="23">
        <f>+'QTR Raw'!R91</f>
        <v>28827.7</v>
      </c>
      <c r="AY321" s="23">
        <f t="shared" si="1840"/>
        <v>28827.7</v>
      </c>
      <c r="AZ321" s="23">
        <f>+'QTR Raw'!T91</f>
        <v>30985.94</v>
      </c>
      <c r="BA321" s="23">
        <f t="shared" si="1840"/>
        <v>30985.94</v>
      </c>
      <c r="BB321" s="23">
        <f>+'QTR Raw'!V91</f>
        <v>29949.08</v>
      </c>
      <c r="BC321" s="23">
        <f t="shared" si="1840"/>
        <v>29949.08</v>
      </c>
      <c r="BD321" s="23">
        <f>+'QTR Raw'!X91</f>
        <v>34205.300000000003</v>
      </c>
      <c r="BE321" s="23">
        <f t="shared" si="1840"/>
        <v>34205.300000000003</v>
      </c>
      <c r="BF321" s="23">
        <f>+'QTR Raw'!Z91</f>
        <v>34342.629999999997</v>
      </c>
      <c r="BG321" s="23">
        <f t="shared" si="1840"/>
        <v>34342.629999999997</v>
      </c>
      <c r="BH321" s="23">
        <f>+'QTR Raw'!AB91</f>
        <v>36092.58</v>
      </c>
      <c r="BI321" s="23">
        <f t="shared" si="1840"/>
        <v>36092.58</v>
      </c>
      <c r="BJ321" s="23">
        <f>+'QTR Raw'!AD91</f>
        <v>36929.69</v>
      </c>
      <c r="BK321" s="23">
        <f t="shared" si="1840"/>
        <v>36929.69</v>
      </c>
      <c r="BL321" s="23">
        <f>+'QTR Raw'!AF91</f>
        <v>39053.79</v>
      </c>
      <c r="BM321" s="23">
        <f t="shared" si="1840"/>
        <v>39053.79</v>
      </c>
      <c r="BN321" s="23">
        <f>+'QTR Raw'!AH91</f>
        <v>39658.639999999999</v>
      </c>
      <c r="BO321" s="23">
        <f t="shared" si="1840"/>
        <v>39658.639999999999</v>
      </c>
      <c r="BP321" s="23">
        <f>+'QTR Raw'!AJ91</f>
        <v>37042.46</v>
      </c>
      <c r="BQ321" s="23">
        <f t="shared" si="1840"/>
        <v>37042.46</v>
      </c>
      <c r="BR321" s="23">
        <f>+'QTR Raw'!AL91</f>
        <v>38178.879999999997</v>
      </c>
      <c r="BS321" s="23">
        <f t="shared" si="1840"/>
        <v>38178.879999999997</v>
      </c>
      <c r="BT321" s="23">
        <f>+'QTR Raw'!AN91</f>
        <v>41829.769999999997</v>
      </c>
      <c r="BU321" s="23">
        <f t="shared" si="1840"/>
        <v>41829.769999999997</v>
      </c>
      <c r="BV321" s="23">
        <f>+'QTR Raw'!AP91</f>
        <v>42789.45</v>
      </c>
      <c r="BW321" s="23">
        <f t="shared" si="1840"/>
        <v>42789.45</v>
      </c>
      <c r="BX321" s="23">
        <f>+'QTR Raw'!AR91</f>
        <v>49757.53</v>
      </c>
      <c r="BY321" s="23">
        <f t="shared" si="1840"/>
        <v>49757.53</v>
      </c>
      <c r="BZ321" s="23">
        <f>+'QTR Raw'!AT91</f>
        <v>51492.7</v>
      </c>
      <c r="CA321" s="23">
        <f t="shared" si="1840"/>
        <v>51492.7</v>
      </c>
      <c r="CB321" s="23">
        <f>+'QTR Raw'!AV91</f>
        <v>57701.11</v>
      </c>
      <c r="CC321" s="23">
        <f t="shared" si="1840"/>
        <v>57701.11</v>
      </c>
      <c r="CD321" s="23">
        <f>+'QTR Raw'!AX91</f>
        <v>62167.89</v>
      </c>
      <c r="CE321" s="23">
        <f t="shared" si="1840"/>
        <v>62167.89</v>
      </c>
      <c r="CF321" s="23">
        <f>+'QTR Raw'!AZ91</f>
        <v>67405.759999999995</v>
      </c>
      <c r="CG321" s="23">
        <f t="shared" ref="CG321:CG322" si="1844">+CF321</f>
        <v>67405.759999999995</v>
      </c>
      <c r="CH321" s="23">
        <f t="shared" si="1794"/>
        <v>70184.680000000008</v>
      </c>
      <c r="CJ321" s="23">
        <f>+'QTR Raw'!BD91</f>
        <v>77187.94</v>
      </c>
      <c r="CL321" s="23">
        <f>+'QTR Raw'!BF91</f>
        <v>101122.38</v>
      </c>
      <c r="CM321" s="24"/>
      <c r="CN321" s="24"/>
      <c r="CO321" s="24"/>
      <c r="CP321" s="24"/>
      <c r="CQ321" s="24"/>
      <c r="CR321" s="24"/>
      <c r="CS321" s="24"/>
      <c r="CT321" s="24"/>
      <c r="CU321" s="24"/>
      <c r="CV321" s="24"/>
      <c r="CW321" s="24"/>
      <c r="CX321" s="24"/>
      <c r="CY321" s="24"/>
      <c r="CZ321" s="24"/>
      <c r="DA321" s="24"/>
      <c r="DB321" s="24"/>
      <c r="DE321" s="123"/>
      <c r="DF321" s="23">
        <v>98000.920000000013</v>
      </c>
    </row>
    <row r="322" spans="1:110" s="23" customFormat="1" outlineLevel="1" x14ac:dyDescent="0.2">
      <c r="A322" s="23" t="s">
        <v>72</v>
      </c>
      <c r="B322" s="23">
        <f>'Annual Raw'!C57</f>
        <v>271.22000000000003</v>
      </c>
      <c r="C322" s="23">
        <f>'Annual Raw'!D57</f>
        <v>309.27</v>
      </c>
      <c r="D322" s="23">
        <f>'Annual Raw'!E57</f>
        <v>450.27</v>
      </c>
      <c r="E322" s="23">
        <f>'Annual Raw'!F57</f>
        <v>735.87</v>
      </c>
      <c r="F322" s="23">
        <f>'Annual Raw'!G57</f>
        <v>841.58</v>
      </c>
      <c r="G322" s="23">
        <f>'Annual Raw'!H57</f>
        <v>1097.74</v>
      </c>
      <c r="H322" s="23">
        <f>'Annual Raw'!I57</f>
        <v>1348.58</v>
      </c>
      <c r="I322" s="23">
        <f>'Annual Raw'!J57</f>
        <v>2236.61</v>
      </c>
      <c r="J322" s="23">
        <f>'Annual Raw'!K57</f>
        <v>3317.41</v>
      </c>
      <c r="K322" s="23">
        <f>'Annual Raw'!L57</f>
        <v>3821.48</v>
      </c>
      <c r="L322" s="23">
        <f>'Annual Raw'!M57</f>
        <v>4187.8100000000004</v>
      </c>
      <c r="M322" s="23">
        <f>'Annual Raw'!N57</f>
        <v>4427.47</v>
      </c>
      <c r="N322" s="23">
        <f>'Annual Raw'!O57</f>
        <v>4650.9399999999996</v>
      </c>
      <c r="O322" s="23">
        <f>'Annual Raw'!P57</f>
        <v>5273.66</v>
      </c>
      <c r="P322" s="23">
        <f>'Annual Raw'!Q57</f>
        <v>5601.3</v>
      </c>
      <c r="Q322" s="23">
        <f>'Annual Raw'!R57</f>
        <v>2387.0100000000002</v>
      </c>
      <c r="R322" s="23">
        <f>'Annual Raw'!S57</f>
        <v>2908.1</v>
      </c>
      <c r="S322" s="23">
        <f>'Annual Raw'!T57</f>
        <v>3277.89</v>
      </c>
      <c r="T322" s="23">
        <f>'Annual Raw'!U57</f>
        <v>3580.59</v>
      </c>
      <c r="U322" s="23">
        <f>'Annual Raw'!V57</f>
        <v>4260.47</v>
      </c>
      <c r="V322" s="23">
        <f>'Annual Raw'!W57</f>
        <v>4169.7</v>
      </c>
      <c r="W322" s="23">
        <f>'Annual Raw'!X57</f>
        <v>4665.68</v>
      </c>
      <c r="X322" s="23">
        <f>'Annual Raw'!Y57</f>
        <v>4886.93</v>
      </c>
      <c r="Y322" s="23">
        <f>'Annual Raw'!Z57</f>
        <v>5976.36</v>
      </c>
      <c r="Z322" s="23">
        <f>'Annual Raw'!AA57</f>
        <v>7270.88</v>
      </c>
      <c r="AA322" s="23">
        <f>'Annual Raw'!AB57</f>
        <v>8130.49</v>
      </c>
      <c r="AB322" s="24">
        <f t="shared" si="1836"/>
        <v>0</v>
      </c>
      <c r="AC322" s="24">
        <f t="shared" si="1837"/>
        <v>0</v>
      </c>
      <c r="AD322" s="24">
        <f t="shared" si="1838"/>
        <v>0</v>
      </c>
      <c r="AE322" s="24">
        <f t="shared" si="1839"/>
        <v>0</v>
      </c>
      <c r="AJ322" s="23">
        <f>+'QTR Raw'!D92</f>
        <v>951.14</v>
      </c>
      <c r="AK322" s="23">
        <f t="shared" si="1840"/>
        <v>951.14</v>
      </c>
      <c r="AL322" s="23">
        <f>+'QTR Raw'!F92</f>
        <v>2539.42</v>
      </c>
      <c r="AM322" s="23">
        <f t="shared" si="1840"/>
        <v>2539.42</v>
      </c>
      <c r="AN322" s="23">
        <f>+'QTR Raw'!H92</f>
        <v>1657.17</v>
      </c>
      <c r="AO322" s="23">
        <f t="shared" si="1840"/>
        <v>1657.17</v>
      </c>
      <c r="AP322" s="23">
        <f>+'QTR Raw'!J92</f>
        <v>2926.91</v>
      </c>
      <c r="AQ322" s="23">
        <f t="shared" si="1840"/>
        <v>2926.91</v>
      </c>
      <c r="AR322" s="23">
        <f>+'QTR Raw'!L92</f>
        <v>1603.31</v>
      </c>
      <c r="AS322" s="23">
        <f t="shared" si="1840"/>
        <v>1603.31</v>
      </c>
      <c r="AT322" s="23">
        <f>+'QTR Raw'!N92</f>
        <v>3543.81</v>
      </c>
      <c r="AU322" s="23">
        <f t="shared" si="1840"/>
        <v>3543.81</v>
      </c>
      <c r="AV322" s="23">
        <f>+'QTR Raw'!P92</f>
        <v>1929.42</v>
      </c>
      <c r="AW322" s="23">
        <f t="shared" si="1840"/>
        <v>1929.42</v>
      </c>
      <c r="AX322" s="23">
        <f>+'QTR Raw'!R92</f>
        <v>2303.52</v>
      </c>
      <c r="AY322" s="23">
        <f t="shared" si="1840"/>
        <v>2303.52</v>
      </c>
      <c r="AZ322" s="23">
        <f>+'QTR Raw'!T92</f>
        <v>1631.46</v>
      </c>
      <c r="BA322" s="23">
        <f t="shared" si="1840"/>
        <v>1631.46</v>
      </c>
      <c r="BB322" s="23">
        <f>+'QTR Raw'!V92</f>
        <v>2667.81</v>
      </c>
      <c r="BC322" s="23">
        <f t="shared" si="1840"/>
        <v>2667.81</v>
      </c>
      <c r="BD322" s="23">
        <f>+'QTR Raw'!X92</f>
        <v>2625.37</v>
      </c>
      <c r="BE322" s="23">
        <f t="shared" si="1840"/>
        <v>2625.37</v>
      </c>
      <c r="BF322" s="23">
        <f>+'QTR Raw'!Z92</f>
        <v>2525.0500000000002</v>
      </c>
      <c r="BG322" s="23">
        <f t="shared" si="1840"/>
        <v>2525.0500000000002</v>
      </c>
      <c r="BH322" s="23">
        <f>+'QTR Raw'!AB92</f>
        <v>2726.74</v>
      </c>
      <c r="BI322" s="23">
        <f t="shared" si="1840"/>
        <v>2726.74</v>
      </c>
      <c r="BJ322" s="23">
        <f>+'QTR Raw'!AD92</f>
        <v>2443.4299999999998</v>
      </c>
      <c r="BK322" s="23">
        <f t="shared" si="1840"/>
        <v>2443.4299999999998</v>
      </c>
      <c r="BL322" s="23">
        <f>+'QTR Raw'!AF92</f>
        <v>2583.7800000000002</v>
      </c>
      <c r="BM322" s="23">
        <f t="shared" si="1840"/>
        <v>2583.7800000000002</v>
      </c>
      <c r="BN322" s="23">
        <f>+'QTR Raw'!AH92</f>
        <v>2750.85</v>
      </c>
      <c r="BO322" s="23">
        <f t="shared" si="1840"/>
        <v>2750.85</v>
      </c>
      <c r="BP322" s="23">
        <f>+'QTR Raw'!AJ92</f>
        <v>2838.78</v>
      </c>
      <c r="BQ322" s="23">
        <f t="shared" si="1840"/>
        <v>2838.78</v>
      </c>
      <c r="BR322" s="23">
        <f>+'QTR Raw'!AL92</f>
        <v>2998.68</v>
      </c>
      <c r="BS322" s="23">
        <f t="shared" si="1840"/>
        <v>2998.68</v>
      </c>
      <c r="BT322" s="23">
        <f>+'QTR Raw'!AN92</f>
        <v>3266.73</v>
      </c>
      <c r="BU322" s="23">
        <f t="shared" si="1840"/>
        <v>3266.73</v>
      </c>
      <c r="BV322" s="23">
        <f>+'QTR Raw'!AP92</f>
        <v>3355.86</v>
      </c>
      <c r="BW322" s="23">
        <f t="shared" si="1840"/>
        <v>3355.86</v>
      </c>
      <c r="BX322" s="23">
        <f>+'QTR Raw'!AR92</f>
        <v>3379.6</v>
      </c>
      <c r="BY322" s="23">
        <f t="shared" si="1840"/>
        <v>3379.6</v>
      </c>
      <c r="BZ322" s="23">
        <f>+'QTR Raw'!AT92</f>
        <v>3493.47</v>
      </c>
      <c r="CA322" s="23">
        <f t="shared" si="1840"/>
        <v>3493.47</v>
      </c>
      <c r="CB322" s="23">
        <f>+'QTR Raw'!AV92</f>
        <v>3690.09</v>
      </c>
      <c r="CC322" s="23">
        <f t="shared" si="1840"/>
        <v>3690.09</v>
      </c>
      <c r="CD322" s="23">
        <f>+'QTR Raw'!AX92</f>
        <v>4115.8900000000003</v>
      </c>
      <c r="CE322" s="23">
        <f t="shared" si="1840"/>
        <v>4115.8900000000003</v>
      </c>
      <c r="CF322" s="23">
        <f>+'QTR Raw'!AZ92</f>
        <v>3743.79</v>
      </c>
      <c r="CG322" s="23">
        <f t="shared" si="1844"/>
        <v>3743.79</v>
      </c>
      <c r="CH322" s="23">
        <f t="shared" si="1794"/>
        <v>7270.88</v>
      </c>
      <c r="CJ322" s="23">
        <f>+'QTR Raw'!BD92</f>
        <v>5050.16</v>
      </c>
      <c r="CL322" s="23">
        <f>+'QTR Raw'!BF92</f>
        <v>5009.03</v>
      </c>
      <c r="CM322" s="24"/>
      <c r="CN322" s="24"/>
      <c r="CO322" s="24"/>
      <c r="CP322" s="24"/>
      <c r="CQ322" s="24"/>
      <c r="CR322" s="24"/>
      <c r="CS322" s="24"/>
      <c r="CT322" s="24"/>
      <c r="CU322" s="24"/>
      <c r="CV322" s="24"/>
      <c r="CW322" s="24"/>
      <c r="CX322" s="24"/>
      <c r="CY322" s="24"/>
      <c r="CZ322" s="24"/>
      <c r="DA322" s="24"/>
      <c r="DB322" s="24"/>
      <c r="DE322" s="123"/>
      <c r="DF322" s="23">
        <v>8130.49</v>
      </c>
    </row>
    <row r="323" spans="1:110" s="22" customFormat="1" x14ac:dyDescent="0.2">
      <c r="A323" s="22" t="s">
        <v>73</v>
      </c>
      <c r="B323" s="22">
        <f>SUM(B316:B322)</f>
        <v>2601.2399999999998</v>
      </c>
      <c r="C323" s="22">
        <f t="shared" ref="C323:V323" si="1845">SUM(C316:C322)</f>
        <v>3305.77</v>
      </c>
      <c r="D323" s="22">
        <f t="shared" si="1845"/>
        <v>4188.9400000000005</v>
      </c>
      <c r="E323" s="22">
        <f t="shared" si="1845"/>
        <v>4995.03</v>
      </c>
      <c r="F323" s="22">
        <f t="shared" si="1845"/>
        <v>5855.15</v>
      </c>
      <c r="G323" s="22">
        <f t="shared" si="1845"/>
        <v>7615.7999999999993</v>
      </c>
      <c r="H323" s="22">
        <f t="shared" si="1845"/>
        <v>10541.789999999999</v>
      </c>
      <c r="I323" s="22">
        <f t="shared" si="1845"/>
        <v>15694.57</v>
      </c>
      <c r="J323" s="22">
        <f t="shared" si="1845"/>
        <v>20855.829999999998</v>
      </c>
      <c r="K323" s="22">
        <f t="shared" si="1845"/>
        <v>24644.3</v>
      </c>
      <c r="L323" s="22">
        <f t="shared" si="1845"/>
        <v>32957.06</v>
      </c>
      <c r="M323" s="22">
        <f t="shared" si="1845"/>
        <v>38707.19</v>
      </c>
      <c r="N323" s="22">
        <f t="shared" si="1845"/>
        <v>41877.210000000006</v>
      </c>
      <c r="O323" s="22">
        <f t="shared" si="1845"/>
        <v>46315.979999999996</v>
      </c>
      <c r="P323" s="22">
        <f t="shared" si="1845"/>
        <v>56212.740000000005</v>
      </c>
      <c r="Q323" s="22">
        <f t="shared" si="1845"/>
        <v>58881.98</v>
      </c>
      <c r="R323" s="22">
        <f t="shared" si="1845"/>
        <v>63836.579999999994</v>
      </c>
      <c r="S323" s="22">
        <f t="shared" si="1845"/>
        <v>75610.52</v>
      </c>
      <c r="T323" s="22">
        <f t="shared" si="1845"/>
        <v>83280.149999999994</v>
      </c>
      <c r="U323" s="22">
        <f t="shared" si="1845"/>
        <v>89435.920000000013</v>
      </c>
      <c r="V323" s="22">
        <f t="shared" si="1845"/>
        <v>89569.73</v>
      </c>
      <c r="W323" s="22">
        <f t="shared" ref="W323" si="1846">SUM(W316:W322)</f>
        <v>100185.94999999998</v>
      </c>
      <c r="X323" s="22">
        <f t="shared" ref="X323:Y323" si="1847">SUM(X316:X322)</f>
        <v>107641.28</v>
      </c>
      <c r="Y323" s="22">
        <f t="shared" si="1847"/>
        <v>123012.90999999999</v>
      </c>
      <c r="Z323" s="22">
        <f t="shared" ref="Z323:AA323" si="1848">SUM(Z316:Z322)</f>
        <v>134151.07</v>
      </c>
      <c r="AA323" s="22">
        <f t="shared" si="1848"/>
        <v>202169.29</v>
      </c>
      <c r="AB323" s="21">
        <f t="shared" ref="AB323:AD323" si="1849">SUM(AB316:AB322)</f>
        <v>234976.7910125241</v>
      </c>
      <c r="AC323" s="21">
        <f t="shared" si="1849"/>
        <v>271195.20472473523</v>
      </c>
      <c r="AD323" s="21">
        <f t="shared" si="1849"/>
        <v>312690.34446641034</v>
      </c>
      <c r="AE323" s="21">
        <f t="shared" ref="AE323" si="1850">SUM(AE316:AE322)</f>
        <v>360496.56964650413</v>
      </c>
      <c r="AJ323" s="22">
        <f t="shared" ref="AJ323" si="1851">SUM(AJ316:AJ322)</f>
        <v>29826.29</v>
      </c>
      <c r="AK323" s="22">
        <f t="shared" ref="AK323" si="1852">SUM(AK316:AK322)</f>
        <v>29385.675685344544</v>
      </c>
      <c r="AL323" s="22">
        <f t="shared" ref="AL323:AM323" si="1853">SUM(AL316:AL322)</f>
        <v>43560.17</v>
      </c>
      <c r="AM323" s="22">
        <f t="shared" si="1853"/>
        <v>42547.17778649462</v>
      </c>
      <c r="AN323" s="22">
        <f t="shared" ref="AN323:AO323" si="1854">SUM(AN316:AN322)</f>
        <v>42770.85</v>
      </c>
      <c r="AO323" s="22">
        <f t="shared" si="1854"/>
        <v>44859.343096017219</v>
      </c>
      <c r="AP323" s="22">
        <f t="shared" ref="AP323:CE323" si="1855">SUM(AP316:AP322)</f>
        <v>47322.850000000006</v>
      </c>
      <c r="AQ323" s="22">
        <f t="shared" si="1855"/>
        <v>41003.274875029936</v>
      </c>
      <c r="AR323" s="22">
        <f t="shared" si="1855"/>
        <v>47694.039999999994</v>
      </c>
      <c r="AS323" s="22">
        <f t="shared" si="1855"/>
        <v>50017.861593730078</v>
      </c>
      <c r="AT323" s="22">
        <f t="shared" si="1855"/>
        <v>56787.64</v>
      </c>
      <c r="AU323" s="22">
        <f t="shared" si="1855"/>
        <v>49615.876824681844</v>
      </c>
      <c r="AV323" s="22">
        <f t="shared" si="1855"/>
        <v>67243.010000000009</v>
      </c>
      <c r="AW323" s="22">
        <f t="shared" si="1855"/>
        <v>70144.039361493167</v>
      </c>
      <c r="AX323" s="22">
        <f t="shared" si="1855"/>
        <v>58881.98</v>
      </c>
      <c r="AY323" s="22">
        <f t="shared" si="1855"/>
        <v>49724.338023683893</v>
      </c>
      <c r="AZ323" s="22">
        <f t="shared" si="1855"/>
        <v>57334.18</v>
      </c>
      <c r="BA323" s="22">
        <f t="shared" si="1855"/>
        <v>58368.642444300574</v>
      </c>
      <c r="BB323" s="22">
        <f t="shared" si="1855"/>
        <v>63836.58</v>
      </c>
      <c r="BC323" s="22">
        <f t="shared" si="1855"/>
        <v>53128.625699469347</v>
      </c>
      <c r="BD323" s="22">
        <f t="shared" si="1855"/>
        <v>66195.73</v>
      </c>
      <c r="BE323" s="22">
        <f t="shared" si="1855"/>
        <v>68663.691519796761</v>
      </c>
      <c r="BF323" s="22">
        <f t="shared" si="1855"/>
        <v>75610.52</v>
      </c>
      <c r="BG323" s="22">
        <f t="shared" si="1855"/>
        <v>62905.50059458529</v>
      </c>
      <c r="BH323" s="22">
        <f t="shared" ref="BH323" si="1856">SUM(BH316:BH322)</f>
        <v>75183.360000000001</v>
      </c>
      <c r="BI323" s="22">
        <f t="shared" si="1855"/>
        <v>79252.9332790232</v>
      </c>
      <c r="BJ323" s="22">
        <f t="shared" si="1855"/>
        <v>83280.149999999994</v>
      </c>
      <c r="BK323" s="22">
        <f t="shared" si="1855"/>
        <v>69710.097395943507</v>
      </c>
      <c r="BL323" s="22">
        <f t="shared" si="1855"/>
        <v>79522.429999999993</v>
      </c>
      <c r="BM323" s="22">
        <f t="shared" si="1855"/>
        <v>80433.547392897221</v>
      </c>
      <c r="BN323" s="22">
        <f t="shared" si="1855"/>
        <v>89435.920000000013</v>
      </c>
      <c r="BO323" s="22">
        <f t="shared" si="1855"/>
        <v>66763.009789728982</v>
      </c>
      <c r="BP323" s="22">
        <f t="shared" si="1855"/>
        <v>79755.67</v>
      </c>
      <c r="BQ323" s="22">
        <f t="shared" si="1855"/>
        <v>85194.234680741647</v>
      </c>
      <c r="BR323" s="22">
        <f t="shared" si="1855"/>
        <v>89569.73</v>
      </c>
      <c r="BS323" s="22">
        <f t="shared" si="1855"/>
        <v>71730.147176065075</v>
      </c>
      <c r="BT323" s="22">
        <f t="shared" si="1855"/>
        <v>87680.76</v>
      </c>
      <c r="BU323" s="22">
        <f t="shared" si="1855"/>
        <v>93177.044465770741</v>
      </c>
      <c r="BV323" s="22">
        <f t="shared" si="1855"/>
        <v>100185.95</v>
      </c>
      <c r="BW323" s="22">
        <f t="shared" si="1855"/>
        <v>83666.091595529433</v>
      </c>
      <c r="BX323" s="22">
        <f t="shared" si="1855"/>
        <v>99838.010000000009</v>
      </c>
      <c r="BY323" s="22">
        <f t="shared" si="1855"/>
        <v>103549.53676566281</v>
      </c>
      <c r="BZ323" s="22">
        <f t="shared" si="1855"/>
        <v>107641.28</v>
      </c>
      <c r="CA323" s="22">
        <f t="shared" si="1855"/>
        <v>98720.715745796479</v>
      </c>
      <c r="CB323" s="22">
        <f t="shared" si="1855"/>
        <v>109394.67</v>
      </c>
      <c r="CC323" s="22">
        <f t="shared" si="1855"/>
        <v>112975.39218544826</v>
      </c>
      <c r="CD323" s="22">
        <f t="shared" si="1855"/>
        <v>123012.90999999999</v>
      </c>
      <c r="CE323" s="22">
        <f t="shared" si="1855"/>
        <v>113511.79741226275</v>
      </c>
      <c r="CF323" s="22">
        <f t="shared" ref="CF323:CG323" si="1857">SUM(CF316:CF322)</f>
        <v>126618.18999999999</v>
      </c>
      <c r="CG323" s="22">
        <f t="shared" si="1857"/>
        <v>129226.08114083792</v>
      </c>
      <c r="CH323" s="22">
        <f t="shared" ref="CH323:CI323" si="1858">SUM(CH316:CH322)</f>
        <v>134151.07</v>
      </c>
      <c r="CI323" s="22">
        <f t="shared" si="1858"/>
        <v>114831.74402564889</v>
      </c>
      <c r="CJ323" s="22">
        <f t="shared" ref="CJ323:DB323" si="1859">SUM(CJ316:CJ322)</f>
        <v>140263.01</v>
      </c>
      <c r="CK323" s="22">
        <f t="shared" si="1859"/>
        <v>147414.38088897415</v>
      </c>
      <c r="CL323" s="22">
        <f t="shared" ref="CL323" si="1860">SUM(CL316:CL322)</f>
        <v>202169.29</v>
      </c>
      <c r="CM323" s="21">
        <f t="shared" si="1859"/>
        <v>177995.99742961861</v>
      </c>
      <c r="CN323" s="21">
        <f t="shared" si="1859"/>
        <v>189571.40652788011</v>
      </c>
      <c r="CO323" s="21">
        <f t="shared" si="1859"/>
        <v>200854.85263593675</v>
      </c>
      <c r="CP323" s="21">
        <f t="shared" si="1859"/>
        <v>234976.7910125241</v>
      </c>
      <c r="CQ323" s="21">
        <f t="shared" si="1859"/>
        <v>204645.41562539717</v>
      </c>
      <c r="CR323" s="21">
        <f t="shared" si="1859"/>
        <v>218211.80585265334</v>
      </c>
      <c r="CS323" s="21">
        <f t="shared" si="1859"/>
        <v>231679.68834968607</v>
      </c>
      <c r="CT323" s="21">
        <f t="shared" si="1859"/>
        <v>271195.20472473523</v>
      </c>
      <c r="CU323" s="21">
        <f t="shared" si="1859"/>
        <v>235772.15161664382</v>
      </c>
      <c r="CV323" s="21">
        <f t="shared" si="1859"/>
        <v>251531.92552077942</v>
      </c>
      <c r="CW323" s="21">
        <f t="shared" si="1859"/>
        <v>267149.92957895191</v>
      </c>
      <c r="CX323" s="21">
        <f t="shared" si="1859"/>
        <v>312690.34446641034</v>
      </c>
      <c r="CY323" s="21">
        <f t="shared" si="1859"/>
        <v>271780.79431938066</v>
      </c>
      <c r="CZ323" s="21">
        <f t="shared" si="1859"/>
        <v>289986.84354026598</v>
      </c>
      <c r="DA323" s="21">
        <f t="shared" si="1859"/>
        <v>308005.03670529369</v>
      </c>
      <c r="DB323" s="21">
        <f t="shared" si="1859"/>
        <v>360496.56964650413</v>
      </c>
      <c r="DE323" s="126"/>
      <c r="DF323" s="22">
        <v>202169.29</v>
      </c>
    </row>
    <row r="324" spans="1:110" s="22" customFormat="1" x14ac:dyDescent="0.2">
      <c r="A324" s="22" t="s">
        <v>74</v>
      </c>
      <c r="B324" s="22">
        <f>B315-B323</f>
        <v>2595.9500000000007</v>
      </c>
      <c r="C324" s="22">
        <f t="shared" ref="C324:V324" si="1861">C315-C323</f>
        <v>2541.0400000000004</v>
      </c>
      <c r="D324" s="22">
        <f t="shared" si="1861"/>
        <v>2256.7199999999993</v>
      </c>
      <c r="E324" s="22">
        <f t="shared" si="1861"/>
        <v>2335.0600000000004</v>
      </c>
      <c r="F324" s="22">
        <f t="shared" si="1861"/>
        <v>3153.09</v>
      </c>
      <c r="G324" s="22">
        <f t="shared" si="1861"/>
        <v>3207.4300000000003</v>
      </c>
      <c r="H324" s="22">
        <f t="shared" si="1861"/>
        <v>4453.5000000000018</v>
      </c>
      <c r="I324" s="22">
        <f t="shared" si="1861"/>
        <v>8526.3100000000013</v>
      </c>
      <c r="J324" s="22">
        <f t="shared" si="1861"/>
        <v>11664.75</v>
      </c>
      <c r="K324" s="22">
        <f t="shared" si="1861"/>
        <v>14677.470000000005</v>
      </c>
      <c r="L324" s="22">
        <f t="shared" si="1861"/>
        <v>22839.700000000012</v>
      </c>
      <c r="M324" s="22">
        <f t="shared" si="1861"/>
        <v>36229.199999999997</v>
      </c>
      <c r="N324" s="22">
        <f t="shared" si="1861"/>
        <v>49155.779999999984</v>
      </c>
      <c r="O324" s="22">
        <f t="shared" si="1861"/>
        <v>66160.5</v>
      </c>
      <c r="P324" s="22">
        <f t="shared" si="1861"/>
        <v>74156.23</v>
      </c>
      <c r="Q324" s="22">
        <f t="shared" si="1861"/>
        <v>88467.12</v>
      </c>
      <c r="R324" s="22">
        <f t="shared" si="1861"/>
        <v>91574.84</v>
      </c>
      <c r="S324" s="22">
        <f t="shared" si="1861"/>
        <v>110144.35000000002</v>
      </c>
      <c r="T324" s="22">
        <f t="shared" si="1861"/>
        <v>123901.51000000001</v>
      </c>
      <c r="U324" s="22">
        <f t="shared" si="1861"/>
        <v>132727.89999999997</v>
      </c>
      <c r="V324" s="22">
        <f t="shared" si="1861"/>
        <v>118319.14</v>
      </c>
      <c r="W324" s="22">
        <f t="shared" ref="W324" si="1862">W315-W323</f>
        <v>114498.28000000003</v>
      </c>
      <c r="X324" s="22">
        <f t="shared" ref="X324:Y324" si="1863">X315-X323</f>
        <v>105701.76000000001</v>
      </c>
      <c r="Y324" s="22">
        <f t="shared" si="1863"/>
        <v>106244.3</v>
      </c>
      <c r="Z324" s="22">
        <f t="shared" ref="Z324:AA324" si="1864">Z315-Z323</f>
        <v>117165.41</v>
      </c>
      <c r="AA324" s="22">
        <f t="shared" si="1864"/>
        <v>122725.51000000004</v>
      </c>
      <c r="AB324" s="21">
        <f t="shared" ref="AB324:AD324" si="1865">AB315-AB323</f>
        <v>138476.83347325982</v>
      </c>
      <c r="AC324" s="21">
        <f t="shared" si="1865"/>
        <v>151186.27950636926</v>
      </c>
      <c r="AD324" s="21">
        <f t="shared" si="1865"/>
        <v>174319.04765950952</v>
      </c>
      <c r="AE324" s="21">
        <f t="shared" ref="AE324" si="1866">AE315-AE323</f>
        <v>200970.12849096523</v>
      </c>
      <c r="AJ324" s="22">
        <f t="shared" ref="AJ324" si="1867">AJ315-AJ323</f>
        <v>13921.330000000002</v>
      </c>
      <c r="AK324" s="22">
        <f t="shared" ref="AK324" si="1868">AK315-AK323</f>
        <v>13646.372269640367</v>
      </c>
      <c r="AL324" s="22">
        <f t="shared" ref="AL324:AM324" si="1869">AL315-AL323</f>
        <v>45294.479999999996</v>
      </c>
      <c r="AM324" s="22">
        <f t="shared" si="1869"/>
        <v>44726.244540965345</v>
      </c>
      <c r="AN324" s="22">
        <f t="shared" ref="AN324:AO324" si="1870">AN315-AN323</f>
        <v>55621.589999999989</v>
      </c>
      <c r="AO324" s="22">
        <f t="shared" si="1870"/>
        <v>57177.149273787094</v>
      </c>
      <c r="AP324" s="22">
        <f t="shared" ref="AP324:CE324" si="1871">AP315-AP323</f>
        <v>62777.14</v>
      </c>
      <c r="AQ324" s="22">
        <f t="shared" si="1871"/>
        <v>59424.217835798743</v>
      </c>
      <c r="AR324" s="22">
        <f t="shared" si="1871"/>
        <v>68711.539999999994</v>
      </c>
      <c r="AS324" s="22">
        <f t="shared" si="1871"/>
        <v>70183.785834966722</v>
      </c>
      <c r="AT324" s="22">
        <f t="shared" si="1871"/>
        <v>71194.62000000001</v>
      </c>
      <c r="AU324" s="22">
        <f t="shared" si="1871"/>
        <v>67718.335610130045</v>
      </c>
      <c r="AV324" s="22">
        <f t="shared" si="1871"/>
        <v>68738.989999999991</v>
      </c>
      <c r="AW324" s="22">
        <f t="shared" si="1871"/>
        <v>70319.285380483401</v>
      </c>
      <c r="AX324" s="22">
        <f t="shared" si="1871"/>
        <v>88467.12</v>
      </c>
      <c r="AY324" s="22">
        <f t="shared" si="1871"/>
        <v>87152.788409177534</v>
      </c>
      <c r="AZ324" s="22">
        <f t="shared" si="1871"/>
        <v>89733.19</v>
      </c>
      <c r="BA324" s="22">
        <f t="shared" si="1871"/>
        <v>90008.328196900751</v>
      </c>
      <c r="BB324" s="22">
        <f t="shared" si="1871"/>
        <v>91574.839999999982</v>
      </c>
      <c r="BC324" s="22">
        <f t="shared" si="1871"/>
        <v>90679.23097574967</v>
      </c>
      <c r="BD324" s="22">
        <f t="shared" si="1871"/>
        <v>99878.73</v>
      </c>
      <c r="BE324" s="22">
        <f t="shared" si="1871"/>
        <v>100369.06057848295</v>
      </c>
      <c r="BF324" s="22">
        <f t="shared" si="1871"/>
        <v>110144.34999999999</v>
      </c>
      <c r="BG324" s="22">
        <f t="shared" si="1871"/>
        <v>110088.08101393629</v>
      </c>
      <c r="BH324" s="22">
        <f t="shared" ref="BH324" si="1872">BH315-BH323</f>
        <v>121764.81000000001</v>
      </c>
      <c r="BI324" s="22">
        <f t="shared" si="1871"/>
        <v>122264.097276731</v>
      </c>
      <c r="BJ324" s="22">
        <f t="shared" si="1871"/>
        <v>123901.51000000001</v>
      </c>
      <c r="BK324" s="22">
        <f t="shared" si="1871"/>
        <v>123817.87366716008</v>
      </c>
      <c r="BL324" s="22">
        <f t="shared" si="1871"/>
        <v>138060.79999999999</v>
      </c>
      <c r="BM324" s="22">
        <f t="shared" si="1871"/>
        <v>138193.44188329237</v>
      </c>
      <c r="BN324" s="22">
        <f t="shared" si="1871"/>
        <v>134954.38999999998</v>
      </c>
      <c r="BO324" s="22">
        <f t="shared" si="1871"/>
        <v>133482.00955593004</v>
      </c>
      <c r="BP324" s="22">
        <f t="shared" si="1871"/>
        <v>130228.10000000002</v>
      </c>
      <c r="BQ324" s="22">
        <f t="shared" si="1871"/>
        <v>130882.15499816011</v>
      </c>
      <c r="BR324" s="22">
        <f t="shared" si="1871"/>
        <v>120340.67</v>
      </c>
      <c r="BS324" s="22">
        <f t="shared" si="1871"/>
        <v>119441.73815570446</v>
      </c>
      <c r="BT324" s="22">
        <f t="shared" si="1871"/>
        <v>116339.51</v>
      </c>
      <c r="BU324" s="22">
        <f t="shared" si="1871"/>
        <v>117054.91978950848</v>
      </c>
      <c r="BV324" s="22">
        <f t="shared" si="1871"/>
        <v>116487.79</v>
      </c>
      <c r="BW324" s="22">
        <f t="shared" si="1871"/>
        <v>116257.18694540486</v>
      </c>
      <c r="BX324" s="22">
        <f t="shared" si="1871"/>
        <v>120525.36000000002</v>
      </c>
      <c r="BY324" s="22">
        <f t="shared" si="1871"/>
        <v>121087.28345558891</v>
      </c>
      <c r="BZ324" s="22">
        <f t="shared" si="1871"/>
        <v>107839.63000000003</v>
      </c>
      <c r="CA324" s="22">
        <f t="shared" si="1871"/>
        <v>107521.36351215866</v>
      </c>
      <c r="CB324" s="22">
        <f t="shared" si="1871"/>
        <v>107452.21</v>
      </c>
      <c r="CC324" s="22">
        <f t="shared" si="1871"/>
        <v>108262.96569822775</v>
      </c>
      <c r="CD324" s="22">
        <f t="shared" si="1871"/>
        <v>108533.71</v>
      </c>
      <c r="CE324" s="22">
        <f t="shared" si="1871"/>
        <v>108159.62992591983</v>
      </c>
      <c r="CF324" s="22">
        <f t="shared" ref="CF324:CG324" si="1873">CF315-CF323</f>
        <v>116973.07000000002</v>
      </c>
      <c r="CG324" s="22">
        <f t="shared" si="1873"/>
        <v>117319.74897102057</v>
      </c>
      <c r="CH324" s="22">
        <f t="shared" ref="CH324:CI324" si="1874">CH315-CH323</f>
        <v>117165.41</v>
      </c>
      <c r="CI324" s="22">
        <f t="shared" si="1874"/>
        <v>100292.21809248487</v>
      </c>
      <c r="CJ324" s="22">
        <f t="shared" ref="CJ324:DB324" si="1875">CJ315-CJ323</f>
        <v>127963.57999999996</v>
      </c>
      <c r="CK324" s="22">
        <f t="shared" si="1875"/>
        <v>134487.85907301368</v>
      </c>
      <c r="CL324" s="22">
        <f t="shared" ref="CL324" si="1876">CL315-CL323</f>
        <v>126499.31000000003</v>
      </c>
      <c r="CM324" s="21">
        <f t="shared" si="1875"/>
        <v>111373.84346360678</v>
      </c>
      <c r="CN324" s="21">
        <f t="shared" si="1875"/>
        <v>115167.58139904693</v>
      </c>
      <c r="CO324" s="21">
        <f t="shared" si="1875"/>
        <v>118368.04758849688</v>
      </c>
      <c r="CP324" s="21">
        <f t="shared" si="1875"/>
        <v>138476.83347325982</v>
      </c>
      <c r="CQ324" s="21">
        <f t="shared" si="1875"/>
        <v>118740.22245318821</v>
      </c>
      <c r="CR324" s="21">
        <f t="shared" si="1875"/>
        <v>124626.67049431254</v>
      </c>
      <c r="CS324" s="21">
        <f t="shared" si="1875"/>
        <v>130210.92397087798</v>
      </c>
      <c r="CT324" s="21">
        <f t="shared" si="1875"/>
        <v>151186.27950636926</v>
      </c>
      <c r="CU324" s="21">
        <f t="shared" si="1875"/>
        <v>131438.58664577926</v>
      </c>
      <c r="CV324" s="21">
        <f t="shared" si="1875"/>
        <v>140224.36729719691</v>
      </c>
      <c r="CW324" s="21">
        <f t="shared" si="1875"/>
        <v>148931.11389792361</v>
      </c>
      <c r="CX324" s="21">
        <f t="shared" si="1875"/>
        <v>174319.04765950952</v>
      </c>
      <c r="CY324" s="21">
        <f t="shared" si="1875"/>
        <v>151512.73480716225</v>
      </c>
      <c r="CZ324" s="21">
        <f t="shared" si="1875"/>
        <v>161662.26842081634</v>
      </c>
      <c r="DA324" s="21">
        <f t="shared" si="1875"/>
        <v>171707.07577945909</v>
      </c>
      <c r="DB324" s="21">
        <f t="shared" si="1875"/>
        <v>200970.12849096523</v>
      </c>
      <c r="DE324" s="126"/>
      <c r="DF324" s="22">
        <v>122725.51000000004</v>
      </c>
    </row>
    <row r="325" spans="1:110" s="23" customFormat="1" x14ac:dyDescent="0.2">
      <c r="AB325" s="24"/>
      <c r="AC325" s="24"/>
      <c r="AD325" s="24"/>
      <c r="AE325" s="24"/>
      <c r="CM325" s="24"/>
      <c r="CN325" s="24"/>
      <c r="CO325" s="24"/>
      <c r="CP325" s="24"/>
      <c r="CQ325" s="24"/>
      <c r="CR325" s="24"/>
      <c r="CS325" s="24"/>
      <c r="CT325" s="24"/>
      <c r="CU325" s="24"/>
      <c r="CV325" s="24"/>
      <c r="CW325" s="24"/>
      <c r="CX325" s="24"/>
      <c r="CY325" s="24"/>
      <c r="CZ325" s="24"/>
      <c r="DA325" s="24"/>
      <c r="DB325" s="24"/>
      <c r="DE325" s="123"/>
    </row>
    <row r="326" spans="1:110" s="23" customFormat="1" outlineLevel="1" x14ac:dyDescent="0.2">
      <c r="A326" s="23" t="s">
        <v>75</v>
      </c>
      <c r="B326" s="23">
        <f>'Annual Raw'!C75</f>
        <v>0</v>
      </c>
      <c r="C326" s="23">
        <f>'Annual Raw'!D75</f>
        <v>59.97</v>
      </c>
      <c r="D326" s="23">
        <f>'Annual Raw'!E75</f>
        <v>321.86</v>
      </c>
      <c r="E326" s="23">
        <f>'Annual Raw'!F75</f>
        <v>288.02999999999997</v>
      </c>
      <c r="F326" s="23">
        <f>'Annual Raw'!G75</f>
        <v>58.11</v>
      </c>
      <c r="G326" s="23">
        <f>'Annual Raw'!H75</f>
        <v>773.83</v>
      </c>
      <c r="H326" s="23">
        <f>'Annual Raw'!I75</f>
        <v>1524.49</v>
      </c>
      <c r="I326" s="23">
        <f>'Annual Raw'!J75</f>
        <v>4600.82</v>
      </c>
      <c r="J326" s="23">
        <f>'Annual Raw'!K75</f>
        <v>5228.24</v>
      </c>
      <c r="K326" s="23">
        <f>'Annual Raw'!L75</f>
        <v>8569.9</v>
      </c>
      <c r="L326" s="23">
        <f>'Annual Raw'!M75</f>
        <v>7712.44</v>
      </c>
      <c r="M326" s="23">
        <f>'Annual Raw'!N75</f>
        <v>7224.62</v>
      </c>
      <c r="N326" s="23">
        <f>'Annual Raw'!O75</f>
        <v>7543.31</v>
      </c>
      <c r="O326" s="23">
        <f>'Annual Raw'!P75</f>
        <v>6676.16</v>
      </c>
      <c r="P326" s="23">
        <f>'Annual Raw'!Q75</f>
        <v>7965.32</v>
      </c>
      <c r="Q326" s="23">
        <f>'Annual Raw'!R75</f>
        <v>7494.19</v>
      </c>
      <c r="R326" s="23">
        <f>'Annual Raw'!S75</f>
        <v>14300.22</v>
      </c>
      <c r="S326" s="23">
        <f>'Annual Raw'!T75</f>
        <v>9464.25</v>
      </c>
      <c r="T326" s="23">
        <f>'Annual Raw'!U75</f>
        <v>13946.17</v>
      </c>
      <c r="U326" s="23">
        <f>'Annual Raw'!V75</f>
        <v>12699.75</v>
      </c>
      <c r="V326" s="23">
        <f>'Annual Raw'!W75</f>
        <v>31011.23</v>
      </c>
      <c r="W326" s="23">
        <f>'Annual Raw'!X75</f>
        <v>29799.58</v>
      </c>
      <c r="X326" s="23">
        <f>'Annual Raw'!Y75</f>
        <v>35573.42</v>
      </c>
      <c r="Y326" s="23">
        <f>'Annual Raw'!Z75</f>
        <v>34957.629999999997</v>
      </c>
      <c r="Z326" s="23">
        <f>'Annual Raw'!AA75</f>
        <v>43360.62</v>
      </c>
      <c r="AA326" s="23">
        <f>'Annual Raw'!AB75</f>
        <v>59524.86</v>
      </c>
      <c r="AB326" s="24">
        <f t="shared" ref="AB326:AB327" si="1877">+CP326</f>
        <v>0</v>
      </c>
      <c r="AC326" s="24">
        <f t="shared" ref="AC326:AC327" si="1878">+CT326</f>
        <v>0</v>
      </c>
      <c r="AD326" s="24">
        <f t="shared" ref="AD326:AD327" si="1879">+CX326</f>
        <v>0</v>
      </c>
      <c r="AE326" s="24">
        <f t="shared" ref="AE326:AE327" si="1880">+DB326</f>
        <v>0</v>
      </c>
      <c r="AJ326" s="23">
        <f>+'QTR Raw'!D80</f>
        <v>5362.04</v>
      </c>
      <c r="AL326" s="23">
        <f>+'QTR Raw'!F80</f>
        <v>7543.31</v>
      </c>
      <c r="AN326" s="23">
        <f>+'QTR Raw'!H80</f>
        <v>7441.22</v>
      </c>
      <c r="AP326" s="23">
        <f>+'QTR Raw'!J80</f>
        <v>6676.16</v>
      </c>
      <c r="AR326" s="23">
        <f>+'QTR Raw'!L80</f>
        <v>7175.23</v>
      </c>
      <c r="AT326" s="23">
        <f>+'QTR Raw'!N80</f>
        <v>7965.32</v>
      </c>
      <c r="AV326" s="23">
        <f>+'QTR Raw'!P80</f>
        <v>9900.76</v>
      </c>
      <c r="AX326" s="23">
        <f>+'QTR Raw'!R80</f>
        <v>7494.19</v>
      </c>
      <c r="AZ326" s="23">
        <f>+'QTR Raw'!T80</f>
        <v>9758.0300000000007</v>
      </c>
      <c r="BB326" s="23">
        <f>+'QTR Raw'!V80</f>
        <v>14300.22</v>
      </c>
      <c r="BD326" s="23">
        <f>+'QTR Raw'!X80</f>
        <v>14412.88</v>
      </c>
      <c r="BF326" s="23">
        <f>+'QTR Raw'!Z80</f>
        <v>9464.25</v>
      </c>
      <c r="BH326" s="23">
        <f>+'QTR Raw'!AB80</f>
        <v>14061.86</v>
      </c>
      <c r="BJ326" s="23">
        <f>+'QTR Raw'!AD80</f>
        <v>13946.17</v>
      </c>
      <c r="BL326" s="23">
        <f>+'QTR Raw'!AF80</f>
        <v>7556.17</v>
      </c>
      <c r="BN326" s="23">
        <f>+'QTR Raw'!AH80</f>
        <v>12699.75</v>
      </c>
      <c r="BP326" s="23">
        <f>+'QTR Raw'!AJ80</f>
        <v>34745.360000000001</v>
      </c>
      <c r="BR326" s="23">
        <f>+'QTR Raw'!AL80</f>
        <v>31011.23</v>
      </c>
      <c r="BT326" s="23">
        <f>+'QTR Raw'!AN80</f>
        <v>28022.28</v>
      </c>
      <c r="BV326" s="23">
        <f>+'QTR Raw'!AP80</f>
        <v>29799.58</v>
      </c>
      <c r="BX326" s="23">
        <f>+'QTR Raw'!AR80</f>
        <v>28558.74</v>
      </c>
      <c r="BZ326" s="23">
        <f>+'QTR Raw'!AT80</f>
        <v>35573.42</v>
      </c>
      <c r="CB326" s="23">
        <f>+'QTR Raw'!AV80</f>
        <v>29331.919999999998</v>
      </c>
      <c r="CD326" s="23">
        <f>+'QTR Raw'!AX80</f>
        <v>34957.629999999997</v>
      </c>
      <c r="CF326" s="23">
        <f>+'QTR Raw'!AZ80</f>
        <v>38142.080000000002</v>
      </c>
      <c r="CH326" s="23">
        <f t="shared" ref="CH326:CH327" si="1881">Z326</f>
        <v>43360.62</v>
      </c>
      <c r="CJ326" s="23">
        <f>+'QTR Raw'!BD80</f>
        <v>44428.33</v>
      </c>
      <c r="CL326" s="23">
        <f>+'QTR Raw'!BF80</f>
        <v>59524.86</v>
      </c>
      <c r="CM326" s="24"/>
      <c r="CN326" s="24"/>
      <c r="CO326" s="24"/>
      <c r="CP326" s="24"/>
      <c r="CQ326" s="24"/>
      <c r="CR326" s="24"/>
      <c r="CS326" s="24"/>
      <c r="CT326" s="24"/>
      <c r="CU326" s="24"/>
      <c r="CV326" s="24"/>
      <c r="CW326" s="24"/>
      <c r="CX326" s="24"/>
      <c r="CY326" s="24"/>
      <c r="CZ326" s="24"/>
      <c r="DA326" s="24"/>
      <c r="DB326" s="24"/>
      <c r="DE326" s="123"/>
      <c r="DF326" s="23">
        <v>59524.86</v>
      </c>
    </row>
    <row r="327" spans="1:110" s="23" customFormat="1" outlineLevel="1" x14ac:dyDescent="0.2">
      <c r="A327" s="23" t="s">
        <v>76</v>
      </c>
      <c r="B327" s="23">
        <f>'Annual Raw'!C78</f>
        <v>138.88</v>
      </c>
      <c r="C327" s="23">
        <f>'Annual Raw'!D78</f>
        <v>289.52</v>
      </c>
      <c r="D327" s="23">
        <f>'Annual Raw'!E78</f>
        <v>457.81</v>
      </c>
      <c r="E327" s="23">
        <f>'Annual Raw'!F78</f>
        <v>537.20000000000005</v>
      </c>
      <c r="F327" s="23">
        <f>'Annual Raw'!G78</f>
        <v>988.2</v>
      </c>
      <c r="G327" s="23">
        <f>'Annual Raw'!H78</f>
        <v>815.99</v>
      </c>
      <c r="H327" s="23">
        <f>'Annual Raw'!I78</f>
        <v>1718.02</v>
      </c>
      <c r="I327" s="23">
        <f>'Annual Raw'!J78</f>
        <v>1560.78</v>
      </c>
      <c r="J327" s="23">
        <f>'Annual Raw'!K78</f>
        <v>1459.04</v>
      </c>
      <c r="K327" s="23">
        <f>'Annual Raw'!L78</f>
        <v>3321.59</v>
      </c>
      <c r="L327" s="23">
        <f>'Annual Raw'!M78</f>
        <v>3644.64</v>
      </c>
      <c r="M327" s="23">
        <f>'Annual Raw'!N78</f>
        <v>3378.58</v>
      </c>
      <c r="N327" s="23">
        <f>'Annual Raw'!O78</f>
        <v>3566.14</v>
      </c>
      <c r="O327" s="23">
        <f>'Annual Raw'!P78</f>
        <v>4096.57</v>
      </c>
      <c r="P327" s="23">
        <f>'Annual Raw'!Q78</f>
        <v>5756.21</v>
      </c>
      <c r="Q327" s="23">
        <f>'Annual Raw'!R78</f>
        <v>5389.91</v>
      </c>
      <c r="R327" s="23">
        <f>'Annual Raw'!S78</f>
        <v>5305.96</v>
      </c>
      <c r="S327" s="23">
        <f>'Annual Raw'!T78</f>
        <v>8032.73</v>
      </c>
      <c r="T327" s="23">
        <f>'Annual Raw'!U78</f>
        <v>11726.24</v>
      </c>
      <c r="U327" s="23">
        <f>'Annual Raw'!V78</f>
        <v>15117.78</v>
      </c>
      <c r="V327" s="23">
        <f>'Annual Raw'!W78</f>
        <v>16241.5</v>
      </c>
      <c r="W327" s="23">
        <f>'Annual Raw'!X78</f>
        <v>18953.169999999998</v>
      </c>
      <c r="X327" s="23">
        <f>'Annual Raw'!Y78</f>
        <v>22519.599999999999</v>
      </c>
      <c r="Y327" s="23">
        <f>'Annual Raw'!Z78</f>
        <v>15358.39</v>
      </c>
      <c r="Z327" s="23">
        <f>'Annual Raw'!AA78</f>
        <v>22965.34</v>
      </c>
      <c r="AA327" s="23">
        <f>'Annual Raw'!AB78</f>
        <v>20847.669999999998</v>
      </c>
      <c r="AB327" s="24">
        <f t="shared" si="1877"/>
        <v>88815.940468675326</v>
      </c>
      <c r="AC327" s="24">
        <f t="shared" si="1878"/>
        <v>101155.63326208452</v>
      </c>
      <c r="AD327" s="24">
        <f t="shared" si="1879"/>
        <v>108496.9168729232</v>
      </c>
      <c r="AE327" s="24">
        <f t="shared" si="1880"/>
        <v>118490.24785715363</v>
      </c>
      <c r="AJ327" s="23">
        <f>+'QTR Raw'!D83</f>
        <v>1737.3</v>
      </c>
      <c r="AK327" s="23">
        <f t="shared" ref="AK327:AM327" si="1882">+AK377</f>
        <v>8387.527730359634</v>
      </c>
      <c r="AL327" s="23">
        <f>+'QTR Raw'!F83</f>
        <v>3566.14</v>
      </c>
      <c r="AM327" s="23">
        <f t="shared" si="1882"/>
        <v>12136.27545903465</v>
      </c>
      <c r="AN327" s="23">
        <f>+'QTR Raw'!H83</f>
        <v>3612.77</v>
      </c>
      <c r="AO327" s="23">
        <f t="shared" ref="AO327" si="1883">+AO377</f>
        <v>10295.0907262129</v>
      </c>
      <c r="AP327" s="23">
        <f>+'QTR Raw'!J83</f>
        <v>4096.57</v>
      </c>
      <c r="AQ327" s="23">
        <f t="shared" ref="AQ327" si="1884">+AQ377</f>
        <v>15092.542164201255</v>
      </c>
      <c r="AR327" s="23">
        <f>+'QTR Raw'!L83</f>
        <v>4024.91</v>
      </c>
      <c r="AS327" s="23">
        <f t="shared" ref="AS327" si="1885">+AS377</f>
        <v>10594.434165033268</v>
      </c>
      <c r="AT327" s="23">
        <f>+'QTR Raw'!N83</f>
        <v>5756.21</v>
      </c>
      <c r="AU327" s="23">
        <f t="shared" ref="AU327" si="1886">+AU377</f>
        <v>17616.754389869959</v>
      </c>
      <c r="AV327" s="23">
        <f>+'QTR Raw'!P83</f>
        <v>5043.53</v>
      </c>
      <c r="AW327" s="23">
        <f t="shared" ref="AW327" si="1887">+AW377</f>
        <v>14064.33461951659</v>
      </c>
      <c r="AX327" s="23">
        <f>+'QTR Raw'!R83</f>
        <v>5389.91</v>
      </c>
      <c r="AY327" s="23">
        <f t="shared" ref="AY327" si="1888">+AY377</f>
        <v>14808.031590822458</v>
      </c>
      <c r="AZ327" s="23">
        <f>+'QTR Raw'!T83</f>
        <v>5380.83</v>
      </c>
      <c r="BA327" s="23">
        <f t="shared" ref="BA327" si="1889">+BA377</f>
        <v>15836.121803099237</v>
      </c>
      <c r="BB327" s="23">
        <f>+'QTR Raw'!V83</f>
        <v>5305.96</v>
      </c>
      <c r="BC327" s="23">
        <f t="shared" ref="BC327" si="1890">+BC377</f>
        <v>21394.329024250306</v>
      </c>
      <c r="BD327" s="23">
        <f>+'QTR Raw'!X83</f>
        <v>5351.76</v>
      </c>
      <c r="BE327" s="23">
        <f t="shared" ref="BE327" si="1891">+BE377</f>
        <v>20764.289421517042</v>
      </c>
      <c r="BF327" s="23">
        <f>+'QTR Raw'!Z83</f>
        <v>8032.73</v>
      </c>
      <c r="BG327" s="23">
        <f t="shared" ref="BG327" si="1892">+BG377</f>
        <v>18768.028986063699</v>
      </c>
      <c r="BH327" s="23">
        <f>+'QTR Raw'!AB83</f>
        <v>7512.73</v>
      </c>
      <c r="BI327" s="23">
        <f t="shared" ref="BI327" si="1893">+BI377</f>
        <v>23116.922723269014</v>
      </c>
      <c r="BJ327" s="23">
        <f>+'QTR Raw'!AD83</f>
        <v>11726.24</v>
      </c>
      <c r="BK327" s="23">
        <f t="shared" ref="BK327" si="1894">+BK377</f>
        <v>27228.626332839933</v>
      </c>
      <c r="BL327" s="23">
        <f>+'QTR Raw'!AF83</f>
        <v>8718.08</v>
      </c>
      <c r="BM327" s="23">
        <f t="shared" ref="BM327" si="1895">+BM377</f>
        <v>18493.728116707622</v>
      </c>
      <c r="BN327" s="23">
        <f>+'QTR Raw'!AH83</f>
        <v>15117.78</v>
      </c>
      <c r="BO327" s="23">
        <f t="shared" ref="BO327" si="1896">+BO377</f>
        <v>29593.050444069959</v>
      </c>
      <c r="BP327" s="23">
        <f>+'QTR Raw'!AJ83</f>
        <v>12049.37</v>
      </c>
      <c r="BQ327" s="23">
        <f t="shared" ref="BQ327" si="1897">+BQ377</f>
        <v>48607.38500183991</v>
      </c>
      <c r="BR327" s="23">
        <f>+'QTR Raw'!AL83</f>
        <v>16241.5</v>
      </c>
      <c r="BS327" s="23">
        <f t="shared" ref="BS327" si="1898">+BS377</f>
        <v>49326.101844295539</v>
      </c>
      <c r="BT327" s="23">
        <f>+'QTR Raw'!AN83</f>
        <v>17446.400000000001</v>
      </c>
      <c r="BU327" s="23">
        <f t="shared" ref="BU327" si="1899">+BU377</f>
        <v>46808.01021049152</v>
      </c>
      <c r="BV327" s="23">
        <f>+'QTR Raw'!AP83</f>
        <v>18953.169999999998</v>
      </c>
      <c r="BW327" s="23">
        <f t="shared" ref="BW327" si="1900">+BW377</f>
        <v>50685.423054595129</v>
      </c>
      <c r="BX327" s="23">
        <f>+'QTR Raw'!AR83</f>
        <v>17577.82</v>
      </c>
      <c r="BY327" s="23">
        <f t="shared" ref="BY327" si="1901">+BY377</f>
        <v>48127.556544411105</v>
      </c>
      <c r="BZ327" s="23">
        <f>+'QTR Raw'!AT83</f>
        <v>22519.599999999999</v>
      </c>
      <c r="CA327" s="23">
        <f t="shared" ref="CA327" si="1902">+CA377</f>
        <v>60904.286487841367</v>
      </c>
      <c r="CB327" s="23">
        <f>+'QTR Raw'!AV83</f>
        <v>18020.09</v>
      </c>
      <c r="CC327" s="23">
        <f t="shared" ref="CC327" si="1903">+CC377</f>
        <v>49488.614301772242</v>
      </c>
      <c r="CD327" s="23">
        <f>+'QTR Raw'!AX83</f>
        <v>15358.39</v>
      </c>
      <c r="CE327" s="23">
        <f t="shared" ref="CE327" si="1904">+CE377</f>
        <v>53475.820074080184</v>
      </c>
      <c r="CF327" s="23">
        <f>+'QTR Raw'!AZ83</f>
        <v>17297.02</v>
      </c>
      <c r="CG327" s="23">
        <f t="shared" ref="CG327:CI327" si="1905">+CG377</f>
        <v>58451.261028979454</v>
      </c>
      <c r="CH327" s="23">
        <f t="shared" si="1881"/>
        <v>22965.34</v>
      </c>
      <c r="CI327" s="23">
        <f t="shared" si="1905"/>
        <v>87849.641907515135</v>
      </c>
      <c r="CJ327" s="23">
        <f>+'QTR Raw'!BD83</f>
        <v>18695.27</v>
      </c>
      <c r="CK327" s="23">
        <f t="shared" ref="CK327:DB327" si="1906">+CK377</f>
        <v>60786.170926986277</v>
      </c>
      <c r="CL327" s="23">
        <f>+'QTR Raw'!BF83</f>
        <v>20847.669999999998</v>
      </c>
      <c r="CM327" s="24">
        <f t="shared" si="1906"/>
        <v>99829.765094848583</v>
      </c>
      <c r="CN327" s="24">
        <f t="shared" si="1906"/>
        <v>100879.23199033772</v>
      </c>
      <c r="CO327" s="24">
        <f t="shared" si="1906"/>
        <v>102813.42436480173</v>
      </c>
      <c r="CP327" s="24">
        <f t="shared" si="1906"/>
        <v>88815.940468675326</v>
      </c>
      <c r="CQ327" s="24">
        <f t="shared" si="1906"/>
        <v>113746.645398547</v>
      </c>
      <c r="CR327" s="24">
        <f t="shared" si="1906"/>
        <v>113727.62627930773</v>
      </c>
      <c r="CS327" s="24">
        <f t="shared" si="1906"/>
        <v>114447.52193979266</v>
      </c>
      <c r="CT327" s="24">
        <f t="shared" si="1906"/>
        <v>101155.63326208452</v>
      </c>
      <c r="CU327" s="24">
        <f t="shared" si="1906"/>
        <v>127264.31069648857</v>
      </c>
      <c r="CV327" s="24">
        <f t="shared" si="1906"/>
        <v>125633.43847684146</v>
      </c>
      <c r="CW327" s="24">
        <f t="shared" si="1906"/>
        <v>124609.05875798491</v>
      </c>
      <c r="CX327" s="24">
        <f t="shared" si="1906"/>
        <v>108496.9168729232</v>
      </c>
      <c r="CY327" s="24">
        <f t="shared" si="1906"/>
        <v>138994.02490968927</v>
      </c>
      <c r="CZ327" s="24">
        <f t="shared" si="1906"/>
        <v>137470.05401026766</v>
      </c>
      <c r="DA327" s="24">
        <f t="shared" si="1906"/>
        <v>136669.84516052797</v>
      </c>
      <c r="DB327" s="24">
        <f t="shared" si="1906"/>
        <v>118490.24785715363</v>
      </c>
      <c r="DE327" s="123"/>
      <c r="DF327" s="23">
        <v>20847.669999999998</v>
      </c>
    </row>
    <row r="328" spans="1:110" s="22" customFormat="1" x14ac:dyDescent="0.2">
      <c r="A328" s="22" t="s">
        <v>77</v>
      </c>
      <c r="B328" s="22">
        <f>B326+B327</f>
        <v>138.88</v>
      </c>
      <c r="C328" s="22">
        <f t="shared" ref="C328:V328" si="1907">C326+C327</f>
        <v>349.49</v>
      </c>
      <c r="D328" s="22">
        <f t="shared" si="1907"/>
        <v>779.67000000000007</v>
      </c>
      <c r="E328" s="22">
        <f t="shared" si="1907"/>
        <v>825.23</v>
      </c>
      <c r="F328" s="22">
        <f t="shared" si="1907"/>
        <v>1046.31</v>
      </c>
      <c r="G328" s="22">
        <f t="shared" si="1907"/>
        <v>1589.8200000000002</v>
      </c>
      <c r="H328" s="22">
        <f t="shared" si="1907"/>
        <v>3242.51</v>
      </c>
      <c r="I328" s="22">
        <f t="shared" si="1907"/>
        <v>6161.5999999999995</v>
      </c>
      <c r="J328" s="22">
        <f t="shared" si="1907"/>
        <v>6687.28</v>
      </c>
      <c r="K328" s="22">
        <f t="shared" si="1907"/>
        <v>11891.49</v>
      </c>
      <c r="L328" s="22">
        <f t="shared" si="1907"/>
        <v>11357.08</v>
      </c>
      <c r="M328" s="22">
        <f t="shared" si="1907"/>
        <v>10603.2</v>
      </c>
      <c r="N328" s="22">
        <f t="shared" si="1907"/>
        <v>11109.45</v>
      </c>
      <c r="O328" s="22">
        <f t="shared" si="1907"/>
        <v>10772.73</v>
      </c>
      <c r="P328" s="22">
        <f t="shared" si="1907"/>
        <v>13721.529999999999</v>
      </c>
      <c r="Q328" s="22">
        <f t="shared" si="1907"/>
        <v>12884.099999999999</v>
      </c>
      <c r="R328" s="22">
        <f t="shared" si="1907"/>
        <v>19606.18</v>
      </c>
      <c r="S328" s="22">
        <f t="shared" si="1907"/>
        <v>17496.98</v>
      </c>
      <c r="T328" s="22">
        <f t="shared" si="1907"/>
        <v>25672.41</v>
      </c>
      <c r="U328" s="22">
        <f t="shared" si="1907"/>
        <v>27817.53</v>
      </c>
      <c r="V328" s="22">
        <f t="shared" si="1907"/>
        <v>47252.729999999996</v>
      </c>
      <c r="W328" s="22">
        <f t="shared" ref="W328" si="1908">W326+W327</f>
        <v>48752.75</v>
      </c>
      <c r="X328" s="22">
        <f t="shared" ref="X328:Y328" si="1909">X326+X327</f>
        <v>58093.02</v>
      </c>
      <c r="Y328" s="22">
        <f t="shared" si="1909"/>
        <v>50316.02</v>
      </c>
      <c r="Z328" s="22">
        <f t="shared" ref="Z328:AA328" si="1910">Z326+Z327</f>
        <v>66325.960000000006</v>
      </c>
      <c r="AA328" s="22">
        <f t="shared" si="1910"/>
        <v>80372.53</v>
      </c>
      <c r="AB328" s="21">
        <f t="shared" ref="AB328:AD328" si="1911">AB326+AB327</f>
        <v>88815.940468675326</v>
      </c>
      <c r="AC328" s="21">
        <f t="shared" si="1911"/>
        <v>101155.63326208452</v>
      </c>
      <c r="AD328" s="21">
        <f t="shared" si="1911"/>
        <v>108496.9168729232</v>
      </c>
      <c r="AE328" s="21">
        <f t="shared" ref="AE328" si="1912">AE326+AE327</f>
        <v>118490.24785715363</v>
      </c>
      <c r="AJ328" s="22">
        <f t="shared" ref="AJ328" si="1913">AJ326+AJ327</f>
        <v>7099.34</v>
      </c>
      <c r="AK328" s="22">
        <f t="shared" ref="AK328" si="1914">AK326+AK327</f>
        <v>8387.527730359634</v>
      </c>
      <c r="AL328" s="22">
        <f t="shared" ref="AL328:AM328" si="1915">AL326+AL327</f>
        <v>11109.45</v>
      </c>
      <c r="AM328" s="22">
        <f t="shared" si="1915"/>
        <v>12136.27545903465</v>
      </c>
      <c r="AN328" s="22">
        <f t="shared" ref="AN328:AO328" si="1916">AN326+AN327</f>
        <v>11053.99</v>
      </c>
      <c r="AO328" s="22">
        <f t="shared" si="1916"/>
        <v>10295.0907262129</v>
      </c>
      <c r="AP328" s="22">
        <f t="shared" ref="AP328:CE328" si="1917">AP326+AP327</f>
        <v>10772.73</v>
      </c>
      <c r="AQ328" s="22">
        <f t="shared" si="1917"/>
        <v>15092.542164201255</v>
      </c>
      <c r="AR328" s="22">
        <f t="shared" si="1917"/>
        <v>11200.14</v>
      </c>
      <c r="AS328" s="22">
        <f t="shared" si="1917"/>
        <v>10594.434165033268</v>
      </c>
      <c r="AT328" s="22">
        <f t="shared" si="1917"/>
        <v>13721.529999999999</v>
      </c>
      <c r="AU328" s="22">
        <f t="shared" si="1917"/>
        <v>17616.754389869959</v>
      </c>
      <c r="AV328" s="22">
        <f t="shared" si="1917"/>
        <v>14944.29</v>
      </c>
      <c r="AW328" s="22">
        <f t="shared" si="1917"/>
        <v>14064.33461951659</v>
      </c>
      <c r="AX328" s="22">
        <f t="shared" si="1917"/>
        <v>12884.099999999999</v>
      </c>
      <c r="AY328" s="22">
        <f t="shared" si="1917"/>
        <v>14808.031590822458</v>
      </c>
      <c r="AZ328" s="22">
        <f t="shared" si="1917"/>
        <v>15138.86</v>
      </c>
      <c r="BA328" s="22">
        <f t="shared" si="1917"/>
        <v>15836.121803099237</v>
      </c>
      <c r="BB328" s="22">
        <f t="shared" si="1917"/>
        <v>19606.18</v>
      </c>
      <c r="BC328" s="22">
        <f t="shared" si="1917"/>
        <v>21394.329024250306</v>
      </c>
      <c r="BD328" s="22">
        <f t="shared" si="1917"/>
        <v>19764.64</v>
      </c>
      <c r="BE328" s="22">
        <f t="shared" si="1917"/>
        <v>20764.289421517042</v>
      </c>
      <c r="BF328" s="22">
        <f t="shared" si="1917"/>
        <v>17496.98</v>
      </c>
      <c r="BG328" s="22">
        <f t="shared" si="1917"/>
        <v>18768.028986063699</v>
      </c>
      <c r="BH328" s="22">
        <f t="shared" si="1917"/>
        <v>21574.59</v>
      </c>
      <c r="BI328" s="22">
        <f t="shared" si="1917"/>
        <v>23116.922723269014</v>
      </c>
      <c r="BJ328" s="22">
        <f t="shared" si="1917"/>
        <v>25672.41</v>
      </c>
      <c r="BK328" s="22">
        <f t="shared" si="1917"/>
        <v>27228.626332839933</v>
      </c>
      <c r="BL328" s="22">
        <f t="shared" si="1917"/>
        <v>16274.25</v>
      </c>
      <c r="BM328" s="22">
        <f t="shared" si="1917"/>
        <v>18493.728116707622</v>
      </c>
      <c r="BN328" s="22">
        <f t="shared" si="1917"/>
        <v>27817.53</v>
      </c>
      <c r="BO328" s="22">
        <f t="shared" si="1917"/>
        <v>29593.050444069959</v>
      </c>
      <c r="BP328" s="22">
        <f t="shared" si="1917"/>
        <v>46794.73</v>
      </c>
      <c r="BQ328" s="22">
        <f t="shared" si="1917"/>
        <v>48607.38500183991</v>
      </c>
      <c r="BR328" s="22">
        <f t="shared" si="1917"/>
        <v>47252.729999999996</v>
      </c>
      <c r="BS328" s="22">
        <f t="shared" si="1917"/>
        <v>49326.101844295539</v>
      </c>
      <c r="BT328" s="22">
        <f t="shared" si="1917"/>
        <v>45468.68</v>
      </c>
      <c r="BU328" s="22">
        <f t="shared" si="1917"/>
        <v>46808.01021049152</v>
      </c>
      <c r="BV328" s="22">
        <f t="shared" si="1917"/>
        <v>48752.75</v>
      </c>
      <c r="BW328" s="22">
        <f t="shared" si="1917"/>
        <v>50685.423054595129</v>
      </c>
      <c r="BX328" s="22">
        <f t="shared" si="1917"/>
        <v>46136.56</v>
      </c>
      <c r="BY328" s="22">
        <f t="shared" si="1917"/>
        <v>48127.556544411105</v>
      </c>
      <c r="BZ328" s="22">
        <f t="shared" si="1917"/>
        <v>58093.02</v>
      </c>
      <c r="CA328" s="22">
        <f t="shared" si="1917"/>
        <v>60904.286487841367</v>
      </c>
      <c r="CB328" s="22">
        <f t="shared" si="1917"/>
        <v>47352.009999999995</v>
      </c>
      <c r="CC328" s="22">
        <f t="shared" si="1917"/>
        <v>49488.614301772242</v>
      </c>
      <c r="CD328" s="22">
        <f t="shared" si="1917"/>
        <v>50316.02</v>
      </c>
      <c r="CE328" s="22">
        <f t="shared" si="1917"/>
        <v>53475.820074080184</v>
      </c>
      <c r="CF328" s="22">
        <f t="shared" ref="CF328:CG328" si="1918">CF326+CF327</f>
        <v>55439.100000000006</v>
      </c>
      <c r="CG328" s="22">
        <f t="shared" si="1918"/>
        <v>58451.261028979454</v>
      </c>
      <c r="CH328" s="22">
        <f t="shared" ref="CH328:CI328" si="1919">CH326+CH327</f>
        <v>66325.960000000006</v>
      </c>
      <c r="CI328" s="22">
        <f t="shared" si="1919"/>
        <v>87849.641907515135</v>
      </c>
      <c r="CJ328" s="22">
        <f t="shared" ref="CJ328:DB328" si="1920">CJ326+CJ327</f>
        <v>63123.600000000006</v>
      </c>
      <c r="CK328" s="22">
        <f t="shared" si="1920"/>
        <v>60786.170926986277</v>
      </c>
      <c r="CL328" s="22">
        <f t="shared" ref="CL328" si="1921">CL326+CL327</f>
        <v>80372.53</v>
      </c>
      <c r="CM328" s="21">
        <f t="shared" si="1920"/>
        <v>99829.765094848583</v>
      </c>
      <c r="CN328" s="21">
        <f t="shared" si="1920"/>
        <v>100879.23199033772</v>
      </c>
      <c r="CO328" s="21">
        <f t="shared" si="1920"/>
        <v>102813.42436480173</v>
      </c>
      <c r="CP328" s="21">
        <f t="shared" si="1920"/>
        <v>88815.940468675326</v>
      </c>
      <c r="CQ328" s="21">
        <f t="shared" si="1920"/>
        <v>113746.645398547</v>
      </c>
      <c r="CR328" s="21">
        <f t="shared" si="1920"/>
        <v>113727.62627930773</v>
      </c>
      <c r="CS328" s="21">
        <f t="shared" si="1920"/>
        <v>114447.52193979266</v>
      </c>
      <c r="CT328" s="21">
        <f t="shared" si="1920"/>
        <v>101155.63326208452</v>
      </c>
      <c r="CU328" s="21">
        <f t="shared" si="1920"/>
        <v>127264.31069648857</v>
      </c>
      <c r="CV328" s="21">
        <f t="shared" si="1920"/>
        <v>125633.43847684146</v>
      </c>
      <c r="CW328" s="21">
        <f t="shared" si="1920"/>
        <v>124609.05875798491</v>
      </c>
      <c r="CX328" s="21">
        <f t="shared" si="1920"/>
        <v>108496.9168729232</v>
      </c>
      <c r="CY328" s="21">
        <f t="shared" si="1920"/>
        <v>138994.02490968927</v>
      </c>
      <c r="CZ328" s="21">
        <f t="shared" si="1920"/>
        <v>137470.05401026766</v>
      </c>
      <c r="DA328" s="21">
        <f t="shared" si="1920"/>
        <v>136669.84516052797</v>
      </c>
      <c r="DB328" s="21">
        <f t="shared" si="1920"/>
        <v>118490.24785715363</v>
      </c>
      <c r="DE328" s="126"/>
      <c r="DF328" s="22">
        <v>80372.53</v>
      </c>
    </row>
    <row r="329" spans="1:110" s="23" customFormat="1" x14ac:dyDescent="0.2">
      <c r="AB329" s="24"/>
      <c r="AC329" s="24"/>
      <c r="AD329" s="24"/>
      <c r="AE329" s="24"/>
      <c r="CM329" s="24"/>
      <c r="CN329" s="24"/>
      <c r="CO329" s="24"/>
      <c r="CP329" s="24"/>
      <c r="CQ329" s="24"/>
      <c r="CR329" s="24"/>
      <c r="CS329" s="24"/>
      <c r="CT329" s="24"/>
      <c r="CU329" s="24"/>
      <c r="CV329" s="24"/>
      <c r="CW329" s="24"/>
      <c r="CX329" s="24"/>
      <c r="CY329" s="24"/>
      <c r="CZ329" s="24"/>
      <c r="DA329" s="24"/>
      <c r="DB329" s="24"/>
      <c r="DE329" s="123"/>
    </row>
    <row r="330" spans="1:110" s="23" customFormat="1" x14ac:dyDescent="0.2">
      <c r="A330" s="23" t="s">
        <v>78</v>
      </c>
      <c r="B330" s="23">
        <f>-'Annual Raw'!C49</f>
        <v>0</v>
      </c>
      <c r="C330" s="23">
        <f>-'Annual Raw'!D49</f>
        <v>-927.92</v>
      </c>
      <c r="D330" s="23">
        <f>-'Annual Raw'!E49</f>
        <v>-913.01</v>
      </c>
      <c r="E330" s="23">
        <f>-'Annual Raw'!F49</f>
        <v>-213.51</v>
      </c>
      <c r="F330" s="23">
        <f>-'Annual Raw'!G49</f>
        <v>-137.58000000000001</v>
      </c>
      <c r="G330" s="23">
        <f>-'Annual Raw'!H49</f>
        <v>-126.75</v>
      </c>
      <c r="H330" s="23">
        <f>-'Annual Raw'!I49</f>
        <v>-107.41</v>
      </c>
      <c r="I330" s="23">
        <f>-'Annual Raw'!J49</f>
        <v>-121.72</v>
      </c>
      <c r="J330" s="23">
        <f>-'Annual Raw'!K49</f>
        <v>-130.83000000000001</v>
      </c>
      <c r="K330" s="23">
        <f>-'Annual Raw'!L49</f>
        <v>-153.03</v>
      </c>
      <c r="L330" s="23">
        <f>-'Annual Raw'!M49</f>
        <v>-310.92</v>
      </c>
      <c r="M330" s="23">
        <f>-'Annual Raw'!N49</f>
        <v>-81.84</v>
      </c>
      <c r="N330" s="23">
        <f>-'Annual Raw'!O49</f>
        <v>-183.67</v>
      </c>
      <c r="O330" s="23">
        <f>-'Annual Raw'!P49</f>
        <v>-337.46</v>
      </c>
      <c r="P330" s="23">
        <f>-'Annual Raw'!Q49</f>
        <v>184.64</v>
      </c>
      <c r="Q330" s="23">
        <f>-'Annual Raw'!R49</f>
        <v>736.43</v>
      </c>
      <c r="R330" s="23">
        <f>-'Annual Raw'!S49</f>
        <v>1125.2</v>
      </c>
      <c r="S330" s="23">
        <f>-'Annual Raw'!T49</f>
        <v>2117</v>
      </c>
      <c r="T330" s="23">
        <f>-'Annual Raw'!U49</f>
        <v>3107.8</v>
      </c>
      <c r="U330" s="23">
        <f>-'Annual Raw'!V49</f>
        <v>2393.54</v>
      </c>
      <c r="V330" s="23">
        <f>-'Annual Raw'!W49</f>
        <v>1518.34</v>
      </c>
      <c r="W330" s="23">
        <f>-'Annual Raw'!X49</f>
        <v>1800.77</v>
      </c>
      <c r="X330" s="23">
        <f>-'Annual Raw'!Y49</f>
        <v>3354.36</v>
      </c>
      <c r="Y330" s="23">
        <f>-'Annual Raw'!Z49</f>
        <v>3330.09</v>
      </c>
      <c r="Z330" s="23">
        <f>-'Annual Raw'!AA49</f>
        <v>3382.87</v>
      </c>
      <c r="AA330" s="23">
        <f>-'Annual Raw'!AB49</f>
        <v>4085.65</v>
      </c>
      <c r="AB330" s="24">
        <f t="shared" ref="AB330:AB331" si="1922">+CP330</f>
        <v>4085.65</v>
      </c>
      <c r="AC330" s="24">
        <f t="shared" ref="AC330:AC331" si="1923">+CT330</f>
        <v>4085.65</v>
      </c>
      <c r="AD330" s="24">
        <f t="shared" ref="AD330:AD331" si="1924">+CX330</f>
        <v>4085.65</v>
      </c>
      <c r="AE330" s="24">
        <f t="shared" ref="AE330:AE331" si="1925">+DB330</f>
        <v>4085.65</v>
      </c>
      <c r="AJ330" s="23">
        <f>+'QTR Raw'!D96</f>
        <v>-148.07</v>
      </c>
      <c r="AK330" s="23">
        <f t="shared" ref="AK330:CE330" si="1926">+AJ330</f>
        <v>-148.07</v>
      </c>
      <c r="AL330" s="23">
        <f>+'QTR Raw'!F96</f>
        <v>-183.67</v>
      </c>
      <c r="AM330" s="23">
        <f t="shared" si="1926"/>
        <v>-183.67</v>
      </c>
      <c r="AN330" s="23">
        <f>+'QTR Raw'!H96</f>
        <v>-80.17</v>
      </c>
      <c r="AO330" s="23">
        <f t="shared" si="1926"/>
        <v>-80.17</v>
      </c>
      <c r="AP330" s="23">
        <f>+'QTR Raw'!J96</f>
        <v>-337.46</v>
      </c>
      <c r="AQ330" s="23">
        <f t="shared" si="1926"/>
        <v>-337.46</v>
      </c>
      <c r="AR330" s="23">
        <f>+'QTR Raw'!L96</f>
        <v>23.74</v>
      </c>
      <c r="AS330" s="23">
        <f t="shared" si="1926"/>
        <v>23.74</v>
      </c>
      <c r="AT330" s="23">
        <f>+'QTR Raw'!N96</f>
        <v>184.64</v>
      </c>
      <c r="AU330" s="23">
        <f t="shared" si="1926"/>
        <v>184.64</v>
      </c>
      <c r="AV330" s="23">
        <f>+'QTR Raw'!P96</f>
        <v>159.62</v>
      </c>
      <c r="AW330" s="23">
        <f t="shared" si="1926"/>
        <v>159.62</v>
      </c>
      <c r="AX330" s="23">
        <f>+'QTR Raw'!R96</f>
        <v>736.43</v>
      </c>
      <c r="AY330" s="23">
        <f t="shared" si="1926"/>
        <v>736.43</v>
      </c>
      <c r="AZ330" s="23">
        <f>+'QTR Raw'!T96</f>
        <v>699.64</v>
      </c>
      <c r="BA330" s="23">
        <f t="shared" si="1926"/>
        <v>699.64</v>
      </c>
      <c r="BB330" s="23">
        <f>+'QTR Raw'!V96</f>
        <v>1125.2</v>
      </c>
      <c r="BC330" s="23">
        <f t="shared" si="1926"/>
        <v>1125.2</v>
      </c>
      <c r="BD330" s="23">
        <f>+'QTR Raw'!X96</f>
        <v>1149.49</v>
      </c>
      <c r="BE330" s="23">
        <f t="shared" si="1926"/>
        <v>1149.49</v>
      </c>
      <c r="BF330" s="23">
        <f>+'QTR Raw'!Z96</f>
        <v>2117</v>
      </c>
      <c r="BG330" s="23">
        <f t="shared" si="1926"/>
        <v>2117</v>
      </c>
      <c r="BH330" s="23">
        <f>+'QTR Raw'!AB96</f>
        <v>2869.81</v>
      </c>
      <c r="BI330" s="23">
        <f t="shared" si="1926"/>
        <v>2869.81</v>
      </c>
      <c r="BJ330" s="23">
        <f>+'QTR Raw'!AD96</f>
        <v>3107.8</v>
      </c>
      <c r="BK330" s="23">
        <f t="shared" si="1926"/>
        <v>3107.8</v>
      </c>
      <c r="BL330" s="23">
        <f>+'QTR Raw'!AF96</f>
        <v>1969.53</v>
      </c>
      <c r="BM330" s="23">
        <f t="shared" si="1926"/>
        <v>1969.53</v>
      </c>
      <c r="BN330" s="23">
        <f>+'QTR Raw'!AH96</f>
        <v>2393.54</v>
      </c>
      <c r="BO330" s="23">
        <f t="shared" si="1926"/>
        <v>2393.54</v>
      </c>
      <c r="BP330" s="23">
        <f>+'QTR Raw'!AJ96</f>
        <v>2071.86</v>
      </c>
      <c r="BQ330" s="23">
        <f t="shared" si="1926"/>
        <v>2071.86</v>
      </c>
      <c r="BR330" s="23">
        <f>+'QTR Raw'!AL96</f>
        <v>1518.34</v>
      </c>
      <c r="BS330" s="23">
        <f t="shared" si="1926"/>
        <v>1518.34</v>
      </c>
      <c r="BT330" s="23">
        <f>+'QTR Raw'!AN96</f>
        <v>1505.51</v>
      </c>
      <c r="BU330" s="23">
        <f t="shared" si="1926"/>
        <v>1505.51</v>
      </c>
      <c r="BV330" s="23">
        <f>+'QTR Raw'!AP96</f>
        <v>1800.77</v>
      </c>
      <c r="BW330" s="23">
        <f t="shared" si="1926"/>
        <v>1800.77</v>
      </c>
      <c r="BX330" s="23">
        <f>+'QTR Raw'!AR96</f>
        <v>2757.83</v>
      </c>
      <c r="BY330" s="23">
        <f t="shared" si="1926"/>
        <v>2757.83</v>
      </c>
      <c r="BZ330" s="23">
        <f>+'QTR Raw'!AT96</f>
        <v>3354.36</v>
      </c>
      <c r="CA330" s="23">
        <f t="shared" si="1926"/>
        <v>3354.36</v>
      </c>
      <c r="CB330" s="23">
        <f>+'QTR Raw'!AV96</f>
        <v>3345.72</v>
      </c>
      <c r="CC330" s="23">
        <f t="shared" si="1926"/>
        <v>3345.72</v>
      </c>
      <c r="CD330" s="23">
        <f>+'QTR Raw'!AX96</f>
        <v>3330.09</v>
      </c>
      <c r="CE330" s="23">
        <f t="shared" si="1926"/>
        <v>3330.09</v>
      </c>
      <c r="CF330" s="23">
        <f>+'QTR Raw'!AZ96</f>
        <v>3367.03</v>
      </c>
      <c r="CG330" s="23">
        <f t="shared" ref="CG330:CI331" si="1927">+CF330</f>
        <v>3367.03</v>
      </c>
      <c r="CH330" s="23">
        <f t="shared" ref="CH330:CH331" si="1928">Z330</f>
        <v>3382.87</v>
      </c>
      <c r="CI330" s="23">
        <f t="shared" si="1927"/>
        <v>3382.87</v>
      </c>
      <c r="CJ330" s="23">
        <f>+'QTR Raw'!BD96</f>
        <v>3336.01</v>
      </c>
      <c r="CK330" s="23">
        <f t="shared" ref="CK330:CK331" si="1929">+CJ330</f>
        <v>3336.01</v>
      </c>
      <c r="CL330" s="23">
        <f>+'QTR Raw'!BF96</f>
        <v>4085.65</v>
      </c>
      <c r="CM330" s="24">
        <f t="shared" ref="CM330:CM331" si="1930">+CL330</f>
        <v>4085.65</v>
      </c>
      <c r="CN330" s="24">
        <f t="shared" ref="CN330:CN331" si="1931">+CM330</f>
        <v>4085.65</v>
      </c>
      <c r="CO330" s="24">
        <f t="shared" ref="CO330:CO331" si="1932">+CN330</f>
        <v>4085.65</v>
      </c>
      <c r="CP330" s="24">
        <f t="shared" ref="CP330:CP331" si="1933">+CO330</f>
        <v>4085.65</v>
      </c>
      <c r="CQ330" s="24">
        <f t="shared" ref="CQ330:CQ331" si="1934">+CP330</f>
        <v>4085.65</v>
      </c>
      <c r="CR330" s="24">
        <f t="shared" ref="CR330:CR331" si="1935">+CQ330</f>
        <v>4085.65</v>
      </c>
      <c r="CS330" s="24">
        <f t="shared" ref="CS330:CS331" si="1936">+CR330</f>
        <v>4085.65</v>
      </c>
      <c r="CT330" s="24">
        <f t="shared" ref="CT330:CT331" si="1937">+CS330</f>
        <v>4085.65</v>
      </c>
      <c r="CU330" s="24">
        <f t="shared" ref="CU330:CU331" si="1938">+CT330</f>
        <v>4085.65</v>
      </c>
      <c r="CV330" s="24">
        <f t="shared" ref="CV330:CV331" si="1939">+CU330</f>
        <v>4085.65</v>
      </c>
      <c r="CW330" s="24">
        <f t="shared" ref="CW330:CW331" si="1940">+CV330</f>
        <v>4085.65</v>
      </c>
      <c r="CX330" s="24">
        <f t="shared" ref="CX330:CX331" si="1941">+CW330</f>
        <v>4085.65</v>
      </c>
      <c r="CY330" s="24">
        <f t="shared" ref="CY330:CY331" si="1942">+CX330</f>
        <v>4085.65</v>
      </c>
      <c r="CZ330" s="24">
        <f t="shared" ref="CZ330:CZ331" si="1943">+CY330</f>
        <v>4085.65</v>
      </c>
      <c r="DA330" s="24">
        <f t="shared" ref="DA330:DA331" si="1944">+CZ330</f>
        <v>4085.65</v>
      </c>
      <c r="DB330" s="24">
        <f t="shared" ref="DB330:DB331" si="1945">+DA330</f>
        <v>4085.65</v>
      </c>
      <c r="DE330" s="123"/>
      <c r="DF330" s="23">
        <v>4085.65</v>
      </c>
    </row>
    <row r="331" spans="1:110" s="23" customFormat="1" x14ac:dyDescent="0.2">
      <c r="A331" s="23" t="s">
        <v>79</v>
      </c>
      <c r="B331" s="23">
        <f>'Annual Raw'!C83</f>
        <v>43.51</v>
      </c>
      <c r="C331" s="23">
        <f>'Annual Raw'!D83</f>
        <v>75.540000000000006</v>
      </c>
      <c r="D331" s="23">
        <f>'Annual Raw'!E83</f>
        <v>106.19</v>
      </c>
      <c r="E331" s="23">
        <f>'Annual Raw'!F83</f>
        <v>47.93</v>
      </c>
      <c r="F331" s="23">
        <f>'Annual Raw'!G83</f>
        <v>40.729999999999997</v>
      </c>
      <c r="G331" s="23">
        <f>'Annual Raw'!H83</f>
        <v>24.01</v>
      </c>
      <c r="H331" s="23">
        <f>'Annual Raw'!I83</f>
        <v>17.079999999999998</v>
      </c>
      <c r="I331" s="23">
        <f>'Annual Raw'!J83</f>
        <v>28.54</v>
      </c>
      <c r="J331" s="23">
        <f>'Annual Raw'!K83</f>
        <v>0.28000000000000003</v>
      </c>
      <c r="K331" s="23">
        <f>'Annual Raw'!L83</f>
        <v>0</v>
      </c>
      <c r="L331" s="23">
        <f>'Annual Raw'!M83</f>
        <v>10.79</v>
      </c>
      <c r="M331" s="23">
        <f>'Annual Raw'!N83</f>
        <v>76.09</v>
      </c>
      <c r="N331" s="23">
        <f>'Annual Raw'!O83</f>
        <v>92.68</v>
      </c>
      <c r="O331" s="23">
        <f>'Annual Raw'!P83</f>
        <v>98.52</v>
      </c>
      <c r="P331" s="23">
        <f>'Annual Raw'!Q83</f>
        <v>97.2</v>
      </c>
      <c r="Q331" s="23">
        <f>'Annual Raw'!R83</f>
        <v>0</v>
      </c>
      <c r="R331" s="23">
        <f>'Annual Raw'!S83</f>
        <v>0</v>
      </c>
      <c r="S331" s="23">
        <f>'Annual Raw'!T83</f>
        <v>0</v>
      </c>
      <c r="T331" s="23">
        <f>'Annual Raw'!U83</f>
        <v>0</v>
      </c>
      <c r="U331" s="23">
        <f>'Annual Raw'!V83</f>
        <v>0</v>
      </c>
      <c r="V331" s="23">
        <f>'Annual Raw'!W83</f>
        <v>0</v>
      </c>
      <c r="W331" s="23">
        <f>'Annual Raw'!X83</f>
        <v>0</v>
      </c>
      <c r="X331" s="23">
        <f>'Annual Raw'!Y83</f>
        <v>0</v>
      </c>
      <c r="Y331" s="23">
        <f>'Annual Raw'!Z83</f>
        <v>0</v>
      </c>
      <c r="Z331" s="23">
        <f>'Annual Raw'!AA83</f>
        <v>0</v>
      </c>
      <c r="AA331" s="23">
        <f>'Annual Raw'!AB83</f>
        <v>0</v>
      </c>
      <c r="AB331" s="24">
        <f t="shared" si="1922"/>
        <v>0</v>
      </c>
      <c r="AC331" s="24">
        <f t="shared" si="1923"/>
        <v>0</v>
      </c>
      <c r="AD331" s="24">
        <f t="shared" si="1924"/>
        <v>0</v>
      </c>
      <c r="AE331" s="24">
        <f t="shared" si="1925"/>
        <v>0</v>
      </c>
      <c r="AJ331" s="23">
        <f>+'QTR Raw'!D95</f>
        <v>0</v>
      </c>
      <c r="AK331" s="23">
        <f t="shared" ref="AK331:CE331" si="1946">+AJ331</f>
        <v>0</v>
      </c>
      <c r="AL331" s="23">
        <f>+'QTR Raw'!F95</f>
        <v>0</v>
      </c>
      <c r="AM331" s="23">
        <f t="shared" si="1946"/>
        <v>0</v>
      </c>
      <c r="AN331" s="23">
        <f>+'QTR Raw'!H95</f>
        <v>0</v>
      </c>
      <c r="AO331" s="23">
        <f t="shared" si="1946"/>
        <v>0</v>
      </c>
      <c r="AP331" s="23">
        <f>+'QTR Raw'!J95</f>
        <v>0</v>
      </c>
      <c r="AQ331" s="23">
        <f t="shared" si="1946"/>
        <v>0</v>
      </c>
      <c r="AR331" s="23">
        <f>+'QTR Raw'!L95</f>
        <v>0</v>
      </c>
      <c r="AS331" s="23">
        <f t="shared" si="1946"/>
        <v>0</v>
      </c>
      <c r="AT331" s="23">
        <f>+'QTR Raw'!N95</f>
        <v>0</v>
      </c>
      <c r="AU331" s="23">
        <f t="shared" si="1946"/>
        <v>0</v>
      </c>
      <c r="AV331" s="23">
        <f>+'QTR Raw'!P95</f>
        <v>0</v>
      </c>
      <c r="AW331" s="23">
        <f t="shared" si="1946"/>
        <v>0</v>
      </c>
      <c r="AX331" s="23">
        <f>+'QTR Raw'!R95</f>
        <v>0</v>
      </c>
      <c r="AY331" s="23">
        <f t="shared" si="1946"/>
        <v>0</v>
      </c>
      <c r="AZ331" s="23">
        <f>+'QTR Raw'!T95</f>
        <v>1573.27</v>
      </c>
      <c r="BA331" s="23">
        <f t="shared" si="1946"/>
        <v>1573.27</v>
      </c>
      <c r="BB331" s="23">
        <f>+'QTR Raw'!V95</f>
        <v>0</v>
      </c>
      <c r="BC331" s="23">
        <f t="shared" si="1946"/>
        <v>0</v>
      </c>
      <c r="BD331" s="23">
        <f>+'QTR Raw'!X95</f>
        <v>0</v>
      </c>
      <c r="BE331" s="23">
        <f t="shared" si="1946"/>
        <v>0</v>
      </c>
      <c r="BF331" s="23">
        <f>+'QTR Raw'!Z95</f>
        <v>0</v>
      </c>
      <c r="BG331" s="23">
        <f t="shared" si="1946"/>
        <v>0</v>
      </c>
      <c r="BH331" s="23">
        <f>+'QTR Raw'!AB95</f>
        <v>0</v>
      </c>
      <c r="BI331" s="23">
        <f t="shared" si="1946"/>
        <v>0</v>
      </c>
      <c r="BJ331" s="23">
        <f>+'QTR Raw'!AD95</f>
        <v>0</v>
      </c>
      <c r="BK331" s="23">
        <f t="shared" si="1946"/>
        <v>0</v>
      </c>
      <c r="BL331" s="23">
        <f>+'QTR Raw'!AF95</f>
        <v>0</v>
      </c>
      <c r="BM331" s="23">
        <f t="shared" si="1946"/>
        <v>0</v>
      </c>
      <c r="BN331" s="23">
        <f>+'QTR Raw'!AH95</f>
        <v>0</v>
      </c>
      <c r="BO331" s="23">
        <f t="shared" si="1946"/>
        <v>0</v>
      </c>
      <c r="BP331" s="23">
        <f>+'QTR Raw'!AJ95</f>
        <v>0</v>
      </c>
      <c r="BQ331" s="23">
        <f t="shared" si="1946"/>
        <v>0</v>
      </c>
      <c r="BR331" s="23">
        <f>+'QTR Raw'!AL95</f>
        <v>0</v>
      </c>
      <c r="BS331" s="23">
        <f t="shared" si="1946"/>
        <v>0</v>
      </c>
      <c r="BT331" s="23">
        <f>+'QTR Raw'!AN95</f>
        <v>0</v>
      </c>
      <c r="BU331" s="23">
        <f t="shared" si="1946"/>
        <v>0</v>
      </c>
      <c r="BV331" s="23">
        <f>+'QTR Raw'!AP95</f>
        <v>0</v>
      </c>
      <c r="BW331" s="23">
        <f t="shared" si="1946"/>
        <v>0</v>
      </c>
      <c r="BX331" s="23">
        <f>+'QTR Raw'!AR95</f>
        <v>0</v>
      </c>
      <c r="BY331" s="23">
        <f t="shared" si="1946"/>
        <v>0</v>
      </c>
      <c r="BZ331" s="23">
        <f>+'QTR Raw'!AT95</f>
        <v>0</v>
      </c>
      <c r="CA331" s="23">
        <f t="shared" si="1946"/>
        <v>0</v>
      </c>
      <c r="CB331" s="23">
        <f>+'QTR Raw'!AV95</f>
        <v>0</v>
      </c>
      <c r="CC331" s="23">
        <f t="shared" si="1946"/>
        <v>0</v>
      </c>
      <c r="CD331" s="23">
        <f>+'QTR Raw'!AX95</f>
        <v>0</v>
      </c>
      <c r="CE331" s="23">
        <f t="shared" si="1946"/>
        <v>0</v>
      </c>
      <c r="CF331" s="23">
        <f>+'QTR Raw'!AZ95</f>
        <v>0</v>
      </c>
      <c r="CG331" s="23">
        <f t="shared" si="1927"/>
        <v>0</v>
      </c>
      <c r="CH331" s="23">
        <f t="shared" si="1928"/>
        <v>0</v>
      </c>
      <c r="CI331" s="23">
        <f t="shared" si="1927"/>
        <v>0</v>
      </c>
      <c r="CJ331" s="23">
        <f>+'QTR Raw'!BD95</f>
        <v>0</v>
      </c>
      <c r="CK331" s="23">
        <f t="shared" si="1929"/>
        <v>0</v>
      </c>
      <c r="CL331" s="23">
        <f>+'QTR Raw'!BF95</f>
        <v>0</v>
      </c>
      <c r="CM331" s="24">
        <f t="shared" si="1930"/>
        <v>0</v>
      </c>
      <c r="CN331" s="24">
        <f t="shared" si="1931"/>
        <v>0</v>
      </c>
      <c r="CO331" s="24">
        <f t="shared" si="1932"/>
        <v>0</v>
      </c>
      <c r="CP331" s="24">
        <f t="shared" si="1933"/>
        <v>0</v>
      </c>
      <c r="CQ331" s="24">
        <f t="shared" si="1934"/>
        <v>0</v>
      </c>
      <c r="CR331" s="24">
        <f t="shared" si="1935"/>
        <v>0</v>
      </c>
      <c r="CS331" s="24">
        <f t="shared" si="1936"/>
        <v>0</v>
      </c>
      <c r="CT331" s="24">
        <f t="shared" si="1937"/>
        <v>0</v>
      </c>
      <c r="CU331" s="24">
        <f t="shared" si="1938"/>
        <v>0</v>
      </c>
      <c r="CV331" s="24">
        <f t="shared" si="1939"/>
        <v>0</v>
      </c>
      <c r="CW331" s="24">
        <f t="shared" si="1940"/>
        <v>0</v>
      </c>
      <c r="CX331" s="24">
        <f t="shared" si="1941"/>
        <v>0</v>
      </c>
      <c r="CY331" s="24">
        <f t="shared" si="1942"/>
        <v>0</v>
      </c>
      <c r="CZ331" s="24">
        <f t="shared" si="1943"/>
        <v>0</v>
      </c>
      <c r="DA331" s="24">
        <f t="shared" si="1944"/>
        <v>0</v>
      </c>
      <c r="DB331" s="24">
        <f t="shared" si="1945"/>
        <v>0</v>
      </c>
      <c r="DE331" s="123"/>
      <c r="DF331" s="23">
        <v>0</v>
      </c>
    </row>
    <row r="332" spans="1:110" s="26" customFormat="1" x14ac:dyDescent="0.2">
      <c r="A332" s="26" t="s">
        <v>438</v>
      </c>
      <c r="B332" s="26">
        <f t="shared" ref="B332:W332" si="1947">B330+B328+B324+B307+B305+B331</f>
        <v>8262.8000000000011</v>
      </c>
      <c r="C332" s="26">
        <f t="shared" si="1947"/>
        <v>8160.05</v>
      </c>
      <c r="D332" s="26">
        <f t="shared" si="1947"/>
        <v>7967.6399999999985</v>
      </c>
      <c r="E332" s="26">
        <f t="shared" si="1947"/>
        <v>5470.6200000000008</v>
      </c>
      <c r="F332" s="26">
        <f t="shared" si="1947"/>
        <v>6874.5299999999988</v>
      </c>
      <c r="G332" s="26">
        <f t="shared" si="1947"/>
        <v>8569.8000000000011</v>
      </c>
      <c r="H332" s="26">
        <f t="shared" si="1947"/>
        <v>13999.470000000003</v>
      </c>
      <c r="I332" s="26">
        <f t="shared" si="1947"/>
        <v>24069.660000000003</v>
      </c>
      <c r="J332" s="26">
        <f t="shared" si="1947"/>
        <v>35416.32</v>
      </c>
      <c r="K332" s="26">
        <f t="shared" si="1947"/>
        <v>46685.83</v>
      </c>
      <c r="L332" s="26">
        <f t="shared" si="1947"/>
        <v>63386.510000000017</v>
      </c>
      <c r="M332" s="26">
        <f t="shared" si="1947"/>
        <v>82707.989999999991</v>
      </c>
      <c r="N332" s="26">
        <f t="shared" si="1947"/>
        <v>103138.16999999998</v>
      </c>
      <c r="O332" s="26">
        <f t="shared" si="1947"/>
        <v>124703.06</v>
      </c>
      <c r="P332" s="26">
        <f t="shared" si="1947"/>
        <v>139537.24</v>
      </c>
      <c r="Q332" s="26">
        <f t="shared" si="1947"/>
        <v>135208.69</v>
      </c>
      <c r="R332" s="26">
        <f t="shared" si="1947"/>
        <v>147734.07</v>
      </c>
      <c r="S332" s="26">
        <f t="shared" si="1947"/>
        <v>167629.01</v>
      </c>
      <c r="T332" s="26">
        <f t="shared" si="1947"/>
        <v>194756.08</v>
      </c>
      <c r="U332" s="26">
        <f t="shared" si="1947"/>
        <v>217251.16999999998</v>
      </c>
      <c r="V332" s="26">
        <f t="shared" si="1947"/>
        <v>220525.31999999998</v>
      </c>
      <c r="W332" s="26">
        <f t="shared" si="1947"/>
        <v>218841.96000000002</v>
      </c>
      <c r="X332" s="26">
        <f t="shared" ref="X332:Y332" si="1948">X330+X328+X324+X307+X305+X331</f>
        <v>222080.60000000003</v>
      </c>
      <c r="Y332" s="26">
        <f t="shared" si="1948"/>
        <v>216589.43</v>
      </c>
      <c r="Z332" s="26">
        <f t="shared" ref="Z332:AA332" si="1949">Z330+Z328+Z324+Z307+Z305+Z331</f>
        <v>244963.02</v>
      </c>
      <c r="AA332" s="26">
        <f t="shared" si="1949"/>
        <v>250213.48</v>
      </c>
      <c r="AB332" s="27">
        <f t="shared" ref="AB332:AD332" si="1950">AB330+AB328+AB324+AB307+AB305+AB331</f>
        <v>272037.74973389844</v>
      </c>
      <c r="AC332" s="27">
        <f t="shared" si="1950"/>
        <v>298329.25164705788</v>
      </c>
      <c r="AD332" s="27">
        <f t="shared" si="1950"/>
        <v>329903.15851904929</v>
      </c>
      <c r="AE332" s="27">
        <f t="shared" ref="AE332" si="1951">AE330+AE328+AE324+AE307+AE305+AE331</f>
        <v>367521.26415390061</v>
      </c>
      <c r="AJ332" s="26">
        <f t="shared" ref="AJ332" si="1952">AJ330+AJ328+AJ324+AJ307+AJ305+AJ331</f>
        <v>39431.880000000005</v>
      </c>
      <c r="AK332" s="26">
        <f t="shared" ref="AK332:AL332" si="1953">AK330+AK328+AK324+AK307+AK305+AK331</f>
        <v>40445.11</v>
      </c>
      <c r="AL332" s="26">
        <f t="shared" si="1953"/>
        <v>99184.19</v>
      </c>
      <c r="AM332" s="26">
        <f t="shared" ref="AM332:AO332" si="1954">AM330+AM328+AM324+AM307+AM305+AM331</f>
        <v>99642.78</v>
      </c>
      <c r="AN332" s="26">
        <f t="shared" si="1954"/>
        <v>111775.19</v>
      </c>
      <c r="AO332" s="26">
        <f t="shared" si="1954"/>
        <v>112571.85</v>
      </c>
      <c r="AP332" s="26">
        <f t="shared" ref="AP332:CE332" si="1955">AP330+AP328+AP324+AP307+AP305+AP331</f>
        <v>121221.18</v>
      </c>
      <c r="AQ332" s="26">
        <f t="shared" si="1955"/>
        <v>122188.06999999999</v>
      </c>
      <c r="AR332" s="26">
        <f t="shared" si="1955"/>
        <v>128536.84</v>
      </c>
      <c r="AS332" s="26">
        <f t="shared" si="1955"/>
        <v>129403.37999999998</v>
      </c>
      <c r="AT332" s="26">
        <f t="shared" si="1955"/>
        <v>136478.43</v>
      </c>
      <c r="AU332" s="26">
        <f t="shared" si="1955"/>
        <v>136897.37</v>
      </c>
      <c r="AV332" s="26">
        <f t="shared" si="1955"/>
        <v>146498.23999999999</v>
      </c>
      <c r="AW332" s="26">
        <f t="shared" si="1955"/>
        <v>147198.57999999999</v>
      </c>
      <c r="AX332" s="26">
        <f t="shared" si="1955"/>
        <v>135208.69</v>
      </c>
      <c r="AY332" s="26">
        <f t="shared" si="1955"/>
        <v>135818.29</v>
      </c>
      <c r="AZ332" s="26">
        <f t="shared" si="1955"/>
        <v>140211.98000000001</v>
      </c>
      <c r="BA332" s="26">
        <f t="shared" si="1955"/>
        <v>141184.38</v>
      </c>
      <c r="BB332" s="26">
        <f t="shared" si="1955"/>
        <v>147734.06999999998</v>
      </c>
      <c r="BC332" s="26">
        <f t="shared" si="1955"/>
        <v>148626.60999999999</v>
      </c>
      <c r="BD332" s="26">
        <f t="shared" si="1955"/>
        <v>157781.70000000001</v>
      </c>
      <c r="BE332" s="26">
        <f t="shared" si="1955"/>
        <v>159271.67999999999</v>
      </c>
      <c r="BF332" s="26">
        <f t="shared" si="1955"/>
        <v>167629.01</v>
      </c>
      <c r="BG332" s="26">
        <f t="shared" si="1955"/>
        <v>168843.79</v>
      </c>
      <c r="BH332" s="26">
        <f t="shared" ref="BH332" si="1956">BH330+BH328+BH324+BH307+BH305+BH331</f>
        <v>185976.96000000002</v>
      </c>
      <c r="BI332" s="26">
        <f t="shared" si="1955"/>
        <v>188018.58000000002</v>
      </c>
      <c r="BJ332" s="26">
        <f t="shared" si="1955"/>
        <v>194756.08</v>
      </c>
      <c r="BK332" s="26">
        <f t="shared" si="1955"/>
        <v>196228.66</v>
      </c>
      <c r="BL332" s="26">
        <f t="shared" si="1955"/>
        <v>205417.38999999998</v>
      </c>
      <c r="BM332" s="26">
        <f t="shared" si="1955"/>
        <v>207769.50999999998</v>
      </c>
      <c r="BN332" s="26">
        <f t="shared" si="1955"/>
        <v>217251.17</v>
      </c>
      <c r="BO332" s="26">
        <f t="shared" si="1955"/>
        <v>217554.31000000003</v>
      </c>
      <c r="BP332" s="26">
        <f t="shared" si="1955"/>
        <v>229122.29000000004</v>
      </c>
      <c r="BQ332" s="26">
        <f t="shared" si="1955"/>
        <v>231589</v>
      </c>
      <c r="BR332" s="26">
        <f t="shared" si="1955"/>
        <v>220525.31999999998</v>
      </c>
      <c r="BS332" s="26">
        <f t="shared" si="1955"/>
        <v>221699.75999999998</v>
      </c>
      <c r="BT332" s="26">
        <f t="shared" si="1955"/>
        <v>214200.31</v>
      </c>
      <c r="BU332" s="26">
        <f t="shared" si="1955"/>
        <v>216255.05</v>
      </c>
      <c r="BV332" s="26">
        <f t="shared" si="1955"/>
        <v>218841.96</v>
      </c>
      <c r="BW332" s="26">
        <f t="shared" si="1955"/>
        <v>220544.02999999997</v>
      </c>
      <c r="BX332" s="26">
        <f t="shared" si="1955"/>
        <v>222280.63999999998</v>
      </c>
      <c r="BY332" s="26">
        <f t="shared" si="1955"/>
        <v>224833.56</v>
      </c>
      <c r="BZ332" s="26">
        <f t="shared" si="1955"/>
        <v>222080.60000000006</v>
      </c>
      <c r="CA332" s="26">
        <f t="shared" si="1955"/>
        <v>224573.6</v>
      </c>
      <c r="CB332" s="26">
        <f t="shared" si="1955"/>
        <v>213186.15</v>
      </c>
      <c r="CC332" s="26">
        <f t="shared" si="1955"/>
        <v>216133.50999999998</v>
      </c>
      <c r="CD332" s="26">
        <f t="shared" si="1955"/>
        <v>216589.43</v>
      </c>
      <c r="CE332" s="26">
        <f t="shared" si="1955"/>
        <v>219375.15</v>
      </c>
      <c r="CF332" s="26">
        <f t="shared" ref="CF332:CG332" si="1957">CF330+CF328+CF324+CF307+CF305+CF331</f>
        <v>229552.58000000002</v>
      </c>
      <c r="CG332" s="26">
        <f t="shared" si="1957"/>
        <v>232911.42000000004</v>
      </c>
      <c r="CH332" s="26">
        <f t="shared" ref="CH332:CI332" si="1958">CH330+CH328+CH324+CH307+CH305+CH331</f>
        <v>244963.02</v>
      </c>
      <c r="CI332" s="26">
        <f t="shared" si="1958"/>
        <v>248580.20999999996</v>
      </c>
      <c r="CJ332" s="26">
        <f t="shared" ref="CJ332:DB332" si="1959">CJ330+CJ328+CJ324+CJ307+CJ305+CJ331</f>
        <v>250428.89999999991</v>
      </c>
      <c r="CK332" s="26">
        <f t="shared" si="1959"/>
        <v>253644.00999999995</v>
      </c>
      <c r="CL332" s="26">
        <f t="shared" ref="CL332" si="1960">CL330+CL328+CL324+CL307+CL305+CL331</f>
        <v>250213.48</v>
      </c>
      <c r="CM332" s="27">
        <f t="shared" si="1959"/>
        <v>254912.27065845535</v>
      </c>
      <c r="CN332" s="27">
        <f t="shared" si="1959"/>
        <v>260111.48692638465</v>
      </c>
      <c r="CO332" s="27">
        <f t="shared" si="1959"/>
        <v>265591.47658418858</v>
      </c>
      <c r="CP332" s="27">
        <f t="shared" si="1959"/>
        <v>272037.74973389844</v>
      </c>
      <c r="CQ332" s="27">
        <f t="shared" si="1959"/>
        <v>277556.76566993957</v>
      </c>
      <c r="CR332" s="27">
        <f t="shared" si="1959"/>
        <v>283739.36895727855</v>
      </c>
      <c r="CS332" s="27">
        <f t="shared" si="1959"/>
        <v>290349.23722881917</v>
      </c>
      <c r="CT332" s="27">
        <f t="shared" si="1959"/>
        <v>298329.25164705788</v>
      </c>
      <c r="CU332" s="27">
        <f t="shared" si="1959"/>
        <v>304977.8873545138</v>
      </c>
      <c r="CV332" s="27">
        <f t="shared" si="1959"/>
        <v>312411.81738591689</v>
      </c>
      <c r="CW332" s="27">
        <f t="shared" si="1959"/>
        <v>320364.83521943074</v>
      </c>
      <c r="CX332" s="27">
        <f t="shared" si="1959"/>
        <v>329903.15851904929</v>
      </c>
      <c r="CY332" s="27">
        <f t="shared" si="1959"/>
        <v>337848.60918386962</v>
      </c>
      <c r="CZ332" s="27">
        <f t="shared" si="1959"/>
        <v>346721.18771409156</v>
      </c>
      <c r="DA332" s="27">
        <f t="shared" si="1959"/>
        <v>356205.39156450436</v>
      </c>
      <c r="DB332" s="27">
        <f t="shared" si="1959"/>
        <v>367521.26415390061</v>
      </c>
      <c r="DE332" s="121"/>
      <c r="DF332" s="26">
        <v>250213.48</v>
      </c>
    </row>
    <row r="333" spans="1:110" s="23" customFormat="1" x14ac:dyDescent="0.2">
      <c r="A333" s="28" t="s">
        <v>439</v>
      </c>
      <c r="B333" s="23">
        <f t="shared" ref="B333:W333" si="1961">B332-B296</f>
        <v>0</v>
      </c>
      <c r="C333" s="23">
        <f t="shared" si="1961"/>
        <v>0</v>
      </c>
      <c r="D333" s="23">
        <f t="shared" si="1961"/>
        <v>0</v>
      </c>
      <c r="E333" s="23">
        <f t="shared" si="1961"/>
        <v>0</v>
      </c>
      <c r="F333" s="23">
        <f t="shared" si="1961"/>
        <v>0</v>
      </c>
      <c r="G333" s="23">
        <f t="shared" si="1961"/>
        <v>0</v>
      </c>
      <c r="H333" s="23">
        <f t="shared" si="1961"/>
        <v>0</v>
      </c>
      <c r="I333" s="23">
        <f t="shared" si="1961"/>
        <v>0</v>
      </c>
      <c r="J333" s="23">
        <f t="shared" si="1961"/>
        <v>0</v>
      </c>
      <c r="K333" s="23">
        <f t="shared" si="1961"/>
        <v>0</v>
      </c>
      <c r="L333" s="23">
        <f t="shared" si="1961"/>
        <v>0</v>
      </c>
      <c r="M333" s="23">
        <f t="shared" si="1961"/>
        <v>0</v>
      </c>
      <c r="N333" s="23">
        <f t="shared" si="1961"/>
        <v>0</v>
      </c>
      <c r="O333" s="23">
        <f t="shared" si="1961"/>
        <v>0</v>
      </c>
      <c r="P333" s="23">
        <f t="shared" si="1961"/>
        <v>0</v>
      </c>
      <c r="Q333" s="23">
        <f t="shared" si="1961"/>
        <v>0</v>
      </c>
      <c r="R333" s="23">
        <f t="shared" si="1961"/>
        <v>0</v>
      </c>
      <c r="S333" s="23">
        <f t="shared" si="1961"/>
        <v>0</v>
      </c>
      <c r="T333" s="23">
        <f t="shared" si="1961"/>
        <v>0</v>
      </c>
      <c r="U333" s="23">
        <f t="shared" si="1961"/>
        <v>0</v>
      </c>
      <c r="V333" s="23">
        <f t="shared" si="1961"/>
        <v>0</v>
      </c>
      <c r="W333" s="23">
        <f t="shared" si="1961"/>
        <v>0</v>
      </c>
      <c r="X333" s="23">
        <f t="shared" ref="X333:Y333" si="1962">X332-X296</f>
        <v>0</v>
      </c>
      <c r="Y333" s="23">
        <f t="shared" si="1962"/>
        <v>0</v>
      </c>
      <c r="Z333" s="23">
        <f t="shared" ref="Z333:AA333" si="1963">Z332-Z296</f>
        <v>0</v>
      </c>
      <c r="AA333" s="23">
        <f t="shared" si="1963"/>
        <v>0</v>
      </c>
      <c r="AB333" s="24">
        <f t="shared" ref="AB333:AD333" si="1964">AB332-AB296</f>
        <v>0</v>
      </c>
      <c r="AC333" s="24">
        <f t="shared" si="1964"/>
        <v>0</v>
      </c>
      <c r="AD333" s="24">
        <f t="shared" si="1964"/>
        <v>0</v>
      </c>
      <c r="AE333" s="24">
        <f t="shared" ref="AE333" si="1965">AE332-AE296</f>
        <v>0</v>
      </c>
      <c r="AJ333" s="23">
        <f t="shared" ref="AJ333" si="1966">AJ332-AJ296</f>
        <v>0</v>
      </c>
      <c r="AK333" s="23">
        <f t="shared" ref="AK333" si="1967">AK332-AK296</f>
        <v>0</v>
      </c>
      <c r="AL333" s="23">
        <f t="shared" ref="AL333:AM333" si="1968">AL332-AL296</f>
        <v>0</v>
      </c>
      <c r="AM333" s="23">
        <f t="shared" si="1968"/>
        <v>0</v>
      </c>
      <c r="AN333" s="23">
        <f t="shared" ref="AN333:AO333" si="1969">AN332-AN296</f>
        <v>0</v>
      </c>
      <c r="AO333" s="23">
        <f t="shared" si="1969"/>
        <v>0</v>
      </c>
      <c r="AP333" s="23">
        <f t="shared" ref="AP333:CE333" si="1970">AP332-AP296</f>
        <v>0</v>
      </c>
      <c r="AQ333" s="23">
        <f t="shared" si="1970"/>
        <v>0</v>
      </c>
      <c r="AR333" s="23">
        <f t="shared" si="1970"/>
        <v>0</v>
      </c>
      <c r="AS333" s="23">
        <f t="shared" si="1970"/>
        <v>0</v>
      </c>
      <c r="AT333" s="23">
        <f t="shared" si="1970"/>
        <v>1.0000000009313226E-2</v>
      </c>
      <c r="AU333" s="23">
        <f t="shared" si="1970"/>
        <v>1.0000000009313226E-2</v>
      </c>
      <c r="AV333" s="23">
        <f t="shared" si="1970"/>
        <v>0</v>
      </c>
      <c r="AW333" s="23">
        <f t="shared" si="1970"/>
        <v>0</v>
      </c>
      <c r="AX333" s="23">
        <f t="shared" si="1970"/>
        <v>0</v>
      </c>
      <c r="AY333" s="23">
        <f t="shared" si="1970"/>
        <v>0</v>
      </c>
      <c r="AZ333" s="23">
        <f t="shared" si="1970"/>
        <v>0</v>
      </c>
      <c r="BA333" s="23">
        <f t="shared" si="1970"/>
        <v>0</v>
      </c>
      <c r="BB333" s="23">
        <f t="shared" si="1970"/>
        <v>0</v>
      </c>
      <c r="BC333" s="23">
        <f t="shared" si="1970"/>
        <v>0</v>
      </c>
      <c r="BD333" s="23">
        <f t="shared" si="1970"/>
        <v>0</v>
      </c>
      <c r="BE333" s="23">
        <f t="shared" si="1970"/>
        <v>0</v>
      </c>
      <c r="BF333" s="23">
        <f t="shared" si="1970"/>
        <v>0</v>
      </c>
      <c r="BG333" s="23">
        <f t="shared" si="1970"/>
        <v>0</v>
      </c>
      <c r="BH333" s="23">
        <f t="shared" ref="BH333" si="1971">BH332-BH296</f>
        <v>0</v>
      </c>
      <c r="BI333" s="23">
        <f t="shared" si="1970"/>
        <v>0</v>
      </c>
      <c r="BJ333" s="23">
        <f t="shared" si="1970"/>
        <v>0</v>
      </c>
      <c r="BK333" s="23">
        <f t="shared" si="1970"/>
        <v>0</v>
      </c>
      <c r="BL333" s="23">
        <f t="shared" si="1970"/>
        <v>0</v>
      </c>
      <c r="BM333" s="23">
        <f t="shared" si="1970"/>
        <v>0</v>
      </c>
      <c r="BN333" s="23">
        <f t="shared" si="1970"/>
        <v>0</v>
      </c>
      <c r="BO333" s="23">
        <f t="shared" si="1970"/>
        <v>0</v>
      </c>
      <c r="BP333" s="23">
        <f t="shared" si="1970"/>
        <v>0</v>
      </c>
      <c r="BQ333" s="23">
        <f t="shared" si="1970"/>
        <v>0</v>
      </c>
      <c r="BR333" s="23">
        <f t="shared" si="1970"/>
        <v>0</v>
      </c>
      <c r="BS333" s="23">
        <f t="shared" si="1970"/>
        <v>0</v>
      </c>
      <c r="BT333" s="23">
        <f t="shared" si="1970"/>
        <v>0</v>
      </c>
      <c r="BU333" s="23">
        <f t="shared" si="1970"/>
        <v>0</v>
      </c>
      <c r="BV333" s="23">
        <f t="shared" si="1970"/>
        <v>0</v>
      </c>
      <c r="BW333" s="23">
        <f t="shared" si="1970"/>
        <v>0</v>
      </c>
      <c r="BX333" s="23">
        <f t="shared" si="1970"/>
        <v>0</v>
      </c>
      <c r="BY333" s="23">
        <f t="shared" si="1970"/>
        <v>0</v>
      </c>
      <c r="BZ333" s="23">
        <f t="shared" si="1970"/>
        <v>0</v>
      </c>
      <c r="CA333" s="23">
        <f t="shared" si="1970"/>
        <v>0</v>
      </c>
      <c r="CB333" s="23">
        <f t="shared" si="1970"/>
        <v>0</v>
      </c>
      <c r="CC333" s="23">
        <f t="shared" si="1970"/>
        <v>0</v>
      </c>
      <c r="CD333" s="23">
        <f t="shared" si="1970"/>
        <v>0</v>
      </c>
      <c r="CE333" s="23">
        <f t="shared" si="1970"/>
        <v>0</v>
      </c>
      <c r="CF333" s="23">
        <f t="shared" ref="CF333:CG333" si="1972">CF332-CF296</f>
        <v>0</v>
      </c>
      <c r="CG333" s="23">
        <f t="shared" si="1972"/>
        <v>0</v>
      </c>
      <c r="CH333" s="23">
        <f t="shared" ref="CH333:CI333" si="1973">CH332-CH296</f>
        <v>0</v>
      </c>
      <c r="CI333" s="23">
        <f t="shared" si="1973"/>
        <v>0</v>
      </c>
      <c r="CJ333" s="23">
        <f t="shared" ref="CJ333:DB333" si="1974">CJ332-CJ296</f>
        <v>0</v>
      </c>
      <c r="CK333" s="23">
        <f t="shared" si="1974"/>
        <v>0</v>
      </c>
      <c r="CL333" s="23">
        <f t="shared" ref="CL333" si="1975">CL332-CL296</f>
        <v>0</v>
      </c>
      <c r="CM333" s="24">
        <f t="shared" si="1974"/>
        <v>0</v>
      </c>
      <c r="CN333" s="24">
        <f t="shared" si="1974"/>
        <v>0</v>
      </c>
      <c r="CO333" s="24">
        <f t="shared" si="1974"/>
        <v>0</v>
      </c>
      <c r="CP333" s="24">
        <f t="shared" si="1974"/>
        <v>0</v>
      </c>
      <c r="CQ333" s="24">
        <f t="shared" si="1974"/>
        <v>0</v>
      </c>
      <c r="CR333" s="24">
        <f t="shared" si="1974"/>
        <v>0</v>
      </c>
      <c r="CS333" s="24">
        <f t="shared" si="1974"/>
        <v>0</v>
      </c>
      <c r="CT333" s="24">
        <f t="shared" si="1974"/>
        <v>0</v>
      </c>
      <c r="CU333" s="24">
        <f t="shared" si="1974"/>
        <v>0</v>
      </c>
      <c r="CV333" s="24">
        <f t="shared" si="1974"/>
        <v>0</v>
      </c>
      <c r="CW333" s="24">
        <f t="shared" si="1974"/>
        <v>0</v>
      </c>
      <c r="CX333" s="24">
        <f t="shared" si="1974"/>
        <v>0</v>
      </c>
      <c r="CY333" s="24">
        <f t="shared" si="1974"/>
        <v>0</v>
      </c>
      <c r="CZ333" s="24">
        <f t="shared" si="1974"/>
        <v>0</v>
      </c>
      <c r="DA333" s="24">
        <f t="shared" si="1974"/>
        <v>0</v>
      </c>
      <c r="DB333" s="24">
        <f t="shared" si="1974"/>
        <v>0</v>
      </c>
      <c r="DE333" s="123"/>
      <c r="DF333" s="23">
        <v>0</v>
      </c>
    </row>
    <row r="334" spans="1:110" s="23" customFormat="1" x14ac:dyDescent="0.2">
      <c r="A334" s="28"/>
      <c r="AB334" s="24"/>
      <c r="AC334" s="24"/>
      <c r="AD334" s="24"/>
      <c r="AE334" s="24"/>
      <c r="CM334" s="24"/>
      <c r="CN334" s="24"/>
      <c r="CO334" s="24"/>
      <c r="CP334" s="24"/>
      <c r="CQ334" s="24"/>
      <c r="CR334" s="24"/>
      <c r="CS334" s="24"/>
      <c r="CT334" s="24"/>
      <c r="CU334" s="24"/>
      <c r="CV334" s="24"/>
      <c r="CW334" s="24"/>
      <c r="CX334" s="24"/>
      <c r="CY334" s="24"/>
      <c r="CZ334" s="24"/>
      <c r="DA334" s="24"/>
      <c r="DB334" s="24"/>
      <c r="DE334" s="123"/>
    </row>
    <row r="335" spans="1:110" s="22" customFormat="1" x14ac:dyDescent="0.2">
      <c r="A335" s="22" t="s">
        <v>80</v>
      </c>
      <c r="B335" s="22">
        <f t="shared" ref="B335:W335" si="1976">B295-B328</f>
        <v>4124.5099999999993</v>
      </c>
      <c r="C335" s="22">
        <f t="shared" si="1976"/>
        <v>4628.6000000000004</v>
      </c>
      <c r="D335" s="22">
        <f t="shared" si="1976"/>
        <v>3921.2200000000003</v>
      </c>
      <c r="E335" s="22">
        <f t="shared" si="1976"/>
        <v>1943.9899999999998</v>
      </c>
      <c r="F335" s="22">
        <f t="shared" si="1976"/>
        <v>2407.52</v>
      </c>
      <c r="G335" s="22">
        <f t="shared" si="1976"/>
        <v>1908.87</v>
      </c>
      <c r="H335" s="22">
        <f t="shared" si="1976"/>
        <v>3189.7099999999991</v>
      </c>
      <c r="I335" s="22">
        <f t="shared" si="1976"/>
        <v>6154.3300000000008</v>
      </c>
      <c r="J335" s="22">
        <f t="shared" si="1976"/>
        <v>13682.760000000002</v>
      </c>
      <c r="K335" s="22">
        <f t="shared" si="1976"/>
        <v>12715.83</v>
      </c>
      <c r="L335" s="22">
        <f t="shared" si="1976"/>
        <v>25952.879999999997</v>
      </c>
      <c r="M335" s="22">
        <f t="shared" si="1976"/>
        <v>40964.550000000003</v>
      </c>
      <c r="N335" s="22">
        <f t="shared" si="1976"/>
        <v>55516.160000000003</v>
      </c>
      <c r="O335" s="22">
        <f t="shared" si="1976"/>
        <v>73039.540000000008</v>
      </c>
      <c r="P335" s="22">
        <f t="shared" si="1976"/>
        <v>79908.01999999999</v>
      </c>
      <c r="Q335" s="22">
        <f t="shared" si="1976"/>
        <v>75251.389999999985</v>
      </c>
      <c r="R335" s="22">
        <f t="shared" si="1976"/>
        <v>74347.76999999999</v>
      </c>
      <c r="S335" s="22">
        <f t="shared" si="1976"/>
        <v>90027.10000000002</v>
      </c>
      <c r="T335" s="22">
        <f t="shared" si="1976"/>
        <v>99882.75999999998</v>
      </c>
      <c r="U335" s="22">
        <f t="shared" si="1976"/>
        <v>113189.59</v>
      </c>
      <c r="V335" s="22">
        <f t="shared" si="1976"/>
        <v>85352.530000000013</v>
      </c>
      <c r="W335" s="22">
        <f t="shared" si="1976"/>
        <v>74715.48000000001</v>
      </c>
      <c r="X335" s="22">
        <f t="shared" ref="X335:Y335" si="1977">X295-X328</f>
        <v>60420.360000000008</v>
      </c>
      <c r="Y335" s="22">
        <f t="shared" si="1977"/>
        <v>63723.750000000007</v>
      </c>
      <c r="Z335" s="22">
        <f t="shared" ref="Z335:AA335" si="1978">Z295-Z328</f>
        <v>63233.380000000005</v>
      </c>
      <c r="AA335" s="22">
        <f t="shared" si="1978"/>
        <v>41310.490000000005</v>
      </c>
      <c r="AB335" s="21">
        <f t="shared" ref="AB335:AD335" si="1979">AB295-AB328</f>
        <v>32867.079531324664</v>
      </c>
      <c r="AC335" s="21">
        <f t="shared" si="1979"/>
        <v>20527.386737915469</v>
      </c>
      <c r="AD335" s="21">
        <f t="shared" si="1979"/>
        <v>13186.103127076785</v>
      </c>
      <c r="AE335" s="21">
        <f t="shared" ref="AE335" si="1980">AE295-AE328</f>
        <v>3192.7721428463556</v>
      </c>
      <c r="AJ335" s="22">
        <f t="shared" ref="AJ335:AM335" si="1981">AJ295-AJ328</f>
        <v>4940.3000000000011</v>
      </c>
      <c r="AK335" s="22">
        <f t="shared" si="1981"/>
        <v>3652.1122696403672</v>
      </c>
      <c r="AL335" s="22">
        <f t="shared" si="1981"/>
        <v>51562.179999999993</v>
      </c>
      <c r="AM335" s="22">
        <f t="shared" si="1981"/>
        <v>50535.354540965345</v>
      </c>
      <c r="AN335" s="22">
        <f t="shared" ref="AN335:AO335" si="1982">AN295-AN328</f>
        <v>63107.329999999994</v>
      </c>
      <c r="AO335" s="22">
        <f t="shared" si="1982"/>
        <v>63866.229273787088</v>
      </c>
      <c r="AP335" s="22">
        <f t="shared" ref="AP335:CE335" si="1983">AP295-AP328</f>
        <v>69557.66</v>
      </c>
      <c r="AQ335" s="22">
        <f t="shared" si="1983"/>
        <v>65237.847835798748</v>
      </c>
      <c r="AR335" s="22">
        <f t="shared" si="1983"/>
        <v>74033.259999999995</v>
      </c>
      <c r="AS335" s="22">
        <f t="shared" si="1983"/>
        <v>74638.96583496673</v>
      </c>
      <c r="AT335" s="22">
        <f t="shared" si="1983"/>
        <v>76849.2</v>
      </c>
      <c r="AU335" s="22">
        <f t="shared" si="1983"/>
        <v>72953.97561013003</v>
      </c>
      <c r="AV335" s="22">
        <f t="shared" si="1983"/>
        <v>83320.680000000022</v>
      </c>
      <c r="AW335" s="22">
        <f t="shared" si="1983"/>
        <v>84200.635380483422</v>
      </c>
      <c r="AX335" s="22">
        <f t="shared" si="1983"/>
        <v>75251.389999999985</v>
      </c>
      <c r="AY335" s="22">
        <f t="shared" si="1983"/>
        <v>73327.458409177532</v>
      </c>
      <c r="AZ335" s="22">
        <f t="shared" si="1983"/>
        <v>75657.59</v>
      </c>
      <c r="BA335" s="22">
        <f t="shared" si="1983"/>
        <v>74960.328196900766</v>
      </c>
      <c r="BB335" s="22">
        <f t="shared" si="1983"/>
        <v>74347.76999999999</v>
      </c>
      <c r="BC335" s="22">
        <f t="shared" si="1983"/>
        <v>72559.620975749684</v>
      </c>
      <c r="BD335" s="22">
        <f t="shared" si="1983"/>
        <v>83040.490000000005</v>
      </c>
      <c r="BE335" s="22">
        <f t="shared" si="1983"/>
        <v>82040.840578482967</v>
      </c>
      <c r="BF335" s="22">
        <f t="shared" si="1983"/>
        <v>90027.099999999991</v>
      </c>
      <c r="BG335" s="22">
        <f t="shared" si="1983"/>
        <v>88756.051013936289</v>
      </c>
      <c r="BH335" s="22">
        <f t="shared" si="1983"/>
        <v>101978.62</v>
      </c>
      <c r="BI335" s="22">
        <f t="shared" si="1983"/>
        <v>100436.28727673097</v>
      </c>
      <c r="BJ335" s="22">
        <f t="shared" si="1983"/>
        <v>99882.75999999998</v>
      </c>
      <c r="BK335" s="22">
        <f t="shared" si="1983"/>
        <v>98326.543667160047</v>
      </c>
      <c r="BL335" s="22">
        <f t="shared" si="1983"/>
        <v>116742.57999999999</v>
      </c>
      <c r="BM335" s="22">
        <f t="shared" si="1983"/>
        <v>114523.10188329237</v>
      </c>
      <c r="BN335" s="22">
        <f t="shared" si="1983"/>
        <v>113189.59</v>
      </c>
      <c r="BO335" s="22">
        <f t="shared" si="1983"/>
        <v>111414.06955593004</v>
      </c>
      <c r="BP335" s="22">
        <f t="shared" si="1983"/>
        <v>99826.62</v>
      </c>
      <c r="BQ335" s="22">
        <f t="shared" si="1983"/>
        <v>98013.964998160096</v>
      </c>
      <c r="BR335" s="22">
        <f t="shared" si="1983"/>
        <v>85352.530000000013</v>
      </c>
      <c r="BS335" s="22">
        <f t="shared" si="1983"/>
        <v>83279.15815570447</v>
      </c>
      <c r="BT335" s="22">
        <f t="shared" si="1983"/>
        <v>79557.66</v>
      </c>
      <c r="BU335" s="22">
        <f t="shared" si="1983"/>
        <v>78218.329789508483</v>
      </c>
      <c r="BV335" s="22">
        <f t="shared" si="1983"/>
        <v>74715.479999999981</v>
      </c>
      <c r="BW335" s="22">
        <f t="shared" si="1983"/>
        <v>72782.806945404853</v>
      </c>
      <c r="BX335" s="22">
        <f t="shared" si="1983"/>
        <v>80910.2</v>
      </c>
      <c r="BY335" s="22">
        <f t="shared" si="1983"/>
        <v>78919.203455588897</v>
      </c>
      <c r="BZ335" s="22">
        <f t="shared" si="1983"/>
        <v>60420.360000000008</v>
      </c>
      <c r="CA335" s="22">
        <f t="shared" si="1983"/>
        <v>57609.093512158637</v>
      </c>
      <c r="CB335" s="22">
        <f t="shared" si="1983"/>
        <v>72384.23</v>
      </c>
      <c r="CC335" s="22">
        <f t="shared" si="1983"/>
        <v>70247.625698227755</v>
      </c>
      <c r="CD335" s="22">
        <f t="shared" si="1983"/>
        <v>63723.750000000007</v>
      </c>
      <c r="CE335" s="22">
        <f t="shared" si="1983"/>
        <v>60563.94992591982</v>
      </c>
      <c r="CF335" s="22">
        <f t="shared" ref="CF335:CG335" si="1984">CF295-CF328</f>
        <v>68132.489999999991</v>
      </c>
      <c r="CG335" s="22">
        <f t="shared" si="1984"/>
        <v>65120.328971020543</v>
      </c>
      <c r="CH335" s="22">
        <f t="shared" ref="CH335:CI335" si="1985">CH295-CH328</f>
        <v>63233.380000000005</v>
      </c>
      <c r="CI335" s="22">
        <f t="shared" si="1985"/>
        <v>41709.698092484876</v>
      </c>
      <c r="CJ335" s="22">
        <f t="shared" ref="CJ335:DB335" si="1986">CJ295-CJ328</f>
        <v>67498.169999999984</v>
      </c>
      <c r="CK335" s="22">
        <f t="shared" si="1986"/>
        <v>69835.599073013713</v>
      </c>
      <c r="CL335" s="22">
        <f t="shared" ref="CL335" si="1987">CL295-CL328</f>
        <v>41310.489999999991</v>
      </c>
      <c r="CM335" s="21">
        <f t="shared" si="1986"/>
        <v>21853.254905151407</v>
      </c>
      <c r="CN335" s="21">
        <f t="shared" si="1986"/>
        <v>20803.788009662268</v>
      </c>
      <c r="CO335" s="21">
        <f t="shared" si="1986"/>
        <v>18869.59563519826</v>
      </c>
      <c r="CP335" s="21">
        <f t="shared" si="1986"/>
        <v>32867.079531324664</v>
      </c>
      <c r="CQ335" s="21">
        <f t="shared" si="1986"/>
        <v>7936.3746014529897</v>
      </c>
      <c r="CR335" s="21">
        <f t="shared" si="1986"/>
        <v>7955.3937206922565</v>
      </c>
      <c r="CS335" s="21">
        <f t="shared" si="1986"/>
        <v>7235.4980602073338</v>
      </c>
      <c r="CT335" s="21">
        <f t="shared" si="1986"/>
        <v>20527.386737915469</v>
      </c>
      <c r="CU335" s="21">
        <f t="shared" si="1986"/>
        <v>-5581.2906964885769</v>
      </c>
      <c r="CV335" s="21">
        <f t="shared" si="1986"/>
        <v>-3950.4184768414707</v>
      </c>
      <c r="CW335" s="21">
        <f t="shared" si="1986"/>
        <v>-2926.0387579849194</v>
      </c>
      <c r="CX335" s="21">
        <f t="shared" si="1986"/>
        <v>13186.103127076785</v>
      </c>
      <c r="CY335" s="21">
        <f t="shared" si="1986"/>
        <v>-17311.004909689276</v>
      </c>
      <c r="CZ335" s="21">
        <f t="shared" si="1986"/>
        <v>-15787.034010267671</v>
      </c>
      <c r="DA335" s="21">
        <f t="shared" si="1986"/>
        <v>-14986.82516052798</v>
      </c>
      <c r="DB335" s="21">
        <f t="shared" si="1986"/>
        <v>3192.7721428463556</v>
      </c>
      <c r="DE335" s="126"/>
      <c r="DF335" s="22">
        <v>41310.490000000005</v>
      </c>
    </row>
    <row r="336" spans="1:110" x14ac:dyDescent="0.2">
      <c r="AA336" s="2"/>
      <c r="CE336" s="111"/>
      <c r="CG336" s="111"/>
    </row>
    <row r="337" spans="1:110" s="49" customFormat="1" x14ac:dyDescent="0.2">
      <c r="A337" s="49" t="s">
        <v>81</v>
      </c>
      <c r="B337" s="49">
        <f>'Annual Raw'!C85</f>
        <v>439.98</v>
      </c>
      <c r="C337" s="49">
        <f>'Annual Raw'!D85</f>
        <v>508.25</v>
      </c>
      <c r="D337" s="49">
        <f>'Annual Raw'!E85</f>
        <v>807.51</v>
      </c>
      <c r="E337" s="49">
        <f>'Annual Raw'!F85</f>
        <v>685.55</v>
      </c>
      <c r="F337" s="49">
        <f>'Annual Raw'!G85</f>
        <v>439.29</v>
      </c>
      <c r="G337" s="49">
        <f>'Annual Raw'!H85</f>
        <v>328.46</v>
      </c>
      <c r="H337" s="49">
        <f>'Annual Raw'!I85</f>
        <v>357.27</v>
      </c>
      <c r="I337" s="49">
        <f>'Annual Raw'!J85</f>
        <v>404.51</v>
      </c>
      <c r="J337" s="49">
        <f>'Annual Raw'!K85</f>
        <v>401.01</v>
      </c>
      <c r="K337" s="49">
        <f>'Annual Raw'!L85</f>
        <v>570.63</v>
      </c>
      <c r="L337" s="49">
        <f>'Annual Raw'!M85</f>
        <v>610.04</v>
      </c>
      <c r="M337" s="49">
        <f>'Annual Raw'!N85</f>
        <v>830.77</v>
      </c>
      <c r="N337" s="49">
        <f>'Annual Raw'!O85</f>
        <v>1034.72</v>
      </c>
      <c r="O337" s="49">
        <f>'Annual Raw'!P85</f>
        <v>1492</v>
      </c>
      <c r="P337" s="49">
        <f>'Annual Raw'!Q85</f>
        <v>3210.92</v>
      </c>
      <c r="Q337" s="49">
        <f>'Annual Raw'!R85</f>
        <v>18745.400000000001</v>
      </c>
      <c r="R337" s="49">
        <f>'Annual Raw'!S85</f>
        <v>19853.330000000002</v>
      </c>
      <c r="S337" s="49">
        <f>'Annual Raw'!T85</f>
        <v>22816.28</v>
      </c>
      <c r="T337" s="49">
        <f>'Annual Raw'!U85</f>
        <v>23068.5</v>
      </c>
      <c r="U337" s="49">
        <f>'Annual Raw'!V85</f>
        <v>21839.79</v>
      </c>
      <c r="V337" s="49">
        <f>'Annual Raw'!W85</f>
        <v>18414.599999999999</v>
      </c>
      <c r="W337" s="49">
        <f>'Annual Raw'!X85</f>
        <v>19756.96</v>
      </c>
      <c r="X337" s="49">
        <f>'Annual Raw'!Y85</f>
        <v>17510.650000000001</v>
      </c>
      <c r="Y337" s="49">
        <f>'Annual Raw'!Z85</f>
        <v>18987.849999999999</v>
      </c>
      <c r="Z337" s="49">
        <f>'Annual Raw'!AA85</f>
        <v>20567.59</v>
      </c>
      <c r="AA337" s="49">
        <f>'Annual Raw'!AB85</f>
        <v>28921.93</v>
      </c>
      <c r="AB337" s="50"/>
      <c r="AC337" s="50"/>
      <c r="AD337" s="50"/>
      <c r="AE337" s="50"/>
      <c r="CM337" s="24">
        <v>0</v>
      </c>
      <c r="CN337" s="24">
        <v>0</v>
      </c>
      <c r="CO337" s="50">
        <v>0</v>
      </c>
      <c r="CP337" s="50">
        <v>86829.747100000008</v>
      </c>
      <c r="CQ337" s="24">
        <v>0</v>
      </c>
      <c r="CR337" s="50">
        <v>0</v>
      </c>
      <c r="CS337" s="50">
        <v>0</v>
      </c>
      <c r="CT337" s="50">
        <v>82677.899999999994</v>
      </c>
      <c r="CU337" s="50"/>
      <c r="CV337" s="50"/>
      <c r="CW337" s="50"/>
      <c r="CX337" s="50"/>
      <c r="CY337" s="50"/>
      <c r="CZ337" s="50"/>
      <c r="DA337" s="50"/>
      <c r="DB337" s="50"/>
      <c r="DE337" s="138"/>
      <c r="DF337" s="49">
        <v>28921.93</v>
      </c>
    </row>
    <row r="338" spans="1:110" s="29" customFormat="1" x14ac:dyDescent="0.2">
      <c r="A338" s="29" t="s">
        <v>82</v>
      </c>
      <c r="B338" s="29">
        <f>'Annual Raw'!C95</f>
        <v>41.26</v>
      </c>
      <c r="C338" s="29">
        <f>'Annual Raw'!D95</f>
        <v>6.27</v>
      </c>
      <c r="D338" s="29">
        <f>'Annual Raw'!E95</f>
        <v>154.41999999999999</v>
      </c>
      <c r="E338" s="29">
        <f>'Annual Raw'!F95</f>
        <v>148.43</v>
      </c>
      <c r="F338" s="29">
        <f>'Annual Raw'!G95</f>
        <v>140.63</v>
      </c>
      <c r="G338" s="29">
        <f>'Annual Raw'!H95</f>
        <v>91.53</v>
      </c>
      <c r="H338" s="29">
        <f>'Annual Raw'!I95</f>
        <v>10</v>
      </c>
      <c r="I338" s="29">
        <f>'Annual Raw'!J95</f>
        <v>10</v>
      </c>
      <c r="J338" s="29">
        <f>'Annual Raw'!K95</f>
        <v>0</v>
      </c>
      <c r="K338" s="29">
        <f>'Annual Raw'!L95</f>
        <v>0</v>
      </c>
      <c r="L338" s="29">
        <f>'Annual Raw'!M95</f>
        <v>0</v>
      </c>
      <c r="M338" s="29">
        <f>'Annual Raw'!N95</f>
        <v>0</v>
      </c>
      <c r="N338" s="29">
        <f>'Annual Raw'!O95</f>
        <v>0</v>
      </c>
      <c r="O338" s="29">
        <f>'Annual Raw'!P95</f>
        <v>3.68</v>
      </c>
      <c r="P338" s="29">
        <f>'Annual Raw'!Q95</f>
        <v>0</v>
      </c>
      <c r="Q338" s="29">
        <f>'Annual Raw'!R95</f>
        <v>1268.6400000000001</v>
      </c>
      <c r="R338" s="29">
        <f>'Annual Raw'!S95</f>
        <v>823.76</v>
      </c>
      <c r="S338" s="29">
        <f>'Annual Raw'!T95</f>
        <v>3332.49</v>
      </c>
      <c r="T338" s="29">
        <f>'Annual Raw'!U95</f>
        <v>3022.92</v>
      </c>
      <c r="U338" s="29">
        <f>'Annual Raw'!V95</f>
        <v>2773.58</v>
      </c>
      <c r="V338" s="29">
        <f>'Annual Raw'!W95</f>
        <v>704.01</v>
      </c>
      <c r="W338" s="29">
        <f>'Annual Raw'!X95</f>
        <v>829.39</v>
      </c>
      <c r="X338" s="29">
        <f>'Annual Raw'!Y95</f>
        <v>577.97</v>
      </c>
      <c r="Y338" s="29">
        <f>'Annual Raw'!Z95</f>
        <v>299.22000000000003</v>
      </c>
      <c r="Z338" s="29">
        <f>'Annual Raw'!AA95</f>
        <v>287.08</v>
      </c>
      <c r="AA338" s="29">
        <f>'Annual Raw'!AB95</f>
        <v>284.69</v>
      </c>
      <c r="AB338" s="30"/>
      <c r="AC338" s="30"/>
      <c r="AD338" s="30"/>
      <c r="AE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E338" s="139"/>
      <c r="DF338" s="29">
        <v>284.69</v>
      </c>
    </row>
    <row r="339" spans="1:110" s="29" customFormat="1" x14ac:dyDescent="0.2">
      <c r="A339" s="29" t="s">
        <v>83</v>
      </c>
      <c r="B339" s="29">
        <f>'Annual Raw'!C93</f>
        <v>330.73</v>
      </c>
      <c r="C339" s="29">
        <f>'Annual Raw'!D93</f>
        <v>492.99</v>
      </c>
      <c r="D339" s="29">
        <f>'Annual Raw'!E93</f>
        <v>652.27</v>
      </c>
      <c r="E339" s="29">
        <f>'Annual Raw'!F93</f>
        <v>536.38</v>
      </c>
      <c r="F339" s="29">
        <f>'Annual Raw'!G93</f>
        <v>298.66000000000003</v>
      </c>
      <c r="G339" s="29">
        <f>'Annual Raw'!H93</f>
        <v>236.93</v>
      </c>
      <c r="H339" s="29">
        <f>'Annual Raw'!I93</f>
        <v>347.27</v>
      </c>
      <c r="I339" s="29">
        <f>'Annual Raw'!J93</f>
        <v>394.51</v>
      </c>
      <c r="J339" s="29">
        <f>'Annual Raw'!K93</f>
        <v>401.01</v>
      </c>
      <c r="K339" s="29">
        <f>'Annual Raw'!L93</f>
        <v>570.63</v>
      </c>
      <c r="L339" s="29">
        <f>'Annual Raw'!M93</f>
        <v>610.04</v>
      </c>
      <c r="M339" s="29">
        <f>'Annual Raw'!N93</f>
        <v>830.77</v>
      </c>
      <c r="N339" s="29">
        <f>'Annual Raw'!O93</f>
        <v>1034.72</v>
      </c>
      <c r="O339" s="29">
        <f>'Annual Raw'!P93</f>
        <v>1488.32</v>
      </c>
      <c r="P339" s="29">
        <f>'Annual Raw'!Q93</f>
        <v>3210.92</v>
      </c>
      <c r="Q339" s="29">
        <f>'Annual Raw'!R93</f>
        <v>5241.63</v>
      </c>
      <c r="R339" s="29">
        <f>'Annual Raw'!S93</f>
        <v>5727.13</v>
      </c>
      <c r="S339" s="29">
        <f>'Annual Raw'!T93</f>
        <v>4689.95</v>
      </c>
      <c r="T339" s="29">
        <f>'Annual Raw'!U93</f>
        <v>4946.71</v>
      </c>
      <c r="U339" s="29">
        <f>'Annual Raw'!V93</f>
        <v>5912.77</v>
      </c>
      <c r="V339" s="29">
        <f>'Annual Raw'!W93</f>
        <v>5081.8500000000004</v>
      </c>
      <c r="W339" s="29">
        <f>'Annual Raw'!X93</f>
        <v>7444.03</v>
      </c>
      <c r="X339" s="29">
        <f>'Annual Raw'!Y93</f>
        <v>9290.64</v>
      </c>
      <c r="Y339" s="29">
        <f>'Annual Raw'!Z93</f>
        <v>11103.15</v>
      </c>
      <c r="Z339" s="29">
        <f>'Annual Raw'!AA93</f>
        <v>15048</v>
      </c>
      <c r="AA339" s="29">
        <f>'Annual Raw'!AB93</f>
        <v>21574.73</v>
      </c>
      <c r="AB339" s="30"/>
      <c r="AC339" s="30"/>
      <c r="AD339" s="30"/>
      <c r="AE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E339" s="139"/>
      <c r="DF339" s="29">
        <v>21574.73</v>
      </c>
    </row>
    <row r="340" spans="1:110" s="29" customFormat="1" x14ac:dyDescent="0.2">
      <c r="A340" s="29" t="s">
        <v>84</v>
      </c>
      <c r="B340" s="29">
        <f t="shared" ref="B340:V340" si="1988">B337-B338-B339</f>
        <v>67.990000000000009</v>
      </c>
      <c r="C340" s="29">
        <f t="shared" si="1988"/>
        <v>8.9900000000000091</v>
      </c>
      <c r="D340" s="29">
        <f t="shared" si="1988"/>
        <v>0.82000000000005002</v>
      </c>
      <c r="E340" s="29">
        <f t="shared" si="1988"/>
        <v>0.73999999999989541</v>
      </c>
      <c r="F340" s="29">
        <f t="shared" si="1988"/>
        <v>0</v>
      </c>
      <c r="G340" s="29">
        <f t="shared" si="1988"/>
        <v>0</v>
      </c>
      <c r="H340" s="29">
        <f t="shared" si="1988"/>
        <v>0</v>
      </c>
      <c r="I340" s="29">
        <f t="shared" si="1988"/>
        <v>0</v>
      </c>
      <c r="J340" s="29">
        <f t="shared" si="1988"/>
        <v>0</v>
      </c>
      <c r="K340" s="29">
        <f t="shared" si="1988"/>
        <v>0</v>
      </c>
      <c r="L340" s="29">
        <f t="shared" si="1988"/>
        <v>0</v>
      </c>
      <c r="M340" s="29">
        <f t="shared" si="1988"/>
        <v>0</v>
      </c>
      <c r="N340" s="29">
        <f t="shared" si="1988"/>
        <v>0</v>
      </c>
      <c r="O340" s="29">
        <f t="shared" si="1988"/>
        <v>0</v>
      </c>
      <c r="P340" s="29">
        <f t="shared" si="1988"/>
        <v>0</v>
      </c>
      <c r="Q340" s="29">
        <f t="shared" si="1988"/>
        <v>12235.130000000001</v>
      </c>
      <c r="R340" s="29">
        <f t="shared" si="1988"/>
        <v>13302.440000000002</v>
      </c>
      <c r="S340" s="29">
        <f t="shared" si="1988"/>
        <v>14793.84</v>
      </c>
      <c r="T340" s="29">
        <f t="shared" si="1988"/>
        <v>15098.870000000003</v>
      </c>
      <c r="U340" s="29">
        <f t="shared" si="1988"/>
        <v>13153.439999999999</v>
      </c>
      <c r="V340" s="29">
        <f t="shared" si="1988"/>
        <v>12628.74</v>
      </c>
      <c r="W340" s="29">
        <f t="shared" ref="W340" si="1989">W337-W338-W339</f>
        <v>11483.54</v>
      </c>
      <c r="X340" s="29">
        <f t="shared" ref="X340:Y340" si="1990">X337-X338-X339</f>
        <v>7642.0400000000009</v>
      </c>
      <c r="Y340" s="29">
        <f t="shared" si="1990"/>
        <v>7585.4799999999977</v>
      </c>
      <c r="Z340" s="29">
        <f t="shared" ref="Z340:AA340" si="1991">Z337-Z338-Z339</f>
        <v>5232.5099999999984</v>
      </c>
      <c r="AA340" s="29">
        <f t="shared" si="1991"/>
        <v>7062.510000000002</v>
      </c>
      <c r="AB340" s="30">
        <f t="shared" ref="AB340:AD340" si="1992">AB337-AB338-AB339</f>
        <v>0</v>
      </c>
      <c r="AC340" s="30">
        <f t="shared" si="1992"/>
        <v>0</v>
      </c>
      <c r="AD340" s="30">
        <f t="shared" si="1992"/>
        <v>0</v>
      </c>
      <c r="AE340" s="30">
        <f t="shared" ref="AE340" si="1993">AE337-AE338-AE339</f>
        <v>0</v>
      </c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E340" s="139"/>
      <c r="DF340" s="29">
        <v>7062.510000000002</v>
      </c>
    </row>
    <row r="341" spans="1:110" s="5" customFormat="1" x14ac:dyDescent="0.2">
      <c r="AB341" s="63"/>
      <c r="AC341" s="63"/>
      <c r="AD341" s="63"/>
      <c r="AE341" s="63"/>
      <c r="CE341" s="112"/>
      <c r="CG341" s="112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E341" s="139"/>
    </row>
    <row r="342" spans="1:110" s="95" customFormat="1" x14ac:dyDescent="0.2">
      <c r="A342" s="95" t="s">
        <v>85</v>
      </c>
      <c r="B342" s="95">
        <f t="shared" ref="B342:W342" si="1994">B337/B287</f>
        <v>0.11001122665593174</v>
      </c>
      <c r="C342" s="95">
        <f t="shared" si="1994"/>
        <v>0.16198893407616111</v>
      </c>
      <c r="D342" s="95">
        <f t="shared" si="1994"/>
        <v>0.25104458123484424</v>
      </c>
      <c r="E342" s="95">
        <f t="shared" si="1994"/>
        <v>0.25896000483507847</v>
      </c>
      <c r="F342" s="95">
        <f t="shared" si="1994"/>
        <v>0.13247867114203254</v>
      </c>
      <c r="G342" s="95">
        <f t="shared" si="1994"/>
        <v>6.6162014954234877E-2</v>
      </c>
      <c r="H342" s="95">
        <f t="shared" si="1994"/>
        <v>5.1617051094046851E-2</v>
      </c>
      <c r="I342" s="95">
        <f t="shared" si="1994"/>
        <v>3.7347049379057175E-2</v>
      </c>
      <c r="J342" s="95">
        <f t="shared" si="1994"/>
        <v>2.8668758981104825E-2</v>
      </c>
      <c r="K342" s="95">
        <f t="shared" si="1994"/>
        <v>2.7184170935903803E-2</v>
      </c>
      <c r="L342" s="95">
        <f t="shared" si="1994"/>
        <v>2.4352359529032298E-2</v>
      </c>
      <c r="M342" s="95">
        <f t="shared" si="1994"/>
        <v>2.8270194965219056E-2</v>
      </c>
      <c r="N342" s="95">
        <f t="shared" si="1994"/>
        <v>3.0559051190368249E-2</v>
      </c>
      <c r="O342" s="95">
        <f t="shared" si="1994"/>
        <v>3.956341296486679E-2</v>
      </c>
      <c r="P342" s="95">
        <f t="shared" si="1994"/>
        <v>7.8489195672255568E-2</v>
      </c>
      <c r="Q342" s="95">
        <f t="shared" si="1994"/>
        <v>0.42429260422504489</v>
      </c>
      <c r="R342" s="95">
        <f t="shared" si="1994"/>
        <v>0.39535455662797825</v>
      </c>
      <c r="S342" s="95">
        <f t="shared" si="1994"/>
        <v>0.4155705920387589</v>
      </c>
      <c r="T342" s="95">
        <f t="shared" si="1994"/>
        <v>0.36983685719232767</v>
      </c>
      <c r="U342" s="95">
        <f t="shared" si="1994"/>
        <v>0.32731918513524977</v>
      </c>
      <c r="V342" s="95">
        <f t="shared" si="1994"/>
        <v>0.24271723730511185</v>
      </c>
      <c r="W342" s="95">
        <f t="shared" si="1994"/>
        <v>0.23974664491140749</v>
      </c>
      <c r="X342" s="95">
        <f t="shared" ref="X342:Y342" si="1995">X337/X287</f>
        <v>0.19603094061692042</v>
      </c>
      <c r="Y342" s="95">
        <f t="shared" si="1995"/>
        <v>0.21987050835556216</v>
      </c>
      <c r="Z342" s="95">
        <f t="shared" ref="Z342:AA342" si="1996">Z337/Z287</f>
        <v>0.21061352344361206</v>
      </c>
      <c r="AA342" s="95">
        <f t="shared" si="1996"/>
        <v>0.26463521755918668</v>
      </c>
      <c r="AB342" s="87">
        <f t="shared" ref="AB342:AD342" si="1997">AB337/AB287</f>
        <v>0</v>
      </c>
      <c r="AC342" s="87">
        <f t="shared" si="1997"/>
        <v>0</v>
      </c>
      <c r="AD342" s="87">
        <f t="shared" si="1997"/>
        <v>0</v>
      </c>
      <c r="AE342" s="87">
        <f t="shared" ref="AE342" si="1998">AE337/AE287</f>
        <v>0</v>
      </c>
      <c r="CM342" s="96"/>
      <c r="CN342" s="96"/>
      <c r="CO342" s="96"/>
      <c r="CP342" s="96"/>
      <c r="CQ342" s="96"/>
      <c r="CR342" s="96"/>
      <c r="CS342" s="96"/>
      <c r="CT342" s="96"/>
      <c r="CU342" s="96"/>
      <c r="CV342" s="96"/>
      <c r="CW342" s="96"/>
      <c r="CX342" s="96"/>
      <c r="CY342" s="96"/>
      <c r="CZ342" s="96"/>
      <c r="DA342" s="96"/>
      <c r="DB342" s="96"/>
      <c r="DE342" s="140"/>
      <c r="DF342" s="95">
        <v>0.26463521755918668</v>
      </c>
    </row>
    <row r="343" spans="1:110" x14ac:dyDescent="0.2">
      <c r="A343" s="152" t="s">
        <v>492</v>
      </c>
      <c r="AA343" s="2"/>
      <c r="CE343" s="111"/>
      <c r="CG343" s="111"/>
    </row>
    <row r="344" spans="1:110" s="6" customFormat="1" x14ac:dyDescent="0.2">
      <c r="AB344" s="19"/>
      <c r="AC344" s="19"/>
      <c r="AD344" s="19"/>
      <c r="AE344" s="19"/>
      <c r="CE344" s="113"/>
      <c r="CG344" s="113"/>
      <c r="CM344" s="24"/>
      <c r="CN344" s="24"/>
      <c r="CO344" s="24"/>
      <c r="CP344" s="24"/>
      <c r="CQ344" s="24"/>
      <c r="CR344" s="24"/>
      <c r="CS344" s="24"/>
      <c r="CT344" s="24"/>
      <c r="CU344" s="24"/>
      <c r="CV344" s="24"/>
      <c r="CW344" s="24"/>
      <c r="CX344" s="24"/>
      <c r="CY344" s="24"/>
      <c r="CZ344" s="24"/>
      <c r="DA344" s="24"/>
      <c r="DB344" s="24"/>
      <c r="DE344" s="123"/>
    </row>
    <row r="345" spans="1:110" s="62" customFormat="1" x14ac:dyDescent="0.2">
      <c r="A345" s="153" t="s">
        <v>493</v>
      </c>
      <c r="AB345" s="63"/>
      <c r="AC345" s="63"/>
      <c r="AD345" s="63"/>
      <c r="AE345" s="63"/>
      <c r="CE345" s="114"/>
      <c r="CG345" s="114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E345" s="139"/>
    </row>
    <row r="346" spans="1:110" s="62" customFormat="1" outlineLevel="1" x14ac:dyDescent="0.2">
      <c r="A346" s="68" t="s">
        <v>464</v>
      </c>
      <c r="B346" s="67">
        <f t="shared" ref="B346:AE346" si="1999">B311/B164*365</f>
        <v>118.33512663201896</v>
      </c>
      <c r="C346" s="67">
        <f t="shared" si="1999"/>
        <v>113.51992689219871</v>
      </c>
      <c r="D346" s="67">
        <f t="shared" si="1999"/>
        <v>95.720462067874891</v>
      </c>
      <c r="E346" s="67">
        <f t="shared" si="1999"/>
        <v>63.925709157664386</v>
      </c>
      <c r="F346" s="67">
        <f t="shared" si="1999"/>
        <v>60.753555436267142</v>
      </c>
      <c r="G346" s="67">
        <f t="shared" si="1999"/>
        <v>53.796127675802317</v>
      </c>
      <c r="H346" s="67">
        <f t="shared" si="1999"/>
        <v>64.302269160984252</v>
      </c>
      <c r="I346" s="67">
        <f t="shared" si="1999"/>
        <v>61.434211082293238</v>
      </c>
      <c r="J346" s="67">
        <f t="shared" si="1999"/>
        <v>22.307912184937283</v>
      </c>
      <c r="K346" s="67">
        <f t="shared" si="1999"/>
        <v>20.149668949498608</v>
      </c>
      <c r="L346" s="67">
        <f t="shared" si="1999"/>
        <v>21.149111819999995</v>
      </c>
      <c r="M346" s="67">
        <f t="shared" si="1999"/>
        <v>23.757335274217642</v>
      </c>
      <c r="N346" s="67">
        <f t="shared" si="1999"/>
        <v>25.092693945938919</v>
      </c>
      <c r="O346" s="67">
        <f t="shared" si="1999"/>
        <v>23.489918504153732</v>
      </c>
      <c r="P346" s="67">
        <f t="shared" si="1999"/>
        <v>25.609351967181265</v>
      </c>
      <c r="Q346" s="67">
        <f t="shared" si="1999"/>
        <v>17.374657932005913</v>
      </c>
      <c r="R346" s="67">
        <f t="shared" si="1999"/>
        <v>13.735036496350364</v>
      </c>
      <c r="S346" s="67">
        <f t="shared" si="1999"/>
        <v>14.76235607418859</v>
      </c>
      <c r="T346" s="67">
        <f t="shared" si="1999"/>
        <v>17.313115139747147</v>
      </c>
      <c r="U346" s="67">
        <f t="shared" si="1999"/>
        <v>14.42071651501564</v>
      </c>
      <c r="V346" s="67">
        <f t="shared" si="1999"/>
        <v>15.623711244299949</v>
      </c>
      <c r="W346" s="67">
        <f t="shared" si="1999"/>
        <v>13.859537137549966</v>
      </c>
      <c r="X346" s="67">
        <f t="shared" si="1999"/>
        <v>13.594933912655508</v>
      </c>
      <c r="Y346" s="67">
        <f t="shared" si="1999"/>
        <v>10.928214684524752</v>
      </c>
      <c r="Z346" s="67">
        <f t="shared" si="1999"/>
        <v>10.947882657185998</v>
      </c>
      <c r="AA346" s="67">
        <f t="shared" ref="AA346" si="2000">AA311/AA164*365</f>
        <v>12.168945301705268</v>
      </c>
      <c r="AB346" s="18">
        <f t="shared" si="1999"/>
        <v>12.293908700392024</v>
      </c>
      <c r="AC346" s="18">
        <f t="shared" si="1999"/>
        <v>12.313825746173439</v>
      </c>
      <c r="AD346" s="18">
        <f t="shared" si="1999"/>
        <v>12.316509004017194</v>
      </c>
      <c r="AE346" s="18">
        <f t="shared" si="1999"/>
        <v>12.316783197905156</v>
      </c>
      <c r="AI346" s="67">
        <f>AJ311/AI164*90</f>
        <v>15.199137629125881</v>
      </c>
      <c r="AJ346" s="67">
        <f>AJ311/AJ164*90</f>
        <v>13.774510355632289</v>
      </c>
      <c r="AK346" s="67">
        <f t="shared" ref="AK346:CE346" si="2001">+AJ346</f>
        <v>13.774510355632289</v>
      </c>
      <c r="AL346" s="67">
        <f>AL311/AL164*90</f>
        <v>25.470925569567587</v>
      </c>
      <c r="AM346" s="67">
        <f t="shared" ref="AM346:AM347" si="2002">+AL346</f>
        <v>25.470925569567587</v>
      </c>
      <c r="AN346" s="67">
        <f>AN311/AN164*90</f>
        <v>25.091034202806107</v>
      </c>
      <c r="AO346" s="67">
        <f t="shared" ref="AO346:AO347" si="2003">+AN346</f>
        <v>25.091034202806107</v>
      </c>
      <c r="AP346" s="67">
        <f>AP311/AP164*90</f>
        <v>18.271071115335626</v>
      </c>
      <c r="AQ346" s="67">
        <f t="shared" ref="AQ346:AQ347" si="2004">+AP346</f>
        <v>18.271071115335626</v>
      </c>
      <c r="AR346" s="67">
        <f>AR311/AR164*90</f>
        <v>26.030990446339125</v>
      </c>
      <c r="AS346" s="67">
        <f t="shared" ref="AS346:AS347" si="2005">+AR346</f>
        <v>26.030990446339125</v>
      </c>
      <c r="AT346" s="67">
        <f>AT311/AT164*90</f>
        <v>20.716605050944821</v>
      </c>
      <c r="AU346" s="67">
        <f t="shared" ref="AU346:AU347" si="2006">+AT346</f>
        <v>20.716605050944821</v>
      </c>
      <c r="AV346" s="67">
        <f>AV311/AV164*90</f>
        <v>23.263133403795624</v>
      </c>
      <c r="AW346" s="67">
        <f t="shared" ref="AW346:AW347" si="2007">+AV346</f>
        <v>23.263133403795624</v>
      </c>
      <c r="AX346" s="67">
        <f>AX311/AX164*90</f>
        <v>13.288885860629993</v>
      </c>
      <c r="AY346" s="67">
        <f t="shared" ref="AY346:AY347" si="2008">+AX346</f>
        <v>13.288885860629993</v>
      </c>
      <c r="AZ346" s="67">
        <f>AZ311/AZ164*90</f>
        <v>15.804442046578545</v>
      </c>
      <c r="BA346" s="67">
        <f t="shared" ref="BA346:BA347" si="2009">+AZ346</f>
        <v>15.804442046578545</v>
      </c>
      <c r="BB346" s="67">
        <f>BB311/BB164*90</f>
        <v>10.116669413671504</v>
      </c>
      <c r="BC346" s="67">
        <f t="shared" ref="BC346:BC347" si="2010">+BB346</f>
        <v>10.116669413671504</v>
      </c>
      <c r="BD346" s="67">
        <f>BD311/BD164*90</f>
        <v>16.253575107120874</v>
      </c>
      <c r="BE346" s="67">
        <f t="shared" ref="BE346:BE347" si="2011">+BD346</f>
        <v>16.253575107120874</v>
      </c>
      <c r="BF346" s="67">
        <f>BF311/BF164*90</f>
        <v>10.725722194497777</v>
      </c>
      <c r="BG346" s="67">
        <f t="shared" ref="BG346:BG347" si="2012">+BF346</f>
        <v>10.725722194497777</v>
      </c>
      <c r="BH346" s="67">
        <f>BH311/BH164*90</f>
        <v>18.16987215322446</v>
      </c>
      <c r="BI346" s="67">
        <f t="shared" ref="BI346:BI347" si="2013">+BH346</f>
        <v>18.16987215322446</v>
      </c>
      <c r="BJ346" s="67">
        <f>BJ311/BJ164*90</f>
        <v>13.330447493730283</v>
      </c>
      <c r="BK346" s="67">
        <f t="shared" ref="BK346:BK347" si="2014">+BJ346</f>
        <v>13.330447493730283</v>
      </c>
      <c r="BL346" s="67">
        <f>BL311/BL164*90</f>
        <v>15.23655014584563</v>
      </c>
      <c r="BM346" s="67">
        <f t="shared" ref="BM346:BM347" si="2015">+BL346</f>
        <v>15.23655014584563</v>
      </c>
      <c r="BN346" s="67">
        <f>BN311/BN164*90</f>
        <v>11.689348558761521</v>
      </c>
      <c r="BO346" s="67">
        <f t="shared" ref="BO346:BO347" si="2016">+BN346</f>
        <v>11.689348558761521</v>
      </c>
      <c r="BP346" s="67">
        <f>BP311/BP164*90</f>
        <v>15.549671110503905</v>
      </c>
      <c r="BQ346" s="67">
        <f t="shared" ref="BQ346:BQ347" si="2017">+BP346</f>
        <v>15.549671110503905</v>
      </c>
      <c r="BR346" s="67">
        <f>BR311/BR164*90</f>
        <v>10.893563661544796</v>
      </c>
      <c r="BS346" s="67">
        <f t="shared" ref="BS346:BS347" si="2018">+BR346</f>
        <v>10.893563661544796</v>
      </c>
      <c r="BT346" s="67">
        <f>BT311/BT164*90</f>
        <v>15.012621898087303</v>
      </c>
      <c r="BU346" s="67">
        <f t="shared" ref="BU346:BU347" si="2019">+BT346</f>
        <v>15.012621898087303</v>
      </c>
      <c r="BV346" s="67">
        <f>BV311/BV164*90</f>
        <v>10.120946432656389</v>
      </c>
      <c r="BW346" s="67">
        <f t="shared" ref="BW346:BW347" si="2020">+BV346</f>
        <v>10.120946432656389</v>
      </c>
      <c r="BX346" s="67">
        <f>BX311/BX164*90</f>
        <v>13.409602454106519</v>
      </c>
      <c r="BY346" s="67">
        <f t="shared" ref="BY346:BY347" si="2021">+BX346</f>
        <v>13.409602454106519</v>
      </c>
      <c r="BZ346" s="67">
        <f>BZ311/BZ164*90</f>
        <v>10.535503894307292</v>
      </c>
      <c r="CA346" s="67">
        <f t="shared" ref="CA346:CA347" si="2022">+BZ346</f>
        <v>10.535503894307292</v>
      </c>
      <c r="CB346" s="67">
        <f>CB311/CB164*90</f>
        <v>11.683657350535158</v>
      </c>
      <c r="CC346" s="67">
        <f t="shared" ref="CC346:CC347" si="2023">+CB346</f>
        <v>11.683657350535158</v>
      </c>
      <c r="CD346" s="67">
        <f>CD311/CD164*90</f>
        <v>8.8823617280483163</v>
      </c>
      <c r="CE346" s="67">
        <f t="shared" si="2001"/>
        <v>8.8823617280483163</v>
      </c>
      <c r="CF346" s="67">
        <f>CF311/CF164*90</f>
        <v>10.636755217889553</v>
      </c>
      <c r="CG346" s="67">
        <f t="shared" ref="CG346:CI347" si="2024">+CF346</f>
        <v>10.636755217889553</v>
      </c>
      <c r="CH346" s="67">
        <f>CH311/CH164*90</f>
        <v>9.2798540386179873</v>
      </c>
      <c r="CI346" s="67">
        <f t="shared" si="2024"/>
        <v>9.2798540386179873</v>
      </c>
      <c r="CJ346" s="67">
        <f>CJ311/CJ164*90</f>
        <v>11.006026018360624</v>
      </c>
      <c r="CK346" s="67">
        <f t="shared" ref="CK346:CK347" si="2025">+CJ346</f>
        <v>11.006026018360624</v>
      </c>
      <c r="CL346" s="67">
        <f>CL311/CL164*90</f>
        <v>10.364443122315802</v>
      </c>
      <c r="CM346" s="30">
        <f t="shared" ref="CM346:CM347" si="2026">+CL346</f>
        <v>10.364443122315802</v>
      </c>
      <c r="CN346" s="30">
        <f t="shared" ref="CN346:CN347" si="2027">+CM346</f>
        <v>10.364443122315802</v>
      </c>
      <c r="CO346" s="30">
        <f t="shared" ref="CO346:CO347" si="2028">+CN346</f>
        <v>10.364443122315802</v>
      </c>
      <c r="CP346" s="30">
        <f t="shared" ref="CP346:CP347" si="2029">+CO346</f>
        <v>10.364443122315802</v>
      </c>
      <c r="CQ346" s="30">
        <f t="shared" ref="CQ346:CQ347" si="2030">+CP346</f>
        <v>10.364443122315802</v>
      </c>
      <c r="CR346" s="30">
        <f t="shared" ref="CR346:CR347" si="2031">+CQ346</f>
        <v>10.364443122315802</v>
      </c>
      <c r="CS346" s="30">
        <f t="shared" ref="CS346:CS347" si="2032">+CR346</f>
        <v>10.364443122315802</v>
      </c>
      <c r="CT346" s="30">
        <f t="shared" ref="CT346:CT347" si="2033">+CS346</f>
        <v>10.364443122315802</v>
      </c>
      <c r="CU346" s="30">
        <f t="shared" ref="CU346:CU347" si="2034">+CT346</f>
        <v>10.364443122315802</v>
      </c>
      <c r="CV346" s="30">
        <f t="shared" ref="CV346:CV347" si="2035">+CU346</f>
        <v>10.364443122315802</v>
      </c>
      <c r="CW346" s="30">
        <f t="shared" ref="CW346:CW347" si="2036">+CV346</f>
        <v>10.364443122315802</v>
      </c>
      <c r="CX346" s="30">
        <f t="shared" ref="CX346:CX347" si="2037">+CW346</f>
        <v>10.364443122315802</v>
      </c>
      <c r="CY346" s="30">
        <f t="shared" ref="CY346:CY347" si="2038">+CX346</f>
        <v>10.364443122315802</v>
      </c>
      <c r="CZ346" s="30">
        <f t="shared" ref="CZ346:CZ347" si="2039">+CY346</f>
        <v>10.364443122315802</v>
      </c>
      <c r="DA346" s="30">
        <f t="shared" ref="DA346:DA347" si="2040">+CZ346</f>
        <v>10.364443122315802</v>
      </c>
      <c r="DB346" s="30">
        <f t="shared" ref="DB346:DB347" si="2041">+DA346</f>
        <v>10.364443122315802</v>
      </c>
      <c r="DE346" s="139"/>
      <c r="DF346" s="62">
        <v>12.168945301705268</v>
      </c>
    </row>
    <row r="347" spans="1:110" s="62" customFormat="1" outlineLevel="1" x14ac:dyDescent="0.2">
      <c r="A347" s="68" t="s">
        <v>465</v>
      </c>
      <c r="B347" s="67">
        <f t="shared" ref="B347:AE347" si="2042">B312/B164*365</f>
        <v>64.576962543911321</v>
      </c>
      <c r="C347" s="67">
        <f t="shared" si="2042"/>
        <v>62.250872953385048</v>
      </c>
      <c r="D347" s="67">
        <f t="shared" si="2042"/>
        <v>66.413471400047911</v>
      </c>
      <c r="E347" s="67">
        <f t="shared" si="2042"/>
        <v>113.43253498380568</v>
      </c>
      <c r="F347" s="67">
        <f t="shared" si="2042"/>
        <v>107.03746712962648</v>
      </c>
      <c r="G347" s="67">
        <f t="shared" si="2042"/>
        <v>114.70593467237728</v>
      </c>
      <c r="H347" s="67">
        <f t="shared" si="2042"/>
        <v>106.82812975995002</v>
      </c>
      <c r="I347" s="67">
        <f t="shared" si="2042"/>
        <v>100.79127522765336</v>
      </c>
      <c r="J347" s="67">
        <f t="shared" si="2042"/>
        <v>102.4692080241513</v>
      </c>
      <c r="K347" s="67">
        <f t="shared" si="2042"/>
        <v>103.15306927529075</v>
      </c>
      <c r="L347" s="67">
        <f t="shared" si="2042"/>
        <v>98.219509085344029</v>
      </c>
      <c r="M347" s="67">
        <f t="shared" si="2042"/>
        <v>116.0351326537775</v>
      </c>
      <c r="N347" s="67">
        <f t="shared" si="2042"/>
        <v>111.69754869020421</v>
      </c>
      <c r="O347" s="67">
        <f t="shared" si="2042"/>
        <v>112.12560706232134</v>
      </c>
      <c r="P347" s="67">
        <f t="shared" si="2042"/>
        <v>118.39611376079297</v>
      </c>
      <c r="Q347" s="67">
        <f t="shared" si="2042"/>
        <v>93.151125556433541</v>
      </c>
      <c r="R347" s="67">
        <f t="shared" si="2042"/>
        <v>95.185700066357001</v>
      </c>
      <c r="S347" s="67">
        <f t="shared" si="2042"/>
        <v>100.84670383715955</v>
      </c>
      <c r="T347" s="67">
        <f t="shared" si="2042"/>
        <v>99.458021795397727</v>
      </c>
      <c r="U347" s="67">
        <f t="shared" si="2042"/>
        <v>102.21219373821091</v>
      </c>
      <c r="V347" s="67">
        <f t="shared" si="2042"/>
        <v>113.35475550899281</v>
      </c>
      <c r="W347" s="67">
        <f t="shared" si="2042"/>
        <v>107.59468092603156</v>
      </c>
      <c r="X347" s="67">
        <f t="shared" si="2042"/>
        <v>89.052831422591922</v>
      </c>
      <c r="Y347" s="67">
        <f t="shared" si="2042"/>
        <v>80.508174533997135</v>
      </c>
      <c r="Z347" s="67">
        <f t="shared" si="2042"/>
        <v>76.663481200909771</v>
      </c>
      <c r="AA347" s="67">
        <f t="shared" ref="AA347" si="2043">AA312/AA164*365</f>
        <v>77.196009813541878</v>
      </c>
      <c r="AB347" s="18">
        <f t="shared" si="2042"/>
        <v>77.988738806251263</v>
      </c>
      <c r="AC347" s="18">
        <f t="shared" si="2042"/>
        <v>78.115086359262548</v>
      </c>
      <c r="AD347" s="18">
        <f t="shared" si="2042"/>
        <v>78.132108113712349</v>
      </c>
      <c r="AE347" s="18">
        <f t="shared" si="2042"/>
        <v>78.13384751458409</v>
      </c>
      <c r="AI347" s="67">
        <f>AJ312/AI164*90</f>
        <v>139.89416583252819</v>
      </c>
      <c r="AJ347" s="67">
        <f>AJ312/AJ164*90</f>
        <v>126.78177426724983</v>
      </c>
      <c r="AK347" s="67">
        <f>+AJ347</f>
        <v>126.78177426724983</v>
      </c>
      <c r="AL347" s="67">
        <f>AL312/AL164*90</f>
        <v>113.38076924129739</v>
      </c>
      <c r="AM347" s="67">
        <f t="shared" si="2002"/>
        <v>113.38076924129739</v>
      </c>
      <c r="AN347" s="67">
        <f>AN312/AN164*90</f>
        <v>110.50273330426921</v>
      </c>
      <c r="AO347" s="67">
        <f t="shared" si="2003"/>
        <v>110.50273330426921</v>
      </c>
      <c r="AP347" s="67">
        <f>AP312/AP164*90</f>
        <v>87.214220863456262</v>
      </c>
      <c r="AQ347" s="67">
        <f t="shared" si="2004"/>
        <v>87.214220863456262</v>
      </c>
      <c r="AR347" s="67">
        <f>AR312/AR164*90</f>
        <v>109.71684053651268</v>
      </c>
      <c r="AS347" s="67">
        <f t="shared" si="2005"/>
        <v>109.71684053651268</v>
      </c>
      <c r="AT347" s="67">
        <f>AT312/AT164*90</f>
        <v>95.776165343517221</v>
      </c>
      <c r="AU347" s="67">
        <f t="shared" si="2006"/>
        <v>95.776165343517221</v>
      </c>
      <c r="AV347" s="67">
        <f>AV312/AV164*90</f>
        <v>120.54370708907136</v>
      </c>
      <c r="AW347" s="67">
        <f t="shared" si="2007"/>
        <v>120.54370708907136</v>
      </c>
      <c r="AX347" s="67">
        <f>AX312/AX164*90</f>
        <v>71.245988275162873</v>
      </c>
      <c r="AY347" s="67">
        <f t="shared" si="2008"/>
        <v>71.245988275162873</v>
      </c>
      <c r="AZ347" s="67">
        <f>AZ312/AZ164*90</f>
        <v>92.513550939663702</v>
      </c>
      <c r="BA347" s="67">
        <f t="shared" si="2009"/>
        <v>92.513550939663702</v>
      </c>
      <c r="BB347" s="67">
        <f>BB312/BB164*90</f>
        <v>70.109916397826765</v>
      </c>
      <c r="BC347" s="67">
        <f t="shared" si="2010"/>
        <v>70.109916397826765</v>
      </c>
      <c r="BD347" s="67">
        <f>BD312/BD164*90</f>
        <v>99.470963550922704</v>
      </c>
      <c r="BE347" s="67">
        <f t="shared" si="2011"/>
        <v>99.470963550922704</v>
      </c>
      <c r="BF347" s="67">
        <f>BF312/BF164*90</f>
        <v>73.271077066038004</v>
      </c>
      <c r="BG347" s="67">
        <f t="shared" si="2012"/>
        <v>73.271077066038004</v>
      </c>
      <c r="BH347" s="67">
        <f>BH312/BH164*90</f>
        <v>97.470484674261442</v>
      </c>
      <c r="BI347" s="67">
        <f t="shared" si="2013"/>
        <v>97.470484674261442</v>
      </c>
      <c r="BJ347" s="67">
        <f>BJ312/BJ164*90</f>
        <v>76.578936065066486</v>
      </c>
      <c r="BK347" s="67">
        <f t="shared" si="2014"/>
        <v>76.578936065066486</v>
      </c>
      <c r="BL347" s="67">
        <f>BL312/BL164*90</f>
        <v>87.514765012334266</v>
      </c>
      <c r="BM347" s="67">
        <f t="shared" si="2015"/>
        <v>87.514765012334266</v>
      </c>
      <c r="BN347" s="67">
        <f>BN312/BN164*90</f>
        <v>82.852607102949733</v>
      </c>
      <c r="BO347" s="67">
        <f t="shared" si="2016"/>
        <v>82.852607102949733</v>
      </c>
      <c r="BP347" s="67">
        <f>BP312/BP164*90</f>
        <v>104.65511552537575</v>
      </c>
      <c r="BQ347" s="67">
        <f t="shared" si="2017"/>
        <v>104.65511552537575</v>
      </c>
      <c r="BR347" s="67">
        <f>BR312/BR164*90</f>
        <v>79.036102637045914</v>
      </c>
      <c r="BS347" s="67">
        <f t="shared" si="2018"/>
        <v>79.036102637045914</v>
      </c>
      <c r="BT347" s="67">
        <f>BT312/BT164*90</f>
        <v>101.69930894460916</v>
      </c>
      <c r="BU347" s="67">
        <f t="shared" si="2019"/>
        <v>101.69930894460916</v>
      </c>
      <c r="BV347" s="67">
        <f>BV312/BV164*90</f>
        <v>78.57116664746161</v>
      </c>
      <c r="BW347" s="67">
        <f t="shared" si="2020"/>
        <v>78.57116664746161</v>
      </c>
      <c r="BX347" s="67">
        <f>BX312/BX164*90</f>
        <v>92.628130041641512</v>
      </c>
      <c r="BY347" s="67">
        <f t="shared" si="2021"/>
        <v>92.628130041641512</v>
      </c>
      <c r="BZ347" s="67">
        <f>BZ312/BZ164*90</f>
        <v>69.012211333989882</v>
      </c>
      <c r="CA347" s="67">
        <f t="shared" si="2022"/>
        <v>69.012211333989882</v>
      </c>
      <c r="CB347" s="67">
        <f>CB312/CB164*90</f>
        <v>84.625844993849967</v>
      </c>
      <c r="CC347" s="67">
        <f t="shared" si="2023"/>
        <v>84.625844993849967</v>
      </c>
      <c r="CD347" s="67">
        <f>CD312/CD164*90</f>
        <v>65.436372629872864</v>
      </c>
      <c r="CE347" s="114">
        <f t="shared" ref="CE347" si="2044">+CD347</f>
        <v>65.436372629872864</v>
      </c>
      <c r="CF347" s="67">
        <f>CF312/CF164*90</f>
        <v>74.777387807698474</v>
      </c>
      <c r="CG347" s="67">
        <f t="shared" si="2024"/>
        <v>74.777387807698474</v>
      </c>
      <c r="CH347" s="67">
        <f>CH312/CH164*90</f>
        <v>64.982968662877397</v>
      </c>
      <c r="CI347" s="67">
        <f t="shared" si="2024"/>
        <v>64.982968662877397</v>
      </c>
      <c r="CJ347" s="67">
        <f>CJ312/CJ164*90</f>
        <v>71.031095325588424</v>
      </c>
      <c r="CK347" s="67">
        <f t="shared" si="2025"/>
        <v>71.031095325588424</v>
      </c>
      <c r="CL347" s="67">
        <f>CL312/CL164*90</f>
        <v>65.748808392627737</v>
      </c>
      <c r="CM347" s="30">
        <f t="shared" si="2026"/>
        <v>65.748808392627737</v>
      </c>
      <c r="CN347" s="30">
        <f t="shared" si="2027"/>
        <v>65.748808392627737</v>
      </c>
      <c r="CO347" s="30">
        <f t="shared" si="2028"/>
        <v>65.748808392627737</v>
      </c>
      <c r="CP347" s="30">
        <f t="shared" si="2029"/>
        <v>65.748808392627737</v>
      </c>
      <c r="CQ347" s="30">
        <f t="shared" si="2030"/>
        <v>65.748808392627737</v>
      </c>
      <c r="CR347" s="30">
        <f t="shared" si="2031"/>
        <v>65.748808392627737</v>
      </c>
      <c r="CS347" s="30">
        <f t="shared" si="2032"/>
        <v>65.748808392627737</v>
      </c>
      <c r="CT347" s="30">
        <f t="shared" si="2033"/>
        <v>65.748808392627737</v>
      </c>
      <c r="CU347" s="30">
        <f t="shared" si="2034"/>
        <v>65.748808392627737</v>
      </c>
      <c r="CV347" s="30">
        <f t="shared" si="2035"/>
        <v>65.748808392627737</v>
      </c>
      <c r="CW347" s="30">
        <f t="shared" si="2036"/>
        <v>65.748808392627737</v>
      </c>
      <c r="CX347" s="30">
        <f t="shared" si="2037"/>
        <v>65.748808392627737</v>
      </c>
      <c r="CY347" s="30">
        <f t="shared" si="2038"/>
        <v>65.748808392627737</v>
      </c>
      <c r="CZ347" s="30">
        <f t="shared" si="2039"/>
        <v>65.748808392627737</v>
      </c>
      <c r="DA347" s="30">
        <f t="shared" si="2040"/>
        <v>65.748808392627737</v>
      </c>
      <c r="DB347" s="30">
        <f t="shared" si="2041"/>
        <v>65.748808392627737</v>
      </c>
      <c r="DE347" s="139"/>
      <c r="DF347" s="62">
        <v>77.196009813541878</v>
      </c>
    </row>
    <row r="348" spans="1:110" s="62" customFormat="1" outlineLevel="1" x14ac:dyDescent="0.2">
      <c r="A348" s="68" t="s">
        <v>466</v>
      </c>
      <c r="B348" s="67">
        <f>B349-B347-B346</f>
        <v>59.499426868555446</v>
      </c>
      <c r="C348" s="67">
        <f t="shared" ref="C348:U348" si="2045">C349-C347-C346</f>
        <v>56.953409043818894</v>
      </c>
      <c r="D348" s="67">
        <f t="shared" si="2045"/>
        <v>55.440987022259051</v>
      </c>
      <c r="E348" s="67">
        <f t="shared" si="2045"/>
        <v>60.836366242474838</v>
      </c>
      <c r="F348" s="67">
        <f t="shared" si="2045"/>
        <v>55.626110118299358</v>
      </c>
      <c r="G348" s="67">
        <f t="shared" si="2045"/>
        <v>66.526441070624315</v>
      </c>
      <c r="H348" s="67">
        <f t="shared" si="2045"/>
        <v>91.033559384058918</v>
      </c>
      <c r="I348" s="67">
        <f t="shared" si="2045"/>
        <v>134.24605274542196</v>
      </c>
      <c r="J348" s="67">
        <f t="shared" si="2045"/>
        <v>165.21682095127204</v>
      </c>
      <c r="K348" s="67">
        <f t="shared" si="2045"/>
        <v>200.60376263302169</v>
      </c>
      <c r="L348" s="67">
        <f t="shared" si="2045"/>
        <v>268.77187860085212</v>
      </c>
      <c r="M348" s="67">
        <f t="shared" si="2045"/>
        <v>281.26277630815724</v>
      </c>
      <c r="N348" s="67">
        <f t="shared" si="2045"/>
        <v>305.08627000806302</v>
      </c>
      <c r="O348" s="67">
        <f t="shared" si="2045"/>
        <v>342.3722968611595</v>
      </c>
      <c r="P348" s="67">
        <f t="shared" si="2045"/>
        <v>368.9723534486123</v>
      </c>
      <c r="Q348" s="67">
        <f t="shared" si="2045"/>
        <v>416.8803668612432</v>
      </c>
      <c r="R348" s="67">
        <f t="shared" si="2045"/>
        <v>406.71104844061051</v>
      </c>
      <c r="S348" s="67">
        <f t="shared" si="2045"/>
        <v>450.0453675515447</v>
      </c>
      <c r="T348" s="67">
        <f t="shared" si="2045"/>
        <v>442.47412056282388</v>
      </c>
      <c r="U348" s="67">
        <f t="shared" si="2045"/>
        <v>440.86780200747518</v>
      </c>
      <c r="V348" s="67">
        <f>V349-V347-V346</f>
        <v>429.04461629120317</v>
      </c>
      <c r="W348" s="67">
        <f t="shared" ref="W348" si="2046">W349-W347-W346</f>
        <v>379.17910784370912</v>
      </c>
      <c r="X348" s="67">
        <f t="shared" ref="X348:Y348" si="2047">X349-X347-X346</f>
        <v>322.08176607812669</v>
      </c>
      <c r="Y348" s="67">
        <f t="shared" si="2047"/>
        <v>287.00773532400251</v>
      </c>
      <c r="Z348" s="67">
        <f t="shared" ref="Z348:AA348" si="2048">Z349-Z347-Z346</f>
        <v>271.08303652480146</v>
      </c>
      <c r="AA348" s="67">
        <f t="shared" si="2048"/>
        <v>325.45574443962039</v>
      </c>
      <c r="AB348" s="18">
        <f t="shared" ref="AB348:AD348" si="2049">AB349-AB347-AB346</f>
        <v>324.1763763552139</v>
      </c>
      <c r="AC348" s="18">
        <f t="shared" si="2049"/>
        <v>316.38498040410497</v>
      </c>
      <c r="AD348" s="18">
        <f t="shared" si="2049"/>
        <v>316.45392262383547</v>
      </c>
      <c r="AE348" s="18">
        <f t="shared" ref="AE348" si="2050">AE349-AE347-AE346</f>
        <v>316.46096761778443</v>
      </c>
      <c r="AI348" s="67">
        <f t="shared" ref="AI348:AK348" si="2051">AI349-AI347-AI346</f>
        <v>-155.09330346165407</v>
      </c>
      <c r="AJ348" s="67">
        <f t="shared" ref="AJ348:AM348" si="2052">AJ349-AJ347-AJ346</f>
        <v>154.86873411652419</v>
      </c>
      <c r="AK348" s="67">
        <f t="shared" si="2051"/>
        <v>156.99076624271464</v>
      </c>
      <c r="AL348" s="67">
        <f t="shared" si="2052"/>
        <v>298.95059413502094</v>
      </c>
      <c r="AM348" s="67">
        <f t="shared" si="2052"/>
        <v>312.05567652752683</v>
      </c>
      <c r="AN348" s="67">
        <f t="shared" ref="AN348:AY348" si="2053">AN349-AN347-AN346</f>
        <v>322.90751811415981</v>
      </c>
      <c r="AO348" s="67">
        <f t="shared" si="2053"/>
        <v>283.18852777032976</v>
      </c>
      <c r="AP348" s="67">
        <f t="shared" si="2053"/>
        <v>258.45060402566247</v>
      </c>
      <c r="AQ348" s="67">
        <f t="shared" si="2053"/>
        <v>367.15619202997755</v>
      </c>
      <c r="AR348" s="67">
        <f t="shared" si="2053"/>
        <v>355.38985583952808</v>
      </c>
      <c r="AS348" s="67">
        <f t="shared" si="2053"/>
        <v>314.39802411955156</v>
      </c>
      <c r="AT348" s="67">
        <f t="shared" si="2053"/>
        <v>290.88199666769356</v>
      </c>
      <c r="AU348" s="67">
        <f t="shared" si="2053"/>
        <v>410.24070442093671</v>
      </c>
      <c r="AV348" s="67">
        <f t="shared" si="2053"/>
        <v>385.45519100066258</v>
      </c>
      <c r="AW348" s="67">
        <f t="shared" si="2053"/>
        <v>343.76123637432329</v>
      </c>
      <c r="AX348" s="67">
        <f t="shared" si="2053"/>
        <v>318.84803916349892</v>
      </c>
      <c r="AY348" s="67">
        <f t="shared" si="2053"/>
        <v>478.64762634229191</v>
      </c>
      <c r="AZ348" s="67">
        <f t="shared" ref="AZ348:BC348" si="2054">AZ349-AZ347-AZ346</f>
        <v>420.65375415879868</v>
      </c>
      <c r="BA348" s="67">
        <f t="shared" si="2054"/>
        <v>399.68758383406526</v>
      </c>
      <c r="BB348" s="67">
        <f t="shared" si="2054"/>
        <v>299.56682132258641</v>
      </c>
      <c r="BC348" s="67">
        <f t="shared" si="2054"/>
        <v>459.2823928319043</v>
      </c>
      <c r="BD348" s="67">
        <f t="shared" ref="BD348:CE348" si="2055">BD349-BD347-BD346</f>
        <v>449.43737153435802</v>
      </c>
      <c r="BE348" s="67">
        <f t="shared" si="2055"/>
        <v>413.46840502374982</v>
      </c>
      <c r="BF348" s="67">
        <f t="shared" si="2055"/>
        <v>326.98449780102806</v>
      </c>
      <c r="BG348" s="67">
        <f t="shared" si="2055"/>
        <v>492.54661676437172</v>
      </c>
      <c r="BH348" s="67">
        <f t="shared" si="2055"/>
        <v>462.14372909952465</v>
      </c>
      <c r="BI348" s="67">
        <f t="shared" si="2055"/>
        <v>414.14155417602865</v>
      </c>
      <c r="BJ348" s="67">
        <f t="shared" si="2055"/>
        <v>340.68843093152043</v>
      </c>
      <c r="BK348" s="67">
        <f t="shared" si="2055"/>
        <v>497.80646140920055</v>
      </c>
      <c r="BL348" s="67">
        <f t="shared" si="2055"/>
        <v>451.54672792041549</v>
      </c>
      <c r="BM348" s="67">
        <f t="shared" si="2055"/>
        <v>440.15635709059052</v>
      </c>
      <c r="BN348" s="67">
        <f t="shared" si="2055"/>
        <v>361.89380200554729</v>
      </c>
      <c r="BO348" s="67">
        <f t="shared" si="2055"/>
        <v>753.15687651487747</v>
      </c>
      <c r="BP348" s="67">
        <f t="shared" si="2055"/>
        <v>488.74309886275836</v>
      </c>
      <c r="BQ348" s="67">
        <f t="shared" si="2055"/>
        <v>426.11068753543196</v>
      </c>
      <c r="BR348" s="67">
        <f t="shared" si="2055"/>
        <v>302.93290411933145</v>
      </c>
      <c r="BS348" s="67">
        <f t="shared" si="2055"/>
        <v>496.5925099702639</v>
      </c>
      <c r="BT348" s="67">
        <f t="shared" si="2055"/>
        <v>411.33790969404333</v>
      </c>
      <c r="BU348" s="67">
        <f t="shared" si="2055"/>
        <v>361.53580170523298</v>
      </c>
      <c r="BV348" s="67">
        <f t="shared" si="2055"/>
        <v>280.28403424213923</v>
      </c>
      <c r="BW348" s="67">
        <f t="shared" si="2055"/>
        <v>413.16253500384903</v>
      </c>
      <c r="BX348" s="67">
        <f t="shared" si="2055"/>
        <v>357.748348381916</v>
      </c>
      <c r="BY348" s="67">
        <f t="shared" si="2055"/>
        <v>329.77679322056707</v>
      </c>
      <c r="BZ348" s="67">
        <f t="shared" si="2055"/>
        <v>252.89819259914481</v>
      </c>
      <c r="CA348" s="67">
        <f t="shared" si="2055"/>
        <v>308.10617770173036</v>
      </c>
      <c r="CB348" s="67">
        <f t="shared" si="2055"/>
        <v>286.18116675982532</v>
      </c>
      <c r="CC348" s="67">
        <f t="shared" si="2055"/>
        <v>264.87750286515956</v>
      </c>
      <c r="CD348" s="67">
        <f t="shared" si="2055"/>
        <v>236.34921259631227</v>
      </c>
      <c r="CE348" s="114">
        <f t="shared" si="2055"/>
        <v>287.62781155671416</v>
      </c>
      <c r="CF348" s="67">
        <f t="shared" ref="CF348:CG348" si="2056">CF349-CF347-CF346</f>
        <v>270.74478779645642</v>
      </c>
      <c r="CG348" s="67">
        <f t="shared" si="2056"/>
        <v>257.71074405213858</v>
      </c>
      <c r="CH348" s="67">
        <f t="shared" ref="CH348" si="2057">CH349-CH347-CH346</f>
        <v>229.78059685763094</v>
      </c>
      <c r="CI348" s="67">
        <f>CH348</f>
        <v>229.78059685763094</v>
      </c>
      <c r="CJ348" s="67">
        <f t="shared" ref="CJ348:CL348" si="2058">CJ349-CJ347-CJ346</f>
        <v>273.05466485779715</v>
      </c>
      <c r="CK348" s="67">
        <f t="shared" ref="CK348:DB348" si="2059">CJ348</f>
        <v>273.05466485779715</v>
      </c>
      <c r="CL348" s="67">
        <f t="shared" si="2058"/>
        <v>281.29856567300811</v>
      </c>
      <c r="CM348" s="30">
        <f>+CL348</f>
        <v>281.29856567300811</v>
      </c>
      <c r="CN348" s="30">
        <f t="shared" ref="CN348:CO348" si="2060">CM348-4</f>
        <v>277.29856567300811</v>
      </c>
      <c r="CO348" s="30">
        <f t="shared" si="2060"/>
        <v>273.29856567300811</v>
      </c>
      <c r="CP348" s="30">
        <f t="shared" si="2059"/>
        <v>273.29856567300811</v>
      </c>
      <c r="CQ348" s="30">
        <f>CP348-2</f>
        <v>271.29856567300811</v>
      </c>
      <c r="CR348" s="30">
        <f t="shared" ref="CR348:CS348" si="2061">CQ348-2</f>
        <v>269.29856567300811</v>
      </c>
      <c r="CS348" s="30">
        <f t="shared" si="2061"/>
        <v>267.29856567300811</v>
      </c>
      <c r="CT348" s="30">
        <f t="shared" ref="CT348" si="2062">CS348-1</f>
        <v>266.29856567300811</v>
      </c>
      <c r="CU348" s="30">
        <f t="shared" si="2059"/>
        <v>266.29856567300811</v>
      </c>
      <c r="CV348" s="30">
        <f t="shared" si="2059"/>
        <v>266.29856567300811</v>
      </c>
      <c r="CW348" s="30">
        <f t="shared" si="2059"/>
        <v>266.29856567300811</v>
      </c>
      <c r="CX348" s="30">
        <f t="shared" si="2059"/>
        <v>266.29856567300811</v>
      </c>
      <c r="CY348" s="30">
        <f t="shared" si="2059"/>
        <v>266.29856567300811</v>
      </c>
      <c r="CZ348" s="30">
        <f t="shared" si="2059"/>
        <v>266.29856567300811</v>
      </c>
      <c r="DA348" s="30">
        <f t="shared" si="2059"/>
        <v>266.29856567300811</v>
      </c>
      <c r="DB348" s="30">
        <f t="shared" si="2059"/>
        <v>266.29856567300811</v>
      </c>
      <c r="DE348" s="139"/>
      <c r="DF348" s="62">
        <v>325.45574443962039</v>
      </c>
    </row>
    <row r="349" spans="1:110" s="7" customFormat="1" outlineLevel="1" x14ac:dyDescent="0.2">
      <c r="A349" s="69" t="s">
        <v>467</v>
      </c>
      <c r="B349" s="70">
        <f t="shared" ref="B349:AE349" si="2063">B315/B164*365</f>
        <v>242.41151604448572</v>
      </c>
      <c r="C349" s="70">
        <f t="shared" si="2063"/>
        <v>232.72420888940266</v>
      </c>
      <c r="D349" s="70">
        <f t="shared" si="2063"/>
        <v>217.57492049018185</v>
      </c>
      <c r="E349" s="70">
        <f t="shared" si="2063"/>
        <v>238.19461038394491</v>
      </c>
      <c r="F349" s="70">
        <f t="shared" si="2063"/>
        <v>223.41713268419298</v>
      </c>
      <c r="G349" s="70">
        <f t="shared" si="2063"/>
        <v>235.02850341880392</v>
      </c>
      <c r="H349" s="70">
        <f t="shared" si="2063"/>
        <v>262.16395830499317</v>
      </c>
      <c r="I349" s="70">
        <f t="shared" si="2063"/>
        <v>296.47153905536857</v>
      </c>
      <c r="J349" s="70">
        <f t="shared" si="2063"/>
        <v>289.99394116036063</v>
      </c>
      <c r="K349" s="70">
        <f t="shared" si="2063"/>
        <v>323.90650085781107</v>
      </c>
      <c r="L349" s="70">
        <f t="shared" si="2063"/>
        <v>388.14049950619614</v>
      </c>
      <c r="M349" s="70">
        <f t="shared" si="2063"/>
        <v>421.05524423615242</v>
      </c>
      <c r="N349" s="70">
        <f t="shared" si="2063"/>
        <v>441.87651264420612</v>
      </c>
      <c r="O349" s="70">
        <f t="shared" si="2063"/>
        <v>477.98782242763457</v>
      </c>
      <c r="P349" s="70">
        <f t="shared" si="2063"/>
        <v>512.97781917658654</v>
      </c>
      <c r="Q349" s="70">
        <f t="shared" si="2063"/>
        <v>527.40615034968266</v>
      </c>
      <c r="R349" s="70">
        <f t="shared" si="2063"/>
        <v>515.63178500331787</v>
      </c>
      <c r="S349" s="70">
        <f t="shared" si="2063"/>
        <v>565.65442746289284</v>
      </c>
      <c r="T349" s="70">
        <f t="shared" si="2063"/>
        <v>559.24525749796874</v>
      </c>
      <c r="U349" s="70">
        <f t="shared" si="2063"/>
        <v>557.50071226070168</v>
      </c>
      <c r="V349" s="70">
        <f t="shared" si="2063"/>
        <v>558.02308304449593</v>
      </c>
      <c r="W349" s="70">
        <f t="shared" si="2063"/>
        <v>500.63332590729067</v>
      </c>
      <c r="X349" s="70">
        <f t="shared" si="2063"/>
        <v>424.7295314133741</v>
      </c>
      <c r="Y349" s="70">
        <f t="shared" si="2063"/>
        <v>378.44412454252438</v>
      </c>
      <c r="Z349" s="70">
        <f t="shared" si="2063"/>
        <v>358.69440038289719</v>
      </c>
      <c r="AA349" s="70">
        <f t="shared" ref="AA349" si="2064">AA315/AA164*365</f>
        <v>414.82069955486753</v>
      </c>
      <c r="AB349" s="71">
        <f t="shared" si="2063"/>
        <v>414.45902386185719</v>
      </c>
      <c r="AC349" s="71">
        <f t="shared" si="2063"/>
        <v>406.81389250954095</v>
      </c>
      <c r="AD349" s="71">
        <f t="shared" si="2063"/>
        <v>406.90253974156502</v>
      </c>
      <c r="AE349" s="71">
        <f t="shared" si="2063"/>
        <v>406.9115983302737</v>
      </c>
      <c r="AI349" s="70">
        <f t="shared" ref="AI349:CD349" si="2065">AI315/AI164*90</f>
        <v>0</v>
      </c>
      <c r="AJ349" s="70">
        <f t="shared" si="2065"/>
        <v>295.42501873940631</v>
      </c>
      <c r="AK349" s="70">
        <f t="shared" si="2065"/>
        <v>297.54705086559676</v>
      </c>
      <c r="AL349" s="70">
        <f t="shared" si="2065"/>
        <v>437.80228894588595</v>
      </c>
      <c r="AM349" s="70">
        <f t="shared" si="2065"/>
        <v>450.90737133839184</v>
      </c>
      <c r="AN349" s="70">
        <f t="shared" si="2065"/>
        <v>458.50128562123513</v>
      </c>
      <c r="AO349" s="70">
        <f t="shared" si="2065"/>
        <v>418.78229527740507</v>
      </c>
      <c r="AP349" s="70">
        <f t="shared" si="2065"/>
        <v>363.93589600445438</v>
      </c>
      <c r="AQ349" s="70">
        <f t="shared" si="2065"/>
        <v>472.64148400876945</v>
      </c>
      <c r="AR349" s="70">
        <f t="shared" si="2065"/>
        <v>491.13768682237986</v>
      </c>
      <c r="AS349" s="70">
        <f t="shared" si="2065"/>
        <v>450.14585510240335</v>
      </c>
      <c r="AT349" s="70">
        <f t="shared" si="2065"/>
        <v>407.37476706215557</v>
      </c>
      <c r="AU349" s="70">
        <f t="shared" si="2065"/>
        <v>526.73347481539872</v>
      </c>
      <c r="AV349" s="70">
        <f t="shared" si="2065"/>
        <v>529.26203149352955</v>
      </c>
      <c r="AW349" s="70">
        <f t="shared" si="2065"/>
        <v>487.56807686719026</v>
      </c>
      <c r="AX349" s="70">
        <f t="shared" si="2065"/>
        <v>403.38291329929177</v>
      </c>
      <c r="AY349" s="70">
        <f t="shared" si="2065"/>
        <v>563.18250047808476</v>
      </c>
      <c r="AZ349" s="70">
        <f t="shared" si="2065"/>
        <v>528.97174714504092</v>
      </c>
      <c r="BA349" s="70">
        <f t="shared" si="2065"/>
        <v>508.00557682030751</v>
      </c>
      <c r="BB349" s="70">
        <f t="shared" si="2065"/>
        <v>379.7934071340847</v>
      </c>
      <c r="BC349" s="70">
        <f t="shared" si="2065"/>
        <v>539.50897864340254</v>
      </c>
      <c r="BD349" s="70">
        <f t="shared" si="2065"/>
        <v>565.16191019240159</v>
      </c>
      <c r="BE349" s="70">
        <f t="shared" si="2065"/>
        <v>529.19294368179339</v>
      </c>
      <c r="BF349" s="70">
        <f t="shared" si="2065"/>
        <v>410.98129706156385</v>
      </c>
      <c r="BG349" s="70">
        <f t="shared" si="2065"/>
        <v>576.54341602490751</v>
      </c>
      <c r="BH349" s="70">
        <f t="shared" si="2065"/>
        <v>577.78408592701055</v>
      </c>
      <c r="BI349" s="70">
        <f t="shared" si="2065"/>
        <v>529.78191100351455</v>
      </c>
      <c r="BJ349" s="70">
        <f t="shared" si="2065"/>
        <v>430.59781449031721</v>
      </c>
      <c r="BK349" s="70">
        <f t="shared" si="2065"/>
        <v>587.71584496799733</v>
      </c>
      <c r="BL349" s="70">
        <f t="shared" si="2065"/>
        <v>554.29804307859536</v>
      </c>
      <c r="BM349" s="70">
        <f t="shared" si="2065"/>
        <v>542.90767224877038</v>
      </c>
      <c r="BN349" s="70">
        <f t="shared" si="2065"/>
        <v>456.43575766725854</v>
      </c>
      <c r="BO349" s="70">
        <f t="shared" si="2065"/>
        <v>847.69883217658867</v>
      </c>
      <c r="BP349" s="70">
        <f t="shared" si="2065"/>
        <v>608.94788549863802</v>
      </c>
      <c r="BQ349" s="70">
        <f t="shared" si="2065"/>
        <v>546.31547417131162</v>
      </c>
      <c r="BR349" s="70">
        <f t="shared" si="2065"/>
        <v>392.8625704179222</v>
      </c>
      <c r="BS349" s="70">
        <f t="shared" si="2065"/>
        <v>586.52217626885465</v>
      </c>
      <c r="BT349" s="70">
        <f t="shared" si="2065"/>
        <v>528.04984053673979</v>
      </c>
      <c r="BU349" s="70">
        <f t="shared" si="2065"/>
        <v>478.2477325479295</v>
      </c>
      <c r="BV349" s="70">
        <f t="shared" si="2065"/>
        <v>368.97614732225725</v>
      </c>
      <c r="BW349" s="70">
        <f t="shared" si="2065"/>
        <v>501.85464808396705</v>
      </c>
      <c r="BX349" s="70">
        <f t="shared" si="2065"/>
        <v>463.78608087766401</v>
      </c>
      <c r="BY349" s="70">
        <f t="shared" si="2065"/>
        <v>435.81452571631507</v>
      </c>
      <c r="BZ349" s="70">
        <f t="shared" si="2065"/>
        <v>332.445907827442</v>
      </c>
      <c r="CA349" s="70">
        <f t="shared" si="2065"/>
        <v>387.65389293002755</v>
      </c>
      <c r="CB349" s="70">
        <f t="shared" si="2065"/>
        <v>382.49066910421044</v>
      </c>
      <c r="CC349" s="70">
        <f t="shared" si="2065"/>
        <v>361.18700520954468</v>
      </c>
      <c r="CD349" s="70">
        <f t="shared" si="2065"/>
        <v>310.66794695423346</v>
      </c>
      <c r="CE349" s="115">
        <f>CE315/CE166*90</f>
        <v>361.94654591463529</v>
      </c>
      <c r="CF349" s="70">
        <f>CF315/CF164*90</f>
        <v>356.15893082204445</v>
      </c>
      <c r="CG349" s="70">
        <f>CG315/CG166*90</f>
        <v>343.12488707772661</v>
      </c>
      <c r="CH349" s="70">
        <f>CH315/CH164*90</f>
        <v>304.04341955912633</v>
      </c>
      <c r="CI349" s="70">
        <f>CI346+CI347+CI348</f>
        <v>304.04341955912633</v>
      </c>
      <c r="CJ349" s="70">
        <f>CJ315/CJ164*90</f>
        <v>355.09178620174617</v>
      </c>
      <c r="CK349" s="70">
        <f t="shared" ref="CK349:DB349" si="2066">CK346+CK347+CK348</f>
        <v>355.09178620174623</v>
      </c>
      <c r="CL349" s="70">
        <f>CL315/CL164*90</f>
        <v>357.41181718795161</v>
      </c>
      <c r="CM349" s="50">
        <f t="shared" si="2066"/>
        <v>357.41181718795167</v>
      </c>
      <c r="CN349" s="50">
        <f t="shared" si="2066"/>
        <v>353.41181718795167</v>
      </c>
      <c r="CO349" s="50">
        <f t="shared" si="2066"/>
        <v>349.41181718795167</v>
      </c>
      <c r="CP349" s="50">
        <f t="shared" si="2066"/>
        <v>349.41181718795167</v>
      </c>
      <c r="CQ349" s="50">
        <f t="shared" si="2066"/>
        <v>347.41181718795167</v>
      </c>
      <c r="CR349" s="50">
        <f t="shared" si="2066"/>
        <v>345.41181718795167</v>
      </c>
      <c r="CS349" s="50">
        <f t="shared" si="2066"/>
        <v>343.41181718795167</v>
      </c>
      <c r="CT349" s="50">
        <f t="shared" si="2066"/>
        <v>342.41181718795167</v>
      </c>
      <c r="CU349" s="50">
        <f t="shared" si="2066"/>
        <v>342.41181718795167</v>
      </c>
      <c r="CV349" s="50">
        <f t="shared" si="2066"/>
        <v>342.41181718795167</v>
      </c>
      <c r="CW349" s="50">
        <f t="shared" si="2066"/>
        <v>342.41181718795167</v>
      </c>
      <c r="CX349" s="50">
        <f t="shared" si="2066"/>
        <v>342.41181718795167</v>
      </c>
      <c r="CY349" s="50">
        <f t="shared" si="2066"/>
        <v>342.41181718795167</v>
      </c>
      <c r="CZ349" s="50">
        <f t="shared" si="2066"/>
        <v>342.41181718795167</v>
      </c>
      <c r="DA349" s="50">
        <f t="shared" si="2066"/>
        <v>342.41181718795167</v>
      </c>
      <c r="DB349" s="50">
        <f t="shared" si="2066"/>
        <v>342.41181718795167</v>
      </c>
      <c r="DE349" s="138"/>
      <c r="DF349" s="7">
        <v>414.82069955486753</v>
      </c>
    </row>
    <row r="350" spans="1:110" s="62" customFormat="1" outlineLevel="1" x14ac:dyDescent="0.2">
      <c r="A350" s="68" t="s">
        <v>468</v>
      </c>
      <c r="B350" s="67">
        <f t="shared" ref="B350:AE350" si="2067">B320/B164*365</f>
        <v>57.902377249556899</v>
      </c>
      <c r="C350" s="67">
        <f t="shared" si="2067"/>
        <v>66.967602033583347</v>
      </c>
      <c r="D350" s="67">
        <f t="shared" si="2067"/>
        <v>78.405027036574992</v>
      </c>
      <c r="E350" s="67">
        <f t="shared" si="2067"/>
        <v>74.851980976359343</v>
      </c>
      <c r="F350" s="67">
        <f t="shared" si="2067"/>
        <v>76.211039689064947</v>
      </c>
      <c r="G350" s="67">
        <f t="shared" si="2067"/>
        <v>77.026387228850155</v>
      </c>
      <c r="H350" s="67">
        <f t="shared" si="2067"/>
        <v>80.469404118919485</v>
      </c>
      <c r="I350" s="67">
        <f t="shared" si="2067"/>
        <v>85.893938052533485</v>
      </c>
      <c r="J350" s="67">
        <f t="shared" si="2067"/>
        <v>80.097448373433636</v>
      </c>
      <c r="K350" s="67">
        <f t="shared" si="2067"/>
        <v>93.051710589328124</v>
      </c>
      <c r="L350" s="67">
        <f t="shared" si="2067"/>
        <v>102.17258094210392</v>
      </c>
      <c r="M350" s="67">
        <f t="shared" si="2067"/>
        <v>97.774647906837544</v>
      </c>
      <c r="N350" s="67">
        <f t="shared" si="2067"/>
        <v>87.632888939483067</v>
      </c>
      <c r="O350" s="67">
        <f t="shared" si="2067"/>
        <v>88.60509094059033</v>
      </c>
      <c r="P350" s="67">
        <f t="shared" si="2067"/>
        <v>96.99178087153679</v>
      </c>
      <c r="Q350" s="67">
        <f t="shared" si="2067"/>
        <v>96.653753740855393</v>
      </c>
      <c r="R350" s="67">
        <f t="shared" si="2067"/>
        <v>100.51380225613802</v>
      </c>
      <c r="S350" s="67">
        <f t="shared" si="2067"/>
        <v>115.09929911122865</v>
      </c>
      <c r="T350" s="67">
        <f t="shared" si="2067"/>
        <v>116.0558496805472</v>
      </c>
      <c r="U350" s="67">
        <f t="shared" si="2067"/>
        <v>109.52063239125168</v>
      </c>
      <c r="V350" s="67">
        <f t="shared" si="2067"/>
        <v>122.79105793003525</v>
      </c>
      <c r="W350" s="67">
        <f t="shared" si="2067"/>
        <v>119.78216181919858</v>
      </c>
      <c r="X350" s="67">
        <f t="shared" si="2067"/>
        <v>99.111674603620486</v>
      </c>
      <c r="Y350" s="67">
        <f t="shared" si="2067"/>
        <v>87.972706794913066</v>
      </c>
      <c r="Z350" s="67">
        <f t="shared" si="2067"/>
        <v>74.873209690755374</v>
      </c>
      <c r="AA350" s="67">
        <f t="shared" ref="AA350" si="2068">AA320/AA164*365</f>
        <v>88.679883533451559</v>
      </c>
      <c r="AB350" s="18">
        <f t="shared" si="2067"/>
        <v>89.590540896660599</v>
      </c>
      <c r="AC350" s="18">
        <f t="shared" si="2067"/>
        <v>89.735684231307573</v>
      </c>
      <c r="AD350" s="18">
        <f t="shared" si="2067"/>
        <v>89.755238185013084</v>
      </c>
      <c r="AE350" s="18">
        <f t="shared" si="2067"/>
        <v>89.757236343559072</v>
      </c>
      <c r="AI350" s="67">
        <f>AJ320/AI164*90</f>
        <v>95.498881053920528</v>
      </c>
      <c r="AJ350" s="67">
        <f>AJ320/AJ164*90</f>
        <v>86.547694884198336</v>
      </c>
      <c r="AK350" s="67">
        <f t="shared" ref="AK350:CE350" si="2069">+AJ350</f>
        <v>86.547694884198336</v>
      </c>
      <c r="AL350" s="67">
        <f>AL320/AL164*90</f>
        <v>88.953468319642198</v>
      </c>
      <c r="AM350" s="67">
        <f t="shared" ref="AM350" si="2070">+AL350</f>
        <v>88.953468319642198</v>
      </c>
      <c r="AN350" s="67">
        <f>AN320/AN164*90</f>
        <v>77.712013594551408</v>
      </c>
      <c r="AO350" s="67">
        <f t="shared" ref="AO350" si="2071">+AN350</f>
        <v>77.712013594551408</v>
      </c>
      <c r="AP350" s="67">
        <f>AP320/AP164*90</f>
        <v>68.919350123332009</v>
      </c>
      <c r="AQ350" s="67">
        <f t="shared" ref="AQ350" si="2072">+AP350</f>
        <v>68.919350123332009</v>
      </c>
      <c r="AR350" s="67">
        <f>AR320/AR164*90</f>
        <v>83.100141624267678</v>
      </c>
      <c r="AS350" s="67">
        <f t="shared" ref="AS350" si="2073">+AR350</f>
        <v>83.100141624267678</v>
      </c>
      <c r="AT350" s="67">
        <f>AT320/AT164*90</f>
        <v>78.461197303173051</v>
      </c>
      <c r="AU350" s="67">
        <f t="shared" ref="AU350" si="2074">+AT350</f>
        <v>78.461197303173051</v>
      </c>
      <c r="AV350" s="67">
        <f>AV320/AV164*90</f>
        <v>93.094763417963051</v>
      </c>
      <c r="AW350" s="67">
        <f t="shared" ref="AW350" si="2075">+AV350</f>
        <v>93.094763417963051</v>
      </c>
      <c r="AX350" s="67">
        <f>AX320/AX164*90</f>
        <v>73.924948996988945</v>
      </c>
      <c r="AY350" s="67">
        <f t="shared" ref="AY350" si="2076">+AX350</f>
        <v>73.924948996988945</v>
      </c>
      <c r="AZ350" s="67">
        <f>AZ320/AZ164*90</f>
        <v>85.561118604442058</v>
      </c>
      <c r="BA350" s="67">
        <f t="shared" ref="BA350" si="2077">+AZ350</f>
        <v>85.561118604442058</v>
      </c>
      <c r="BB350" s="67">
        <f>BB320/BB164*90</f>
        <v>74.034379829037647</v>
      </c>
      <c r="BC350" s="67">
        <f t="shared" ref="BC350" si="2078">+BB350</f>
        <v>74.034379829037647</v>
      </c>
      <c r="BD350" s="67">
        <f>BD320/BD164*90</f>
        <v>96.543444263115788</v>
      </c>
      <c r="BE350" s="67">
        <f t="shared" ref="BE350" si="2079">+BD350</f>
        <v>96.543444263115788</v>
      </c>
      <c r="BF350" s="67">
        <f>BF320/BF164*90</f>
        <v>83.626427979674574</v>
      </c>
      <c r="BG350" s="67">
        <f t="shared" ref="BG350" si="2080">+BF350</f>
        <v>83.626427979674574</v>
      </c>
      <c r="BH350" s="67">
        <f>BH320/BH164*90</f>
        <v>103.00312307171265</v>
      </c>
      <c r="BI350" s="67">
        <f t="shared" ref="BI350" si="2081">+BH350</f>
        <v>103.00312307171265</v>
      </c>
      <c r="BJ350" s="67">
        <f>BJ320/BJ164*90</f>
        <v>89.358639275437952</v>
      </c>
      <c r="BK350" s="67">
        <f t="shared" ref="BK350" si="2082">+BJ350</f>
        <v>89.358639275437952</v>
      </c>
      <c r="BL350" s="67">
        <f>BL320/BL164*90</f>
        <v>89.693584066099703</v>
      </c>
      <c r="BM350" s="67">
        <f t="shared" ref="BM350" si="2083">+BL350</f>
        <v>89.693584066099703</v>
      </c>
      <c r="BN350" s="67">
        <f>BN320/BN164*90</f>
        <v>88.776784777946943</v>
      </c>
      <c r="BO350" s="67">
        <f t="shared" ref="BO350" si="2084">+BN350</f>
        <v>88.776784777946943</v>
      </c>
      <c r="BP350" s="67">
        <f>BP320/BP164*90</f>
        <v>107.30056059757548</v>
      </c>
      <c r="BQ350" s="67">
        <f t="shared" ref="BQ350" si="2085">+BP350</f>
        <v>107.30056059757548</v>
      </c>
      <c r="BR350" s="67">
        <f>BR320/BR164*90</f>
        <v>85.615522823828869</v>
      </c>
      <c r="BS350" s="67">
        <f t="shared" ref="BS350" si="2086">+BR350</f>
        <v>85.615522823828869</v>
      </c>
      <c r="BT350" s="67">
        <f>BT320/BT164*90</f>
        <v>103.27004937753249</v>
      </c>
      <c r="BU350" s="67">
        <f t="shared" ref="BU350" si="2087">+BT350</f>
        <v>103.27004937753249</v>
      </c>
      <c r="BV350" s="67">
        <f>BV320/BV164*90</f>
        <v>87.471091662603342</v>
      </c>
      <c r="BW350" s="67">
        <f t="shared" ref="BW350" si="2088">+BV350</f>
        <v>87.471091662603342</v>
      </c>
      <c r="BX350" s="67">
        <f>BX320/BX164*90</f>
        <v>92.094645298778545</v>
      </c>
      <c r="BY350" s="67">
        <f t="shared" ref="BY350" si="2089">+BX350</f>
        <v>92.094645298778545</v>
      </c>
      <c r="BZ350" s="67">
        <f>BZ320/BZ164*90</f>
        <v>76.807393141185031</v>
      </c>
      <c r="CA350" s="67">
        <f t="shared" ref="CA350" si="2090">+BZ350</f>
        <v>76.807393141185031</v>
      </c>
      <c r="CB350" s="67">
        <f>CB320/CB164*90</f>
        <v>78.528818964550823</v>
      </c>
      <c r="CC350" s="67">
        <f t="shared" ref="CC350" si="2091">+CB350</f>
        <v>78.528818964550823</v>
      </c>
      <c r="CD350" s="67">
        <f>CD320/CD164*90</f>
        <v>71.50348217943467</v>
      </c>
      <c r="CE350" s="114">
        <f t="shared" si="2069"/>
        <v>71.50348217943467</v>
      </c>
      <c r="CF350" s="67">
        <f>CF320/CF164*90</f>
        <v>75.391944839847824</v>
      </c>
      <c r="CG350" s="67">
        <f t="shared" ref="CG350:CI350" si="2092">+CF350</f>
        <v>75.391944839847824</v>
      </c>
      <c r="CH350" s="67">
        <f>CH320/CH164*90</f>
        <v>63.465464427222827</v>
      </c>
      <c r="CI350" s="67">
        <f t="shared" si="2092"/>
        <v>63.465464427222827</v>
      </c>
      <c r="CJ350" s="67">
        <f>CJ320/CJ164*90</f>
        <v>69.990906621059537</v>
      </c>
      <c r="CK350" s="67">
        <f t="shared" ref="CK350" si="2093">+CJ350</f>
        <v>69.990906621059537</v>
      </c>
      <c r="CL350" s="67">
        <f>CL320/CL164*90</f>
        <v>75.529767468611269</v>
      </c>
      <c r="CM350" s="30">
        <f t="shared" ref="CM350" si="2094">+CL350</f>
        <v>75.529767468611269</v>
      </c>
      <c r="CN350" s="30">
        <f t="shared" ref="CN350" si="2095">+CM350</f>
        <v>75.529767468611269</v>
      </c>
      <c r="CO350" s="30">
        <f t="shared" ref="CO350" si="2096">+CN350</f>
        <v>75.529767468611269</v>
      </c>
      <c r="CP350" s="30">
        <f t="shared" ref="CP350" si="2097">+CO350</f>
        <v>75.529767468611269</v>
      </c>
      <c r="CQ350" s="30">
        <f t="shared" ref="CQ350" si="2098">+CP350</f>
        <v>75.529767468611269</v>
      </c>
      <c r="CR350" s="30">
        <f t="shared" ref="CR350" si="2099">+CQ350</f>
        <v>75.529767468611269</v>
      </c>
      <c r="CS350" s="30">
        <f t="shared" ref="CS350" si="2100">+CR350</f>
        <v>75.529767468611269</v>
      </c>
      <c r="CT350" s="30">
        <f t="shared" ref="CT350" si="2101">+CS350</f>
        <v>75.529767468611269</v>
      </c>
      <c r="CU350" s="30">
        <f t="shared" ref="CU350" si="2102">+CT350</f>
        <v>75.529767468611269</v>
      </c>
      <c r="CV350" s="30">
        <f t="shared" ref="CV350" si="2103">+CU350</f>
        <v>75.529767468611269</v>
      </c>
      <c r="CW350" s="30">
        <f t="shared" ref="CW350" si="2104">+CV350</f>
        <v>75.529767468611269</v>
      </c>
      <c r="CX350" s="30">
        <f t="shared" ref="CX350" si="2105">+CW350</f>
        <v>75.529767468611269</v>
      </c>
      <c r="CY350" s="30">
        <f t="shared" ref="CY350" si="2106">+CX350</f>
        <v>75.529767468611269</v>
      </c>
      <c r="CZ350" s="30">
        <f t="shared" ref="CZ350" si="2107">+CY350</f>
        <v>75.529767468611269</v>
      </c>
      <c r="DA350" s="30">
        <f t="shared" ref="DA350" si="2108">+CZ350</f>
        <v>75.529767468611269</v>
      </c>
      <c r="DB350" s="30">
        <f t="shared" ref="DB350" si="2109">+DA350</f>
        <v>75.529767468611269</v>
      </c>
      <c r="DE350" s="139"/>
      <c r="DF350" s="62">
        <v>88.679883533451559</v>
      </c>
    </row>
    <row r="351" spans="1:110" s="62" customFormat="1" outlineLevel="1" x14ac:dyDescent="0.2">
      <c r="A351" s="68" t="s">
        <v>466</v>
      </c>
      <c r="B351" s="67">
        <f>B352-B350</f>
        <v>63.42675099004142</v>
      </c>
      <c r="C351" s="67">
        <f t="shared" ref="C351:V351" si="2110">C352-C350</f>
        <v>64.614013927995785</v>
      </c>
      <c r="D351" s="67">
        <f t="shared" si="2110"/>
        <v>62.993726145898549</v>
      </c>
      <c r="E351" s="67">
        <f t="shared" si="2110"/>
        <v>87.463792050454302</v>
      </c>
      <c r="F351" s="67">
        <f t="shared" si="2110"/>
        <v>69.004987463392425</v>
      </c>
      <c r="G351" s="67">
        <f t="shared" si="2110"/>
        <v>88.352162089322604</v>
      </c>
      <c r="H351" s="67">
        <f t="shared" si="2110"/>
        <v>103.83362663406986</v>
      </c>
      <c r="I351" s="67">
        <f t="shared" si="2110"/>
        <v>106.21276173344523</v>
      </c>
      <c r="J351" s="67">
        <f t="shared" si="2110"/>
        <v>105.87907289003964</v>
      </c>
      <c r="K351" s="67">
        <f t="shared" si="2110"/>
        <v>109.95158705190603</v>
      </c>
      <c r="L351" s="67">
        <f t="shared" si="2110"/>
        <v>127.08750030017025</v>
      </c>
      <c r="M351" s="67">
        <f t="shared" si="2110"/>
        <v>119.71468323314872</v>
      </c>
      <c r="N351" s="67">
        <f t="shared" si="2110"/>
        <v>115.6401828784269</v>
      </c>
      <c r="O351" s="67">
        <f t="shared" si="2110"/>
        <v>108.22249847011913</v>
      </c>
      <c r="P351" s="67">
        <f t="shared" si="2110"/>
        <v>124.19496912840934</v>
      </c>
      <c r="Q351" s="67">
        <f t="shared" si="2110"/>
        <v>114.1023241501328</v>
      </c>
      <c r="R351" s="67">
        <f t="shared" si="2110"/>
        <v>111.28639681486395</v>
      </c>
      <c r="S351" s="67">
        <f t="shared" si="2110"/>
        <v>115.147290928492</v>
      </c>
      <c r="T351" s="67">
        <f t="shared" si="2110"/>
        <v>108.74217989031081</v>
      </c>
      <c r="U351" s="67">
        <f t="shared" si="2110"/>
        <v>114.91100144404676</v>
      </c>
      <c r="V351" s="67">
        <f t="shared" si="2110"/>
        <v>117.63536259965964</v>
      </c>
      <c r="W351" s="67">
        <f t="shared" ref="W351" si="2111">W352-W350</f>
        <v>113.84666763735497</v>
      </c>
      <c r="X351" s="67">
        <f t="shared" ref="X351:Y351" si="2112">X352-X350</f>
        <v>115.18371752698661</v>
      </c>
      <c r="Y351" s="67">
        <f t="shared" si="2112"/>
        <v>115.08966595392367</v>
      </c>
      <c r="Z351" s="67">
        <f t="shared" ref="Z351:AA351" si="2113">Z352-Z350</f>
        <v>116.59548195403477</v>
      </c>
      <c r="AA351" s="67">
        <f t="shared" si="2113"/>
        <v>169.44676640465411</v>
      </c>
      <c r="AB351" s="18">
        <f t="shared" ref="AB351:AD351" si="2114">AB352-AB350</f>
        <v>171.18682220254155</v>
      </c>
      <c r="AC351" s="18">
        <f t="shared" si="2114"/>
        <v>171.46415757716278</v>
      </c>
      <c r="AD351" s="18">
        <f t="shared" si="2114"/>
        <v>171.50152066441336</v>
      </c>
      <c r="AE351" s="18">
        <f t="shared" ref="AE351" si="2115">AE352-AE350</f>
        <v>171.50533868368544</v>
      </c>
      <c r="AI351" s="67">
        <f t="shared" ref="AI351:AK351" si="2116">AI352-AI350</f>
        <v>-95.498881053920528</v>
      </c>
      <c r="AJ351" s="67">
        <f t="shared" ref="AJ351:AM351" si="2117">AJ352-AJ350</f>
        <v>114.86742854827563</v>
      </c>
      <c r="AK351" s="67">
        <f t="shared" si="2116"/>
        <v>116.64089486206925</v>
      </c>
      <c r="AL351" s="67">
        <f t="shared" si="2117"/>
        <v>125.67505289868363</v>
      </c>
      <c r="AM351" s="67">
        <f t="shared" si="2117"/>
        <v>130.87102786651377</v>
      </c>
      <c r="AN351" s="67">
        <f t="shared" ref="AN351:AY351" si="2118">AN352-AN350</f>
        <v>121.5968937982626</v>
      </c>
      <c r="AO351" s="67">
        <f t="shared" si="2118"/>
        <v>106.40151510556042</v>
      </c>
      <c r="AP351" s="67">
        <f t="shared" si="2118"/>
        <v>87.506493477874443</v>
      </c>
      <c r="AQ351" s="67">
        <f t="shared" si="2118"/>
        <v>124.05418892494487</v>
      </c>
      <c r="AR351" s="67">
        <f t="shared" si="2118"/>
        <v>118.13025025912876</v>
      </c>
      <c r="AS351" s="67">
        <f t="shared" si="2118"/>
        <v>104.21287412170454</v>
      </c>
      <c r="AT351" s="67">
        <f t="shared" si="2118"/>
        <v>102.29707042088141</v>
      </c>
      <c r="AU351" s="67">
        <f t="shared" si="2118"/>
        <v>144.27301349145858</v>
      </c>
      <c r="AV351" s="67">
        <f t="shared" si="2118"/>
        <v>168.6249647544401</v>
      </c>
      <c r="AW351" s="67">
        <f t="shared" si="2118"/>
        <v>150.38512315031545</v>
      </c>
      <c r="AX351" s="67">
        <f t="shared" si="2118"/>
        <v>87.270366300020896</v>
      </c>
      <c r="AY351" s="67">
        <f t="shared" si="2118"/>
        <v>130.66640788345936</v>
      </c>
      <c r="AZ351" s="67">
        <f t="shared" ref="AZ351:BC351" si="2119">AZ352-AZ350</f>
        <v>120.6583940293139</v>
      </c>
      <c r="BA351" s="67">
        <f t="shared" si="2119"/>
        <v>114.27849090502413</v>
      </c>
      <c r="BB351" s="67">
        <f t="shared" si="2119"/>
        <v>81.969034964981802</v>
      </c>
      <c r="BC351" s="67">
        <f t="shared" si="2119"/>
        <v>125.28275937694295</v>
      </c>
      <c r="BD351" s="67">
        <f t="shared" ref="BD351:CE351" si="2120">BD352-BD350</f>
        <v>128.72481922171184</v>
      </c>
      <c r="BE351" s="67">
        <f t="shared" si="2120"/>
        <v>118.42283054670935</v>
      </c>
      <c r="BF351" s="67">
        <f t="shared" si="2120"/>
        <v>83.661296864897807</v>
      </c>
      <c r="BG351" s="67">
        <f t="shared" si="2120"/>
        <v>126.02153619527216</v>
      </c>
      <c r="BH351" s="67">
        <f t="shared" si="2120"/>
        <v>117.56124639930792</v>
      </c>
      <c r="BI351" s="67">
        <f t="shared" si="2120"/>
        <v>105.35033633269421</v>
      </c>
      <c r="BJ351" s="67">
        <f t="shared" si="2120"/>
        <v>83.727388611517767</v>
      </c>
      <c r="BK351" s="67">
        <f t="shared" si="2120"/>
        <v>122.34062346575695</v>
      </c>
      <c r="BL351" s="67">
        <f t="shared" si="2120"/>
        <v>112.89154774692918</v>
      </c>
      <c r="BM351" s="67">
        <f t="shared" si="2120"/>
        <v>110.04383229937739</v>
      </c>
      <c r="BN351" s="67">
        <f t="shared" si="2120"/>
        <v>93.14618644067798</v>
      </c>
      <c r="BO351" s="67">
        <f t="shared" si="2120"/>
        <v>193.85159527506386</v>
      </c>
      <c r="BP351" s="67">
        <f t="shared" si="2120"/>
        <v>123.98896526924345</v>
      </c>
      <c r="BQ351" s="67">
        <f t="shared" si="2120"/>
        <v>108.09978362992685</v>
      </c>
      <c r="BR351" s="67">
        <f t="shared" si="2120"/>
        <v>82.020737025322362</v>
      </c>
      <c r="BS351" s="67">
        <f t="shared" si="2120"/>
        <v>134.45513219313762</v>
      </c>
      <c r="BT351" s="67">
        <f t="shared" si="2120"/>
        <v>123.6672609992264</v>
      </c>
      <c r="BU351" s="67">
        <f t="shared" si="2120"/>
        <v>108.6944366088246</v>
      </c>
      <c r="BV351" s="67">
        <f t="shared" si="2120"/>
        <v>83.136688711798726</v>
      </c>
      <c r="BW351" s="67">
        <f t="shared" si="2120"/>
        <v>122.5505589459239</v>
      </c>
      <c r="BX351" s="67">
        <f t="shared" si="2120"/>
        <v>118.02865868103001</v>
      </c>
      <c r="BY351" s="67">
        <f t="shared" si="2120"/>
        <v>108.80025790196621</v>
      </c>
      <c r="BZ351" s="67">
        <f t="shared" si="2120"/>
        <v>89.26255268050221</v>
      </c>
      <c r="CA351" s="67">
        <f t="shared" si="2120"/>
        <v>108.74867722712969</v>
      </c>
      <c r="CB351" s="67">
        <f t="shared" si="2120"/>
        <v>114.42964336026705</v>
      </c>
      <c r="CC351" s="67">
        <f t="shared" si="2120"/>
        <v>105.91136562265658</v>
      </c>
      <c r="CD351" s="67">
        <f t="shared" si="2120"/>
        <v>93.543920363370276</v>
      </c>
      <c r="CE351" s="114">
        <f t="shared" si="2120"/>
        <v>113.83931769007954</v>
      </c>
      <c r="CF351" s="67">
        <f t="shared" ref="CF351:CG351" si="2121">CF352-CF350</f>
        <v>109.73866769946279</v>
      </c>
      <c r="CG351" s="67">
        <f t="shared" si="2121"/>
        <v>104.45569029894018</v>
      </c>
      <c r="CH351" s="67">
        <f t="shared" ref="CH351" si="2122">CH352-CH350</f>
        <v>98.83089616288143</v>
      </c>
      <c r="CI351" s="67">
        <f>CH351</f>
        <v>98.83089616288143</v>
      </c>
      <c r="CJ351" s="67">
        <f t="shared" ref="CJ351:CL351" si="2123">CJ352-CJ350</f>
        <v>115.69628702716676</v>
      </c>
      <c r="CK351" s="67">
        <f t="shared" ref="CK351:DB351" si="2124">CJ351</f>
        <v>115.69628702716676</v>
      </c>
      <c r="CL351" s="67">
        <f t="shared" si="2123"/>
        <v>144.31993316752488</v>
      </c>
      <c r="CM351" s="30">
        <f t="shared" si="2124"/>
        <v>144.31993316752488</v>
      </c>
      <c r="CN351" s="30">
        <f t="shared" si="2124"/>
        <v>144.31993316752488</v>
      </c>
      <c r="CO351" s="30">
        <f t="shared" si="2124"/>
        <v>144.31993316752488</v>
      </c>
      <c r="CP351" s="30">
        <f t="shared" si="2124"/>
        <v>144.31993316752488</v>
      </c>
      <c r="CQ351" s="30">
        <f t="shared" si="2124"/>
        <v>144.31993316752488</v>
      </c>
      <c r="CR351" s="30">
        <f t="shared" si="2124"/>
        <v>144.31993316752488</v>
      </c>
      <c r="CS351" s="30">
        <f t="shared" si="2124"/>
        <v>144.31993316752488</v>
      </c>
      <c r="CT351" s="30">
        <f t="shared" si="2124"/>
        <v>144.31993316752488</v>
      </c>
      <c r="CU351" s="30">
        <f t="shared" si="2124"/>
        <v>144.31993316752488</v>
      </c>
      <c r="CV351" s="30">
        <f t="shared" si="2124"/>
        <v>144.31993316752488</v>
      </c>
      <c r="CW351" s="30">
        <f t="shared" si="2124"/>
        <v>144.31993316752488</v>
      </c>
      <c r="CX351" s="30">
        <f t="shared" si="2124"/>
        <v>144.31993316752488</v>
      </c>
      <c r="CY351" s="30">
        <f t="shared" si="2124"/>
        <v>144.31993316752488</v>
      </c>
      <c r="CZ351" s="30">
        <f t="shared" si="2124"/>
        <v>144.31993316752488</v>
      </c>
      <c r="DA351" s="30">
        <f t="shared" si="2124"/>
        <v>144.31993316752488</v>
      </c>
      <c r="DB351" s="30">
        <f t="shared" si="2124"/>
        <v>144.31993316752488</v>
      </c>
      <c r="DE351" s="139"/>
      <c r="DF351" s="62">
        <v>169.44676640465411</v>
      </c>
    </row>
    <row r="352" spans="1:110" s="7" customFormat="1" outlineLevel="1" x14ac:dyDescent="0.2">
      <c r="A352" s="69" t="s">
        <v>469</v>
      </c>
      <c r="B352" s="70">
        <f t="shared" ref="B352:AE352" si="2125">B323/B164*365</f>
        <v>121.32912823959832</v>
      </c>
      <c r="C352" s="70">
        <f t="shared" si="2125"/>
        <v>131.58161596157913</v>
      </c>
      <c r="D352" s="70">
        <f t="shared" si="2125"/>
        <v>141.39875318247354</v>
      </c>
      <c r="E352" s="70">
        <f t="shared" si="2125"/>
        <v>162.31577302681364</v>
      </c>
      <c r="F352" s="70">
        <f t="shared" si="2125"/>
        <v>145.21602715245737</v>
      </c>
      <c r="G352" s="70">
        <f t="shared" si="2125"/>
        <v>165.37854931817276</v>
      </c>
      <c r="H352" s="70">
        <f t="shared" si="2125"/>
        <v>184.30303075298934</v>
      </c>
      <c r="I352" s="70">
        <f t="shared" si="2125"/>
        <v>192.10669978597872</v>
      </c>
      <c r="J352" s="70">
        <f t="shared" si="2125"/>
        <v>185.97652126347327</v>
      </c>
      <c r="K352" s="70">
        <f t="shared" si="2125"/>
        <v>203.00329764123416</v>
      </c>
      <c r="L352" s="70">
        <f t="shared" si="2125"/>
        <v>229.26008124227417</v>
      </c>
      <c r="M352" s="70">
        <f t="shared" si="2125"/>
        <v>217.48933113998626</v>
      </c>
      <c r="N352" s="70">
        <f t="shared" si="2125"/>
        <v>203.27307181790997</v>
      </c>
      <c r="O352" s="70">
        <f t="shared" si="2125"/>
        <v>196.82758941070946</v>
      </c>
      <c r="P352" s="70">
        <f t="shared" si="2125"/>
        <v>221.18674999994613</v>
      </c>
      <c r="Q352" s="70">
        <f t="shared" si="2125"/>
        <v>210.75607789098819</v>
      </c>
      <c r="R352" s="70">
        <f t="shared" si="2125"/>
        <v>211.80019907100197</v>
      </c>
      <c r="S352" s="70">
        <f t="shared" si="2125"/>
        <v>230.24659003972064</v>
      </c>
      <c r="T352" s="70">
        <f t="shared" si="2125"/>
        <v>224.79802957085801</v>
      </c>
      <c r="U352" s="70">
        <f t="shared" si="2125"/>
        <v>224.43163383529844</v>
      </c>
      <c r="V352" s="70">
        <f t="shared" si="2125"/>
        <v>240.42642052969489</v>
      </c>
      <c r="W352" s="70">
        <f t="shared" si="2125"/>
        <v>233.62882945655355</v>
      </c>
      <c r="X352" s="70">
        <f t="shared" si="2125"/>
        <v>214.2953921306071</v>
      </c>
      <c r="Y352" s="70">
        <f t="shared" si="2125"/>
        <v>203.06237274883674</v>
      </c>
      <c r="Z352" s="70">
        <f t="shared" si="2125"/>
        <v>191.46869164479014</v>
      </c>
      <c r="AA352" s="70">
        <f t="shared" ref="AA352" si="2126">AA323/AA164*365</f>
        <v>258.12664993810569</v>
      </c>
      <c r="AB352" s="71">
        <f t="shared" si="2125"/>
        <v>260.77736309920215</v>
      </c>
      <c r="AC352" s="71">
        <f t="shared" si="2125"/>
        <v>261.19984180847035</v>
      </c>
      <c r="AD352" s="71">
        <f t="shared" si="2125"/>
        <v>261.25675884942643</v>
      </c>
      <c r="AE352" s="71">
        <f t="shared" si="2125"/>
        <v>261.26257502724451</v>
      </c>
      <c r="AI352" s="70">
        <f t="shared" ref="AI352:CD352" si="2127">AI323/AI164*90</f>
        <v>0</v>
      </c>
      <c r="AJ352" s="70">
        <f t="shared" si="2127"/>
        <v>201.41512343247396</v>
      </c>
      <c r="AK352" s="70">
        <f t="shared" si="2127"/>
        <v>203.18858974626758</v>
      </c>
      <c r="AL352" s="70">
        <f t="shared" si="2127"/>
        <v>214.62852121832583</v>
      </c>
      <c r="AM352" s="70">
        <f t="shared" si="2127"/>
        <v>219.82449618615598</v>
      </c>
      <c r="AN352" s="70">
        <f t="shared" si="2127"/>
        <v>199.30890739281401</v>
      </c>
      <c r="AO352" s="70">
        <f t="shared" si="2127"/>
        <v>184.11352870011183</v>
      </c>
      <c r="AP352" s="70">
        <f t="shared" si="2127"/>
        <v>156.42584360120645</v>
      </c>
      <c r="AQ352" s="70">
        <f t="shared" si="2127"/>
        <v>192.97353904827688</v>
      </c>
      <c r="AR352" s="70">
        <f t="shared" si="2127"/>
        <v>201.23039188339644</v>
      </c>
      <c r="AS352" s="70">
        <f t="shared" si="2127"/>
        <v>187.31301574597222</v>
      </c>
      <c r="AT352" s="70">
        <f t="shared" si="2127"/>
        <v>180.75826772405446</v>
      </c>
      <c r="AU352" s="70">
        <f t="shared" si="2127"/>
        <v>222.73421079463162</v>
      </c>
      <c r="AV352" s="70">
        <f t="shared" si="2127"/>
        <v>261.71972817240317</v>
      </c>
      <c r="AW352" s="70">
        <f t="shared" si="2127"/>
        <v>243.47988656827852</v>
      </c>
      <c r="AX352" s="70">
        <f t="shared" si="2127"/>
        <v>161.19531529700984</v>
      </c>
      <c r="AY352" s="70">
        <f t="shared" si="2127"/>
        <v>204.5913568804483</v>
      </c>
      <c r="AZ352" s="70">
        <f t="shared" si="2127"/>
        <v>206.21951263375595</v>
      </c>
      <c r="BA352" s="70">
        <f t="shared" si="2127"/>
        <v>199.83960950946619</v>
      </c>
      <c r="BB352" s="70">
        <f t="shared" si="2127"/>
        <v>156.00341479401945</v>
      </c>
      <c r="BC352" s="70">
        <f t="shared" si="2127"/>
        <v>199.3171392059806</v>
      </c>
      <c r="BD352" s="70">
        <f t="shared" si="2127"/>
        <v>225.26826348482763</v>
      </c>
      <c r="BE352" s="70">
        <f t="shared" si="2127"/>
        <v>214.96627480982514</v>
      </c>
      <c r="BF352" s="70">
        <f t="shared" si="2127"/>
        <v>167.28772484457238</v>
      </c>
      <c r="BG352" s="70">
        <f t="shared" si="2127"/>
        <v>209.64796417494674</v>
      </c>
      <c r="BH352" s="70">
        <f t="shared" si="2127"/>
        <v>220.56436947102057</v>
      </c>
      <c r="BI352" s="70">
        <f t="shared" si="2127"/>
        <v>208.35345940440686</v>
      </c>
      <c r="BJ352" s="70">
        <f t="shared" si="2127"/>
        <v>173.08602788695572</v>
      </c>
      <c r="BK352" s="70">
        <f t="shared" si="2127"/>
        <v>211.6992627411949</v>
      </c>
      <c r="BL352" s="70">
        <f t="shared" si="2127"/>
        <v>202.58513181302888</v>
      </c>
      <c r="BM352" s="70">
        <f t="shared" si="2127"/>
        <v>199.73741636547709</v>
      </c>
      <c r="BN352" s="70">
        <f t="shared" si="2127"/>
        <v>181.92297121862492</v>
      </c>
      <c r="BO352" s="70">
        <f t="shared" si="2127"/>
        <v>282.6283800530108</v>
      </c>
      <c r="BP352" s="70">
        <f t="shared" si="2127"/>
        <v>231.28952586681893</v>
      </c>
      <c r="BQ352" s="70">
        <f t="shared" si="2127"/>
        <v>215.40034422750233</v>
      </c>
      <c r="BR352" s="70">
        <f t="shared" si="2127"/>
        <v>167.63625984915123</v>
      </c>
      <c r="BS352" s="70">
        <f t="shared" si="2127"/>
        <v>220.07065501696647</v>
      </c>
      <c r="BT352" s="70">
        <f t="shared" si="2127"/>
        <v>226.93731037675889</v>
      </c>
      <c r="BU352" s="70">
        <f t="shared" si="2127"/>
        <v>211.96448598635709</v>
      </c>
      <c r="BV352" s="70">
        <f t="shared" si="2127"/>
        <v>170.60778037440207</v>
      </c>
      <c r="BW352" s="70">
        <f t="shared" si="2127"/>
        <v>210.02165060852724</v>
      </c>
      <c r="BX352" s="70">
        <f t="shared" si="2127"/>
        <v>210.12330397980855</v>
      </c>
      <c r="BY352" s="70">
        <f t="shared" si="2127"/>
        <v>200.89490320074475</v>
      </c>
      <c r="BZ352" s="70">
        <f t="shared" si="2127"/>
        <v>166.06994582168724</v>
      </c>
      <c r="CA352" s="70">
        <f t="shared" si="2127"/>
        <v>185.55607036831472</v>
      </c>
      <c r="CB352" s="70">
        <f t="shared" si="2127"/>
        <v>192.95846232481787</v>
      </c>
      <c r="CC352" s="70">
        <f t="shared" si="2127"/>
        <v>184.4401845872074</v>
      </c>
      <c r="CD352" s="70">
        <f t="shared" si="2127"/>
        <v>165.04740254280495</v>
      </c>
      <c r="CE352" s="115">
        <f>CE323/CE166*90</f>
        <v>185.34279986951421</v>
      </c>
      <c r="CF352" s="70">
        <f>CF323/CF164*90</f>
        <v>185.13061253931062</v>
      </c>
      <c r="CG352" s="70">
        <f>CG323/CG166*90</f>
        <v>179.84763513878801</v>
      </c>
      <c r="CH352" s="70">
        <f>CH323/CH164*90</f>
        <v>162.29636059010426</v>
      </c>
      <c r="CI352" s="70">
        <f>CI350+CI351</f>
        <v>162.29636059010426</v>
      </c>
      <c r="CJ352" s="70">
        <f>CJ323/CJ164*90</f>
        <v>185.6871936482263</v>
      </c>
      <c r="CK352" s="70">
        <f t="shared" ref="CK352:DB352" si="2128">CK350+CK351</f>
        <v>185.6871936482263</v>
      </c>
      <c r="CL352" s="70">
        <f>CL323/CL164*90</f>
        <v>219.84970063613613</v>
      </c>
      <c r="CM352" s="50">
        <f t="shared" si="2128"/>
        <v>219.84970063613616</v>
      </c>
      <c r="CN352" s="50">
        <f t="shared" si="2128"/>
        <v>219.84970063613616</v>
      </c>
      <c r="CO352" s="50">
        <f t="shared" si="2128"/>
        <v>219.84970063613616</v>
      </c>
      <c r="CP352" s="50">
        <f t="shared" si="2128"/>
        <v>219.84970063613616</v>
      </c>
      <c r="CQ352" s="50">
        <f t="shared" si="2128"/>
        <v>219.84970063613616</v>
      </c>
      <c r="CR352" s="50">
        <f t="shared" si="2128"/>
        <v>219.84970063613616</v>
      </c>
      <c r="CS352" s="50">
        <f t="shared" si="2128"/>
        <v>219.84970063613616</v>
      </c>
      <c r="CT352" s="50">
        <f t="shared" si="2128"/>
        <v>219.84970063613616</v>
      </c>
      <c r="CU352" s="50">
        <f t="shared" si="2128"/>
        <v>219.84970063613616</v>
      </c>
      <c r="CV352" s="50">
        <f t="shared" si="2128"/>
        <v>219.84970063613616</v>
      </c>
      <c r="CW352" s="50">
        <f t="shared" si="2128"/>
        <v>219.84970063613616</v>
      </c>
      <c r="CX352" s="50">
        <f t="shared" si="2128"/>
        <v>219.84970063613616</v>
      </c>
      <c r="CY352" s="50">
        <f t="shared" si="2128"/>
        <v>219.84970063613616</v>
      </c>
      <c r="CZ352" s="50">
        <f t="shared" si="2128"/>
        <v>219.84970063613616</v>
      </c>
      <c r="DA352" s="50">
        <f t="shared" si="2128"/>
        <v>219.84970063613616</v>
      </c>
      <c r="DB352" s="50">
        <f t="shared" si="2128"/>
        <v>219.84970063613616</v>
      </c>
      <c r="DE352" s="138"/>
      <c r="DF352" s="7">
        <v>258.12664993810569</v>
      </c>
    </row>
    <row r="353" spans="1:110" s="7" customFormat="1" x14ac:dyDescent="0.2">
      <c r="A353" s="69" t="s">
        <v>470</v>
      </c>
      <c r="B353" s="70">
        <f>B349-B352</f>
        <v>121.0823878048874</v>
      </c>
      <c r="C353" s="70">
        <f t="shared" ref="C353:V353" si="2129">C349-C352</f>
        <v>101.14259292782353</v>
      </c>
      <c r="D353" s="70">
        <f t="shared" si="2129"/>
        <v>76.176167307708312</v>
      </c>
      <c r="E353" s="70">
        <f t="shared" si="2129"/>
        <v>75.87883735713126</v>
      </c>
      <c r="F353" s="70">
        <f t="shared" si="2129"/>
        <v>78.201105531735607</v>
      </c>
      <c r="G353" s="70">
        <f t="shared" si="2129"/>
        <v>69.649954100631163</v>
      </c>
      <c r="H353" s="70">
        <f t="shared" si="2129"/>
        <v>77.86092755200383</v>
      </c>
      <c r="I353" s="70">
        <f t="shared" si="2129"/>
        <v>104.36483926938985</v>
      </c>
      <c r="J353" s="70">
        <f t="shared" si="2129"/>
        <v>104.01741989688736</v>
      </c>
      <c r="K353" s="70">
        <f t="shared" si="2129"/>
        <v>120.90320321657691</v>
      </c>
      <c r="L353" s="70">
        <f t="shared" si="2129"/>
        <v>158.88041826392197</v>
      </c>
      <c r="M353" s="70">
        <f t="shared" si="2129"/>
        <v>203.56591309616616</v>
      </c>
      <c r="N353" s="70">
        <f t="shared" si="2129"/>
        <v>238.60344082629615</v>
      </c>
      <c r="O353" s="70">
        <f t="shared" si="2129"/>
        <v>281.16023301692508</v>
      </c>
      <c r="P353" s="70">
        <f t="shared" si="2129"/>
        <v>291.79106917664041</v>
      </c>
      <c r="Q353" s="70">
        <f t="shared" si="2129"/>
        <v>316.65007245869447</v>
      </c>
      <c r="R353" s="70">
        <f t="shared" si="2129"/>
        <v>303.83158593231587</v>
      </c>
      <c r="S353" s="70">
        <f t="shared" si="2129"/>
        <v>335.40783742317217</v>
      </c>
      <c r="T353" s="70">
        <f t="shared" si="2129"/>
        <v>334.4472279271107</v>
      </c>
      <c r="U353" s="70">
        <f t="shared" si="2129"/>
        <v>333.06907842540323</v>
      </c>
      <c r="V353" s="70">
        <f t="shared" si="2129"/>
        <v>317.59666251480104</v>
      </c>
      <c r="W353" s="70">
        <f t="shared" ref="W353" si="2130">W349-W352</f>
        <v>267.00449645073712</v>
      </c>
      <c r="X353" s="70">
        <f t="shared" ref="X353:Y353" si="2131">X349-X352</f>
        <v>210.43413928276701</v>
      </c>
      <c r="Y353" s="70">
        <f t="shared" si="2131"/>
        <v>175.38175179368764</v>
      </c>
      <c r="Z353" s="70">
        <f t="shared" ref="Z353:AA353" si="2132">Z349-Z352</f>
        <v>167.22570873810704</v>
      </c>
      <c r="AA353" s="70">
        <f t="shared" si="2132"/>
        <v>156.69404961676184</v>
      </c>
      <c r="AB353" s="71">
        <f t="shared" ref="AB353:AD353" si="2133">AB349-AB352</f>
        <v>153.68166076265504</v>
      </c>
      <c r="AC353" s="71">
        <f t="shared" si="2133"/>
        <v>145.6140507010706</v>
      </c>
      <c r="AD353" s="71">
        <f t="shared" si="2133"/>
        <v>145.64578089213859</v>
      </c>
      <c r="AE353" s="71">
        <f t="shared" ref="AE353" si="2134">AE349-AE352</f>
        <v>145.6490233030292</v>
      </c>
      <c r="AI353" s="70">
        <f t="shared" ref="AI353:AK353" si="2135">AI349-AI352</f>
        <v>0</v>
      </c>
      <c r="AJ353" s="70">
        <f t="shared" ref="AJ353:AM353" si="2136">AJ349-AJ352</f>
        <v>94.00989530693235</v>
      </c>
      <c r="AK353" s="70">
        <f t="shared" si="2135"/>
        <v>94.358461119329178</v>
      </c>
      <c r="AL353" s="70">
        <f t="shared" si="2136"/>
        <v>223.17376772756012</v>
      </c>
      <c r="AM353" s="70">
        <f t="shared" si="2136"/>
        <v>231.08287515223586</v>
      </c>
      <c r="AN353" s="70">
        <f t="shared" ref="AN353:AY353" si="2137">AN349-AN352</f>
        <v>259.19237822842115</v>
      </c>
      <c r="AO353" s="70">
        <f t="shared" si="2137"/>
        <v>234.66876657729324</v>
      </c>
      <c r="AP353" s="70">
        <f t="shared" si="2137"/>
        <v>207.51005240324793</v>
      </c>
      <c r="AQ353" s="70">
        <f t="shared" si="2137"/>
        <v>279.6679449604926</v>
      </c>
      <c r="AR353" s="70">
        <f t="shared" si="2137"/>
        <v>289.90729493898345</v>
      </c>
      <c r="AS353" s="70">
        <f t="shared" si="2137"/>
        <v>262.83283935643112</v>
      </c>
      <c r="AT353" s="70">
        <f t="shared" si="2137"/>
        <v>226.61649933810111</v>
      </c>
      <c r="AU353" s="70">
        <f t="shared" si="2137"/>
        <v>303.9992640207671</v>
      </c>
      <c r="AV353" s="70">
        <f t="shared" si="2137"/>
        <v>267.54230332112638</v>
      </c>
      <c r="AW353" s="70">
        <f t="shared" si="2137"/>
        <v>244.08819029891174</v>
      </c>
      <c r="AX353" s="70">
        <f t="shared" si="2137"/>
        <v>242.18759800228193</v>
      </c>
      <c r="AY353" s="70">
        <f t="shared" si="2137"/>
        <v>358.59114359763646</v>
      </c>
      <c r="AZ353" s="70">
        <f t="shared" ref="AZ353:BC353" si="2138">AZ349-AZ352</f>
        <v>322.752234511285</v>
      </c>
      <c r="BA353" s="70">
        <f t="shared" si="2138"/>
        <v>308.16596731084132</v>
      </c>
      <c r="BB353" s="70">
        <f t="shared" si="2138"/>
        <v>223.78999234006525</v>
      </c>
      <c r="BC353" s="70">
        <f t="shared" si="2138"/>
        <v>340.19183943742195</v>
      </c>
      <c r="BD353" s="70">
        <f t="shared" ref="BD353:CE353" si="2139">BD349-BD352</f>
        <v>339.89364670757396</v>
      </c>
      <c r="BE353" s="70">
        <f t="shared" si="2139"/>
        <v>314.22666887196829</v>
      </c>
      <c r="BF353" s="70">
        <f t="shared" si="2139"/>
        <v>243.69357221699147</v>
      </c>
      <c r="BG353" s="70">
        <f t="shared" si="2139"/>
        <v>366.89545184996075</v>
      </c>
      <c r="BH353" s="70">
        <f t="shared" si="2139"/>
        <v>357.21971645599001</v>
      </c>
      <c r="BI353" s="70">
        <f t="shared" si="2139"/>
        <v>321.42845159910769</v>
      </c>
      <c r="BJ353" s="70">
        <f t="shared" si="2139"/>
        <v>257.51178660336149</v>
      </c>
      <c r="BK353" s="70">
        <f t="shared" si="2139"/>
        <v>376.01658222680243</v>
      </c>
      <c r="BL353" s="70">
        <f t="shared" si="2139"/>
        <v>351.7129112655665</v>
      </c>
      <c r="BM353" s="70">
        <f t="shared" si="2139"/>
        <v>343.17025588329329</v>
      </c>
      <c r="BN353" s="70">
        <f t="shared" si="2139"/>
        <v>274.51278644863362</v>
      </c>
      <c r="BO353" s="70">
        <f t="shared" si="2139"/>
        <v>565.07045212357787</v>
      </c>
      <c r="BP353" s="70">
        <f t="shared" si="2139"/>
        <v>377.65835963181905</v>
      </c>
      <c r="BQ353" s="70">
        <f t="shared" si="2139"/>
        <v>330.91512994380929</v>
      </c>
      <c r="BR353" s="70">
        <f t="shared" si="2139"/>
        <v>225.22631056877097</v>
      </c>
      <c r="BS353" s="70">
        <f t="shared" si="2139"/>
        <v>366.45152125188815</v>
      </c>
      <c r="BT353" s="70">
        <f t="shared" si="2139"/>
        <v>301.11253015998091</v>
      </c>
      <c r="BU353" s="70">
        <f t="shared" si="2139"/>
        <v>266.28324656157241</v>
      </c>
      <c r="BV353" s="70">
        <f t="shared" si="2139"/>
        <v>198.36836694785518</v>
      </c>
      <c r="BW353" s="70">
        <f t="shared" si="2139"/>
        <v>291.83299747543981</v>
      </c>
      <c r="BX353" s="70">
        <f t="shared" si="2139"/>
        <v>253.66277689785545</v>
      </c>
      <c r="BY353" s="70">
        <f t="shared" si="2139"/>
        <v>234.91962251557032</v>
      </c>
      <c r="BZ353" s="70">
        <f t="shared" si="2139"/>
        <v>166.37596200575476</v>
      </c>
      <c r="CA353" s="70">
        <f t="shared" si="2139"/>
        <v>202.09782256171283</v>
      </c>
      <c r="CB353" s="70">
        <f t="shared" si="2139"/>
        <v>189.53220677939257</v>
      </c>
      <c r="CC353" s="70">
        <f t="shared" si="2139"/>
        <v>176.74682062233728</v>
      </c>
      <c r="CD353" s="70">
        <f t="shared" si="2139"/>
        <v>145.62054441142851</v>
      </c>
      <c r="CE353" s="115">
        <f t="shared" si="2139"/>
        <v>176.60374604512108</v>
      </c>
      <c r="CF353" s="70">
        <f t="shared" ref="CF353:CG353" si="2140">CF349-CF352</f>
        <v>171.02831828273384</v>
      </c>
      <c r="CG353" s="70">
        <f t="shared" si="2140"/>
        <v>163.2772519389386</v>
      </c>
      <c r="CH353" s="70">
        <f t="shared" ref="CH353:CI353" si="2141">CH349-CH352</f>
        <v>141.74705896902208</v>
      </c>
      <c r="CI353" s="70">
        <f t="shared" si="2141"/>
        <v>141.74705896902208</v>
      </c>
      <c r="CJ353" s="70">
        <f t="shared" ref="CJ353:DB353" si="2142">CJ349-CJ352</f>
        <v>169.40459255351988</v>
      </c>
      <c r="CK353" s="70">
        <f t="shared" si="2142"/>
        <v>169.40459255351993</v>
      </c>
      <c r="CL353" s="70">
        <f t="shared" ref="CL353" si="2143">CL349-CL352</f>
        <v>137.56211655181548</v>
      </c>
      <c r="CM353" s="50">
        <f t="shared" si="2142"/>
        <v>137.56211655181551</v>
      </c>
      <c r="CN353" s="50">
        <f t="shared" si="2142"/>
        <v>133.56211655181551</v>
      </c>
      <c r="CO353" s="50">
        <f t="shared" si="2142"/>
        <v>129.56211655181551</v>
      </c>
      <c r="CP353" s="50">
        <f t="shared" si="2142"/>
        <v>129.56211655181551</v>
      </c>
      <c r="CQ353" s="50">
        <f t="shared" si="2142"/>
        <v>127.56211655181551</v>
      </c>
      <c r="CR353" s="50">
        <f t="shared" si="2142"/>
        <v>125.56211655181551</v>
      </c>
      <c r="CS353" s="50">
        <f t="shared" si="2142"/>
        <v>123.56211655181551</v>
      </c>
      <c r="CT353" s="50">
        <f t="shared" si="2142"/>
        <v>122.56211655181551</v>
      </c>
      <c r="CU353" s="50">
        <f t="shared" si="2142"/>
        <v>122.56211655181551</v>
      </c>
      <c r="CV353" s="50">
        <f t="shared" si="2142"/>
        <v>122.56211655181551</v>
      </c>
      <c r="CW353" s="50">
        <f t="shared" si="2142"/>
        <v>122.56211655181551</v>
      </c>
      <c r="CX353" s="50">
        <f t="shared" si="2142"/>
        <v>122.56211655181551</v>
      </c>
      <c r="CY353" s="50">
        <f t="shared" si="2142"/>
        <v>122.56211655181551</v>
      </c>
      <c r="CZ353" s="50">
        <f t="shared" si="2142"/>
        <v>122.56211655181551</v>
      </c>
      <c r="DA353" s="50">
        <f t="shared" si="2142"/>
        <v>122.56211655181551</v>
      </c>
      <c r="DB353" s="50">
        <f t="shared" si="2142"/>
        <v>122.56211655181551</v>
      </c>
      <c r="DE353" s="138"/>
      <c r="DF353" s="7">
        <v>156.69404961676184</v>
      </c>
    </row>
    <row r="354" spans="1:110" s="7" customFormat="1" x14ac:dyDescent="0.2">
      <c r="A354" s="69" t="s">
        <v>86</v>
      </c>
      <c r="AB354" s="77"/>
      <c r="AC354" s="77"/>
      <c r="AD354" s="77"/>
      <c r="AE354" s="77"/>
      <c r="CE354" s="115"/>
      <c r="CG354" s="115"/>
      <c r="CM354" s="50"/>
      <c r="CN354" s="50"/>
      <c r="CO354" s="50"/>
      <c r="CP354" s="50"/>
      <c r="CQ354" s="50"/>
      <c r="CR354" s="50"/>
      <c r="CS354" s="50"/>
      <c r="CT354" s="50"/>
      <c r="CU354" s="50"/>
      <c r="CV354" s="50"/>
      <c r="CW354" s="50"/>
      <c r="CX354" s="50"/>
      <c r="CY354" s="50"/>
      <c r="CZ354" s="50"/>
      <c r="DA354" s="50"/>
      <c r="DB354" s="50"/>
      <c r="DE354" s="138"/>
    </row>
    <row r="355" spans="1:110" s="86" customFormat="1" x14ac:dyDescent="0.2">
      <c r="A355" s="86" t="s">
        <v>440</v>
      </c>
      <c r="C355" s="86">
        <f t="shared" ref="C355:AE355" si="2144">C166/B166-1</f>
        <v>0.17763547532407697</v>
      </c>
      <c r="D355" s="86">
        <f t="shared" si="2144"/>
        <v>0.18340936501652583</v>
      </c>
      <c r="E355" s="86">
        <f t="shared" si="2144"/>
        <v>6.7169629303311273E-2</v>
      </c>
      <c r="F355" s="86">
        <f t="shared" si="2144"/>
        <v>0.32104798893362174</v>
      </c>
      <c r="G355" s="86">
        <f t="shared" si="2144"/>
        <v>0.14240433637835404</v>
      </c>
      <c r="H355" s="86">
        <f t="shared" si="2144"/>
        <v>0.23860129422129073</v>
      </c>
      <c r="I355" s="86">
        <f t="shared" si="2144"/>
        <v>0.43601867316405407</v>
      </c>
      <c r="J355" s="86">
        <f t="shared" si="2144"/>
        <v>0.37526789184858522</v>
      </c>
      <c r="K355" s="86">
        <f t="shared" si="2144"/>
        <v>8.5377672171500718E-2</v>
      </c>
      <c r="L355" s="86">
        <f t="shared" si="2144"/>
        <v>0.18362557937493462</v>
      </c>
      <c r="M355" s="86">
        <f t="shared" si="2144"/>
        <v>0.23575017033735834</v>
      </c>
      <c r="N355" s="86">
        <f t="shared" si="2144"/>
        <v>0.15836413446651854</v>
      </c>
      <c r="O355" s="86">
        <f t="shared" si="2144"/>
        <v>0.14269376359096886</v>
      </c>
      <c r="P355" s="86">
        <f t="shared" si="2144"/>
        <v>8.0774218709619872E-2</v>
      </c>
      <c r="Q355" s="86">
        <f t="shared" si="2144"/>
        <v>9.9102675105956717E-2</v>
      </c>
      <c r="R355" s="86">
        <f t="shared" si="2144"/>
        <v>8.0984267790900732E-2</v>
      </c>
      <c r="S355" s="86">
        <f t="shared" si="2144"/>
        <v>9.4878586311945678E-2</v>
      </c>
      <c r="T355" s="86">
        <f t="shared" si="2144"/>
        <v>0.12981884836596902</v>
      </c>
      <c r="U355" s="86">
        <f t="shared" si="2144"/>
        <v>7.5669635082131315E-2</v>
      </c>
      <c r="V355" s="86">
        <f t="shared" si="2144"/>
        <v>-6.5130122330087969E-2</v>
      </c>
      <c r="W355" s="86">
        <f t="shared" si="2144"/>
        <v>0.15106888172389521</v>
      </c>
      <c r="X355" s="86">
        <f t="shared" si="2144"/>
        <v>0.17134717124315979</v>
      </c>
      <c r="Y355" s="86">
        <f t="shared" si="2144"/>
        <v>0.20602195802677747</v>
      </c>
      <c r="Z355" s="86">
        <f t="shared" si="2144"/>
        <v>0.15657855527295994</v>
      </c>
      <c r="AA355" s="86">
        <f t="shared" si="2144"/>
        <v>0.11785627630536277</v>
      </c>
      <c r="AB355" s="87">
        <f t="shared" si="2144"/>
        <v>0.15046321767029425</v>
      </c>
      <c r="AC355" s="87">
        <f t="shared" si="2144"/>
        <v>0.15226937013561481</v>
      </c>
      <c r="AD355" s="87">
        <f t="shared" si="2144"/>
        <v>0.15275719012802824</v>
      </c>
      <c r="AE355" s="87">
        <f t="shared" si="2144"/>
        <v>0.15286113153094716</v>
      </c>
      <c r="AN355" s="86">
        <f t="shared" ref="AN355:BS355" si="2145">+(AN166+AM166)/(AJ166+AI166)-1</f>
        <v>0.44616585382921592</v>
      </c>
      <c r="AO355" s="86">
        <f t="shared" si="2145"/>
        <v>0.56776497751545496</v>
      </c>
      <c r="AP355" s="86">
        <f t="shared" si="2145"/>
        <v>0.57558844838606915</v>
      </c>
      <c r="AQ355" s="86">
        <f t="shared" si="2145"/>
        <v>0.30246704537281732</v>
      </c>
      <c r="AR355" s="86">
        <f t="shared" si="2145"/>
        <v>0.10343669056697857</v>
      </c>
      <c r="AS355" s="86">
        <f t="shared" si="2145"/>
        <v>0.10141394000262305</v>
      </c>
      <c r="AT355" s="86">
        <f t="shared" si="2145"/>
        <v>6.3868215287851804E-2</v>
      </c>
      <c r="AU355" s="86">
        <f t="shared" si="2145"/>
        <v>4.5043913016161952E-2</v>
      </c>
      <c r="AV355" s="86">
        <f t="shared" si="2145"/>
        <v>7.5686760136641995E-2</v>
      </c>
      <c r="AW355" s="86">
        <f t="shared" si="2145"/>
        <v>8.9859824681423506E-2</v>
      </c>
      <c r="AX355" s="86">
        <f t="shared" si="2145"/>
        <v>0.13366176676984676</v>
      </c>
      <c r="AY355" s="86">
        <f t="shared" si="2145"/>
        <v>0.1358656782924208</v>
      </c>
      <c r="AZ355" s="86">
        <f t="shared" si="2145"/>
        <v>7.9009592390574035E-2</v>
      </c>
      <c r="BA355" s="86">
        <f t="shared" si="2145"/>
        <v>3.9040560390038559E-2</v>
      </c>
      <c r="BB355" s="86">
        <f t="shared" si="2145"/>
        <v>6.6756819907903386E-2</v>
      </c>
      <c r="BC355" s="86">
        <f t="shared" si="2145"/>
        <v>0.10672769735343213</v>
      </c>
      <c r="BD355" s="86">
        <f t="shared" si="2145"/>
        <v>7.8890017109356059E-2</v>
      </c>
      <c r="BE355" s="86">
        <f t="shared" si="2145"/>
        <v>8.2949699361640095E-2</v>
      </c>
      <c r="BF355" s="86">
        <f t="shared" si="2145"/>
        <v>0.10675153740400001</v>
      </c>
      <c r="BG355" s="86">
        <f t="shared" si="2145"/>
        <v>0.12002861512050633</v>
      </c>
      <c r="BH355" s="86">
        <f t="shared" si="2145"/>
        <v>0.14774459032174425</v>
      </c>
      <c r="BI355" s="86">
        <f t="shared" si="2145"/>
        <v>0.17606701862387375</v>
      </c>
      <c r="BJ355" s="86">
        <f t="shared" si="2145"/>
        <v>0.11684185433172645</v>
      </c>
      <c r="BK355" s="86">
        <f t="shared" si="2145"/>
        <v>7.7663373317355067E-2</v>
      </c>
      <c r="BL355" s="86">
        <f t="shared" si="2145"/>
        <v>0.12623325110214623</v>
      </c>
      <c r="BM355" s="86">
        <f t="shared" si="2145"/>
        <v>0.10258551219041023</v>
      </c>
      <c r="BN355" s="86">
        <f t="shared" si="2145"/>
        <v>3.8053913623058433E-2</v>
      </c>
      <c r="BO355" s="86">
        <f t="shared" si="2145"/>
        <v>-0.10192166505459677</v>
      </c>
      <c r="BP355" s="86">
        <f t="shared" si="2145"/>
        <v>-0.19502512145113304</v>
      </c>
      <c r="BQ355" s="86">
        <f t="shared" si="2145"/>
        <v>-6.9021824861504877E-2</v>
      </c>
      <c r="BR355" s="86">
        <f t="shared" si="2145"/>
        <v>3.9712274978767281E-2</v>
      </c>
      <c r="BS355" s="86">
        <f t="shared" si="2145"/>
        <v>0.1819301506367812</v>
      </c>
      <c r="BT355" s="86">
        <f t="shared" ref="BT355:CJ355" si="2146">+(BT166+BS166)/(BP166+BO166)-1</f>
        <v>0.22589129952150033</v>
      </c>
      <c r="BU355" s="86">
        <f t="shared" si="2146"/>
        <v>0.11563148532908629</v>
      </c>
      <c r="BV355" s="86">
        <f t="shared" si="2146"/>
        <v>0.10431189498821269</v>
      </c>
      <c r="BW355" s="86">
        <f t="shared" si="2146"/>
        <v>0.14570985253278002</v>
      </c>
      <c r="BX355" s="86">
        <f t="shared" si="2146"/>
        <v>0.22630972319519516</v>
      </c>
      <c r="BY355" s="86">
        <f t="shared" si="2146"/>
        <v>0.19931857884933524</v>
      </c>
      <c r="BZ355" s="86">
        <f t="shared" si="2146"/>
        <v>0.13321936741122165</v>
      </c>
      <c r="CA355" s="86">
        <f t="shared" si="2146"/>
        <v>0.19743952546828014</v>
      </c>
      <c r="CB355" s="86">
        <f t="shared" si="2146"/>
        <v>0.25809821205174899</v>
      </c>
      <c r="CC355" s="86">
        <f t="shared" si="2146"/>
        <v>0.19067959300671111</v>
      </c>
      <c r="CD355" s="86">
        <f t="shared" si="2146"/>
        <v>0.16692911626436024</v>
      </c>
      <c r="CE355" s="86">
        <f t="shared" si="2146"/>
        <v>0.15045521680415797</v>
      </c>
      <c r="CF355" s="86">
        <f t="shared" si="2146"/>
        <v>0.17964447400325212</v>
      </c>
      <c r="CG355" s="86">
        <f t="shared" si="2146"/>
        <v>0.18907346512816647</v>
      </c>
      <c r="CH355" s="86">
        <f t="shared" si="2146"/>
        <v>0.13791050394209803</v>
      </c>
      <c r="CI355" s="86">
        <f t="shared" si="2146"/>
        <v>0.1298927564577308</v>
      </c>
      <c r="CJ355" s="86">
        <f t="shared" si="2146"/>
        <v>0.12846048490500084</v>
      </c>
      <c r="CL355" s="86">
        <f>+(CL166+CK166)/(CH166+CG166)-1</f>
        <v>0.10895867584121555</v>
      </c>
      <c r="CM355" s="87"/>
      <c r="CN355" s="87"/>
      <c r="CO355" s="87"/>
      <c r="CP355" s="87"/>
      <c r="CQ355" s="87"/>
      <c r="CR355" s="87"/>
      <c r="CS355" s="87"/>
      <c r="CT355" s="87"/>
      <c r="CU355" s="87"/>
      <c r="CV355" s="87"/>
      <c r="CW355" s="87"/>
      <c r="CX355" s="87"/>
      <c r="CY355" s="87"/>
      <c r="CZ355" s="87"/>
      <c r="DA355" s="87"/>
      <c r="DB355" s="87"/>
      <c r="DE355" s="141"/>
      <c r="DF355" s="86">
        <v>0.11785627630536277</v>
      </c>
    </row>
    <row r="356" spans="1:110" s="86" customFormat="1" x14ac:dyDescent="0.2">
      <c r="A356" s="86" t="s">
        <v>441</v>
      </c>
      <c r="C356" s="86">
        <f t="shared" ref="C356" si="2147">C353/B353-1</f>
        <v>-0.16467956437392806</v>
      </c>
      <c r="D356" s="86">
        <f t="shared" ref="D356" si="2148">D353/C353-1</f>
        <v>-0.24684383598838067</v>
      </c>
      <c r="E356" s="86">
        <f>E353/D353-1</f>
        <v>-3.9031886360993973E-3</v>
      </c>
      <c r="F356" s="86">
        <f t="shared" ref="F356" si="2149">F353/E353-1</f>
        <v>3.0604951993061791E-2</v>
      </c>
      <c r="G356" s="86">
        <f t="shared" ref="G356" si="2150">G353/F353-1</f>
        <v>-0.10934821666471473</v>
      </c>
      <c r="H356" s="86">
        <f t="shared" ref="H356" si="2151">H353/G353-1</f>
        <v>0.11788914375319393</v>
      </c>
      <c r="I356" s="86">
        <f t="shared" ref="I356" si="2152">I353/H353-1</f>
        <v>0.34040066758367193</v>
      </c>
      <c r="J356" s="86">
        <f t="shared" ref="J356" si="2153">J353/I353-1</f>
        <v>-3.3288929004692269E-3</v>
      </c>
      <c r="K356" s="86">
        <f>K353/J353-1</f>
        <v>0.16233611001338488</v>
      </c>
      <c r="L356" s="86">
        <f t="shared" ref="L356" si="2154">L353/K353-1</f>
        <v>0.31411256308334146</v>
      </c>
      <c r="M356" s="86">
        <f t="shared" ref="M356" si="2155">M353/L353-1</f>
        <v>0.28125237408436021</v>
      </c>
      <c r="N356" s="86">
        <f t="shared" ref="N356" si="2156">N353/M353-1</f>
        <v>0.17211883461833799</v>
      </c>
      <c r="O356" s="86">
        <f t="shared" ref="O356" si="2157">O353/N353-1</f>
        <v>0.17835783106585779</v>
      </c>
      <c r="P356" s="86">
        <f t="shared" ref="P356" si="2158">P353/O353-1</f>
        <v>3.7810596632545046E-2</v>
      </c>
      <c r="Q356" s="86">
        <f t="shared" ref="Q356" si="2159">Q353/P353-1</f>
        <v>8.5194530977934946E-2</v>
      </c>
      <c r="R356" s="86">
        <f t="shared" ref="R356" si="2160">R353/Q353-1</f>
        <v>-4.0481552481093197E-2</v>
      </c>
      <c r="S356" s="86">
        <f t="shared" ref="S356" si="2161">S353/R353-1</f>
        <v>0.10392682312460599</v>
      </c>
      <c r="T356" s="86">
        <f t="shared" ref="T356" si="2162">T353/S353-1</f>
        <v>-2.8640043221456191E-3</v>
      </c>
      <c r="U356" s="86">
        <f t="shared" ref="U356" si="2163">U353/T353-1</f>
        <v>-4.1206785006088209E-3</v>
      </c>
      <c r="V356" s="86">
        <f t="shared" ref="V356" si="2164">V353/U353-1</f>
        <v>-4.6454074883650609E-2</v>
      </c>
      <c r="W356" s="86">
        <f t="shared" ref="W356:AA356" si="2165">W353/V353-1</f>
        <v>-0.15929690716351952</v>
      </c>
      <c r="X356" s="86">
        <f t="shared" si="2165"/>
        <v>-0.21187042885027763</v>
      </c>
      <c r="Y356" s="86">
        <f t="shared" si="2165"/>
        <v>-0.16657177209244722</v>
      </c>
      <c r="Z356" s="86">
        <f t="shared" si="2165"/>
        <v>-4.6504513566354655E-2</v>
      </c>
      <c r="AA356" s="86">
        <f t="shared" si="2165"/>
        <v>-6.2978708242994341E-2</v>
      </c>
      <c r="AB356" s="87">
        <f t="shared" ref="AB356" si="2166">AB353/AA353-1</f>
        <v>-1.9224653785350654E-2</v>
      </c>
      <c r="AC356" s="87">
        <f t="shared" ref="AC356" si="2167">AC353/AB353-1</f>
        <v>-5.2495593954076325E-2</v>
      </c>
      <c r="AD356" s="87">
        <f t="shared" ref="AD356" si="2168">AD353/AC353-1</f>
        <v>2.1790610806604604E-4</v>
      </c>
      <c r="AE356" s="87">
        <f t="shared" ref="AE356" si="2169">AE353/AD353-1</f>
        <v>2.2262305648279579E-5</v>
      </c>
      <c r="AN356" s="86">
        <f t="shared" ref="AN356:CI356" si="2170">+AN353/AJ353-1</f>
        <v>1.7570754906404851</v>
      </c>
      <c r="AO356" s="86">
        <f t="shared" si="2170"/>
        <v>1.4869923035362191</v>
      </c>
      <c r="AP356" s="86">
        <f t="shared" si="2170"/>
        <v>-7.0186184889945102E-2</v>
      </c>
      <c r="AQ356" s="86">
        <f t="shared" si="2170"/>
        <v>0.2102495469482506</v>
      </c>
      <c r="AR356" s="86">
        <f t="shared" si="2170"/>
        <v>0.1185023916231589</v>
      </c>
      <c r="AS356" s="86">
        <f t="shared" si="2170"/>
        <v>0.12001628162928712</v>
      </c>
      <c r="AT356" s="86">
        <f t="shared" si="2170"/>
        <v>9.2074801743696755E-2</v>
      </c>
      <c r="AU356" s="86">
        <f t="shared" si="2170"/>
        <v>8.7000743198194064E-2</v>
      </c>
      <c r="AV356" s="86">
        <f t="shared" si="2170"/>
        <v>-7.7145321998759009E-2</v>
      </c>
      <c r="AW356" s="86">
        <f t="shared" si="2170"/>
        <v>-7.1317758859270719E-2</v>
      </c>
      <c r="AX356" s="86">
        <f t="shared" si="2170"/>
        <v>6.8711231131275641E-2</v>
      </c>
      <c r="AY356" s="86">
        <f t="shared" si="2170"/>
        <v>0.17957898599761091</v>
      </c>
      <c r="AZ356" s="86">
        <f t="shared" si="2170"/>
        <v>0.20635963174724958</v>
      </c>
      <c r="BA356" s="86">
        <f t="shared" si="2170"/>
        <v>0.26251895650280987</v>
      </c>
      <c r="BB356" s="86">
        <f t="shared" si="2170"/>
        <v>-7.5964276511150342E-2</v>
      </c>
      <c r="BC356" s="86">
        <f t="shared" si="2170"/>
        <v>-5.1309979314100862E-2</v>
      </c>
      <c r="BD356" s="86">
        <f t="shared" si="2170"/>
        <v>5.3110127098715987E-2</v>
      </c>
      <c r="BE356" s="86">
        <f t="shared" si="2170"/>
        <v>1.9667004809176936E-2</v>
      </c>
      <c r="BF356" s="86">
        <f t="shared" si="2170"/>
        <v>8.8938650333752589E-2</v>
      </c>
      <c r="BG356" s="86">
        <f t="shared" si="2170"/>
        <v>7.8495746566698221E-2</v>
      </c>
      <c r="BH356" s="86">
        <f t="shared" si="2170"/>
        <v>5.097497383739702E-2</v>
      </c>
      <c r="BI356" s="86">
        <f t="shared" si="2170"/>
        <v>2.2919069068812137E-2</v>
      </c>
      <c r="BJ356" s="86">
        <f t="shared" si="2170"/>
        <v>5.6703237022870168E-2</v>
      </c>
      <c r="BK356" s="86">
        <f t="shared" si="2170"/>
        <v>2.4860298297106453E-2</v>
      </c>
      <c r="BL356" s="86">
        <f t="shared" si="2170"/>
        <v>-1.541573697291132E-2</v>
      </c>
      <c r="BM356" s="86">
        <f t="shared" si="2170"/>
        <v>6.7641194100958035E-2</v>
      </c>
      <c r="BN356" s="86">
        <f t="shared" si="2170"/>
        <v>6.6020278409463007E-2</v>
      </c>
      <c r="BO356" s="86">
        <f t="shared" si="2170"/>
        <v>0.50278067200436283</v>
      </c>
      <c r="BP356" s="86">
        <f t="shared" si="2170"/>
        <v>7.3768825468741417E-2</v>
      </c>
      <c r="BQ356" s="86">
        <f t="shared" si="2170"/>
        <v>-3.5711503923731014E-2</v>
      </c>
      <c r="BR356" s="86">
        <f t="shared" si="2170"/>
        <v>-0.17954163999965467</v>
      </c>
      <c r="BS356" s="86">
        <f t="shared" si="2170"/>
        <v>-0.35149410153241001</v>
      </c>
      <c r="BT356" s="86">
        <f t="shared" si="2170"/>
        <v>-0.20268538354734966</v>
      </c>
      <c r="BU356" s="86">
        <f t="shared" si="2170"/>
        <v>-0.19531256667899</v>
      </c>
      <c r="BV356" s="86">
        <f t="shared" si="2170"/>
        <v>-0.11924869502630753</v>
      </c>
      <c r="BW356" s="86">
        <f t="shared" si="2170"/>
        <v>-0.20362454362730764</v>
      </c>
      <c r="BX356" s="86">
        <f t="shared" si="2170"/>
        <v>-0.15758146377009097</v>
      </c>
      <c r="BY356" s="86">
        <f t="shared" si="2170"/>
        <v>-0.11778294147675528</v>
      </c>
      <c r="BZ356" s="86">
        <f t="shared" si="2170"/>
        <v>-0.16127775529104504</v>
      </c>
      <c r="CA356" s="86">
        <f t="shared" si="2170"/>
        <v>-0.30748810343586641</v>
      </c>
      <c r="CB356" s="86">
        <f t="shared" si="2170"/>
        <v>-0.25281821362496115</v>
      </c>
      <c r="CC356" s="86">
        <f t="shared" si="2170"/>
        <v>-0.24762853468903978</v>
      </c>
      <c r="CD356" s="86">
        <f t="shared" si="2170"/>
        <v>-0.12475009817589122</v>
      </c>
      <c r="CE356" s="86">
        <f t="shared" si="2170"/>
        <v>-0.12614721026401388</v>
      </c>
      <c r="CF356" s="86">
        <f t="shared" si="2170"/>
        <v>-9.7629256848132839E-2</v>
      </c>
      <c r="CG356" s="86">
        <f t="shared" si="2170"/>
        <v>-7.6208265789287966E-2</v>
      </c>
      <c r="CH356" s="86">
        <f t="shared" si="2170"/>
        <v>-2.6599855522188465E-2</v>
      </c>
      <c r="CI356" s="86">
        <f t="shared" si="2170"/>
        <v>-0.19737229734183193</v>
      </c>
      <c r="CJ356" s="86">
        <f>+CJ353/CF353-1</f>
        <v>-9.4938998729421353E-3</v>
      </c>
      <c r="CL356" s="86">
        <f>+CL353/CH353-1</f>
        <v>-2.9524015860683206E-2</v>
      </c>
      <c r="CM356" s="87"/>
      <c r="CN356" s="87"/>
      <c r="CO356" s="87"/>
      <c r="CP356" s="87"/>
      <c r="CQ356" s="87"/>
      <c r="CR356" s="87"/>
      <c r="CS356" s="87"/>
      <c r="CT356" s="87"/>
      <c r="CU356" s="87"/>
      <c r="CV356" s="87"/>
      <c r="CW356" s="87"/>
      <c r="CX356" s="87"/>
      <c r="CY356" s="87"/>
      <c r="CZ356" s="87"/>
      <c r="DA356" s="87"/>
      <c r="DB356" s="87"/>
      <c r="DE356" s="141"/>
      <c r="DF356" s="86">
        <v>-6.2978708242994341E-2</v>
      </c>
    </row>
    <row r="357" spans="1:110" s="103" customFormat="1" x14ac:dyDescent="0.2">
      <c r="A357" s="147" t="s">
        <v>87</v>
      </c>
      <c r="C357" s="103">
        <f>IF(C356&gt;C355,"RF",0)</f>
        <v>0</v>
      </c>
      <c r="D357" s="103">
        <f>IF(D356&gt;D355,"RF",0)</f>
        <v>0</v>
      </c>
      <c r="E357" s="103">
        <f t="shared" ref="E357:U357" si="2171">IF(E356&gt;E355,"RF",0)</f>
        <v>0</v>
      </c>
      <c r="F357" s="103">
        <f t="shared" si="2171"/>
        <v>0</v>
      </c>
      <c r="G357" s="103">
        <f t="shared" si="2171"/>
        <v>0</v>
      </c>
      <c r="H357" s="103">
        <f t="shared" si="2171"/>
        <v>0</v>
      </c>
      <c r="I357" s="103">
        <f t="shared" si="2171"/>
        <v>0</v>
      </c>
      <c r="J357" s="103">
        <f t="shared" si="2171"/>
        <v>0</v>
      </c>
      <c r="K357" s="103" t="str">
        <f t="shared" si="2171"/>
        <v>RF</v>
      </c>
      <c r="L357" s="103" t="str">
        <f t="shared" si="2171"/>
        <v>RF</v>
      </c>
      <c r="M357" s="103" t="str">
        <f t="shared" si="2171"/>
        <v>RF</v>
      </c>
      <c r="N357" s="103" t="str">
        <f t="shared" si="2171"/>
        <v>RF</v>
      </c>
      <c r="O357" s="103" t="str">
        <f t="shared" si="2171"/>
        <v>RF</v>
      </c>
      <c r="P357" s="103">
        <f t="shared" si="2171"/>
        <v>0</v>
      </c>
      <c r="Q357" s="103">
        <f t="shared" si="2171"/>
        <v>0</v>
      </c>
      <c r="R357" s="103">
        <f t="shared" si="2171"/>
        <v>0</v>
      </c>
      <c r="S357" s="103" t="str">
        <f t="shared" si="2171"/>
        <v>RF</v>
      </c>
      <c r="T357" s="103">
        <f t="shared" si="2171"/>
        <v>0</v>
      </c>
      <c r="U357" s="103">
        <f t="shared" si="2171"/>
        <v>0</v>
      </c>
      <c r="V357" s="103" t="str">
        <f>IF(V356&gt;V355,"RF",0)</f>
        <v>RF</v>
      </c>
      <c r="W357" s="103">
        <f t="shared" ref="W357" si="2172">IF(W356&gt;W355,"RF",0)</f>
        <v>0</v>
      </c>
      <c r="X357" s="103">
        <f t="shared" ref="X357:Y357" si="2173">IF(X356&gt;X355,"RF",0)</f>
        <v>0</v>
      </c>
      <c r="Y357" s="103">
        <f t="shared" si="2173"/>
        <v>0</v>
      </c>
      <c r="Z357" s="103">
        <f t="shared" ref="Z357:AA357" si="2174">IF(Z356&gt;Z355,"RF",0)</f>
        <v>0</v>
      </c>
      <c r="AA357" s="103">
        <f t="shared" si="2174"/>
        <v>0</v>
      </c>
      <c r="AB357" s="73">
        <f t="shared" ref="AB357:AD357" si="2175">IF(AB356&gt;AB355,"RF",0)</f>
        <v>0</v>
      </c>
      <c r="AC357" s="73">
        <f t="shared" si="2175"/>
        <v>0</v>
      </c>
      <c r="AD357" s="73">
        <f t="shared" si="2175"/>
        <v>0</v>
      </c>
      <c r="AE357" s="73">
        <f t="shared" ref="AE357" si="2176">IF(AE356&gt;AE355,"RF",0)</f>
        <v>0</v>
      </c>
      <c r="CM357" s="73"/>
      <c r="CN357" s="73"/>
      <c r="CO357" s="73"/>
      <c r="CP357" s="73"/>
      <c r="CQ357" s="73"/>
      <c r="CR357" s="73"/>
      <c r="CS357" s="73"/>
      <c r="CT357" s="73"/>
      <c r="CU357" s="73"/>
      <c r="CV357" s="73"/>
      <c r="CW357" s="73"/>
      <c r="CX357" s="73"/>
      <c r="CY357" s="73"/>
      <c r="CZ357" s="73"/>
      <c r="DA357" s="73"/>
      <c r="DB357" s="73"/>
      <c r="DE357" s="142"/>
      <c r="DF357" s="103">
        <v>0</v>
      </c>
    </row>
    <row r="358" spans="1:110" x14ac:dyDescent="0.2">
      <c r="A358" s="153" t="s">
        <v>494</v>
      </c>
      <c r="AA358" s="2"/>
    </row>
    <row r="359" spans="1:110" x14ac:dyDescent="0.2">
      <c r="A359" s="152" t="s">
        <v>495</v>
      </c>
      <c r="AA359" s="2"/>
    </row>
    <row r="360" spans="1:110" s="23" customFormat="1" x14ac:dyDescent="0.2">
      <c r="A360" s="23" t="s">
        <v>22</v>
      </c>
      <c r="C360" s="23">
        <f t="shared" ref="C360:AE360" si="2177">C210</f>
        <v>293.71000000000043</v>
      </c>
      <c r="D360" s="23">
        <f t="shared" si="2177"/>
        <v>380.1800000000004</v>
      </c>
      <c r="E360" s="23">
        <f t="shared" si="2177"/>
        <v>746.81</v>
      </c>
      <c r="F360" s="23">
        <f t="shared" si="2177"/>
        <v>1049.5099999999989</v>
      </c>
      <c r="G360" s="23">
        <f t="shared" si="2177"/>
        <v>1317.2099999999962</v>
      </c>
      <c r="H360" s="23">
        <f t="shared" si="2177"/>
        <v>2240.1400000000003</v>
      </c>
      <c r="I360" s="23">
        <f t="shared" si="2177"/>
        <v>2325.3600000000029</v>
      </c>
      <c r="J360" s="23">
        <f t="shared" si="2177"/>
        <v>3789.4599999999937</v>
      </c>
      <c r="K360" s="23">
        <f t="shared" si="2177"/>
        <v>5450.7399999999989</v>
      </c>
      <c r="L360" s="23">
        <f t="shared" si="2177"/>
        <v>4456.17</v>
      </c>
      <c r="M360" s="23">
        <f t="shared" si="2177"/>
        <v>4693.6900000000032</v>
      </c>
      <c r="N360" s="23">
        <f t="shared" si="2177"/>
        <v>5205.6699999999964</v>
      </c>
      <c r="O360" s="23">
        <f t="shared" si="2177"/>
        <v>4902</v>
      </c>
      <c r="P360" s="23">
        <f t="shared" si="2177"/>
        <v>4764.8199999999888</v>
      </c>
      <c r="Q360" s="23">
        <f t="shared" si="2177"/>
        <v>4232.8800000000128</v>
      </c>
      <c r="R360" s="23">
        <f t="shared" si="2177"/>
        <v>6041.230000000005</v>
      </c>
      <c r="S360" s="23">
        <f t="shared" si="2177"/>
        <v>7369.8600000000124</v>
      </c>
      <c r="T360" s="23">
        <f t="shared" si="2177"/>
        <v>8905.1299999999683</v>
      </c>
      <c r="U360" s="23">
        <f t="shared" si="2177"/>
        <v>9549.0299999999806</v>
      </c>
      <c r="V360" s="23">
        <f t="shared" si="2177"/>
        <v>11582.929999999993</v>
      </c>
      <c r="W360" s="23">
        <f t="shared" si="2177"/>
        <v>8669.3300000000309</v>
      </c>
      <c r="X360" s="23">
        <f t="shared" si="2177"/>
        <v>10470.720000000012</v>
      </c>
      <c r="Y360" s="23">
        <f t="shared" si="2177"/>
        <v>13059.11000000003</v>
      </c>
      <c r="Z360" s="23">
        <f t="shared" si="2177"/>
        <v>15037.110000000002</v>
      </c>
      <c r="AA360" s="23">
        <f t="shared" ref="AA360" si="2178">AA210</f>
        <v>16083.989999999934</v>
      </c>
      <c r="AB360" s="24">
        <f t="shared" si="2177"/>
        <v>21824.269733898407</v>
      </c>
      <c r="AC360" s="24">
        <f t="shared" si="2177"/>
        <v>26291.501913159474</v>
      </c>
      <c r="AD360" s="24">
        <f t="shared" si="2177"/>
        <v>31573.906871991421</v>
      </c>
      <c r="AE360" s="24">
        <f t="shared" si="2177"/>
        <v>37618.105634851374</v>
      </c>
      <c r="AI360" s="23">
        <f t="shared" ref="AI360:BN360" si="2179">AI210</f>
        <v>863.65000000000066</v>
      </c>
      <c r="AJ360" s="23">
        <f t="shared" si="2179"/>
        <v>1137.3100000000009</v>
      </c>
      <c r="AK360" s="23">
        <f t="shared" si="2179"/>
        <v>1013.2300000000001</v>
      </c>
      <c r="AL360" s="23">
        <f t="shared" si="2179"/>
        <v>1787.9399999999982</v>
      </c>
      <c r="AM360" s="23">
        <f t="shared" si="2179"/>
        <v>458.59000000000214</v>
      </c>
      <c r="AN360" s="23">
        <f t="shared" si="2179"/>
        <v>806.35000000000093</v>
      </c>
      <c r="AO360" s="23">
        <f t="shared" si="2179"/>
        <v>796.66000000000622</v>
      </c>
      <c r="AP360" s="23">
        <f t="shared" si="2179"/>
        <v>2840.3999999999978</v>
      </c>
      <c r="AQ360" s="23">
        <f t="shared" si="2179"/>
        <v>966.89000000000192</v>
      </c>
      <c r="AR360" s="23">
        <f t="shared" si="2179"/>
        <v>861.75000000000011</v>
      </c>
      <c r="AS360" s="23">
        <f t="shared" si="2179"/>
        <v>866.53999999999769</v>
      </c>
      <c r="AT360" s="23">
        <f t="shared" si="2179"/>
        <v>2069.6399999999962</v>
      </c>
      <c r="AU360" s="23">
        <f t="shared" si="2179"/>
        <v>418.94000000000324</v>
      </c>
      <c r="AV360" s="23">
        <f t="shared" si="2179"/>
        <v>778.36999999999853</v>
      </c>
      <c r="AW360" s="23">
        <f t="shared" si="2179"/>
        <v>700.34000000000128</v>
      </c>
      <c r="AX360" s="23">
        <f t="shared" si="2179"/>
        <v>2335.2000000000057</v>
      </c>
      <c r="AY360" s="23">
        <f t="shared" si="2179"/>
        <v>609.59999999999764</v>
      </c>
      <c r="AZ360" s="23">
        <f t="shared" si="2179"/>
        <v>1434.6300000000003</v>
      </c>
      <c r="BA360" s="23">
        <f t="shared" si="2179"/>
        <v>972.40000000000066</v>
      </c>
      <c r="BB360" s="23">
        <f t="shared" si="2179"/>
        <v>3024.6099999999983</v>
      </c>
      <c r="BC360" s="23">
        <f t="shared" si="2179"/>
        <v>892.54000000000246</v>
      </c>
      <c r="BD360" s="23">
        <f t="shared" si="2179"/>
        <v>1819.8799999999987</v>
      </c>
      <c r="BE360" s="23">
        <f t="shared" si="2179"/>
        <v>1489.9800000000002</v>
      </c>
      <c r="BF360" s="23">
        <f t="shared" si="2179"/>
        <v>3167.47</v>
      </c>
      <c r="BG360" s="23">
        <f t="shared" si="2179"/>
        <v>1214.7799999999957</v>
      </c>
      <c r="BH360" s="23">
        <f t="shared" si="2179"/>
        <v>2230.4900000000007</v>
      </c>
      <c r="BI360" s="23">
        <f t="shared" si="2179"/>
        <v>2041.6200000000003</v>
      </c>
      <c r="BJ360" s="23">
        <f t="shared" si="2179"/>
        <v>3418.2400000000039</v>
      </c>
      <c r="BK360" s="23">
        <f t="shared" si="2179"/>
        <v>1472.5800000000011</v>
      </c>
      <c r="BL360" s="23">
        <f t="shared" si="2179"/>
        <v>2527.2599999999966</v>
      </c>
      <c r="BM360" s="23">
        <f t="shared" si="2179"/>
        <v>2352.1200000000044</v>
      </c>
      <c r="BN360" s="23">
        <f t="shared" si="2179"/>
        <v>3197.0699999999979</v>
      </c>
      <c r="BO360" s="23">
        <f t="shared" ref="BO360:CT360" si="2180">BO210</f>
        <v>303.14000000000254</v>
      </c>
      <c r="BP360" s="23">
        <f t="shared" si="2180"/>
        <v>5520.2700000000023</v>
      </c>
      <c r="BQ360" s="23">
        <f t="shared" si="2180"/>
        <v>2466.7099999999959</v>
      </c>
      <c r="BR360" s="23">
        <f t="shared" si="2180"/>
        <v>3292.8099999999931</v>
      </c>
      <c r="BS360" s="23">
        <f t="shared" si="2180"/>
        <v>1174.4399999999989</v>
      </c>
      <c r="BT360" s="23">
        <f t="shared" si="2180"/>
        <v>1819.4499999999975</v>
      </c>
      <c r="BU360" s="23">
        <f t="shared" si="2180"/>
        <v>2054.7400000000016</v>
      </c>
      <c r="BV360" s="23">
        <f t="shared" si="2180"/>
        <v>3620.6899999999955</v>
      </c>
      <c r="BW360" s="23">
        <f t="shared" si="2180"/>
        <v>1702.0699999999965</v>
      </c>
      <c r="BX360" s="23">
        <f t="shared" si="2180"/>
        <v>2228.9699999999962</v>
      </c>
      <c r="BY360" s="23">
        <f t="shared" si="2180"/>
        <v>2552.9200000000083</v>
      </c>
      <c r="BZ360" s="23">
        <f t="shared" si="2180"/>
        <v>3986.7799999999979</v>
      </c>
      <c r="CA360" s="23">
        <f t="shared" si="2180"/>
        <v>2492.9999999999932</v>
      </c>
      <c r="CB360" s="23">
        <f t="shared" si="2180"/>
        <v>3222.6300000000015</v>
      </c>
      <c r="CC360" s="23">
        <f t="shared" si="2180"/>
        <v>2947.3599999999947</v>
      </c>
      <c r="CD360" s="23">
        <f t="shared" si="2180"/>
        <v>4396.1200000000008</v>
      </c>
      <c r="CE360" s="23">
        <f t="shared" si="2180"/>
        <v>2785.7200000000071</v>
      </c>
      <c r="CF360" s="23">
        <f t="shared" si="2180"/>
        <v>3395.2900000000041</v>
      </c>
      <c r="CG360" s="23">
        <f t="shared" si="2180"/>
        <v>3358.8399999999961</v>
      </c>
      <c r="CH360" s="23">
        <f t="shared" si="2180"/>
        <v>5497.260000000002</v>
      </c>
      <c r="CI360" s="23">
        <f t="shared" si="2180"/>
        <v>3617.1899999999941</v>
      </c>
      <c r="CJ360" s="23">
        <f t="shared" si="2180"/>
        <v>3926.0899999999983</v>
      </c>
      <c r="CK360" s="23">
        <f t="shared" si="2180"/>
        <v>3215.1099999999979</v>
      </c>
      <c r="CL360" s="23">
        <f t="shared" si="2180"/>
        <v>5325.5999999999949</v>
      </c>
      <c r="CM360" s="24">
        <f t="shared" si="2180"/>
        <v>4698.7906584553384</v>
      </c>
      <c r="CN360" s="24">
        <f t="shared" si="2180"/>
        <v>5199.2162679292906</v>
      </c>
      <c r="CO360" s="24">
        <f t="shared" si="2180"/>
        <v>5479.9896578039506</v>
      </c>
      <c r="CP360" s="24">
        <f t="shared" si="2180"/>
        <v>6446.2731497098321</v>
      </c>
      <c r="CQ360" s="24">
        <f t="shared" si="2180"/>
        <v>5519.0159360411772</v>
      </c>
      <c r="CR360" s="24">
        <f t="shared" si="2180"/>
        <v>6182.6032873389322</v>
      </c>
      <c r="CS360" s="24">
        <f t="shared" si="2180"/>
        <v>6609.868271540623</v>
      </c>
      <c r="CT360" s="24">
        <f t="shared" si="2180"/>
        <v>7980.0144182386939</v>
      </c>
      <c r="CU360" s="24">
        <f t="shared" ref="CU360:DB360" si="2181">CU210</f>
        <v>6648.6357074559201</v>
      </c>
      <c r="CV360" s="24">
        <f t="shared" si="2181"/>
        <v>7433.930031403168</v>
      </c>
      <c r="CW360" s="24">
        <f t="shared" si="2181"/>
        <v>7953.0178335137971</v>
      </c>
      <c r="CX360" s="24">
        <f t="shared" si="2181"/>
        <v>9538.3232996185379</v>
      </c>
      <c r="CY360" s="24">
        <f t="shared" si="2181"/>
        <v>7945.4506648203151</v>
      </c>
      <c r="CZ360" s="24">
        <f t="shared" si="2181"/>
        <v>8872.5785302219465</v>
      </c>
      <c r="DA360" s="24">
        <f t="shared" si="2181"/>
        <v>9484.2038504128341</v>
      </c>
      <c r="DB360" s="24">
        <f t="shared" si="2181"/>
        <v>11315.872589396286</v>
      </c>
      <c r="DE360" s="123"/>
      <c r="DF360" s="23">
        <v>16083.989999999934</v>
      </c>
    </row>
    <row r="361" spans="1:110" s="23" customFormat="1" x14ac:dyDescent="0.2">
      <c r="A361" s="23" t="s">
        <v>88</v>
      </c>
      <c r="C361" s="23">
        <f t="shared" ref="C361:AE361" si="2182">C194</f>
        <v>468.1</v>
      </c>
      <c r="D361" s="23">
        <f t="shared" si="2182"/>
        <v>440.61</v>
      </c>
      <c r="E361" s="23">
        <f t="shared" si="2182"/>
        <v>206.54</v>
      </c>
      <c r="F361" s="23">
        <f t="shared" si="2182"/>
        <v>212.2</v>
      </c>
      <c r="G361" s="23">
        <f t="shared" si="2182"/>
        <v>243.52</v>
      </c>
      <c r="H361" s="23">
        <f t="shared" si="2182"/>
        <v>344.86</v>
      </c>
      <c r="I361" s="23">
        <f t="shared" si="2182"/>
        <v>509.74</v>
      </c>
      <c r="J361" s="23">
        <f t="shared" si="2182"/>
        <v>728.32</v>
      </c>
      <c r="K361" s="23">
        <f t="shared" si="2182"/>
        <v>979.32</v>
      </c>
      <c r="L361" s="23">
        <f t="shared" si="2182"/>
        <v>1318.88</v>
      </c>
      <c r="M361" s="23">
        <f t="shared" si="2182"/>
        <v>1580.29</v>
      </c>
      <c r="N361" s="23">
        <f t="shared" si="2182"/>
        <v>1637.07</v>
      </c>
      <c r="O361" s="23">
        <f t="shared" si="2182"/>
        <v>1445.82</v>
      </c>
      <c r="P361" s="23">
        <f t="shared" si="2182"/>
        <v>2622.95</v>
      </c>
      <c r="Q361" s="23">
        <f t="shared" si="2182"/>
        <v>1786.73</v>
      </c>
      <c r="R361" s="23">
        <f t="shared" si="2182"/>
        <v>2369.9299999999998</v>
      </c>
      <c r="S361" s="23">
        <f t="shared" si="2182"/>
        <v>1928.73</v>
      </c>
      <c r="T361" s="23">
        <f t="shared" si="2182"/>
        <v>1923.03</v>
      </c>
      <c r="U361" s="23">
        <f t="shared" si="2182"/>
        <v>2462.27</v>
      </c>
      <c r="V361" s="23">
        <f t="shared" si="2182"/>
        <v>2904.21</v>
      </c>
      <c r="W361" s="23">
        <f t="shared" si="2182"/>
        <v>2947.95</v>
      </c>
      <c r="X361" s="23">
        <f t="shared" si="2182"/>
        <v>3502.25</v>
      </c>
      <c r="Y361" s="23">
        <f t="shared" si="2182"/>
        <v>3682.33</v>
      </c>
      <c r="Z361" s="23">
        <f t="shared" si="2182"/>
        <v>4121.18</v>
      </c>
      <c r="AA361" s="23">
        <f t="shared" ref="AA361" si="2183">AA194</f>
        <v>4364.75</v>
      </c>
      <c r="AB361" s="24">
        <f t="shared" si="2182"/>
        <v>2196.6642080366996</v>
      </c>
      <c r="AC361" s="24">
        <f t="shared" si="2182"/>
        <v>2357.6369133592343</v>
      </c>
      <c r="AD361" s="24">
        <f t="shared" si="2182"/>
        <v>2500.1448919875229</v>
      </c>
      <c r="AE361" s="24">
        <f t="shared" si="2182"/>
        <v>2626.3061808347802</v>
      </c>
      <c r="AI361" s="23">
        <f t="shared" ref="AI361:BN361" si="2184">AI194</f>
        <v>191.94</v>
      </c>
      <c r="AJ361" s="23">
        <f t="shared" si="2184"/>
        <v>203.96</v>
      </c>
      <c r="AK361" s="23">
        <f t="shared" si="2184"/>
        <v>177.87</v>
      </c>
      <c r="AL361" s="23">
        <f t="shared" si="2184"/>
        <v>196.85</v>
      </c>
      <c r="AM361" s="23">
        <f t="shared" si="2184"/>
        <v>556.66</v>
      </c>
      <c r="AN361" s="23">
        <f t="shared" si="2184"/>
        <v>587.29</v>
      </c>
      <c r="AO361" s="23">
        <f t="shared" si="2184"/>
        <v>587.79</v>
      </c>
      <c r="AP361" s="23">
        <f t="shared" si="2184"/>
        <v>-285.97000000000003</v>
      </c>
      <c r="AQ361" s="23">
        <f t="shared" si="2184"/>
        <v>807.33</v>
      </c>
      <c r="AR361" s="23">
        <f t="shared" si="2184"/>
        <v>548.57000000000005</v>
      </c>
      <c r="AS361" s="23">
        <f t="shared" si="2184"/>
        <v>679.07</v>
      </c>
      <c r="AT361" s="23">
        <f t="shared" si="2184"/>
        <v>588</v>
      </c>
      <c r="AU361" s="23">
        <f t="shared" si="2184"/>
        <v>465.83</v>
      </c>
      <c r="AV361" s="23">
        <f t="shared" si="2184"/>
        <v>528.54999999999995</v>
      </c>
      <c r="AW361" s="23">
        <f t="shared" si="2184"/>
        <v>367.97</v>
      </c>
      <c r="AX361" s="23">
        <f t="shared" si="2184"/>
        <v>424.36</v>
      </c>
      <c r="AY361" s="23">
        <f t="shared" si="2184"/>
        <v>464.78</v>
      </c>
      <c r="AZ361" s="23">
        <f t="shared" si="2184"/>
        <v>460.15</v>
      </c>
      <c r="BA361" s="23">
        <f t="shared" si="2184"/>
        <v>722.29</v>
      </c>
      <c r="BB361" s="23">
        <f t="shared" si="2184"/>
        <v>722.7</v>
      </c>
      <c r="BC361" s="23">
        <f t="shared" si="2184"/>
        <v>551.27</v>
      </c>
      <c r="BD361" s="23">
        <f t="shared" si="2184"/>
        <v>430.59</v>
      </c>
      <c r="BE361" s="23">
        <f t="shared" si="2184"/>
        <v>454.49</v>
      </c>
      <c r="BF361" s="23">
        <f t="shared" si="2184"/>
        <v>492.39</v>
      </c>
      <c r="BG361" s="23">
        <f t="shared" si="2184"/>
        <v>604.72</v>
      </c>
      <c r="BH361" s="23">
        <f t="shared" si="2184"/>
        <v>477.6</v>
      </c>
      <c r="BI361" s="23">
        <f t="shared" si="2184"/>
        <v>405.28</v>
      </c>
      <c r="BJ361" s="23">
        <f t="shared" si="2184"/>
        <v>435.43</v>
      </c>
      <c r="BK361" s="23">
        <f t="shared" si="2184"/>
        <v>461.46</v>
      </c>
      <c r="BL361" s="23">
        <f t="shared" si="2184"/>
        <v>629.65</v>
      </c>
      <c r="BM361" s="23">
        <f t="shared" si="2184"/>
        <v>660.23</v>
      </c>
      <c r="BN361" s="23">
        <f t="shared" si="2184"/>
        <v>710.94</v>
      </c>
      <c r="BO361" s="23">
        <f t="shared" ref="BO361:CT361" si="2185">BO194</f>
        <v>672.23</v>
      </c>
      <c r="BP361" s="23">
        <f t="shared" si="2185"/>
        <v>713.12</v>
      </c>
      <c r="BQ361" s="23">
        <f t="shared" si="2185"/>
        <v>702.1</v>
      </c>
      <c r="BR361" s="23">
        <f t="shared" si="2185"/>
        <v>816.76</v>
      </c>
      <c r="BS361" s="23">
        <f t="shared" si="2185"/>
        <v>717.38</v>
      </c>
      <c r="BT361" s="23">
        <f t="shared" si="2185"/>
        <v>728.75</v>
      </c>
      <c r="BU361" s="23">
        <f t="shared" si="2185"/>
        <v>732.46</v>
      </c>
      <c r="BV361" s="23">
        <f t="shared" si="2185"/>
        <v>769.36</v>
      </c>
      <c r="BW361" s="23">
        <f t="shared" si="2185"/>
        <v>963.4</v>
      </c>
      <c r="BX361" s="23">
        <f t="shared" si="2185"/>
        <v>860.17</v>
      </c>
      <c r="BY361" s="23">
        <f t="shared" si="2185"/>
        <v>825.18</v>
      </c>
      <c r="BZ361" s="23">
        <f t="shared" si="2185"/>
        <v>853.5</v>
      </c>
      <c r="CA361" s="23">
        <f t="shared" si="2185"/>
        <v>830.47</v>
      </c>
      <c r="CB361" s="23">
        <f t="shared" si="2185"/>
        <v>909.89</v>
      </c>
      <c r="CC361" s="23">
        <f t="shared" si="2185"/>
        <v>920.75</v>
      </c>
      <c r="CD361" s="23">
        <f t="shared" si="2185"/>
        <v>1021.2</v>
      </c>
      <c r="CE361" s="23">
        <f t="shared" si="2185"/>
        <v>997.92</v>
      </c>
      <c r="CF361" s="23">
        <f t="shared" si="2185"/>
        <v>1023.84</v>
      </c>
      <c r="CG361" s="23">
        <f t="shared" si="2185"/>
        <v>1047</v>
      </c>
      <c r="CH361" s="23">
        <f t="shared" si="2185"/>
        <v>1052.42</v>
      </c>
      <c r="CI361" s="23">
        <f t="shared" si="2185"/>
        <v>1033.3</v>
      </c>
      <c r="CJ361" s="23">
        <f t="shared" si="2185"/>
        <v>1091.77</v>
      </c>
      <c r="CK361" s="23">
        <f t="shared" si="2185"/>
        <v>1071.74</v>
      </c>
      <c r="CL361" s="23">
        <f t="shared" si="2185"/>
        <v>1167.95</v>
      </c>
      <c r="CM361" s="24">
        <f t="shared" si="2185"/>
        <v>532.97789999999998</v>
      </c>
      <c r="CN361" s="24">
        <f t="shared" si="2185"/>
        <v>543.98856299999989</v>
      </c>
      <c r="CO361" s="24">
        <f t="shared" si="2185"/>
        <v>554.66890610999997</v>
      </c>
      <c r="CP361" s="24">
        <f t="shared" si="2185"/>
        <v>565.0288389266999</v>
      </c>
      <c r="CQ361" s="24">
        <f t="shared" si="2185"/>
        <v>575.07797375889891</v>
      </c>
      <c r="CR361" s="24">
        <f t="shared" si="2185"/>
        <v>584.82563454613194</v>
      </c>
      <c r="CS361" s="24">
        <f t="shared" si="2185"/>
        <v>594.28086550974797</v>
      </c>
      <c r="CT361" s="24">
        <f t="shared" si="2185"/>
        <v>603.45243954445561</v>
      </c>
      <c r="CU361" s="24">
        <f t="shared" ref="CU361:DB361" si="2186">CU194</f>
        <v>612.34886635812188</v>
      </c>
      <c r="CV361" s="24">
        <f t="shared" si="2186"/>
        <v>620.97840036737819</v>
      </c>
      <c r="CW361" s="24">
        <f t="shared" si="2186"/>
        <v>629.34904835635678</v>
      </c>
      <c r="CX361" s="24">
        <f t="shared" si="2186"/>
        <v>637.46857690566605</v>
      </c>
      <c r="CY361" s="24">
        <f t="shared" si="2186"/>
        <v>645.34451959849605</v>
      </c>
      <c r="CZ361" s="24">
        <f t="shared" si="2186"/>
        <v>652.98418401054107</v>
      </c>
      <c r="DA361" s="24">
        <f t="shared" si="2186"/>
        <v>660.39465849022486</v>
      </c>
      <c r="DB361" s="24">
        <f t="shared" si="2186"/>
        <v>667.58281873551812</v>
      </c>
      <c r="DE361" s="123"/>
      <c r="DF361" s="23">
        <v>4364.75</v>
      </c>
    </row>
    <row r="362" spans="1:110" s="22" customFormat="1" x14ac:dyDescent="0.2">
      <c r="A362" s="22" t="s">
        <v>89</v>
      </c>
      <c r="C362" s="22">
        <f t="shared" ref="C362:W362" si="2187">C360+C361</f>
        <v>761.8100000000004</v>
      </c>
      <c r="D362" s="22">
        <f t="shared" si="2187"/>
        <v>820.79000000000042</v>
      </c>
      <c r="E362" s="22">
        <f t="shared" si="2187"/>
        <v>953.34999999999991</v>
      </c>
      <c r="F362" s="22">
        <f t="shared" si="2187"/>
        <v>1261.7099999999989</v>
      </c>
      <c r="G362" s="22">
        <f t="shared" si="2187"/>
        <v>1560.7299999999962</v>
      </c>
      <c r="H362" s="22">
        <f t="shared" si="2187"/>
        <v>2585.0000000000005</v>
      </c>
      <c r="I362" s="22">
        <f t="shared" si="2187"/>
        <v>2835.1000000000031</v>
      </c>
      <c r="J362" s="22">
        <f t="shared" si="2187"/>
        <v>4517.7799999999934</v>
      </c>
      <c r="K362" s="22">
        <f t="shared" si="2187"/>
        <v>6430.0599999999986</v>
      </c>
      <c r="L362" s="22">
        <f t="shared" si="2187"/>
        <v>5775.05</v>
      </c>
      <c r="M362" s="22">
        <f t="shared" si="2187"/>
        <v>6273.9800000000032</v>
      </c>
      <c r="N362" s="22">
        <f t="shared" si="2187"/>
        <v>6842.7399999999961</v>
      </c>
      <c r="O362" s="22">
        <f t="shared" si="2187"/>
        <v>6347.82</v>
      </c>
      <c r="P362" s="22">
        <f t="shared" si="2187"/>
        <v>7387.7699999999886</v>
      </c>
      <c r="Q362" s="22">
        <f t="shared" si="2187"/>
        <v>6019.6100000000133</v>
      </c>
      <c r="R362" s="22">
        <f t="shared" si="2187"/>
        <v>8411.1600000000053</v>
      </c>
      <c r="S362" s="22">
        <f t="shared" si="2187"/>
        <v>9298.5900000000129</v>
      </c>
      <c r="T362" s="22">
        <f t="shared" si="2187"/>
        <v>10828.159999999969</v>
      </c>
      <c r="U362" s="22">
        <f t="shared" si="2187"/>
        <v>12011.299999999981</v>
      </c>
      <c r="V362" s="22">
        <f t="shared" si="2187"/>
        <v>14487.139999999992</v>
      </c>
      <c r="W362" s="22">
        <f t="shared" si="2187"/>
        <v>11617.280000000032</v>
      </c>
      <c r="X362" s="22">
        <f t="shared" ref="X362:Y362" si="2188">X360+X361</f>
        <v>13972.970000000012</v>
      </c>
      <c r="Y362" s="22">
        <f t="shared" si="2188"/>
        <v>16741.440000000031</v>
      </c>
      <c r="Z362" s="22">
        <f t="shared" ref="Z362:AA362" si="2189">Z360+Z361</f>
        <v>19158.29</v>
      </c>
      <c r="AA362" s="22">
        <f t="shared" si="2189"/>
        <v>20448.739999999932</v>
      </c>
      <c r="AB362" s="21">
        <f t="shared" ref="AB362:AD362" si="2190">AB360+AB361</f>
        <v>24020.933941935105</v>
      </c>
      <c r="AC362" s="21">
        <f t="shared" si="2190"/>
        <v>28649.138826518709</v>
      </c>
      <c r="AD362" s="21">
        <f t="shared" si="2190"/>
        <v>34074.051763978947</v>
      </c>
      <c r="AE362" s="21">
        <f t="shared" ref="AE362" si="2191">AE360+AE361</f>
        <v>40244.411815686151</v>
      </c>
      <c r="AI362" s="22">
        <f t="shared" ref="AI362" si="2192">AI360+AI361</f>
        <v>1055.5900000000006</v>
      </c>
      <c r="AJ362" s="22">
        <f t="shared" ref="AJ362:AL362" si="2193">AJ360+AJ361</f>
        <v>1341.2700000000009</v>
      </c>
      <c r="AK362" s="22">
        <f t="shared" si="2193"/>
        <v>1191.1000000000001</v>
      </c>
      <c r="AL362" s="22">
        <f t="shared" si="2193"/>
        <v>1984.7899999999981</v>
      </c>
      <c r="AM362" s="22">
        <f t="shared" ref="AM362" si="2194">AM360+AM361</f>
        <v>1015.250000000002</v>
      </c>
      <c r="AN362" s="22">
        <f t="shared" ref="AN362:CD362" si="2195">AN360+AN361</f>
        <v>1393.6400000000008</v>
      </c>
      <c r="AO362" s="22">
        <f t="shared" si="2195"/>
        <v>1384.4500000000062</v>
      </c>
      <c r="AP362" s="22">
        <f t="shared" si="2195"/>
        <v>2554.4299999999976</v>
      </c>
      <c r="AQ362" s="22">
        <f t="shared" si="2195"/>
        <v>1774.2200000000021</v>
      </c>
      <c r="AR362" s="22">
        <f t="shared" si="2195"/>
        <v>1410.3200000000002</v>
      </c>
      <c r="AS362" s="22">
        <f t="shared" si="2195"/>
        <v>1545.6099999999979</v>
      </c>
      <c r="AT362" s="22">
        <f t="shared" si="2195"/>
        <v>2657.6399999999962</v>
      </c>
      <c r="AU362" s="22">
        <f t="shared" si="2195"/>
        <v>884.77000000000317</v>
      </c>
      <c r="AV362" s="22">
        <f t="shared" si="2195"/>
        <v>1306.9199999999985</v>
      </c>
      <c r="AW362" s="22">
        <f t="shared" si="2195"/>
        <v>1068.3100000000013</v>
      </c>
      <c r="AX362" s="22">
        <f t="shared" si="2195"/>
        <v>2759.5600000000059</v>
      </c>
      <c r="AY362" s="22">
        <f t="shared" si="2195"/>
        <v>1074.3799999999976</v>
      </c>
      <c r="AZ362" s="22">
        <f t="shared" si="2195"/>
        <v>1894.7800000000002</v>
      </c>
      <c r="BA362" s="22">
        <f t="shared" si="2195"/>
        <v>1694.6900000000005</v>
      </c>
      <c r="BB362" s="22">
        <f t="shared" si="2195"/>
        <v>3747.3099999999986</v>
      </c>
      <c r="BC362" s="22">
        <f t="shared" si="2195"/>
        <v>1443.8100000000024</v>
      </c>
      <c r="BD362" s="22">
        <f t="shared" si="2195"/>
        <v>2250.4699999999989</v>
      </c>
      <c r="BE362" s="22">
        <f t="shared" si="2195"/>
        <v>1944.4700000000003</v>
      </c>
      <c r="BF362" s="22">
        <f t="shared" si="2195"/>
        <v>3659.8599999999997</v>
      </c>
      <c r="BG362" s="22">
        <f t="shared" si="2195"/>
        <v>1819.4999999999957</v>
      </c>
      <c r="BH362" s="22">
        <f t="shared" si="2195"/>
        <v>2708.0900000000006</v>
      </c>
      <c r="BI362" s="22">
        <f t="shared" si="2195"/>
        <v>2446.9000000000005</v>
      </c>
      <c r="BJ362" s="22">
        <f t="shared" si="2195"/>
        <v>3853.6700000000037</v>
      </c>
      <c r="BK362" s="22">
        <f t="shared" si="2195"/>
        <v>1934.0400000000011</v>
      </c>
      <c r="BL362" s="22">
        <f t="shared" si="2195"/>
        <v>3156.9099999999967</v>
      </c>
      <c r="BM362" s="22">
        <f t="shared" si="2195"/>
        <v>3012.3500000000045</v>
      </c>
      <c r="BN362" s="22">
        <f t="shared" si="2195"/>
        <v>3908.0099999999979</v>
      </c>
      <c r="BO362" s="22">
        <f t="shared" si="2195"/>
        <v>975.37000000000262</v>
      </c>
      <c r="BP362" s="22">
        <f t="shared" si="2195"/>
        <v>6233.3900000000021</v>
      </c>
      <c r="BQ362" s="22">
        <f t="shared" si="2195"/>
        <v>3168.8099999999959</v>
      </c>
      <c r="BR362" s="22">
        <f t="shared" si="2195"/>
        <v>4109.5699999999933</v>
      </c>
      <c r="BS362" s="22">
        <f t="shared" si="2195"/>
        <v>1891.8199999999988</v>
      </c>
      <c r="BT362" s="22">
        <f t="shared" si="2195"/>
        <v>2548.1999999999975</v>
      </c>
      <c r="BU362" s="22">
        <f t="shared" si="2195"/>
        <v>2787.2000000000016</v>
      </c>
      <c r="BV362" s="22">
        <f t="shared" si="2195"/>
        <v>4390.0499999999956</v>
      </c>
      <c r="BW362" s="22">
        <f t="shared" si="2195"/>
        <v>2665.4699999999966</v>
      </c>
      <c r="BX362" s="22">
        <f t="shared" si="2195"/>
        <v>3089.1399999999962</v>
      </c>
      <c r="BY362" s="22">
        <f t="shared" si="2195"/>
        <v>3378.1000000000081</v>
      </c>
      <c r="BZ362" s="22">
        <f t="shared" si="2195"/>
        <v>4840.2799999999979</v>
      </c>
      <c r="CA362" s="22">
        <f t="shared" si="2195"/>
        <v>3323.469999999993</v>
      </c>
      <c r="CB362" s="22">
        <f t="shared" si="2195"/>
        <v>4132.5200000000013</v>
      </c>
      <c r="CC362" s="22">
        <f t="shared" si="2195"/>
        <v>3868.1099999999947</v>
      </c>
      <c r="CD362" s="22">
        <f t="shared" si="2195"/>
        <v>5417.3200000000006</v>
      </c>
      <c r="CE362" s="22">
        <f t="shared" ref="CE362:CF362" si="2196">CE360+CE361</f>
        <v>3783.6400000000071</v>
      </c>
      <c r="CF362" s="22">
        <f t="shared" si="2196"/>
        <v>4419.1300000000037</v>
      </c>
      <c r="CG362" s="22">
        <f t="shared" ref="CG362:CH362" si="2197">CG360+CG361</f>
        <v>4405.8399999999965</v>
      </c>
      <c r="CH362" s="22">
        <f t="shared" si="2197"/>
        <v>6549.6800000000021</v>
      </c>
      <c r="CI362" s="22">
        <f t="shared" ref="CI362:CJ362" si="2198">CI360+CI361</f>
        <v>4650.4899999999943</v>
      </c>
      <c r="CJ362" s="22">
        <f t="shared" si="2198"/>
        <v>5017.8599999999988</v>
      </c>
      <c r="CK362" s="22">
        <f t="shared" ref="CK362:DB362" si="2199">CK360+CK361</f>
        <v>4286.8499999999976</v>
      </c>
      <c r="CL362" s="22">
        <f t="shared" si="2199"/>
        <v>6493.5499999999947</v>
      </c>
      <c r="CM362" s="21">
        <f t="shared" si="2199"/>
        <v>5231.7685584553383</v>
      </c>
      <c r="CN362" s="21">
        <f t="shared" si="2199"/>
        <v>5743.2048309292904</v>
      </c>
      <c r="CO362" s="21">
        <f t="shared" si="2199"/>
        <v>6034.6585639139503</v>
      </c>
      <c r="CP362" s="21">
        <f t="shared" si="2199"/>
        <v>7011.3019886365319</v>
      </c>
      <c r="CQ362" s="21">
        <f t="shared" si="2199"/>
        <v>6094.0939098000763</v>
      </c>
      <c r="CR362" s="21">
        <f t="shared" si="2199"/>
        <v>6767.4289218850645</v>
      </c>
      <c r="CS362" s="21">
        <f t="shared" si="2199"/>
        <v>7204.1491370503709</v>
      </c>
      <c r="CT362" s="21">
        <f t="shared" si="2199"/>
        <v>8583.466857783149</v>
      </c>
      <c r="CU362" s="21">
        <f t="shared" si="2199"/>
        <v>7260.9845738140421</v>
      </c>
      <c r="CV362" s="21">
        <f t="shared" si="2199"/>
        <v>8054.9084317705465</v>
      </c>
      <c r="CW362" s="21">
        <f t="shared" si="2199"/>
        <v>8582.3668818701535</v>
      </c>
      <c r="CX362" s="21">
        <f t="shared" si="2199"/>
        <v>10175.791876524205</v>
      </c>
      <c r="CY362" s="21">
        <f t="shared" si="2199"/>
        <v>8590.7951844188119</v>
      </c>
      <c r="CZ362" s="21">
        <f t="shared" si="2199"/>
        <v>9525.5627142324884</v>
      </c>
      <c r="DA362" s="21">
        <f t="shared" si="2199"/>
        <v>10144.598508903058</v>
      </c>
      <c r="DB362" s="21">
        <f t="shared" si="2199"/>
        <v>11983.455408131804</v>
      </c>
      <c r="DE362" s="126"/>
      <c r="DF362" s="22">
        <v>20448.739999999932</v>
      </c>
    </row>
    <row r="363" spans="1:110" s="23" customFormat="1" x14ac:dyDescent="0.2">
      <c r="A363" s="23" t="s">
        <v>65</v>
      </c>
      <c r="C363" s="23">
        <f t="shared" ref="C363:AA363" si="2200">B315-C315+B330+B331-C330-C331</f>
        <v>246.27000000000004</v>
      </c>
      <c r="D363" s="23">
        <f t="shared" si="2200"/>
        <v>-644.40999999999963</v>
      </c>
      <c r="E363" s="23">
        <f>D315-E315+D330+D331-E330-E331</f>
        <v>-1525.6700000000003</v>
      </c>
      <c r="F363" s="23">
        <f t="shared" si="2200"/>
        <v>-1746.8799999999997</v>
      </c>
      <c r="G363" s="23">
        <f t="shared" si="2200"/>
        <v>-1809.0999999999997</v>
      </c>
      <c r="H363" s="23">
        <f t="shared" si="2200"/>
        <v>-4184.4700000000012</v>
      </c>
      <c r="I363" s="23">
        <f t="shared" si="2200"/>
        <v>-9222.7400000000016</v>
      </c>
      <c r="J363" s="23">
        <f>I315-J315+I330+I331-J330-J331</f>
        <v>-8262.3299999999963</v>
      </c>
      <c r="K363" s="23">
        <f>J315-K315+J330+J331-K330-K331</f>
        <v>-6778.7100000000064</v>
      </c>
      <c r="L363" s="23">
        <f t="shared" si="2200"/>
        <v>-16327.890000000005</v>
      </c>
      <c r="M363" s="23">
        <f t="shared" si="2200"/>
        <v>-19434.009999999987</v>
      </c>
      <c r="N363" s="23">
        <f t="shared" si="2200"/>
        <v>-16011.359999999991</v>
      </c>
      <c r="O363" s="23">
        <f t="shared" si="2200"/>
        <v>-21295.540000000005</v>
      </c>
      <c r="P363" s="23">
        <f t="shared" si="2200"/>
        <v>-18413.270000000004</v>
      </c>
      <c r="Q363" s="23">
        <f t="shared" si="2200"/>
        <v>-17434.720000000005</v>
      </c>
      <c r="R363" s="23">
        <f t="shared" si="2200"/>
        <v>-8451.0899999999783</v>
      </c>
      <c r="S363" s="23">
        <f t="shared" si="2200"/>
        <v>-31335.25000000004</v>
      </c>
      <c r="T363" s="23">
        <f t="shared" si="2200"/>
        <v>-22417.589999999978</v>
      </c>
      <c r="U363" s="23">
        <f t="shared" si="2200"/>
        <v>-14267.899999999976</v>
      </c>
      <c r="V363" s="23">
        <f t="shared" si="2200"/>
        <v>15150.149999999983</v>
      </c>
      <c r="W363" s="23">
        <f t="shared" si="2200"/>
        <v>-7077.7900000000154</v>
      </c>
      <c r="X363" s="23">
        <f t="shared" si="2200"/>
        <v>-212.39999999999782</v>
      </c>
      <c r="Y363" s="23">
        <f t="shared" si="2200"/>
        <v>-15889.899999999983</v>
      </c>
      <c r="Z363" s="23">
        <f t="shared" si="2200"/>
        <v>-22112.050000000017</v>
      </c>
      <c r="AA363" s="23">
        <f t="shared" si="2200"/>
        <v>-74281.100000000035</v>
      </c>
      <c r="AB363" s="24">
        <f t="shared" ref="AB363" si="2201">AA315-AB315+AA330+AA331-AB330-AB331</f>
        <v>-48558.824485783873</v>
      </c>
      <c r="AC363" s="24">
        <f t="shared" ref="AC363" si="2202">AB315-AC315+AB330+AB331-AC330-AC331</f>
        <v>-48927.859745320573</v>
      </c>
      <c r="AD363" s="24">
        <f t="shared" ref="AD363" si="2203">AC315-AD315+AC330+AC331-AD330-AD331</f>
        <v>-64627.907894815376</v>
      </c>
      <c r="AE363" s="24">
        <f t="shared" ref="AE363" si="2204">AD315-AE315+AD330+AD331-AE330-AE331</f>
        <v>-74457.306011549488</v>
      </c>
      <c r="AI363" s="23">
        <f>AH315-AI315+AH330+AH331-AI330-AJ331</f>
        <v>0</v>
      </c>
      <c r="AJ363" s="23">
        <f t="shared" ref="AJ363:AL363" si="2205">AI315-AJ315+AI330+AI331-AJ330-AK331</f>
        <v>-43599.55</v>
      </c>
      <c r="AK363" s="23">
        <f t="shared" si="2205"/>
        <v>715.57204501509113</v>
      </c>
      <c r="AL363" s="23">
        <f t="shared" si="2205"/>
        <v>-45787.002045015084</v>
      </c>
      <c r="AM363" s="23">
        <f t="shared" ref="AM363" si="2206">AL315-AM315+AL330+AL331-AM330-AM331</f>
        <v>1581.2276725400297</v>
      </c>
      <c r="AN363" s="23">
        <f t="shared" ref="AN363" si="2207">AM315-AN315+AM330+AM331-AN330-AN331</f>
        <v>-11222.517672540023</v>
      </c>
      <c r="AO363" s="23">
        <f t="shared" ref="AO363" si="2208">AN315-AO315+AN330+AN331-AO330-AO331</f>
        <v>-3644.0523698043253</v>
      </c>
      <c r="AP363" s="23">
        <f t="shared" ref="AP363" si="2209">AO315-AP315+AO330+AO331-AP330-AP331</f>
        <v>-7806.2076301956922</v>
      </c>
      <c r="AQ363" s="23">
        <f t="shared" ref="AQ363" si="2210">AP315-AQ315+AP330+AP331-AQ330-AQ331</f>
        <v>9672.497289171326</v>
      </c>
      <c r="AR363" s="23">
        <f t="shared" ref="AR363" si="2211">AQ315-AR315+AQ330+AQ331-AR330-AR331</f>
        <v>-16339.287289171307</v>
      </c>
      <c r="AS363" s="23">
        <f t="shared" ref="AS363" si="2212">AR315-AS315+AR330+AR331-AS330-AS331</f>
        <v>-3796.0674286968133</v>
      </c>
      <c r="AT363" s="23">
        <f t="shared" ref="AT363" si="2213">AS315-AT315+AS330+AS331-AT330-AT331</f>
        <v>-7941.5125713032094</v>
      </c>
      <c r="AU363" s="23">
        <f t="shared" ref="AU363" si="2214">AT315-AU315+AT330+AT331-AU330-AU331</f>
        <v>10648.047565188113</v>
      </c>
      <c r="AV363" s="23">
        <f t="shared" ref="AV363" si="2215">AU315-AV315+AU330+AU331-AV330-AV331</f>
        <v>-18622.767565188104</v>
      </c>
      <c r="AW363" s="23">
        <f t="shared" ref="AW363" si="2216">AV315-AW315+AV330+AV331-AW330-AW331</f>
        <v>-4481.3247419765685</v>
      </c>
      <c r="AX363" s="23">
        <f t="shared" ref="AX363" si="2217">AW315-AX315+AW330+AW331-AX330-AX331</f>
        <v>-7462.5852580234377</v>
      </c>
      <c r="AY363" s="23">
        <f t="shared" ref="AY363" si="2218">AX315-AY315+AX330+AX331-AY330-AY331</f>
        <v>10471.973567138572</v>
      </c>
      <c r="AZ363" s="23">
        <f t="shared" ref="AZ363" si="2219">AY315-AZ315+AY330+AY331-AZ330-AZ331</f>
        <v>-11726.723567138561</v>
      </c>
      <c r="BA363" s="23">
        <f t="shared" ref="BA363" si="2220">AZ315-BA315+AZ330+AZ331-BA330-BA331</f>
        <v>-1309.6006412013376</v>
      </c>
      <c r="BB363" s="23">
        <f t="shared" ref="BB363" si="2221">BA315-BB315+BA330+BA331-BB330-BB331</f>
        <v>-5886.7393587986508</v>
      </c>
      <c r="BC363" s="23">
        <f t="shared" ref="BC363" si="2222">BB315-BC315+BB330+BB331-BC330-BC331</f>
        <v>11603.56332478096</v>
      </c>
      <c r="BD363" s="23">
        <f t="shared" ref="BD363" si="2223">BC315-BD315+BC330+BC331-BD330-BD331</f>
        <v>-22290.893324780969</v>
      </c>
      <c r="BE363" s="23">
        <f t="shared" ref="BE363" si="2224">BD315-BE315+BD330+BD331-BE330-BE331</f>
        <v>-2958.2920982797223</v>
      </c>
      <c r="BF363" s="23">
        <f t="shared" ref="BF363" si="2225">BE315-BF315+BE330+BE331-BF330-BF331</f>
        <v>-17689.627901720283</v>
      </c>
      <c r="BG363" s="23">
        <f t="shared" ref="BG363" si="2226">BF315-BG315+BF330+BF331-BG330-BG331</f>
        <v>12761.288391478418</v>
      </c>
      <c r="BH363" s="23">
        <f t="shared" ref="BH363" si="2227">BG315-BH315+BG330+BG331-BH330-BH331</f>
        <v>-24707.398391478437</v>
      </c>
      <c r="BI363" s="23">
        <f t="shared" ref="BI363" si="2228">BH315-BI315+BH330+BH331-BI330-BI331</f>
        <v>-4568.8605557541887</v>
      </c>
      <c r="BJ363" s="23">
        <f t="shared" ref="BJ363" si="2229">BI315-BJ315+BI330+BI331-BJ330-BJ331</f>
        <v>-5902.6194442458018</v>
      </c>
      <c r="BK363" s="23">
        <f t="shared" ref="BK363" si="2230">BJ315-BK315+BJ330+BJ331-BK330-BK331</f>
        <v>13653.688936896418</v>
      </c>
      <c r="BL363" s="23">
        <f t="shared" ref="BL363" si="2231">BK315-BL315+BK330+BK331-BL330-BL331</f>
        <v>-22916.988936896396</v>
      </c>
      <c r="BM363" s="23">
        <f t="shared" ref="BM363" si="2232">BL315-BM315+BL330+BL331-BM330-BM331</f>
        <v>-1043.7592761896085</v>
      </c>
      <c r="BN363" s="23">
        <f t="shared" ref="BN363" si="2233">BM315-BN315+BM330+BM331-BN330-BN331</f>
        <v>-6187.330723810408</v>
      </c>
      <c r="BO363" s="23">
        <f t="shared" ref="BO363" si="2234">BN315-BO315+BN330+BN331-BO330-BO331</f>
        <v>24145.290654340992</v>
      </c>
      <c r="BP363" s="23">
        <f t="shared" ref="BP363" si="2235">BO315-BP315+BO330+BO331-BP330-BP331</f>
        <v>-9417.0706543410124</v>
      </c>
      <c r="BQ363" s="23">
        <f t="shared" ref="BQ363" si="2236">BP315-BQ315+BP330+BP331-BQ330-BQ331</f>
        <v>-6092.6196789017413</v>
      </c>
      <c r="BR363" s="23">
        <f t="shared" ref="BR363" si="2237">BQ315-BR315+BQ330+BQ331-BR330-BR331</f>
        <v>6719.5096789017662</v>
      </c>
      <c r="BS363" s="23">
        <f t="shared" ref="BS363" si="2238">BR315-BS315+BR330+BR331-BS330-BS331</f>
        <v>18738.514668230462</v>
      </c>
      <c r="BT363" s="23">
        <f t="shared" ref="BT363" si="2239">BS315-BT315+BS330+BS331-BT330-BT331</f>
        <v>-12835.554668230458</v>
      </c>
      <c r="BU363" s="23">
        <f t="shared" ref="BU363" si="2240">BT315-BU315+BT330+BT331-BU330-BU331</f>
        <v>-6211.6942552792316</v>
      </c>
      <c r="BV363" s="23">
        <f t="shared" ref="BV363" si="2241">BU315-BV315+BU330+BU331-BV330-BV331</f>
        <v>-6737.0357447207698</v>
      </c>
      <c r="BW363" s="23">
        <f t="shared" ref="BW363" si="2242">BV315-BW315+BV330+BV331-BW330-BW331</f>
        <v>16750.4614590657</v>
      </c>
      <c r="BX363" s="23">
        <f t="shared" ref="BX363" si="2243">BW315-BX315+BW330+BW331-BX330-BX331</f>
        <v>-21397.151459065732</v>
      </c>
      <c r="BY363" s="23">
        <f t="shared" ref="BY363" si="2244">BX315-BY315+BX330+BX331-BY330-BY331</f>
        <v>-4273.4502212516963</v>
      </c>
      <c r="BZ363" s="23">
        <f t="shared" ref="BZ363" si="2245">BY315-BZ315+BY330+BY331-BZ330-BZ331</f>
        <v>8559.3802212516875</v>
      </c>
      <c r="CA363" s="23">
        <f t="shared" ref="CA363" si="2246">BZ315-CA315+BZ330+BZ331-CA330-CA331</f>
        <v>9238.8307420448982</v>
      </c>
      <c r="CB363" s="23">
        <f t="shared" ref="CB363" si="2247">CA315-CB315+CA330+CA331-CB330-CB331</f>
        <v>-10596.160742044869</v>
      </c>
      <c r="CC363" s="23">
        <f t="shared" ref="CC363" si="2248">CB315-CC315+CB330+CB331-CC330-CC331</f>
        <v>-4391.4778836760088</v>
      </c>
      <c r="CD363" s="23">
        <f t="shared" ref="CD363" si="2249">CC315-CD315+CC330+CC331-CD330-CD331</f>
        <v>-10292.632116323983</v>
      </c>
      <c r="CE363" s="23">
        <f t="shared" ref="CE363" si="2250">CD315-CE315+CD330+CD331-CE330-CE331</f>
        <v>9875.1926618174184</v>
      </c>
      <c r="CF363" s="23">
        <f t="shared" ref="CF363" si="2251">CE315-CF315+CE330+CE331-CF330-CF331</f>
        <v>-21956.772661817431</v>
      </c>
      <c r="CG363" s="23">
        <f t="shared" ref="CG363" si="2252">CF315-CG315+CF330+CF331-CG330-CG331</f>
        <v>-2954.5701118584839</v>
      </c>
      <c r="CH363" s="23">
        <f t="shared" ref="CH363:CL363" si="2253">CG315-CH315+CG330+CG331-CH330-CH331</f>
        <v>-4786.4898881415174</v>
      </c>
      <c r="CI363" s="23">
        <f t="shared" si="2253"/>
        <v>36192.517881866253</v>
      </c>
      <c r="CJ363" s="23">
        <f t="shared" si="2253"/>
        <v>-53055.76788186621</v>
      </c>
      <c r="CK363" s="23">
        <f t="shared" ref="CK363" si="2254">CJ315-CK315+CJ330+CJ331-CK330-CK331</f>
        <v>-13675.64996198786</v>
      </c>
      <c r="CL363" s="23">
        <f t="shared" si="2253"/>
        <v>-47516.000038012207</v>
      </c>
      <c r="CM363" s="24">
        <f t="shared" ref="CM363" si="2255">CL315-CM315+CL330+CL331-CM330-CM331</f>
        <v>39298.75910677464</v>
      </c>
      <c r="CN363" s="24">
        <f t="shared" ref="CN363" si="2256">CM315-CN315+CM330+CM331-CN330-CN331</f>
        <v>-15369.147033701651</v>
      </c>
      <c r="CO363" s="24">
        <f t="shared" ref="CO363" si="2257">CN315-CO315+CN330+CN331-CO330-CO331</f>
        <v>-14483.912297506584</v>
      </c>
      <c r="CP363" s="24">
        <f t="shared" ref="CP363" si="2258">CO315-CP315+CO330+CO331-CP330-CP331</f>
        <v>-54230.724261350289</v>
      </c>
      <c r="CQ363" s="24">
        <f t="shared" ref="CQ363" si="2259">CP315-CQ315+CP330+CP331-CQ330-CQ331</f>
        <v>50067.986407198536</v>
      </c>
      <c r="CR363" s="24">
        <f t="shared" ref="CR363" si="2260">CQ315-CR315+CQ330+CQ331-CR330-CR331</f>
        <v>-19452.838268380496</v>
      </c>
      <c r="CS363" s="24">
        <f t="shared" ref="CS363" si="2261">CR315-CS315+CR330+CR331-CS330-CS331</f>
        <v>-19052.135973598168</v>
      </c>
      <c r="CT363" s="24">
        <f t="shared" ref="CT363" si="2262">CS315-CT315+CS330+CS331-CT330-CT331</f>
        <v>-60490.871910540445</v>
      </c>
      <c r="CU363" s="24">
        <f t="shared" ref="CU363" si="2263">CT315-CU315+CT330+CT331-CU330-CU331</f>
        <v>55170.745968681411</v>
      </c>
      <c r="CV363" s="24">
        <f t="shared" ref="CV363" si="2264">CU315-CV315+CU330+CU331-CV330-CV331</f>
        <v>-24545.554555553244</v>
      </c>
      <c r="CW363" s="24">
        <f t="shared" ref="CW363" si="2265">CV315-CW315+CV330+CV331-CW330-CW331</f>
        <v>-24324.750658899196</v>
      </c>
      <c r="CX363" s="24">
        <f t="shared" ref="CX363" si="2266">CW315-CX315+CW330+CW331-CX330-CX331</f>
        <v>-70928.348649044347</v>
      </c>
      <c r="CY363" s="24">
        <f t="shared" ref="CY363" si="2267">CX315-CY315+CX330+CX331-CY330-CY331</f>
        <v>63715.86299937695</v>
      </c>
      <c r="CZ363" s="24">
        <f t="shared" ref="CZ363" si="2268">CY315-CZ315+CY330+CY331-CZ330-CZ331</f>
        <v>-28355.582834539411</v>
      </c>
      <c r="DA363" s="24">
        <f t="shared" ref="DA363" si="2269">CZ315-DA315+CZ330+CZ331-DA330-DA331</f>
        <v>-28063.00052367046</v>
      </c>
      <c r="DB363" s="24">
        <f t="shared" ref="DB363" si="2270">DA315-DB315+DA330+DA331-DB330-DB331</f>
        <v>-81754.585652716574</v>
      </c>
      <c r="DE363" s="123"/>
      <c r="DF363" s="23">
        <v>-74281.100000000035</v>
      </c>
    </row>
    <row r="364" spans="1:110" s="23" customFormat="1" x14ac:dyDescent="0.2">
      <c r="A364" s="23" t="s">
        <v>73</v>
      </c>
      <c r="C364" s="23">
        <f t="shared" ref="C364:AA364" si="2271">B323-C323</f>
        <v>-704.5300000000002</v>
      </c>
      <c r="D364" s="23">
        <f t="shared" si="2271"/>
        <v>-883.17000000000053</v>
      </c>
      <c r="E364" s="23">
        <f>D323-E323</f>
        <v>-806.08999999999924</v>
      </c>
      <c r="F364" s="23">
        <f t="shared" si="2271"/>
        <v>-860.11999999999989</v>
      </c>
      <c r="G364" s="23">
        <f t="shared" si="2271"/>
        <v>-1760.6499999999996</v>
      </c>
      <c r="H364" s="23">
        <f t="shared" si="2271"/>
        <v>-2925.99</v>
      </c>
      <c r="I364" s="23">
        <f t="shared" si="2271"/>
        <v>-5152.7800000000007</v>
      </c>
      <c r="J364" s="23">
        <f>I323-J323</f>
        <v>-5161.2599999999984</v>
      </c>
      <c r="K364" s="23">
        <f>J323-K323</f>
        <v>-3788.4700000000012</v>
      </c>
      <c r="L364" s="23">
        <f t="shared" si="2271"/>
        <v>-8312.7599999999984</v>
      </c>
      <c r="M364" s="23">
        <f t="shared" si="2271"/>
        <v>-5750.1300000000047</v>
      </c>
      <c r="N364" s="23">
        <f t="shared" si="2271"/>
        <v>-3170.0200000000041</v>
      </c>
      <c r="O364" s="23">
        <f t="shared" si="2271"/>
        <v>-4438.7699999999895</v>
      </c>
      <c r="P364" s="23">
        <f t="shared" si="2271"/>
        <v>-9896.7600000000093</v>
      </c>
      <c r="Q364" s="23">
        <f t="shared" si="2271"/>
        <v>-2669.239999999998</v>
      </c>
      <c r="R364" s="23">
        <f t="shared" si="2271"/>
        <v>-4954.5999999999913</v>
      </c>
      <c r="S364" s="23">
        <f t="shared" si="2271"/>
        <v>-11773.94000000001</v>
      </c>
      <c r="T364" s="23">
        <f t="shared" si="2271"/>
        <v>-7669.6299999999901</v>
      </c>
      <c r="U364" s="23">
        <f t="shared" si="2271"/>
        <v>-6155.7700000000186</v>
      </c>
      <c r="V364" s="23">
        <f t="shared" si="2271"/>
        <v>-133.80999999998312</v>
      </c>
      <c r="W364" s="23">
        <f t="shared" si="2271"/>
        <v>-10616.219999999987</v>
      </c>
      <c r="X364" s="23">
        <f t="shared" si="2271"/>
        <v>-7455.3300000000163</v>
      </c>
      <c r="Y364" s="23">
        <f t="shared" si="2271"/>
        <v>-15371.62999999999</v>
      </c>
      <c r="Z364" s="23">
        <f t="shared" si="2271"/>
        <v>-11138.160000000018</v>
      </c>
      <c r="AA364" s="23">
        <f t="shared" si="2271"/>
        <v>-68018.22</v>
      </c>
      <c r="AB364" s="24">
        <f t="shared" ref="AB364" si="2272">AA323-AB323</f>
        <v>-32807.501012524095</v>
      </c>
      <c r="AC364" s="24">
        <f t="shared" ref="AC364" si="2273">AB323-AC323</f>
        <v>-36218.413712211128</v>
      </c>
      <c r="AD364" s="24">
        <f t="shared" ref="AD364" si="2274">AC323-AD323</f>
        <v>-41495.139741675113</v>
      </c>
      <c r="AE364" s="24">
        <f t="shared" ref="AE364" si="2275">AD323-AE323</f>
        <v>-47806.225180093781</v>
      </c>
      <c r="AI364" s="23">
        <f t="shared" ref="AI364" si="2276">AH323-AI323</f>
        <v>0</v>
      </c>
      <c r="AJ364" s="23">
        <f t="shared" ref="AJ364" si="2277">AI323-AJ323</f>
        <v>-29826.29</v>
      </c>
      <c r="AK364" s="23">
        <f t="shared" ref="AK364" si="2278">AJ323-AK323</f>
        <v>440.61431465545684</v>
      </c>
      <c r="AL364" s="23">
        <f t="shared" ref="AL364" si="2279">AK323-AL323</f>
        <v>-14174.494314655454</v>
      </c>
      <c r="AM364" s="23">
        <f t="shared" ref="AM364" si="2280">AL323-AM323</f>
        <v>1012.9922135053785</v>
      </c>
      <c r="AN364" s="23">
        <f t="shared" ref="AN364" si="2281">AM323-AN323</f>
        <v>-223.67221350537875</v>
      </c>
      <c r="AO364" s="23">
        <f t="shared" ref="AO364" si="2282">AN323-AO323</f>
        <v>-2088.4930960172205</v>
      </c>
      <c r="AP364" s="23">
        <f t="shared" ref="AP364" si="2283">AO323-AP323</f>
        <v>-2463.5069039827868</v>
      </c>
      <c r="AQ364" s="23">
        <f t="shared" ref="AQ364" si="2284">AP323-AQ323</f>
        <v>6319.5751249700697</v>
      </c>
      <c r="AR364" s="23">
        <f t="shared" ref="AR364" si="2285">AQ323-AR323</f>
        <v>-6690.7651249700575</v>
      </c>
      <c r="AS364" s="23">
        <f t="shared" ref="AS364" si="2286">AR323-AS323</f>
        <v>-2323.8215937300847</v>
      </c>
      <c r="AT364" s="23">
        <f t="shared" ref="AT364" si="2287">AS323-AT323</f>
        <v>-6769.7784062699211</v>
      </c>
      <c r="AU364" s="23">
        <f t="shared" ref="AU364" si="2288">AT323-AU323</f>
        <v>7171.7631753181558</v>
      </c>
      <c r="AV364" s="23">
        <f t="shared" ref="AV364" si="2289">AU323-AV323</f>
        <v>-17627.133175318166</v>
      </c>
      <c r="AW364" s="23">
        <f t="shared" ref="AW364" si="2290">AV323-AW323</f>
        <v>-2901.0293614931579</v>
      </c>
      <c r="AX364" s="23">
        <f t="shared" ref="AX364" si="2291">AW323-AX323</f>
        <v>11262.059361493164</v>
      </c>
      <c r="AY364" s="23">
        <f t="shared" ref="AY364" si="2292">AX323-AY323</f>
        <v>9157.6419763161102</v>
      </c>
      <c r="AZ364" s="23">
        <f t="shared" ref="AZ364" si="2293">AY323-AZ323</f>
        <v>-7609.8419763161073</v>
      </c>
      <c r="BA364" s="23">
        <f t="shared" ref="BA364" si="2294">AZ323-BA323</f>
        <v>-1034.4624443005741</v>
      </c>
      <c r="BB364" s="23">
        <f t="shared" ref="BB364" si="2295">BA323-BB323</f>
        <v>-5467.9375556994273</v>
      </c>
      <c r="BC364" s="23">
        <f t="shared" ref="BC364" si="2296">BB323-BC323</f>
        <v>10707.954300530655</v>
      </c>
      <c r="BD364" s="23">
        <f t="shared" ref="BD364" si="2297">BC323-BD323</f>
        <v>-13067.104300530649</v>
      </c>
      <c r="BE364" s="23">
        <f t="shared" ref="BE364" si="2298">BD323-BE323</f>
        <v>-2467.9615197967651</v>
      </c>
      <c r="BF364" s="23">
        <f t="shared" ref="BF364" si="2299">BE323-BF323</f>
        <v>-6946.8284802032431</v>
      </c>
      <c r="BG364" s="23">
        <f t="shared" ref="BG364" si="2300">BF323-BG323</f>
        <v>12705.019405414714</v>
      </c>
      <c r="BH364" s="23">
        <f t="shared" ref="BH364" si="2301">BG323-BH323</f>
        <v>-12277.859405414711</v>
      </c>
      <c r="BI364" s="23">
        <f t="shared" ref="BI364" si="2302">BH323-BI323</f>
        <v>-4069.5732790231996</v>
      </c>
      <c r="BJ364" s="23">
        <f t="shared" ref="BJ364" si="2303">BI323-BJ323</f>
        <v>-4027.216720976794</v>
      </c>
      <c r="BK364" s="23">
        <f t="shared" ref="BK364" si="2304">BJ323-BK323</f>
        <v>13570.052604056487</v>
      </c>
      <c r="BL364" s="23">
        <f t="shared" ref="BL364" si="2305">BK323-BL323</f>
        <v>-9812.3326040564862</v>
      </c>
      <c r="BM364" s="23">
        <f t="shared" ref="BM364" si="2306">BL323-BM323</f>
        <v>-911.11739289722755</v>
      </c>
      <c r="BN364" s="23">
        <f t="shared" ref="BN364" si="2307">BM323-BN323</f>
        <v>-9002.3726071027922</v>
      </c>
      <c r="BO364" s="23">
        <f t="shared" ref="BO364" si="2308">BN323-BO323</f>
        <v>22672.910210271031</v>
      </c>
      <c r="BP364" s="23">
        <f t="shared" ref="BP364" si="2309">BO323-BP323</f>
        <v>-12992.660210271017</v>
      </c>
      <c r="BQ364" s="23">
        <f t="shared" ref="BQ364" si="2310">BP323-BQ323</f>
        <v>-5438.5646807416488</v>
      </c>
      <c r="BR364" s="23">
        <f t="shared" ref="BR364" si="2311">BQ323-BR323</f>
        <v>-4375.4953192583489</v>
      </c>
      <c r="BS364" s="23">
        <f t="shared" ref="BS364" si="2312">BR323-BS323</f>
        <v>17839.582823934921</v>
      </c>
      <c r="BT364" s="23">
        <f t="shared" ref="BT364" si="2313">BS323-BT323</f>
        <v>-15950.61282393492</v>
      </c>
      <c r="BU364" s="23">
        <f t="shared" ref="BU364" si="2314">BT323-BU323</f>
        <v>-5496.2844657707465</v>
      </c>
      <c r="BV364" s="23">
        <f t="shared" ref="BV364" si="2315">BU323-BV323</f>
        <v>-7008.9055342292559</v>
      </c>
      <c r="BW364" s="23">
        <f t="shared" ref="BW364" si="2316">BV323-BW323</f>
        <v>16519.858404470564</v>
      </c>
      <c r="BX364" s="23">
        <f t="shared" ref="BX364" si="2317">BW323-BX323</f>
        <v>-16171.918404470576</v>
      </c>
      <c r="BY364" s="23">
        <f t="shared" ref="BY364" si="2318">BX323-BY323</f>
        <v>-3711.5267656627984</v>
      </c>
      <c r="BZ364" s="23">
        <f t="shared" ref="BZ364" si="2319">BY323-BZ323</f>
        <v>-4091.7432343371911</v>
      </c>
      <c r="CA364" s="23">
        <f t="shared" ref="CA364" si="2320">BZ323-CA323</f>
        <v>8920.5642542035202</v>
      </c>
      <c r="CB364" s="23">
        <f t="shared" ref="CB364" si="2321">CA323-CB323</f>
        <v>-10673.95425420352</v>
      </c>
      <c r="CC364" s="23">
        <f t="shared" ref="CC364" si="2322">CB323-CC323</f>
        <v>-3580.7221854482632</v>
      </c>
      <c r="CD364" s="23">
        <f t="shared" ref="CD364" si="2323">CC323-CD323</f>
        <v>-10037.517814551727</v>
      </c>
      <c r="CE364" s="23">
        <f t="shared" ref="CE364" si="2324">CD323-CE323</f>
        <v>9501.1125877372397</v>
      </c>
      <c r="CF364" s="23">
        <f t="shared" ref="CF364" si="2325">CE323-CF323</f>
        <v>-13106.392587737239</v>
      </c>
      <c r="CG364" s="23">
        <f t="shared" ref="CG364" si="2326">CF323-CG323</f>
        <v>-2607.8911408379354</v>
      </c>
      <c r="CH364" s="23">
        <f t="shared" ref="CH364:CL364" si="2327">CG323-CH323</f>
        <v>-4924.9888591620838</v>
      </c>
      <c r="CI364" s="23">
        <f t="shared" si="2327"/>
        <v>19319.325974351115</v>
      </c>
      <c r="CJ364" s="23">
        <f t="shared" si="2327"/>
        <v>-25431.265974351118</v>
      </c>
      <c r="CK364" s="23">
        <f t="shared" ref="CK364" si="2328">CJ323-CK323</f>
        <v>-7151.3708889741392</v>
      </c>
      <c r="CL364" s="23">
        <f t="shared" si="2327"/>
        <v>-54754.90911102586</v>
      </c>
      <c r="CM364" s="24">
        <f t="shared" ref="CM364" si="2329">CL323-CM323</f>
        <v>24173.292570381396</v>
      </c>
      <c r="CN364" s="24">
        <f t="shared" ref="CN364" si="2330">CM323-CN323</f>
        <v>-11575.409098261502</v>
      </c>
      <c r="CO364" s="24">
        <f t="shared" ref="CO364" si="2331">CN323-CO323</f>
        <v>-11283.44610805664</v>
      </c>
      <c r="CP364" s="24">
        <f t="shared" ref="CP364" si="2332">CO323-CP323</f>
        <v>-34121.93837658735</v>
      </c>
      <c r="CQ364" s="24">
        <f t="shared" ref="CQ364" si="2333">CP323-CQ323</f>
        <v>30331.375387126929</v>
      </c>
      <c r="CR364" s="24">
        <f t="shared" ref="CR364" si="2334">CQ323-CR323</f>
        <v>-13566.390227256168</v>
      </c>
      <c r="CS364" s="24">
        <f t="shared" ref="CS364" si="2335">CR323-CS323</f>
        <v>-13467.882497032726</v>
      </c>
      <c r="CT364" s="24">
        <f t="shared" ref="CT364" si="2336">CS323-CT323</f>
        <v>-39515.516375049163</v>
      </c>
      <c r="CU364" s="24">
        <f t="shared" ref="CU364" si="2337">CT323-CU323</f>
        <v>35423.053108091408</v>
      </c>
      <c r="CV364" s="24">
        <f t="shared" ref="CV364" si="2338">CU323-CV323</f>
        <v>-15759.773904135596</v>
      </c>
      <c r="CW364" s="24">
        <f t="shared" ref="CW364" si="2339">CV323-CW323</f>
        <v>-15618.00405817249</v>
      </c>
      <c r="CX364" s="24">
        <f t="shared" ref="CX364" si="2340">CW323-CX323</f>
        <v>-45540.414887458435</v>
      </c>
      <c r="CY364" s="24">
        <f t="shared" ref="CY364" si="2341">CX323-CY323</f>
        <v>40909.550147029688</v>
      </c>
      <c r="CZ364" s="24">
        <f t="shared" ref="CZ364" si="2342">CY323-CZ323</f>
        <v>-18206.049220885325</v>
      </c>
      <c r="DA364" s="24">
        <f t="shared" ref="DA364" si="2343">CZ323-DA323</f>
        <v>-18018.193165027711</v>
      </c>
      <c r="DB364" s="24">
        <f t="shared" ref="DB364" si="2344">DA323-DB323</f>
        <v>-52491.532941210433</v>
      </c>
      <c r="DE364" s="123"/>
      <c r="DF364" s="23">
        <v>-68018.22</v>
      </c>
    </row>
    <row r="365" spans="1:110" s="22" customFormat="1" x14ac:dyDescent="0.2">
      <c r="A365" s="22" t="s">
        <v>90</v>
      </c>
      <c r="C365" s="22">
        <f t="shared" ref="C365:W365" si="2345">C363-C364</f>
        <v>950.80000000000018</v>
      </c>
      <c r="D365" s="22">
        <f t="shared" si="2345"/>
        <v>238.7600000000009</v>
      </c>
      <c r="E365" s="22">
        <f t="shared" si="2345"/>
        <v>-719.58000000000106</v>
      </c>
      <c r="F365" s="22">
        <f t="shared" si="2345"/>
        <v>-886.75999999999976</v>
      </c>
      <c r="G365" s="22">
        <f t="shared" si="2345"/>
        <v>-48.450000000000045</v>
      </c>
      <c r="H365" s="22">
        <f t="shared" si="2345"/>
        <v>-1258.4800000000014</v>
      </c>
      <c r="I365" s="22">
        <f t="shared" si="2345"/>
        <v>-4069.9600000000009</v>
      </c>
      <c r="J365" s="22">
        <f>J363-J364</f>
        <v>-3101.0699999999979</v>
      </c>
      <c r="K365" s="22">
        <f t="shared" si="2345"/>
        <v>-2990.2400000000052</v>
      </c>
      <c r="L365" s="22">
        <f t="shared" si="2345"/>
        <v>-8015.1300000000065</v>
      </c>
      <c r="M365" s="22">
        <f t="shared" si="2345"/>
        <v>-13683.879999999983</v>
      </c>
      <c r="N365" s="22">
        <f t="shared" si="2345"/>
        <v>-12841.339999999987</v>
      </c>
      <c r="O365" s="22">
        <f t="shared" si="2345"/>
        <v>-16856.770000000015</v>
      </c>
      <c r="P365" s="22">
        <f t="shared" si="2345"/>
        <v>-8516.5099999999948</v>
      </c>
      <c r="Q365" s="22">
        <f t="shared" si="2345"/>
        <v>-14765.480000000007</v>
      </c>
      <c r="R365" s="22">
        <f t="shared" si="2345"/>
        <v>-3496.489999999987</v>
      </c>
      <c r="S365" s="22">
        <f t="shared" si="2345"/>
        <v>-19561.31000000003</v>
      </c>
      <c r="T365" s="22">
        <f t="shared" si="2345"/>
        <v>-14747.959999999988</v>
      </c>
      <c r="U365" s="22">
        <f t="shared" si="2345"/>
        <v>-8112.1299999999574</v>
      </c>
      <c r="V365" s="22">
        <f t="shared" si="2345"/>
        <v>15283.959999999966</v>
      </c>
      <c r="W365" s="22">
        <f t="shared" si="2345"/>
        <v>3538.4299999999712</v>
      </c>
      <c r="X365" s="22">
        <f t="shared" ref="X365:Y365" si="2346">X363-X364</f>
        <v>7242.9300000000185</v>
      </c>
      <c r="Y365" s="22">
        <f t="shared" si="2346"/>
        <v>-518.26999999999316</v>
      </c>
      <c r="Z365" s="22">
        <f t="shared" ref="Z365:AA365" si="2347">Z363-Z364</f>
        <v>-10973.89</v>
      </c>
      <c r="AA365" s="22">
        <f t="shared" si="2347"/>
        <v>-6262.8800000000338</v>
      </c>
      <c r="AB365" s="21">
        <f t="shared" ref="AB365:AD365" si="2348">AB363-AB364</f>
        <v>-15751.323473259778</v>
      </c>
      <c r="AC365" s="21">
        <f t="shared" si="2348"/>
        <v>-12709.446033109445</v>
      </c>
      <c r="AD365" s="21">
        <f t="shared" si="2348"/>
        <v>-23132.768153140263</v>
      </c>
      <c r="AE365" s="21">
        <f t="shared" ref="AE365" si="2349">AE363-AE364</f>
        <v>-26651.080831455707</v>
      </c>
      <c r="AI365" s="22">
        <f t="shared" ref="AI365" si="2350">AI363-AI364</f>
        <v>0</v>
      </c>
      <c r="AJ365" s="22">
        <f t="shared" ref="AJ365:AL365" si="2351">AJ363-AJ364</f>
        <v>-13773.260000000002</v>
      </c>
      <c r="AK365" s="22">
        <f t="shared" si="2351"/>
        <v>274.9577303596343</v>
      </c>
      <c r="AL365" s="22">
        <f t="shared" si="2351"/>
        <v>-31612.50773035963</v>
      </c>
      <c r="AM365" s="22">
        <f t="shared" ref="AM365" si="2352">AM363-AM364</f>
        <v>568.23545903465129</v>
      </c>
      <c r="AN365" s="22">
        <f t="shared" ref="AN365:CD365" si="2353">AN363-AN364</f>
        <v>-10998.845459034645</v>
      </c>
      <c r="AO365" s="22">
        <f t="shared" si="2353"/>
        <v>-1555.5592737871048</v>
      </c>
      <c r="AP365" s="22">
        <f t="shared" si="2353"/>
        <v>-5342.7007262129055</v>
      </c>
      <c r="AQ365" s="22">
        <f t="shared" si="2353"/>
        <v>3352.9221642012562</v>
      </c>
      <c r="AR365" s="22">
        <f t="shared" si="2353"/>
        <v>-9648.5221642012493</v>
      </c>
      <c r="AS365" s="22">
        <f t="shared" si="2353"/>
        <v>-1472.2458349667286</v>
      </c>
      <c r="AT365" s="22">
        <f t="shared" si="2353"/>
        <v>-1171.7341650332883</v>
      </c>
      <c r="AU365" s="22">
        <f t="shared" si="2353"/>
        <v>3476.2843898699575</v>
      </c>
      <c r="AV365" s="22">
        <f t="shared" si="2353"/>
        <v>-995.63438986993788</v>
      </c>
      <c r="AW365" s="22">
        <f t="shared" si="2353"/>
        <v>-1580.2953804834106</v>
      </c>
      <c r="AX365" s="22">
        <f t="shared" si="2353"/>
        <v>-18724.644619516603</v>
      </c>
      <c r="AY365" s="22">
        <f t="shared" si="2353"/>
        <v>1314.3315908224613</v>
      </c>
      <c r="AZ365" s="22">
        <f t="shared" si="2353"/>
        <v>-4116.8815908224533</v>
      </c>
      <c r="BA365" s="22">
        <f t="shared" si="2353"/>
        <v>-275.13819690076343</v>
      </c>
      <c r="BB365" s="22">
        <f t="shared" si="2353"/>
        <v>-418.80180309922343</v>
      </c>
      <c r="BC365" s="22">
        <f t="shared" si="2353"/>
        <v>895.60902425030508</v>
      </c>
      <c r="BD365" s="22">
        <f t="shared" si="2353"/>
        <v>-9223.7890242503199</v>
      </c>
      <c r="BE365" s="22">
        <f t="shared" si="2353"/>
        <v>-490.33057848295721</v>
      </c>
      <c r="BF365" s="22">
        <f t="shared" si="2353"/>
        <v>-10742.79942151704</v>
      </c>
      <c r="BG365" s="22">
        <f t="shared" si="2353"/>
        <v>56.268986063703778</v>
      </c>
      <c r="BH365" s="22">
        <f t="shared" si="2353"/>
        <v>-12429.538986063726</v>
      </c>
      <c r="BI365" s="22">
        <f t="shared" si="2353"/>
        <v>-499.28727673098911</v>
      </c>
      <c r="BJ365" s="22">
        <f t="shared" si="2353"/>
        <v>-1875.4027232690078</v>
      </c>
      <c r="BK365" s="22">
        <f t="shared" si="2353"/>
        <v>83.636332839931129</v>
      </c>
      <c r="BL365" s="22">
        <f t="shared" si="2353"/>
        <v>-13104.65633283991</v>
      </c>
      <c r="BM365" s="22">
        <f t="shared" si="2353"/>
        <v>-132.64188329238095</v>
      </c>
      <c r="BN365" s="22">
        <f t="shared" si="2353"/>
        <v>2815.0418832923842</v>
      </c>
      <c r="BO365" s="22">
        <f t="shared" si="2353"/>
        <v>1472.3804440699605</v>
      </c>
      <c r="BP365" s="22">
        <f t="shared" si="2353"/>
        <v>3575.5895559300043</v>
      </c>
      <c r="BQ365" s="22">
        <f t="shared" si="2353"/>
        <v>-654.05499816009251</v>
      </c>
      <c r="BR365" s="22">
        <f t="shared" si="2353"/>
        <v>11095.004998160115</v>
      </c>
      <c r="BS365" s="22">
        <f t="shared" si="2353"/>
        <v>898.93184429554094</v>
      </c>
      <c r="BT365" s="22">
        <f t="shared" si="2353"/>
        <v>3115.0581557044625</v>
      </c>
      <c r="BU365" s="22">
        <f t="shared" si="2353"/>
        <v>-715.40978950848512</v>
      </c>
      <c r="BV365" s="22">
        <f t="shared" si="2353"/>
        <v>271.86978950848606</v>
      </c>
      <c r="BW365" s="22">
        <f t="shared" si="2353"/>
        <v>230.6030545951362</v>
      </c>
      <c r="BX365" s="22">
        <f t="shared" si="2353"/>
        <v>-5225.2330545951554</v>
      </c>
      <c r="BY365" s="22">
        <f t="shared" si="2353"/>
        <v>-561.92345558889792</v>
      </c>
      <c r="BZ365" s="22">
        <f t="shared" si="2353"/>
        <v>12651.123455588879</v>
      </c>
      <c r="CA365" s="22">
        <f t="shared" si="2353"/>
        <v>318.26648784137797</v>
      </c>
      <c r="CB365" s="22">
        <f t="shared" si="2353"/>
        <v>77.793512158650628</v>
      </c>
      <c r="CC365" s="22">
        <f t="shared" si="2353"/>
        <v>-810.7556982277456</v>
      </c>
      <c r="CD365" s="22">
        <f t="shared" si="2353"/>
        <v>-255.1143017722552</v>
      </c>
      <c r="CE365" s="22">
        <f t="shared" ref="CE365:CF365" si="2354">CE363-CE364</f>
        <v>374.08007408017875</v>
      </c>
      <c r="CF365" s="22">
        <f t="shared" si="2354"/>
        <v>-8850.3800740801926</v>
      </c>
      <c r="CG365" s="22">
        <f t="shared" ref="CG365:CH365" si="2355">CG363-CG364</f>
        <v>-346.67897102054849</v>
      </c>
      <c r="CH365" s="22">
        <f t="shared" si="2355"/>
        <v>138.49897102056639</v>
      </c>
      <c r="CI365" s="22">
        <f t="shared" ref="CI365:CJ365" si="2356">CI363-CI364</f>
        <v>16873.191907515138</v>
      </c>
      <c r="CJ365" s="22">
        <f t="shared" si="2356"/>
        <v>-27624.501907515092</v>
      </c>
      <c r="CK365" s="22">
        <f t="shared" ref="CK365:DB365" si="2357">CK363-CK364</f>
        <v>-6524.2790730137203</v>
      </c>
      <c r="CL365" s="22">
        <f t="shared" si="2357"/>
        <v>7238.9090730136522</v>
      </c>
      <c r="CM365" s="21">
        <f t="shared" si="2357"/>
        <v>15125.466536393244</v>
      </c>
      <c r="CN365" s="21">
        <f t="shared" si="2357"/>
        <v>-3793.7379354401492</v>
      </c>
      <c r="CO365" s="21">
        <f t="shared" si="2357"/>
        <v>-3200.4661894499441</v>
      </c>
      <c r="CP365" s="21">
        <f t="shared" si="2357"/>
        <v>-20108.78588476294</v>
      </c>
      <c r="CQ365" s="21">
        <f t="shared" si="2357"/>
        <v>19736.611020071607</v>
      </c>
      <c r="CR365" s="21">
        <f t="shared" si="2357"/>
        <v>-5886.4480411243276</v>
      </c>
      <c r="CS365" s="21">
        <f t="shared" si="2357"/>
        <v>-5584.2534765654418</v>
      </c>
      <c r="CT365" s="21">
        <f t="shared" si="2357"/>
        <v>-20975.355535491282</v>
      </c>
      <c r="CU365" s="21">
        <f t="shared" si="2357"/>
        <v>19747.692860590003</v>
      </c>
      <c r="CV365" s="21">
        <f t="shared" si="2357"/>
        <v>-8785.7806514176482</v>
      </c>
      <c r="CW365" s="21">
        <f t="shared" si="2357"/>
        <v>-8706.7466007267067</v>
      </c>
      <c r="CX365" s="21">
        <f t="shared" si="2357"/>
        <v>-25387.933761585911</v>
      </c>
      <c r="CY365" s="21">
        <f t="shared" si="2357"/>
        <v>22806.312852347262</v>
      </c>
      <c r="CZ365" s="21">
        <f t="shared" si="2357"/>
        <v>-10149.533613654086</v>
      </c>
      <c r="DA365" s="21">
        <f t="shared" si="2357"/>
        <v>-10044.807358642749</v>
      </c>
      <c r="DB365" s="21">
        <f t="shared" si="2357"/>
        <v>-29263.052711506141</v>
      </c>
      <c r="DE365" s="126"/>
      <c r="DF365" s="22">
        <v>-6262.8800000000338</v>
      </c>
    </row>
    <row r="366" spans="1:110" s="22" customFormat="1" x14ac:dyDescent="0.2">
      <c r="A366" s="22" t="s">
        <v>91</v>
      </c>
      <c r="C366" s="22">
        <f t="shared" ref="C366:W366" si="2358">C362+C365</f>
        <v>1712.6100000000006</v>
      </c>
      <c r="D366" s="22">
        <f>D362+D365</f>
        <v>1059.5500000000013</v>
      </c>
      <c r="E366" s="22">
        <f t="shared" si="2358"/>
        <v>233.76999999999884</v>
      </c>
      <c r="F366" s="22">
        <f t="shared" si="2358"/>
        <v>374.94999999999914</v>
      </c>
      <c r="G366" s="22">
        <f t="shared" si="2358"/>
        <v>1512.2799999999961</v>
      </c>
      <c r="H366" s="22">
        <f t="shared" si="2358"/>
        <v>1326.5199999999991</v>
      </c>
      <c r="I366" s="22">
        <f t="shared" si="2358"/>
        <v>-1234.8599999999979</v>
      </c>
      <c r="J366" s="22">
        <f>J362+J365</f>
        <v>1416.7099999999955</v>
      </c>
      <c r="K366" s="22">
        <f t="shared" si="2358"/>
        <v>3439.8199999999933</v>
      </c>
      <c r="L366" s="22">
        <f t="shared" si="2358"/>
        <v>-2240.0800000000063</v>
      </c>
      <c r="M366" s="22">
        <f t="shared" si="2358"/>
        <v>-7409.8999999999796</v>
      </c>
      <c r="N366" s="22">
        <f t="shared" si="2358"/>
        <v>-5998.5999999999913</v>
      </c>
      <c r="O366" s="22">
        <f t="shared" si="2358"/>
        <v>-10508.950000000015</v>
      </c>
      <c r="P366" s="22">
        <f t="shared" si="2358"/>
        <v>-1128.7400000000061</v>
      </c>
      <c r="Q366" s="22">
        <f t="shared" si="2358"/>
        <v>-8745.8699999999935</v>
      </c>
      <c r="R366" s="22">
        <f t="shared" si="2358"/>
        <v>4914.6700000000183</v>
      </c>
      <c r="S366" s="22">
        <f t="shared" si="2358"/>
        <v>-10262.720000000018</v>
      </c>
      <c r="T366" s="22">
        <f t="shared" si="2358"/>
        <v>-3919.8000000000193</v>
      </c>
      <c r="U366" s="22">
        <f t="shared" si="2358"/>
        <v>3899.1700000000237</v>
      </c>
      <c r="V366" s="22">
        <f t="shared" si="2358"/>
        <v>29771.099999999959</v>
      </c>
      <c r="W366" s="22">
        <f t="shared" si="2358"/>
        <v>15155.710000000003</v>
      </c>
      <c r="X366" s="22">
        <f t="shared" ref="X366:Y366" si="2359">X362+X365</f>
        <v>21215.900000000031</v>
      </c>
      <c r="Y366" s="22">
        <f t="shared" si="2359"/>
        <v>16223.170000000038</v>
      </c>
      <c r="Z366" s="22">
        <f t="shared" ref="Z366:AA366" si="2360">Z362+Z365</f>
        <v>8184.4000000000015</v>
      </c>
      <c r="AA366" s="22">
        <f t="shared" si="2360"/>
        <v>14185.859999999899</v>
      </c>
      <c r="AB366" s="21">
        <f t="shared" ref="AB366:AD366" si="2361">AB362+AB365</f>
        <v>8269.6104686753279</v>
      </c>
      <c r="AC366" s="21">
        <f t="shared" si="2361"/>
        <v>15939.692793409264</v>
      </c>
      <c r="AD366" s="21">
        <f t="shared" si="2361"/>
        <v>10941.283610838684</v>
      </c>
      <c r="AE366" s="21">
        <f t="shared" ref="AE366" si="2362">AE362+AE365</f>
        <v>13593.330984230444</v>
      </c>
      <c r="AI366" s="22">
        <f t="shared" ref="AI366" si="2363">AI362+AI365</f>
        <v>1055.5900000000006</v>
      </c>
      <c r="AJ366" s="22">
        <f t="shared" ref="AJ366:AL366" si="2364">AJ362+AJ365</f>
        <v>-12431.990000000002</v>
      </c>
      <c r="AK366" s="22">
        <f t="shared" si="2364"/>
        <v>1466.0577303596344</v>
      </c>
      <c r="AL366" s="22">
        <f t="shared" si="2364"/>
        <v>-29627.717730359633</v>
      </c>
      <c r="AM366" s="22">
        <f t="shared" ref="AM366" si="2365">AM362+AM365</f>
        <v>1583.4854590346533</v>
      </c>
      <c r="AN366" s="22">
        <f t="shared" ref="AN366:CD366" si="2366">AN362+AN365</f>
        <v>-9605.2054590346434</v>
      </c>
      <c r="AO366" s="22">
        <f t="shared" si="2366"/>
        <v>-171.10927378709857</v>
      </c>
      <c r="AP366" s="22">
        <f t="shared" si="2366"/>
        <v>-2788.2707262129079</v>
      </c>
      <c r="AQ366" s="22">
        <f t="shared" si="2366"/>
        <v>5127.1421642012583</v>
      </c>
      <c r="AR366" s="22">
        <f t="shared" si="2366"/>
        <v>-8238.2021642012496</v>
      </c>
      <c r="AS366" s="22">
        <f t="shared" si="2366"/>
        <v>73.364165033269273</v>
      </c>
      <c r="AT366" s="22">
        <f t="shared" si="2366"/>
        <v>1485.905834966708</v>
      </c>
      <c r="AU366" s="22">
        <f t="shared" si="2366"/>
        <v>4361.0543898699607</v>
      </c>
      <c r="AV366" s="22">
        <f t="shared" si="2366"/>
        <v>311.2856101300606</v>
      </c>
      <c r="AW366" s="22">
        <f t="shared" si="2366"/>
        <v>-511.98538048340924</v>
      </c>
      <c r="AX366" s="22">
        <f t="shared" si="2366"/>
        <v>-15965.084619516598</v>
      </c>
      <c r="AY366" s="22">
        <f t="shared" si="2366"/>
        <v>2388.7115908224587</v>
      </c>
      <c r="AZ366" s="22">
        <f t="shared" si="2366"/>
        <v>-2222.1015908224531</v>
      </c>
      <c r="BA366" s="22">
        <f t="shared" si="2366"/>
        <v>1419.5518030992371</v>
      </c>
      <c r="BB366" s="22">
        <f t="shared" si="2366"/>
        <v>3328.5081969007751</v>
      </c>
      <c r="BC366" s="22">
        <f t="shared" si="2366"/>
        <v>2339.4190242503073</v>
      </c>
      <c r="BD366" s="22">
        <f t="shared" si="2366"/>
        <v>-6973.3190242503206</v>
      </c>
      <c r="BE366" s="22">
        <f t="shared" si="2366"/>
        <v>1454.139421517043</v>
      </c>
      <c r="BF366" s="22">
        <f t="shared" si="2366"/>
        <v>-7082.9394215170405</v>
      </c>
      <c r="BG366" s="22">
        <f t="shared" si="2366"/>
        <v>1875.7689860636995</v>
      </c>
      <c r="BH366" s="22">
        <f t="shared" si="2366"/>
        <v>-9721.4489860637259</v>
      </c>
      <c r="BI366" s="22">
        <f t="shared" si="2366"/>
        <v>1947.6127232690114</v>
      </c>
      <c r="BJ366" s="22">
        <f t="shared" si="2366"/>
        <v>1978.2672767309959</v>
      </c>
      <c r="BK366" s="22">
        <f t="shared" si="2366"/>
        <v>2017.6763328399322</v>
      </c>
      <c r="BL366" s="22">
        <f t="shared" si="2366"/>
        <v>-9947.7463328399135</v>
      </c>
      <c r="BM366" s="22">
        <f t="shared" si="2366"/>
        <v>2879.7081167076235</v>
      </c>
      <c r="BN366" s="22">
        <f t="shared" si="2366"/>
        <v>6723.0518832923826</v>
      </c>
      <c r="BO366" s="22">
        <f t="shared" si="2366"/>
        <v>2447.7504440699631</v>
      </c>
      <c r="BP366" s="22">
        <f t="shared" si="2366"/>
        <v>9808.9795559300073</v>
      </c>
      <c r="BQ366" s="22">
        <f t="shared" si="2366"/>
        <v>2514.7550018399033</v>
      </c>
      <c r="BR366" s="22">
        <f t="shared" si="2366"/>
        <v>15204.574998160107</v>
      </c>
      <c r="BS366" s="22">
        <f t="shared" si="2366"/>
        <v>2790.7518442955397</v>
      </c>
      <c r="BT366" s="22">
        <f t="shared" si="2366"/>
        <v>5663.2581557044596</v>
      </c>
      <c r="BU366" s="22">
        <f t="shared" si="2366"/>
        <v>2071.7902104915165</v>
      </c>
      <c r="BV366" s="22">
        <f t="shared" si="2366"/>
        <v>4661.9197895084817</v>
      </c>
      <c r="BW366" s="22">
        <f t="shared" si="2366"/>
        <v>2896.0730545951328</v>
      </c>
      <c r="BX366" s="22">
        <f t="shared" si="2366"/>
        <v>-2136.0930545951592</v>
      </c>
      <c r="BY366" s="22">
        <f t="shared" si="2366"/>
        <v>2816.1765444111102</v>
      </c>
      <c r="BZ366" s="22">
        <f t="shared" si="2366"/>
        <v>17491.403455588876</v>
      </c>
      <c r="CA366" s="22">
        <f t="shared" si="2366"/>
        <v>3641.7364878413709</v>
      </c>
      <c r="CB366" s="22">
        <f t="shared" si="2366"/>
        <v>4210.313512158652</v>
      </c>
      <c r="CC366" s="22">
        <f t="shared" si="2366"/>
        <v>3057.3543017722491</v>
      </c>
      <c r="CD366" s="22">
        <f t="shared" si="2366"/>
        <v>5162.2056982277454</v>
      </c>
      <c r="CE366" s="22">
        <f t="shared" ref="CE366:CF366" si="2367">CE362+CE365</f>
        <v>4157.7200740801854</v>
      </c>
      <c r="CF366" s="22">
        <f t="shared" si="2367"/>
        <v>-4431.2500740801888</v>
      </c>
      <c r="CG366" s="22">
        <f t="shared" ref="CG366:CH366" si="2368">CG362+CG365</f>
        <v>4059.161028979448</v>
      </c>
      <c r="CH366" s="22">
        <f t="shared" si="2368"/>
        <v>6688.1789710205685</v>
      </c>
      <c r="CI366" s="22">
        <f t="shared" ref="CI366:CJ366" si="2369">CI362+CI365</f>
        <v>21523.681907515132</v>
      </c>
      <c r="CJ366" s="22">
        <f t="shared" si="2369"/>
        <v>-22606.641907515092</v>
      </c>
      <c r="CK366" s="22">
        <f t="shared" ref="CK366:DB366" si="2370">CK362+CK365</f>
        <v>-2237.4290730137227</v>
      </c>
      <c r="CL366" s="22">
        <f t="shared" si="2370"/>
        <v>13732.459073013648</v>
      </c>
      <c r="CM366" s="21">
        <f t="shared" si="2370"/>
        <v>20357.235094848584</v>
      </c>
      <c r="CN366" s="21">
        <f t="shared" si="2370"/>
        <v>1949.4668954891413</v>
      </c>
      <c r="CO366" s="21">
        <f t="shared" si="2370"/>
        <v>2834.1923744640062</v>
      </c>
      <c r="CP366" s="21">
        <f t="shared" si="2370"/>
        <v>-13097.483896126407</v>
      </c>
      <c r="CQ366" s="21">
        <f t="shared" si="2370"/>
        <v>25830.704929871681</v>
      </c>
      <c r="CR366" s="21">
        <f t="shared" si="2370"/>
        <v>880.98088076073691</v>
      </c>
      <c r="CS366" s="21">
        <f t="shared" si="2370"/>
        <v>1619.8956604849291</v>
      </c>
      <c r="CT366" s="21">
        <f t="shared" si="2370"/>
        <v>-12391.888677708133</v>
      </c>
      <c r="CU366" s="21">
        <f t="shared" si="2370"/>
        <v>27008.677434404046</v>
      </c>
      <c r="CV366" s="21">
        <f t="shared" si="2370"/>
        <v>-730.8722196471017</v>
      </c>
      <c r="CW366" s="21">
        <f t="shared" si="2370"/>
        <v>-124.37971885655315</v>
      </c>
      <c r="CX366" s="21">
        <f t="shared" si="2370"/>
        <v>-15212.141885061706</v>
      </c>
      <c r="CY366" s="21">
        <f t="shared" si="2370"/>
        <v>31397.108036766076</v>
      </c>
      <c r="CZ366" s="21">
        <f t="shared" si="2370"/>
        <v>-623.97089942159801</v>
      </c>
      <c r="DA366" s="21">
        <f t="shared" si="2370"/>
        <v>99.791150260309223</v>
      </c>
      <c r="DB366" s="21">
        <f t="shared" si="2370"/>
        <v>-17279.597303374336</v>
      </c>
      <c r="DE366" s="126"/>
      <c r="DF366" s="22">
        <v>14185.859999999899</v>
      </c>
    </row>
    <row r="367" spans="1:110" s="23" customFormat="1" x14ac:dyDescent="0.2">
      <c r="AB367" s="24"/>
      <c r="AC367" s="24"/>
      <c r="AD367" s="24"/>
      <c r="AE367" s="24"/>
      <c r="CM367" s="24"/>
      <c r="CN367" s="24"/>
      <c r="CO367" s="24"/>
      <c r="CP367" s="24"/>
      <c r="CQ367" s="24"/>
      <c r="CR367" s="24"/>
      <c r="CS367" s="24"/>
      <c r="CT367" s="24"/>
      <c r="CU367" s="24"/>
      <c r="CV367" s="24"/>
      <c r="CW367" s="24"/>
      <c r="CX367" s="24"/>
      <c r="CY367" s="24"/>
      <c r="CZ367" s="24"/>
      <c r="DA367" s="24"/>
      <c r="DB367" s="24"/>
      <c r="DE367" s="123"/>
    </row>
    <row r="368" spans="1:110" s="22" customFormat="1" x14ac:dyDescent="0.2">
      <c r="A368" s="22" t="s">
        <v>92</v>
      </c>
      <c r="C368" s="22">
        <f t="shared" ref="C368:W368" si="2371">C369+C370</f>
        <v>-1105.54</v>
      </c>
      <c r="D368" s="22">
        <f>D369+D370</f>
        <v>-56.779999999999887</v>
      </c>
      <c r="E368" s="22">
        <f t="shared" si="2371"/>
        <v>3055.62</v>
      </c>
      <c r="F368" s="22">
        <f t="shared" si="2371"/>
        <v>-508.2699999999997</v>
      </c>
      <c r="G368" s="22">
        <f t="shared" si="2371"/>
        <v>-1346.8300000000008</v>
      </c>
      <c r="H368" s="22">
        <f t="shared" si="2371"/>
        <v>-2863.3599999999988</v>
      </c>
      <c r="I368" s="22">
        <f t="shared" si="2371"/>
        <v>-3590.8800000000019</v>
      </c>
      <c r="J368" s="22">
        <f t="shared" si="2371"/>
        <v>-8448.23</v>
      </c>
      <c r="K368" s="22">
        <f t="shared" si="2371"/>
        <v>-4054.3799999999983</v>
      </c>
      <c r="L368" s="22">
        <f t="shared" si="2371"/>
        <v>-10538.84</v>
      </c>
      <c r="M368" s="22">
        <f t="shared" si="2371"/>
        <v>-7971.7700000000032</v>
      </c>
      <c r="N368" s="22">
        <f t="shared" si="2371"/>
        <v>-8719.6600000000035</v>
      </c>
      <c r="O368" s="22">
        <f t="shared" si="2371"/>
        <v>-6490.6599999999908</v>
      </c>
      <c r="P368" s="22">
        <f t="shared" si="2371"/>
        <v>-5991.8199999999979</v>
      </c>
      <c r="Q368" s="22">
        <f t="shared" si="2371"/>
        <v>16469.869999999992</v>
      </c>
      <c r="R368" s="22">
        <f t="shared" si="2371"/>
        <v>-4676.739999999998</v>
      </c>
      <c r="S368" s="22">
        <f t="shared" si="2371"/>
        <v>-4371.5600000000031</v>
      </c>
      <c r="T368" s="22">
        <f t="shared" si="2371"/>
        <v>-6126.7099999999964</v>
      </c>
      <c r="U368" s="22">
        <f t="shared" si="2371"/>
        <v>-14700.11</v>
      </c>
      <c r="V368" s="22">
        <f t="shared" si="2371"/>
        <v>-2027.1199999999899</v>
      </c>
      <c r="W368" s="22">
        <f t="shared" si="2371"/>
        <v>-3303.0000000000109</v>
      </c>
      <c r="X368" s="22">
        <f t="shared" ref="X368:Y368" si="2372">X369+X370</f>
        <v>-4643.5499999999938</v>
      </c>
      <c r="Y368" s="22">
        <f t="shared" si="2372"/>
        <v>-5449.8900000000049</v>
      </c>
      <c r="Z368" s="22">
        <f t="shared" ref="Z368:AA368" si="2373">Z369+Z370</f>
        <v>-5510.9399999999951</v>
      </c>
      <c r="AA368" s="22">
        <f t="shared" si="2373"/>
        <v>10694.240000000003</v>
      </c>
      <c r="AB368" s="21">
        <f t="shared" ref="AB368:AD368" si="2374">AB369+AB370</f>
        <v>173.79999999999563</v>
      </c>
      <c r="AC368" s="21">
        <f t="shared" si="2374"/>
        <v>-3600</v>
      </c>
      <c r="AD368" s="21">
        <f t="shared" si="2374"/>
        <v>-3599.9999999999927</v>
      </c>
      <c r="AE368" s="21">
        <f t="shared" ref="AE368" si="2375">AE369+AE370</f>
        <v>-3600.0000000000036</v>
      </c>
      <c r="AI368" s="22">
        <f t="shared" ref="AI368" si="2376">AI369+AI370</f>
        <v>-191.94</v>
      </c>
      <c r="AJ368" s="22">
        <f t="shared" ref="AJ368:AL368" si="2377">AJ369+AJ370</f>
        <v>-18763.239999999998</v>
      </c>
      <c r="AK368" s="22">
        <f t="shared" si="2377"/>
        <v>-177.8700000000008</v>
      </c>
      <c r="AL368" s="22">
        <f t="shared" si="2377"/>
        <v>-24601.499999999996</v>
      </c>
      <c r="AM368" s="22">
        <f t="shared" ref="AM368" si="2378">AM369+AM370</f>
        <v>-556.66000000000349</v>
      </c>
      <c r="AN368" s="22">
        <f t="shared" ref="AN368:CD368" si="2379">AN369+AN370</f>
        <v>-2803.1400000000044</v>
      </c>
      <c r="AO368" s="22">
        <f t="shared" si="2379"/>
        <v>-587.79000000000087</v>
      </c>
      <c r="AP368" s="22">
        <f t="shared" si="2379"/>
        <v>-2543.0199999999932</v>
      </c>
      <c r="AQ368" s="22">
        <f t="shared" si="2379"/>
        <v>-807.33000000000175</v>
      </c>
      <c r="AR368" s="22">
        <f t="shared" si="2379"/>
        <v>-1141.2200000000018</v>
      </c>
      <c r="AS368" s="22">
        <f t="shared" si="2379"/>
        <v>-679.06999999999971</v>
      </c>
      <c r="AT368" s="22">
        <f t="shared" si="2379"/>
        <v>-3364.2199999999984</v>
      </c>
      <c r="AU368" s="22">
        <f t="shared" si="2379"/>
        <v>-465.83000000000175</v>
      </c>
      <c r="AV368" s="22">
        <f t="shared" si="2379"/>
        <v>-11806.250000000007</v>
      </c>
      <c r="AW368" s="22">
        <f t="shared" si="2379"/>
        <v>-367.97000000000116</v>
      </c>
      <c r="AX368" s="22">
        <f t="shared" si="2379"/>
        <v>29109.940000000006</v>
      </c>
      <c r="AY368" s="22">
        <f t="shared" si="2379"/>
        <v>-464.77999999999884</v>
      </c>
      <c r="AZ368" s="22">
        <f t="shared" si="2379"/>
        <v>-406.13000000000739</v>
      </c>
      <c r="BA368" s="22">
        <f t="shared" si="2379"/>
        <v>-722.29000000000087</v>
      </c>
      <c r="BB368" s="22">
        <f t="shared" si="2379"/>
        <v>-3083.5299999999934</v>
      </c>
      <c r="BC368" s="22">
        <f t="shared" si="2379"/>
        <v>-551.27000000000044</v>
      </c>
      <c r="BD368" s="22">
        <f t="shared" si="2379"/>
        <v>-1991.5800000000036</v>
      </c>
      <c r="BE368" s="22">
        <f t="shared" si="2379"/>
        <v>-454.4900000000016</v>
      </c>
      <c r="BF368" s="22">
        <f t="shared" si="2379"/>
        <v>-1374.2299999999977</v>
      </c>
      <c r="BG368" s="22">
        <f t="shared" si="2379"/>
        <v>-604.72000000000116</v>
      </c>
      <c r="BH368" s="22">
        <f t="shared" si="2379"/>
        <v>-2374.6699999999983</v>
      </c>
      <c r="BI368" s="22">
        <f t="shared" si="2379"/>
        <v>-405.27999999999884</v>
      </c>
      <c r="BJ368" s="22">
        <f t="shared" si="2379"/>
        <v>-2742.0400000000045</v>
      </c>
      <c r="BK368" s="22">
        <f t="shared" si="2379"/>
        <v>-461.45999999999913</v>
      </c>
      <c r="BL368" s="22">
        <f t="shared" si="2379"/>
        <v>-7668.1000000000022</v>
      </c>
      <c r="BM368" s="22">
        <f t="shared" si="2379"/>
        <v>-660.2300000000032</v>
      </c>
      <c r="BN368" s="22">
        <f t="shared" si="2379"/>
        <v>-3683.840000000002</v>
      </c>
      <c r="BO368" s="22">
        <f t="shared" si="2379"/>
        <v>-672.2300000000032</v>
      </c>
      <c r="BP368" s="22">
        <f t="shared" si="2379"/>
        <v>1344.9900000000034</v>
      </c>
      <c r="BQ368" s="22">
        <f t="shared" si="2379"/>
        <v>-702.09999999999854</v>
      </c>
      <c r="BR368" s="22">
        <f t="shared" si="2379"/>
        <v>-2202.7400000000071</v>
      </c>
      <c r="BS368" s="22">
        <f t="shared" si="2379"/>
        <v>-717.37999999999738</v>
      </c>
      <c r="BT368" s="22">
        <f t="shared" si="2379"/>
        <v>-201.78000000000065</v>
      </c>
      <c r="BU368" s="22">
        <f t="shared" si="2379"/>
        <v>-732.45999999999913</v>
      </c>
      <c r="BV368" s="22">
        <f t="shared" si="2379"/>
        <v>-1683.3999999999978</v>
      </c>
      <c r="BW368" s="22">
        <f t="shared" si="2379"/>
        <v>-963.40000000000146</v>
      </c>
      <c r="BX368" s="22">
        <f t="shared" si="2379"/>
        <v>-1920.4100000000035</v>
      </c>
      <c r="BY368" s="22">
        <f t="shared" si="2379"/>
        <v>-825.18000000000029</v>
      </c>
      <c r="BZ368" s="22">
        <f t="shared" si="2379"/>
        <v>-786.19999999999891</v>
      </c>
      <c r="CA368" s="22">
        <f t="shared" si="2379"/>
        <v>-830.47000000000116</v>
      </c>
      <c r="CB368" s="22">
        <f t="shared" si="2379"/>
        <v>-3152.5099999999948</v>
      </c>
      <c r="CC368" s="22">
        <f t="shared" si="2379"/>
        <v>-920.75</v>
      </c>
      <c r="CD368" s="22">
        <f t="shared" si="2379"/>
        <v>-394.59999999999309</v>
      </c>
      <c r="CE368" s="22">
        <f t="shared" ref="CE368:CF368" si="2380">CE369+CE370</f>
        <v>-997.91999999999825</v>
      </c>
      <c r="CF368" s="22">
        <f t="shared" si="2380"/>
        <v>-387.61000000000058</v>
      </c>
      <c r="CG368" s="22">
        <f t="shared" ref="CG368:CH368" si="2381">CG369+CG370</f>
        <v>-1047</v>
      </c>
      <c r="CH368" s="22">
        <f t="shared" si="2381"/>
        <v>-5367.8199999999961</v>
      </c>
      <c r="CI368" s="22">
        <f t="shared" ref="CI368:CJ368" si="2382">CI369+CI370</f>
        <v>0</v>
      </c>
      <c r="CJ368" s="22">
        <f t="shared" si="2382"/>
        <v>-41.999999999987267</v>
      </c>
      <c r="CK368" s="22">
        <f t="shared" ref="CK368:DB368" si="2383">CK369+CK370</f>
        <v>-100.00000000000728</v>
      </c>
      <c r="CL368" s="22">
        <f t="shared" si="2383"/>
        <v>14610.030000000002</v>
      </c>
      <c r="CM368" s="21">
        <f t="shared" si="2383"/>
        <v>-900</v>
      </c>
      <c r="CN368" s="21">
        <f t="shared" si="2383"/>
        <v>-900</v>
      </c>
      <c r="CO368" s="21">
        <f t="shared" si="2383"/>
        <v>-900</v>
      </c>
      <c r="CP368" s="21">
        <f t="shared" si="2383"/>
        <v>-900</v>
      </c>
      <c r="CQ368" s="21">
        <f t="shared" si="2383"/>
        <v>-900</v>
      </c>
      <c r="CR368" s="21">
        <f t="shared" si="2383"/>
        <v>-900</v>
      </c>
      <c r="CS368" s="21">
        <f t="shared" si="2383"/>
        <v>-900</v>
      </c>
      <c r="CT368" s="21">
        <f t="shared" si="2383"/>
        <v>-900</v>
      </c>
      <c r="CU368" s="21">
        <f t="shared" si="2383"/>
        <v>-900</v>
      </c>
      <c r="CV368" s="21">
        <f t="shared" si="2383"/>
        <v>-899.99999999999636</v>
      </c>
      <c r="CW368" s="21">
        <f t="shared" si="2383"/>
        <v>-900</v>
      </c>
      <c r="CX368" s="21">
        <f t="shared" si="2383"/>
        <v>-900</v>
      </c>
      <c r="CY368" s="21">
        <f t="shared" si="2383"/>
        <v>-900</v>
      </c>
      <c r="CZ368" s="21">
        <f t="shared" si="2383"/>
        <v>-899.99999999999636</v>
      </c>
      <c r="DA368" s="21">
        <f t="shared" si="2383"/>
        <v>-900</v>
      </c>
      <c r="DB368" s="21">
        <f t="shared" si="2383"/>
        <v>-900</v>
      </c>
      <c r="DE368" s="126"/>
      <c r="DF368" s="22">
        <v>10694.240000000003</v>
      </c>
    </row>
    <row r="369" spans="1:110" s="23" customFormat="1" x14ac:dyDescent="0.2">
      <c r="A369" s="23" t="s">
        <v>93</v>
      </c>
      <c r="C369" s="23">
        <f t="shared" ref="C369:AA369" si="2384">B307-C307</f>
        <v>515.29</v>
      </c>
      <c r="D369" s="23">
        <f t="shared" si="2384"/>
        <v>91.84</v>
      </c>
      <c r="E369" s="23">
        <f>D307-E307</f>
        <v>-129.47</v>
      </c>
      <c r="F369" s="23">
        <f t="shared" si="2384"/>
        <v>-221.19</v>
      </c>
      <c r="G369" s="23">
        <f t="shared" si="2384"/>
        <v>-344.83000000000004</v>
      </c>
      <c r="H369" s="23">
        <f t="shared" si="2384"/>
        <v>-51.959999999999923</v>
      </c>
      <c r="I369" s="23">
        <f t="shared" si="2384"/>
        <v>2.3299999999999272</v>
      </c>
      <c r="J369" s="23">
        <f>I307-J307</f>
        <v>-625.70000000000005</v>
      </c>
      <c r="K369" s="23">
        <f>J307-K307</f>
        <v>286.20000000000005</v>
      </c>
      <c r="L369" s="23">
        <f t="shared" si="2384"/>
        <v>-212.36999999999989</v>
      </c>
      <c r="M369" s="23">
        <f t="shared" si="2384"/>
        <v>-61.539999999999964</v>
      </c>
      <c r="N369" s="23">
        <f t="shared" si="2384"/>
        <v>340.67999999999984</v>
      </c>
      <c r="O369" s="23">
        <f t="shared" si="2384"/>
        <v>-208.59999999999991</v>
      </c>
      <c r="P369" s="23">
        <f t="shared" si="2384"/>
        <v>-214.01</v>
      </c>
      <c r="Q369" s="23">
        <f t="shared" si="2384"/>
        <v>-1938.09</v>
      </c>
      <c r="R369" s="23">
        <f t="shared" si="2384"/>
        <v>-1867.9100000000003</v>
      </c>
      <c r="S369" s="23">
        <f t="shared" si="2384"/>
        <v>-394.26000000000022</v>
      </c>
      <c r="T369" s="23">
        <f t="shared" si="2384"/>
        <v>-1113.8699999999999</v>
      </c>
      <c r="U369" s="23">
        <f t="shared" si="2384"/>
        <v>-386.79999999999927</v>
      </c>
      <c r="V369" s="23">
        <f t="shared" si="2384"/>
        <v>-1267.67</v>
      </c>
      <c r="W369" s="23">
        <f t="shared" si="2384"/>
        <v>-980.20000000000073</v>
      </c>
      <c r="X369" s="23">
        <f t="shared" si="2384"/>
        <v>370.71000000000095</v>
      </c>
      <c r="Y369" s="23">
        <f t="shared" si="2384"/>
        <v>-1465.3000000000011</v>
      </c>
      <c r="Z369" s="23">
        <f t="shared" si="2384"/>
        <v>-754.45999999999913</v>
      </c>
      <c r="AA369" s="23">
        <f t="shared" si="2384"/>
        <v>2592.7199999999993</v>
      </c>
      <c r="AB369" s="24">
        <f t="shared" ref="AB369" si="2385">AA307-AB307</f>
        <v>-1120.3400000000001</v>
      </c>
      <c r="AC369" s="24">
        <f t="shared" ref="AC369" si="2386">AB307-AC307</f>
        <v>0</v>
      </c>
      <c r="AD369" s="24">
        <f t="shared" ref="AD369" si="2387">AC307-AD307</f>
        <v>0</v>
      </c>
      <c r="AE369" s="24">
        <f t="shared" ref="AE369" si="2388">AD307-AE307</f>
        <v>0</v>
      </c>
      <c r="AI369" s="23">
        <f t="shared" ref="AI369" si="2389">AH307-AI307</f>
        <v>0</v>
      </c>
      <c r="AJ369" s="23">
        <f t="shared" ref="AJ369" si="2390">AI307-AJ307</f>
        <v>-9820.24</v>
      </c>
      <c r="AK369" s="23">
        <f t="shared" ref="AK369" si="2391">AJ307-AK307</f>
        <v>0</v>
      </c>
      <c r="AL369" s="23">
        <f t="shared" ref="AL369" si="2392">AK307-AL307</f>
        <v>8596.0499999999993</v>
      </c>
      <c r="AM369" s="23">
        <f t="shared" ref="AM369" si="2393">AL307-AM307</f>
        <v>0</v>
      </c>
      <c r="AN369" s="23">
        <f t="shared" ref="AN369" si="2394">AM307-AN307</f>
        <v>6.8099999999999454</v>
      </c>
      <c r="AO369" s="23">
        <f t="shared" ref="AO369" si="2395">AN307-AO307</f>
        <v>0</v>
      </c>
      <c r="AP369" s="23">
        <f t="shared" ref="AP369" si="2396">AO307-AP307</f>
        <v>-215.40999999999985</v>
      </c>
      <c r="AQ369" s="23">
        <f t="shared" ref="AQ369" si="2397">AP307-AQ307</f>
        <v>0</v>
      </c>
      <c r="AR369" s="23">
        <f t="shared" ref="AR369" si="2398">AQ307-AR307</f>
        <v>-312.6400000000001</v>
      </c>
      <c r="AS369" s="23">
        <f t="shared" ref="AS369" si="2399">AR307-AS307</f>
        <v>0</v>
      </c>
      <c r="AT369" s="23">
        <f t="shared" ref="AT369" si="2400">AS307-AT307</f>
        <v>98.630000000000109</v>
      </c>
      <c r="AU369" s="23">
        <f t="shared" ref="AU369" si="2401">AT307-AU307</f>
        <v>0</v>
      </c>
      <c r="AV369" s="23">
        <f t="shared" ref="AV369" si="2402">AU307-AV307</f>
        <v>-68.819999999999936</v>
      </c>
      <c r="AW369" s="23">
        <f t="shared" ref="AW369" si="2403">AV307-AW307</f>
        <v>0</v>
      </c>
      <c r="AX369" s="23">
        <f t="shared" ref="AX369" si="2404">AW307-AX307</f>
        <v>-6255.27</v>
      </c>
      <c r="AY369" s="23">
        <f t="shared" ref="AY369" si="2405">AX307-AY307</f>
        <v>0</v>
      </c>
      <c r="AZ369" s="23">
        <f t="shared" ref="AZ369" si="2406">AY307-AZ307</f>
        <v>1087.3200000000006</v>
      </c>
      <c r="BA369" s="23">
        <f t="shared" ref="BA369" si="2407">AZ307-BA307</f>
        <v>0</v>
      </c>
      <c r="BB369" s="23">
        <f t="shared" ref="BB369" si="2408">BA307-BB307</f>
        <v>-2182.4899999999998</v>
      </c>
      <c r="BC369" s="23">
        <f t="shared" ref="BC369" si="2409">BB307-BC307</f>
        <v>0</v>
      </c>
      <c r="BD369" s="23">
        <f t="shared" ref="BD369" si="2410">BC307-BD307</f>
        <v>-483.98999999999978</v>
      </c>
      <c r="BE369" s="23">
        <f t="shared" ref="BE369" si="2411">BD307-BE307</f>
        <v>0</v>
      </c>
      <c r="BF369" s="23">
        <f t="shared" ref="BF369" si="2412">BE307-BF307</f>
        <v>-642.8700000000008</v>
      </c>
      <c r="BG369" s="23">
        <f t="shared" ref="BG369" si="2413">BF307-BG307</f>
        <v>0</v>
      </c>
      <c r="BH369" s="23">
        <f t="shared" ref="BH369" si="2414">BG307-BH307</f>
        <v>-921.47999999999956</v>
      </c>
      <c r="BI369" s="23">
        <f t="shared" ref="BI369" si="2415">BH307-BI307</f>
        <v>0</v>
      </c>
      <c r="BJ369" s="23">
        <f t="shared" ref="BJ369" si="2416">BI307-BJ307</f>
        <v>-101.09000000000015</v>
      </c>
      <c r="BK369" s="23">
        <f t="shared" ref="BK369" si="2417">BJ307-BK307</f>
        <v>0</v>
      </c>
      <c r="BL369" s="23">
        <f t="shared" ref="BL369" si="2418">BK307-BL307</f>
        <v>2283.84</v>
      </c>
      <c r="BM369" s="23">
        <f t="shared" ref="BM369" si="2419">BL307-BM307</f>
        <v>0</v>
      </c>
      <c r="BN369" s="23">
        <f t="shared" ref="BN369" si="2420">BM307-BN307</f>
        <v>-2130.8000000000011</v>
      </c>
      <c r="BO369" s="23">
        <f t="shared" ref="BO369" si="2421">BN307-BO307</f>
        <v>0</v>
      </c>
      <c r="BP369" s="23">
        <f t="shared" ref="BP369" si="2422">BO307-BP307</f>
        <v>302.57999999999993</v>
      </c>
      <c r="BQ369" s="23">
        <f t="shared" ref="BQ369" si="2423">BP307-BQ307</f>
        <v>0</v>
      </c>
      <c r="BR369" s="23">
        <f t="shared" ref="BR369" si="2424">BQ307-BR307</f>
        <v>-1502.3099999999995</v>
      </c>
      <c r="BS369" s="23">
        <f t="shared" ref="BS369" si="2425">BR307-BS307</f>
        <v>0</v>
      </c>
      <c r="BT369" s="23">
        <f t="shared" ref="BT369" si="2426">BS307-BT307</f>
        <v>-466.10000000000036</v>
      </c>
      <c r="BU369" s="23">
        <f t="shared" ref="BU369" si="2427">BT307-BU307</f>
        <v>0</v>
      </c>
      <c r="BV369" s="23">
        <f t="shared" ref="BV369" si="2428">BU307-BV307</f>
        <v>-830.29999999999927</v>
      </c>
      <c r="BW369" s="23">
        <f t="shared" ref="BW369" si="2429">BV307-BW307</f>
        <v>0</v>
      </c>
      <c r="BX369" s="23">
        <f t="shared" ref="BX369" si="2430">BW307-BX307</f>
        <v>-394.25</v>
      </c>
      <c r="BY369" s="23">
        <f t="shared" ref="BY369" si="2431">BX307-BY307</f>
        <v>0</v>
      </c>
      <c r="BZ369" s="23">
        <f t="shared" ref="BZ369" si="2432">BY307-BZ307</f>
        <v>1367.7199999999993</v>
      </c>
      <c r="CA369" s="23">
        <f t="shared" ref="CA369" si="2433">BZ307-CA307</f>
        <v>0</v>
      </c>
      <c r="CB369" s="23">
        <f t="shared" ref="CB369" si="2434">CA307-CB307</f>
        <v>-1524.8199999999997</v>
      </c>
      <c r="CC369" s="23">
        <f t="shared" ref="CC369" si="2435">CB307-CC307</f>
        <v>0</v>
      </c>
      <c r="CD369" s="23">
        <f t="shared" ref="CD369" si="2436">CC307-CD307</f>
        <v>1228.3700000000008</v>
      </c>
      <c r="CE369" s="23">
        <f t="shared" ref="CE369" si="2437">CD307-CE307</f>
        <v>0</v>
      </c>
      <c r="CF369" s="23">
        <f t="shared" ref="CF369" si="2438">CE307-CF307</f>
        <v>403.95999999999913</v>
      </c>
      <c r="CG369" s="23">
        <f t="shared" ref="CG369" si="2439">CF307-CG307</f>
        <v>0</v>
      </c>
      <c r="CH369" s="23">
        <f t="shared" ref="CH369:CL369" si="2440">CG307-CH307</f>
        <v>1032.9500000000007</v>
      </c>
      <c r="CI369" s="23">
        <f t="shared" si="2440"/>
        <v>0</v>
      </c>
      <c r="CJ369" s="23">
        <f t="shared" si="2440"/>
        <v>-1102.2100000000009</v>
      </c>
      <c r="CK369" s="23">
        <f t="shared" ref="CK369" si="2441">CJ307-CK307</f>
        <v>0</v>
      </c>
      <c r="CL369" s="23">
        <f t="shared" si="2440"/>
        <v>2574.59</v>
      </c>
      <c r="CM369" s="24">
        <f t="shared" ref="CM369" si="2442">CL307-CM307</f>
        <v>0</v>
      </c>
      <c r="CN369" s="24">
        <f t="shared" ref="CN369" si="2443">CM307-CN307</f>
        <v>0</v>
      </c>
      <c r="CO369" s="24">
        <f t="shared" ref="CO369" si="2444">CN307-CO307</f>
        <v>0</v>
      </c>
      <c r="CP369" s="24">
        <f t="shared" ref="CP369" si="2445">CO307-CP307</f>
        <v>0</v>
      </c>
      <c r="CQ369" s="24">
        <f t="shared" ref="CQ369" si="2446">CP307-CQ307</f>
        <v>0</v>
      </c>
      <c r="CR369" s="24">
        <f t="shared" ref="CR369" si="2447">CQ307-CR307</f>
        <v>0</v>
      </c>
      <c r="CS369" s="24">
        <f t="shared" ref="CS369" si="2448">CR307-CS307</f>
        <v>0</v>
      </c>
      <c r="CT369" s="24">
        <f t="shared" ref="CT369" si="2449">CS307-CT307</f>
        <v>0</v>
      </c>
      <c r="CU369" s="24">
        <f t="shared" ref="CU369" si="2450">CT307-CU307</f>
        <v>0</v>
      </c>
      <c r="CV369" s="24">
        <f t="shared" ref="CV369" si="2451">CU307-CV307</f>
        <v>0</v>
      </c>
      <c r="CW369" s="24">
        <f t="shared" ref="CW369" si="2452">CV307-CW307</f>
        <v>0</v>
      </c>
      <c r="CX369" s="24">
        <f t="shared" ref="CX369" si="2453">CW307-CX307</f>
        <v>0</v>
      </c>
      <c r="CY369" s="24">
        <f t="shared" ref="CY369" si="2454">CX307-CY307</f>
        <v>0</v>
      </c>
      <c r="CZ369" s="24">
        <f t="shared" ref="CZ369" si="2455">CY307-CZ307</f>
        <v>0</v>
      </c>
      <c r="DA369" s="24">
        <f t="shared" ref="DA369" si="2456">CZ307-DA307</f>
        <v>0</v>
      </c>
      <c r="DB369" s="24">
        <f t="shared" ref="DB369" si="2457">DA307-DB307</f>
        <v>0</v>
      </c>
      <c r="DE369" s="123"/>
      <c r="DF369" s="23">
        <v>2592.7199999999993</v>
      </c>
    </row>
    <row r="370" spans="1:110" s="23" customFormat="1" x14ac:dyDescent="0.2">
      <c r="A370" s="23" t="s">
        <v>94</v>
      </c>
      <c r="C370" s="23">
        <f t="shared" ref="C370:AE370" si="2458">B305-C194-C305</f>
        <v>-1620.83</v>
      </c>
      <c r="D370" s="23">
        <f t="shared" si="2458"/>
        <v>-148.61999999999989</v>
      </c>
      <c r="E370" s="23">
        <f t="shared" si="2458"/>
        <v>3185.0899999999997</v>
      </c>
      <c r="F370" s="23">
        <f t="shared" si="2458"/>
        <v>-287.0799999999997</v>
      </c>
      <c r="G370" s="23">
        <f t="shared" si="2458"/>
        <v>-1002.0000000000009</v>
      </c>
      <c r="H370" s="23">
        <f t="shared" si="2458"/>
        <v>-2811.3999999999987</v>
      </c>
      <c r="I370" s="23">
        <f t="shared" si="2458"/>
        <v>-3593.2100000000019</v>
      </c>
      <c r="J370" s="23">
        <f t="shared" si="2458"/>
        <v>-7822.5299999999988</v>
      </c>
      <c r="K370" s="23">
        <f t="shared" si="2458"/>
        <v>-4340.5799999999981</v>
      </c>
      <c r="L370" s="23">
        <f t="shared" si="2458"/>
        <v>-10326.470000000001</v>
      </c>
      <c r="M370" s="23">
        <f t="shared" si="2458"/>
        <v>-7910.2300000000032</v>
      </c>
      <c r="N370" s="23">
        <f t="shared" si="2458"/>
        <v>-9060.3400000000038</v>
      </c>
      <c r="O370" s="23">
        <f t="shared" si="2458"/>
        <v>-6282.0599999999904</v>
      </c>
      <c r="P370" s="23">
        <f t="shared" si="2458"/>
        <v>-5777.8099999999977</v>
      </c>
      <c r="Q370" s="23">
        <f t="shared" si="2458"/>
        <v>18407.959999999992</v>
      </c>
      <c r="R370" s="23">
        <f t="shared" si="2458"/>
        <v>-2808.8299999999981</v>
      </c>
      <c r="S370" s="23">
        <f t="shared" si="2458"/>
        <v>-3977.3000000000029</v>
      </c>
      <c r="T370" s="23">
        <f t="shared" si="2458"/>
        <v>-5012.8399999999965</v>
      </c>
      <c r="U370" s="23">
        <f t="shared" si="2458"/>
        <v>-14313.310000000001</v>
      </c>
      <c r="V370" s="23">
        <f t="shared" si="2458"/>
        <v>-759.44999999998981</v>
      </c>
      <c r="W370" s="23">
        <f t="shared" si="2458"/>
        <v>-2322.8000000000102</v>
      </c>
      <c r="X370" s="23">
        <f t="shared" si="2458"/>
        <v>-5014.2599999999948</v>
      </c>
      <c r="Y370" s="23">
        <f t="shared" si="2458"/>
        <v>-3984.5900000000038</v>
      </c>
      <c r="Z370" s="23">
        <f t="shared" si="2458"/>
        <v>-4756.4799999999959</v>
      </c>
      <c r="AA370" s="23">
        <f t="shared" si="2458"/>
        <v>8101.5200000000041</v>
      </c>
      <c r="AB370" s="24">
        <f t="shared" si="2458"/>
        <v>1294.1399999999958</v>
      </c>
      <c r="AC370" s="24">
        <f t="shared" si="2458"/>
        <v>-3600</v>
      </c>
      <c r="AD370" s="24">
        <f t="shared" si="2458"/>
        <v>-3599.9999999999927</v>
      </c>
      <c r="AE370" s="24">
        <f t="shared" si="2458"/>
        <v>-3600.0000000000036</v>
      </c>
      <c r="AI370" s="23">
        <f t="shared" ref="AI370:BN370" si="2459">AH305-AI194-AI305</f>
        <v>-191.94</v>
      </c>
      <c r="AJ370" s="23">
        <f t="shared" si="2459"/>
        <v>-8943</v>
      </c>
      <c r="AK370" s="23">
        <f t="shared" si="2459"/>
        <v>-177.8700000000008</v>
      </c>
      <c r="AL370" s="23">
        <f t="shared" si="2459"/>
        <v>-33197.549999999996</v>
      </c>
      <c r="AM370" s="23">
        <f t="shared" si="2459"/>
        <v>-556.66000000000349</v>
      </c>
      <c r="AN370" s="23">
        <f t="shared" si="2459"/>
        <v>-2809.9500000000044</v>
      </c>
      <c r="AO370" s="23">
        <f t="shared" si="2459"/>
        <v>-587.79000000000087</v>
      </c>
      <c r="AP370" s="23">
        <f t="shared" si="2459"/>
        <v>-2327.6099999999933</v>
      </c>
      <c r="AQ370" s="23">
        <f t="shared" si="2459"/>
        <v>-807.33000000000175</v>
      </c>
      <c r="AR370" s="23">
        <f t="shared" si="2459"/>
        <v>-828.58000000000175</v>
      </c>
      <c r="AS370" s="23">
        <f t="shared" si="2459"/>
        <v>-679.06999999999971</v>
      </c>
      <c r="AT370" s="23">
        <f t="shared" si="2459"/>
        <v>-3462.8499999999985</v>
      </c>
      <c r="AU370" s="23">
        <f t="shared" si="2459"/>
        <v>-465.83000000000175</v>
      </c>
      <c r="AV370" s="23">
        <f t="shared" si="2459"/>
        <v>-11737.430000000008</v>
      </c>
      <c r="AW370" s="23">
        <f t="shared" si="2459"/>
        <v>-367.97000000000116</v>
      </c>
      <c r="AX370" s="23">
        <f t="shared" si="2459"/>
        <v>35365.210000000006</v>
      </c>
      <c r="AY370" s="23">
        <f t="shared" si="2459"/>
        <v>-464.77999999999884</v>
      </c>
      <c r="AZ370" s="23">
        <f t="shared" si="2459"/>
        <v>-1493.450000000008</v>
      </c>
      <c r="BA370" s="23">
        <f t="shared" si="2459"/>
        <v>-722.29000000000087</v>
      </c>
      <c r="BB370" s="23">
        <f t="shared" si="2459"/>
        <v>-901.0399999999936</v>
      </c>
      <c r="BC370" s="23">
        <f t="shared" si="2459"/>
        <v>-551.27000000000044</v>
      </c>
      <c r="BD370" s="23">
        <f t="shared" si="2459"/>
        <v>-1507.5900000000038</v>
      </c>
      <c r="BE370" s="23">
        <f t="shared" si="2459"/>
        <v>-454.4900000000016</v>
      </c>
      <c r="BF370" s="23">
        <f t="shared" si="2459"/>
        <v>-731.35999999999694</v>
      </c>
      <c r="BG370" s="23">
        <f t="shared" si="2459"/>
        <v>-604.72000000000116</v>
      </c>
      <c r="BH370" s="23">
        <f t="shared" si="2459"/>
        <v>-1453.1899999999987</v>
      </c>
      <c r="BI370" s="23">
        <f t="shared" si="2459"/>
        <v>-405.27999999999884</v>
      </c>
      <c r="BJ370" s="23">
        <f t="shared" si="2459"/>
        <v>-2640.9500000000044</v>
      </c>
      <c r="BK370" s="23">
        <f t="shared" si="2459"/>
        <v>-461.45999999999913</v>
      </c>
      <c r="BL370" s="23">
        <f t="shared" si="2459"/>
        <v>-9951.9400000000023</v>
      </c>
      <c r="BM370" s="23">
        <f t="shared" si="2459"/>
        <v>-660.2300000000032</v>
      </c>
      <c r="BN370" s="23">
        <f t="shared" si="2459"/>
        <v>-1553.0400000000009</v>
      </c>
      <c r="BO370" s="23">
        <f t="shared" ref="BO370:CT370" si="2460">BN305-BO194-BO305</f>
        <v>-672.2300000000032</v>
      </c>
      <c r="BP370" s="23">
        <f t="shared" si="2460"/>
        <v>1042.4100000000035</v>
      </c>
      <c r="BQ370" s="23">
        <f t="shared" si="2460"/>
        <v>-702.09999999999854</v>
      </c>
      <c r="BR370" s="23">
        <f t="shared" si="2460"/>
        <v>-700.43000000000757</v>
      </c>
      <c r="BS370" s="23">
        <f t="shared" si="2460"/>
        <v>-717.37999999999738</v>
      </c>
      <c r="BT370" s="23">
        <f t="shared" si="2460"/>
        <v>264.31999999999971</v>
      </c>
      <c r="BU370" s="23">
        <f t="shared" si="2460"/>
        <v>-732.45999999999913</v>
      </c>
      <c r="BV370" s="23">
        <f t="shared" si="2460"/>
        <v>-853.09999999999854</v>
      </c>
      <c r="BW370" s="23">
        <f t="shared" si="2460"/>
        <v>-963.40000000000146</v>
      </c>
      <c r="BX370" s="23">
        <f t="shared" si="2460"/>
        <v>-1526.1600000000035</v>
      </c>
      <c r="BY370" s="23">
        <f t="shared" si="2460"/>
        <v>-825.18000000000029</v>
      </c>
      <c r="BZ370" s="23">
        <f t="shared" si="2460"/>
        <v>-2153.9199999999983</v>
      </c>
      <c r="CA370" s="23">
        <f t="shared" si="2460"/>
        <v>-830.47000000000116</v>
      </c>
      <c r="CB370" s="23">
        <f t="shared" si="2460"/>
        <v>-1627.6899999999951</v>
      </c>
      <c r="CC370" s="23">
        <f t="shared" si="2460"/>
        <v>-920.75</v>
      </c>
      <c r="CD370" s="23">
        <f t="shared" si="2460"/>
        <v>-1622.9699999999939</v>
      </c>
      <c r="CE370" s="23">
        <f t="shared" si="2460"/>
        <v>-997.91999999999825</v>
      </c>
      <c r="CF370" s="23">
        <f t="shared" si="2460"/>
        <v>-791.56999999999971</v>
      </c>
      <c r="CG370" s="23">
        <f t="shared" si="2460"/>
        <v>-1047</v>
      </c>
      <c r="CH370" s="23">
        <f t="shared" si="2460"/>
        <v>-6400.7699999999968</v>
      </c>
      <c r="CI370" s="23">
        <f t="shared" si="2460"/>
        <v>0</v>
      </c>
      <c r="CJ370" s="23">
        <f t="shared" si="2460"/>
        <v>1060.2100000000137</v>
      </c>
      <c r="CK370" s="23">
        <f t="shared" si="2460"/>
        <v>-100.00000000000728</v>
      </c>
      <c r="CL370" s="23">
        <f t="shared" si="2460"/>
        <v>12035.440000000002</v>
      </c>
      <c r="CM370" s="24">
        <f t="shared" si="2460"/>
        <v>-900</v>
      </c>
      <c r="CN370" s="24">
        <f t="shared" si="2460"/>
        <v>-900</v>
      </c>
      <c r="CO370" s="24">
        <f t="shared" si="2460"/>
        <v>-900</v>
      </c>
      <c r="CP370" s="24">
        <f t="shared" si="2460"/>
        <v>-900</v>
      </c>
      <c r="CQ370" s="24">
        <f t="shared" si="2460"/>
        <v>-900</v>
      </c>
      <c r="CR370" s="24">
        <f t="shared" si="2460"/>
        <v>-900</v>
      </c>
      <c r="CS370" s="24">
        <f t="shared" si="2460"/>
        <v>-900</v>
      </c>
      <c r="CT370" s="24">
        <f t="shared" si="2460"/>
        <v>-900</v>
      </c>
      <c r="CU370" s="24">
        <f t="shared" ref="CU370:DB370" si="2461">CT305-CU194-CU305</f>
        <v>-900</v>
      </c>
      <c r="CV370" s="24">
        <f t="shared" si="2461"/>
        <v>-899.99999999999636</v>
      </c>
      <c r="CW370" s="24">
        <f t="shared" si="2461"/>
        <v>-900</v>
      </c>
      <c r="CX370" s="24">
        <f t="shared" si="2461"/>
        <v>-900</v>
      </c>
      <c r="CY370" s="24">
        <f t="shared" si="2461"/>
        <v>-900</v>
      </c>
      <c r="CZ370" s="24">
        <f t="shared" si="2461"/>
        <v>-899.99999999999636</v>
      </c>
      <c r="DA370" s="24">
        <f t="shared" si="2461"/>
        <v>-900</v>
      </c>
      <c r="DB370" s="24">
        <f t="shared" si="2461"/>
        <v>-900</v>
      </c>
      <c r="DE370" s="123"/>
      <c r="DF370" s="23">
        <v>8101.5200000000041</v>
      </c>
    </row>
    <row r="371" spans="1:110" s="23" customFormat="1" x14ac:dyDescent="0.2">
      <c r="AB371" s="24"/>
      <c r="AC371" s="24"/>
      <c r="AD371" s="24"/>
      <c r="AE371" s="24"/>
      <c r="CM371" s="24"/>
      <c r="CN371" s="24"/>
      <c r="CO371" s="24"/>
      <c r="CP371" s="24"/>
      <c r="CQ371" s="24"/>
      <c r="CR371" s="24"/>
      <c r="CS371" s="24"/>
      <c r="CT371" s="24"/>
      <c r="CU371" s="24"/>
      <c r="CV371" s="24"/>
      <c r="CW371" s="24"/>
      <c r="CX371" s="24"/>
      <c r="CY371" s="24"/>
      <c r="CZ371" s="24"/>
      <c r="DA371" s="24"/>
      <c r="DB371" s="24"/>
      <c r="DE371" s="123"/>
    </row>
    <row r="372" spans="1:110" s="22" customFormat="1" x14ac:dyDescent="0.2">
      <c r="A372" s="22" t="s">
        <v>95</v>
      </c>
      <c r="C372" s="22">
        <f t="shared" ref="C372:W372" si="2462">C373+C374</f>
        <v>-396.46000000000004</v>
      </c>
      <c r="D372" s="22">
        <f t="shared" si="2462"/>
        <v>-572.59000000000015</v>
      </c>
      <c r="E372" s="22">
        <f t="shared" si="2462"/>
        <v>-3243.8300000000004</v>
      </c>
      <c r="F372" s="22">
        <f t="shared" si="2462"/>
        <v>354.4000000000014</v>
      </c>
      <c r="G372" s="22">
        <f t="shared" si="2462"/>
        <v>378.06000000000392</v>
      </c>
      <c r="H372" s="22">
        <f t="shared" si="2462"/>
        <v>3189.5299999999988</v>
      </c>
      <c r="I372" s="22">
        <f t="shared" si="2462"/>
        <v>7744.829999999999</v>
      </c>
      <c r="J372" s="22">
        <f t="shared" si="2462"/>
        <v>7557.2000000000071</v>
      </c>
      <c r="K372" s="22">
        <f t="shared" si="2462"/>
        <v>5818.7699999999986</v>
      </c>
      <c r="L372" s="22">
        <f t="shared" si="2462"/>
        <v>12244.509999999998</v>
      </c>
      <c r="M372" s="22">
        <f t="shared" si="2462"/>
        <v>14627.789999999997</v>
      </c>
      <c r="N372" s="22">
        <f t="shared" si="2462"/>
        <v>15224.510000000006</v>
      </c>
      <c r="O372" s="22">
        <f t="shared" si="2462"/>
        <v>16662.890000000003</v>
      </c>
      <c r="P372" s="22">
        <f t="shared" si="2462"/>
        <v>10069.359999999999</v>
      </c>
      <c r="Q372" s="22">
        <f t="shared" si="2462"/>
        <v>-8561.4300000000148</v>
      </c>
      <c r="R372" s="22">
        <f t="shared" si="2462"/>
        <v>6484.1500000000069</v>
      </c>
      <c r="S372" s="22">
        <f t="shared" si="2462"/>
        <v>12525.080000000007</v>
      </c>
      <c r="T372" s="22">
        <f t="shared" si="2462"/>
        <v>18221.939999999995</v>
      </c>
      <c r="U372" s="22">
        <f t="shared" si="2462"/>
        <v>12946.060000000034</v>
      </c>
      <c r="V372" s="22">
        <f t="shared" si="2462"/>
        <v>-8308.7799999999806</v>
      </c>
      <c r="W372" s="22">
        <f t="shared" si="2462"/>
        <v>-10352.690000000026</v>
      </c>
      <c r="X372" s="22">
        <f t="shared" ref="X372:Y372" si="2463">X373+X374</f>
        <v>-7232.0800000000272</v>
      </c>
      <c r="Y372" s="22">
        <f t="shared" si="2463"/>
        <v>-18550.280000000021</v>
      </c>
      <c r="Z372" s="22">
        <f t="shared" ref="Z372:AA372" si="2464">Z373+Z374</f>
        <v>13336.479999999994</v>
      </c>
      <c r="AA372" s="22">
        <f t="shared" si="2464"/>
        <v>-10833.52999999993</v>
      </c>
      <c r="AB372" s="21">
        <f t="shared" ref="AB372:AD372" si="2465">AB373+AB374</f>
        <v>0</v>
      </c>
      <c r="AC372" s="21">
        <f t="shared" si="2465"/>
        <v>-8.7311491370201111E-11</v>
      </c>
      <c r="AD372" s="21">
        <f t="shared" si="2465"/>
        <v>-2.9103830456733704E-11</v>
      </c>
      <c r="AE372" s="21">
        <f t="shared" ref="AE372" si="2466">AE373+AE374</f>
        <v>0</v>
      </c>
      <c r="AI372" s="22">
        <f t="shared" ref="AI372" si="2467">AI373+AI374</f>
        <v>-863.65000000000066</v>
      </c>
      <c r="AJ372" s="22">
        <f t="shared" ref="AJ372:AL372" si="2468">AJ373+AJ374</f>
        <v>38294.57</v>
      </c>
      <c r="AK372" s="22">
        <f t="shared" si="2468"/>
        <v>0</v>
      </c>
      <c r="AL372" s="22">
        <f t="shared" si="2468"/>
        <v>56951.140000000007</v>
      </c>
      <c r="AM372" s="22">
        <f t="shared" ref="AM372" si="2469">AM373+AM374</f>
        <v>0</v>
      </c>
      <c r="AN372" s="22">
        <f t="shared" ref="AN372:CD372" si="2470">AN373+AN374</f>
        <v>11326.059999999996</v>
      </c>
      <c r="AO372" s="22">
        <f t="shared" si="2470"/>
        <v>0</v>
      </c>
      <c r="AP372" s="22">
        <f t="shared" si="2470"/>
        <v>5808.9300000000039</v>
      </c>
      <c r="AQ372" s="22">
        <f t="shared" si="2470"/>
        <v>0</v>
      </c>
      <c r="AR372" s="22">
        <f t="shared" si="2470"/>
        <v>5487.0199999999995</v>
      </c>
      <c r="AS372" s="22">
        <f t="shared" si="2470"/>
        <v>0</v>
      </c>
      <c r="AT372" s="22">
        <f t="shared" si="2470"/>
        <v>5005.4000000000033</v>
      </c>
      <c r="AU372" s="22">
        <f t="shared" si="2470"/>
        <v>0</v>
      </c>
      <c r="AV372" s="22">
        <f t="shared" si="2470"/>
        <v>8822.5100000000166</v>
      </c>
      <c r="AW372" s="22">
        <f t="shared" si="2470"/>
        <v>0</v>
      </c>
      <c r="AX372" s="22">
        <f t="shared" si="2470"/>
        <v>-14325.090000000033</v>
      </c>
      <c r="AY372" s="22">
        <f t="shared" si="2470"/>
        <v>0</v>
      </c>
      <c r="AZ372" s="22">
        <f t="shared" si="2470"/>
        <v>2959.0600000000131</v>
      </c>
      <c r="BA372" s="22">
        <f t="shared" si="2470"/>
        <v>0</v>
      </c>
      <c r="BB372" s="22">
        <f t="shared" si="2470"/>
        <v>3525.0799999999913</v>
      </c>
      <c r="BC372" s="22">
        <f t="shared" si="2470"/>
        <v>0</v>
      </c>
      <c r="BD372" s="22">
        <f t="shared" si="2470"/>
        <v>7335.21000000001</v>
      </c>
      <c r="BE372" s="22">
        <f t="shared" si="2470"/>
        <v>0</v>
      </c>
      <c r="BF372" s="22">
        <f t="shared" si="2470"/>
        <v>5189.8599999999806</v>
      </c>
      <c r="BG372" s="22">
        <f t="shared" si="2470"/>
        <v>0</v>
      </c>
      <c r="BH372" s="22">
        <f t="shared" si="2470"/>
        <v>14902.680000000011</v>
      </c>
      <c r="BI372" s="22">
        <f t="shared" si="2470"/>
        <v>0</v>
      </c>
      <c r="BJ372" s="22">
        <f t="shared" si="2470"/>
        <v>3319.2599999999829</v>
      </c>
      <c r="BK372" s="22">
        <f t="shared" si="2470"/>
        <v>0</v>
      </c>
      <c r="BL372" s="22">
        <f t="shared" si="2470"/>
        <v>6661.4700000000021</v>
      </c>
      <c r="BM372" s="22">
        <f t="shared" si="2470"/>
        <v>0</v>
      </c>
      <c r="BN372" s="22">
        <f t="shared" si="2470"/>
        <v>6284.5900000000092</v>
      </c>
      <c r="BO372" s="22">
        <f t="shared" si="2470"/>
        <v>0</v>
      </c>
      <c r="BP372" s="22">
        <f t="shared" si="2470"/>
        <v>6047.7100000000064</v>
      </c>
      <c r="BQ372" s="22">
        <f t="shared" si="2470"/>
        <v>0</v>
      </c>
      <c r="BR372" s="22">
        <f t="shared" si="2470"/>
        <v>-14356.489999999987</v>
      </c>
      <c r="BS372" s="22">
        <f t="shared" si="2470"/>
        <v>0</v>
      </c>
      <c r="BT372" s="22">
        <f t="shared" si="2470"/>
        <v>-9318.900000000016</v>
      </c>
      <c r="BU372" s="22">
        <f t="shared" si="2470"/>
        <v>0</v>
      </c>
      <c r="BV372" s="22">
        <f t="shared" si="2470"/>
        <v>-1033.7800000000298</v>
      </c>
      <c r="BW372" s="22">
        <f t="shared" si="2470"/>
        <v>0</v>
      </c>
      <c r="BX372" s="22">
        <f t="shared" si="2470"/>
        <v>-492.35999999997148</v>
      </c>
      <c r="BY372" s="22">
        <f t="shared" si="2470"/>
        <v>0</v>
      </c>
      <c r="BZ372" s="22">
        <f t="shared" si="2470"/>
        <v>-6739.739999999987</v>
      </c>
      <c r="CA372" s="22">
        <f t="shared" si="2470"/>
        <v>0</v>
      </c>
      <c r="CB372" s="22">
        <f t="shared" si="2470"/>
        <v>-14610.080000000027</v>
      </c>
      <c r="CC372" s="22">
        <f t="shared" si="2470"/>
        <v>0</v>
      </c>
      <c r="CD372" s="22">
        <f t="shared" si="2470"/>
        <v>-3940.1999999999971</v>
      </c>
      <c r="CE372" s="22">
        <f t="shared" ref="CE372:CF372" si="2471">CE373+CE374</f>
        <v>0</v>
      </c>
      <c r="CF372" s="22">
        <f t="shared" si="2471"/>
        <v>6782.1399999999867</v>
      </c>
      <c r="CG372" s="22">
        <f t="shared" ref="CG372:CH372" si="2472">CG373+CG374</f>
        <v>0</v>
      </c>
      <c r="CH372" s="22">
        <f t="shared" si="2472"/>
        <v>6554.340000000022</v>
      </c>
      <c r="CI372" s="22">
        <f t="shared" ref="CI372:CJ372" si="2473">CI373+CI374</f>
        <v>0</v>
      </c>
      <c r="CJ372" s="22">
        <f t="shared" si="2473"/>
        <v>-2077.3999999999942</v>
      </c>
      <c r="CK372" s="22">
        <f t="shared" ref="CK372:DB372" si="2474">CK373+CK374</f>
        <v>0</v>
      </c>
      <c r="CL372" s="22">
        <f t="shared" si="2474"/>
        <v>-8756.1299999999937</v>
      </c>
      <c r="CM372" s="21">
        <f t="shared" si="2474"/>
        <v>0</v>
      </c>
      <c r="CN372" s="21">
        <f t="shared" si="2474"/>
        <v>0</v>
      </c>
      <c r="CO372" s="21">
        <f t="shared" si="2474"/>
        <v>0</v>
      </c>
      <c r="CP372" s="21">
        <f t="shared" si="2474"/>
        <v>0</v>
      </c>
      <c r="CQ372" s="21">
        <f t="shared" si="2474"/>
        <v>0</v>
      </c>
      <c r="CR372" s="21">
        <f t="shared" si="2474"/>
        <v>0</v>
      </c>
      <c r="CS372" s="21">
        <f t="shared" si="2474"/>
        <v>0</v>
      </c>
      <c r="CT372" s="21">
        <f t="shared" si="2474"/>
        <v>0</v>
      </c>
      <c r="CU372" s="21">
        <f t="shared" si="2474"/>
        <v>0</v>
      </c>
      <c r="CV372" s="21">
        <f t="shared" si="2474"/>
        <v>0</v>
      </c>
      <c r="CW372" s="21">
        <f t="shared" si="2474"/>
        <v>0</v>
      </c>
      <c r="CX372" s="21">
        <f t="shared" si="2474"/>
        <v>0</v>
      </c>
      <c r="CY372" s="21">
        <f t="shared" si="2474"/>
        <v>0</v>
      </c>
      <c r="CZ372" s="21">
        <f t="shared" si="2474"/>
        <v>0</v>
      </c>
      <c r="DA372" s="21">
        <f t="shared" si="2474"/>
        <v>0</v>
      </c>
      <c r="DB372" s="21">
        <f t="shared" si="2474"/>
        <v>0</v>
      </c>
      <c r="DE372" s="126"/>
      <c r="DF372" s="22">
        <v>-10833.52999999993</v>
      </c>
    </row>
    <row r="373" spans="1:110" s="23" customFormat="1" x14ac:dyDescent="0.2">
      <c r="A373" s="23" t="s">
        <v>49</v>
      </c>
      <c r="C373" s="23">
        <f t="shared" ref="C373:AA373" si="2475">C295-B295</f>
        <v>714.70000000000073</v>
      </c>
      <c r="D373" s="23">
        <f t="shared" si="2475"/>
        <v>-277.19999999999982</v>
      </c>
      <c r="E373" s="23">
        <f>E295-D295</f>
        <v>-1931.6700000000005</v>
      </c>
      <c r="F373" s="23">
        <f t="shared" si="2475"/>
        <v>684.61000000000013</v>
      </c>
      <c r="G373" s="23">
        <f t="shared" si="2475"/>
        <v>44.860000000000127</v>
      </c>
      <c r="H373" s="23">
        <f t="shared" si="2475"/>
        <v>2933.5299999999993</v>
      </c>
      <c r="I373" s="23">
        <f t="shared" si="2475"/>
        <v>5883.7100000000009</v>
      </c>
      <c r="J373" s="23">
        <f>J295-I295</f>
        <v>8054.1100000000006</v>
      </c>
      <c r="K373" s="23">
        <f>K295-J295</f>
        <v>4237.2799999999988</v>
      </c>
      <c r="L373" s="23">
        <f t="shared" si="2475"/>
        <v>12702.64</v>
      </c>
      <c r="M373" s="23">
        <f t="shared" si="2475"/>
        <v>14257.79</v>
      </c>
      <c r="N373" s="23">
        <f t="shared" si="2475"/>
        <v>15057.86</v>
      </c>
      <c r="O373" s="23">
        <f t="shared" si="2475"/>
        <v>17186.660000000003</v>
      </c>
      <c r="P373" s="23">
        <f t="shared" si="2475"/>
        <v>9817.2799999999843</v>
      </c>
      <c r="Q373" s="23">
        <f t="shared" si="2475"/>
        <v>-5494.0599999999977</v>
      </c>
      <c r="R373" s="23">
        <f t="shared" si="2475"/>
        <v>5818.4600000000064</v>
      </c>
      <c r="S373" s="23">
        <f t="shared" si="2475"/>
        <v>13570.130000000019</v>
      </c>
      <c r="T373" s="23">
        <f t="shared" si="2475"/>
        <v>18031.089999999967</v>
      </c>
      <c r="U373" s="23">
        <f t="shared" si="2475"/>
        <v>15451.950000000012</v>
      </c>
      <c r="V373" s="23">
        <f t="shared" si="2475"/>
        <v>-8401.859999999986</v>
      </c>
      <c r="W373" s="23">
        <f t="shared" si="2475"/>
        <v>-9137.0299999999988</v>
      </c>
      <c r="X373" s="23">
        <f t="shared" si="2475"/>
        <v>-4954.8500000000058</v>
      </c>
      <c r="Y373" s="23">
        <f t="shared" si="2475"/>
        <v>-4473.6100000000006</v>
      </c>
      <c r="Z373" s="23">
        <f t="shared" si="2475"/>
        <v>15519.570000000007</v>
      </c>
      <c r="AA373" s="23">
        <f t="shared" si="2475"/>
        <v>-7876.320000000007</v>
      </c>
      <c r="AB373" s="24">
        <f t="shared" ref="AB373" si="2476">AB295-AA295</f>
        <v>0</v>
      </c>
      <c r="AC373" s="24">
        <f t="shared" ref="AC373" si="2477">AC295-AB295</f>
        <v>0</v>
      </c>
      <c r="AD373" s="24">
        <f t="shared" ref="AD373" si="2478">AD295-AC295</f>
        <v>0</v>
      </c>
      <c r="AE373" s="24">
        <f t="shared" ref="AE373" si="2479">AE295-AD295</f>
        <v>0</v>
      </c>
      <c r="AI373" s="23">
        <f t="shared" ref="AI373" si="2480">AI295-AH295</f>
        <v>0</v>
      </c>
      <c r="AJ373" s="23">
        <f t="shared" ref="AJ373" si="2481">AJ295-AI295</f>
        <v>12039.640000000001</v>
      </c>
      <c r="AK373" s="23">
        <f t="shared" ref="AK373" si="2482">AK295-AJ295</f>
        <v>0</v>
      </c>
      <c r="AL373" s="23">
        <f t="shared" ref="AL373" si="2483">AL295-AK295</f>
        <v>50631.99</v>
      </c>
      <c r="AM373" s="23">
        <f t="shared" ref="AM373" si="2484">AM295-AL295</f>
        <v>0</v>
      </c>
      <c r="AN373" s="23">
        <f t="shared" ref="AN373" si="2485">AN295-AM295</f>
        <v>11489.689999999995</v>
      </c>
      <c r="AO373" s="23">
        <f t="shared" ref="AO373" si="2486">AO295-AN295</f>
        <v>0</v>
      </c>
      <c r="AP373" s="23">
        <f t="shared" ref="AP373" si="2487">AP295-AO295</f>
        <v>6169.070000000007</v>
      </c>
      <c r="AQ373" s="23">
        <f t="shared" ref="AQ373" si="2488">AQ295-AP295</f>
        <v>0</v>
      </c>
      <c r="AR373" s="23">
        <f t="shared" ref="AR373" si="2489">AR295-AQ295</f>
        <v>4903.0099999999948</v>
      </c>
      <c r="AS373" s="23">
        <f t="shared" ref="AS373" si="2490">AS295-AR295</f>
        <v>0</v>
      </c>
      <c r="AT373" s="23">
        <f t="shared" ref="AT373" si="2491">AT295-AS295</f>
        <v>5337.3300000000017</v>
      </c>
      <c r="AU373" s="23">
        <f t="shared" ref="AU373" si="2492">AU295-AT295</f>
        <v>0</v>
      </c>
      <c r="AV373" s="23">
        <f t="shared" ref="AV373" si="2493">AV295-AU295</f>
        <v>7694.2400000000198</v>
      </c>
      <c r="AW373" s="23">
        <f t="shared" ref="AW373" si="2494">AW295-AV295</f>
        <v>0</v>
      </c>
      <c r="AX373" s="23">
        <f t="shared" ref="AX373" si="2495">AX295-AW295</f>
        <v>-10129.480000000025</v>
      </c>
      <c r="AY373" s="23">
        <f t="shared" ref="AY373" si="2496">AY295-AX295</f>
        <v>0</v>
      </c>
      <c r="AZ373" s="23">
        <f t="shared" ref="AZ373" si="2497">AZ295-AY295</f>
        <v>2660.9600000000064</v>
      </c>
      <c r="BA373" s="23">
        <f t="shared" ref="BA373" si="2498">BA295-AZ295</f>
        <v>0</v>
      </c>
      <c r="BB373" s="23">
        <f t="shared" ref="BB373" si="2499">BB295-BA295</f>
        <v>3157.5</v>
      </c>
      <c r="BC373" s="23">
        <f t="shared" ref="BC373" si="2500">BC295-BB295</f>
        <v>0</v>
      </c>
      <c r="BD373" s="23">
        <f t="shared" ref="BD373" si="2501">BD295-BC295</f>
        <v>8851.1800000000076</v>
      </c>
      <c r="BE373" s="23">
        <f t="shared" ref="BE373" si="2502">BE295-BD295</f>
        <v>0</v>
      </c>
      <c r="BF373" s="23">
        <f t="shared" ref="BF373" si="2503">BF295-BE295</f>
        <v>4718.9499999999825</v>
      </c>
      <c r="BG373" s="23">
        <f t="shared" ref="BG373" si="2504">BG295-BF295</f>
        <v>0</v>
      </c>
      <c r="BH373" s="23">
        <f t="shared" ref="BH373" si="2505">BH295-BG295</f>
        <v>16029.130000000005</v>
      </c>
      <c r="BI373" s="23">
        <f t="shared" ref="BI373" si="2506">BI295-BH295</f>
        <v>0</v>
      </c>
      <c r="BJ373" s="23">
        <f t="shared" ref="BJ373" si="2507">BJ295-BI295</f>
        <v>2001.9599999999919</v>
      </c>
      <c r="BK373" s="23">
        <f t="shared" ref="BK373" si="2508">BK295-BJ295</f>
        <v>0</v>
      </c>
      <c r="BL373" s="23">
        <f t="shared" ref="BL373" si="2509">BL295-BK295</f>
        <v>7461.6600000000035</v>
      </c>
      <c r="BM373" s="23">
        <f t="shared" ref="BM373" si="2510">BM295-BL295</f>
        <v>0</v>
      </c>
      <c r="BN373" s="23">
        <f t="shared" ref="BN373" si="2511">BN295-BM295</f>
        <v>7990.2900000000081</v>
      </c>
      <c r="BO373" s="23">
        <f t="shared" ref="BO373" si="2512">BO295-BN295</f>
        <v>0</v>
      </c>
      <c r="BP373" s="23">
        <f t="shared" ref="BP373" si="2513">BP295-BO295</f>
        <v>5614.2300000000105</v>
      </c>
      <c r="BQ373" s="23">
        <f t="shared" ref="BQ373" si="2514">BQ295-BP295</f>
        <v>0</v>
      </c>
      <c r="BR373" s="23">
        <f t="shared" ref="BR373" si="2515">BR295-BQ295</f>
        <v>-14016.089999999997</v>
      </c>
      <c r="BS373" s="23">
        <f t="shared" ref="BS373" si="2516">BS295-BR295</f>
        <v>0</v>
      </c>
      <c r="BT373" s="23">
        <f t="shared" ref="BT373" si="2517">BT295-BS295</f>
        <v>-7578.9200000000128</v>
      </c>
      <c r="BU373" s="23">
        <f t="shared" ref="BU373" si="2518">BU295-BT295</f>
        <v>0</v>
      </c>
      <c r="BV373" s="23">
        <f t="shared" ref="BV373" si="2519">BV295-BU295</f>
        <v>-1558.1100000000151</v>
      </c>
      <c r="BW373" s="23">
        <f t="shared" ref="BW373" si="2520">BW295-BV295</f>
        <v>0</v>
      </c>
      <c r="BX373" s="23">
        <f t="shared" ref="BX373" si="2521">BX295-BW295</f>
        <v>3578.5300000000134</v>
      </c>
      <c r="BY373" s="23">
        <f t="shared" ref="BY373" si="2522">BY295-BX295</f>
        <v>0</v>
      </c>
      <c r="BZ373" s="23">
        <f t="shared" ref="BZ373" si="2523">BZ295-BY295</f>
        <v>-8533.3799999999901</v>
      </c>
      <c r="CA373" s="23">
        <f t="shared" ref="CA373" si="2524">CA295-BZ295</f>
        <v>0</v>
      </c>
      <c r="CB373" s="23">
        <f t="shared" ref="CB373" si="2525">CB295-CA295</f>
        <v>1222.859999999986</v>
      </c>
      <c r="CC373" s="23">
        <f t="shared" ref="CC373" si="2526">CC295-CB295</f>
        <v>0</v>
      </c>
      <c r="CD373" s="23">
        <f t="shared" ref="CD373" si="2527">CD295-CC295</f>
        <v>-5696.4699999999866</v>
      </c>
      <c r="CE373" s="23">
        <f t="shared" ref="CE373" si="2528">CE295-CD295</f>
        <v>0</v>
      </c>
      <c r="CF373" s="23">
        <f t="shared" ref="CF373" si="2529">CF295-CE295</f>
        <v>9531.8199999999924</v>
      </c>
      <c r="CG373" s="23">
        <f t="shared" ref="CG373" si="2530">CG295-CF295</f>
        <v>0</v>
      </c>
      <c r="CH373" s="23">
        <f t="shared" ref="CH373:CL373" si="2531">CH295-CG295</f>
        <v>5987.7500000000146</v>
      </c>
      <c r="CI373" s="23">
        <f t="shared" si="2531"/>
        <v>0</v>
      </c>
      <c r="CJ373" s="23">
        <f t="shared" si="2531"/>
        <v>1062.4299999999785</v>
      </c>
      <c r="CK373" s="23">
        <f t="shared" ref="CK373" si="2532">CK295-CJ295</f>
        <v>0</v>
      </c>
      <c r="CL373" s="23">
        <f t="shared" si="2531"/>
        <v>-8938.75</v>
      </c>
      <c r="CM373" s="24">
        <f t="shared" ref="CM373" si="2533">CM295-CL295</f>
        <v>0</v>
      </c>
      <c r="CN373" s="24">
        <f t="shared" ref="CN373" si="2534">CN295-CM295</f>
        <v>0</v>
      </c>
      <c r="CO373" s="24">
        <f t="shared" ref="CO373" si="2535">CO295-CN295</f>
        <v>0</v>
      </c>
      <c r="CP373" s="24">
        <f t="shared" ref="CP373" si="2536">CP295-CO295</f>
        <v>0</v>
      </c>
      <c r="CQ373" s="24">
        <f t="shared" ref="CQ373" si="2537">CQ295-CP295</f>
        <v>0</v>
      </c>
      <c r="CR373" s="24">
        <f t="shared" ref="CR373" si="2538">CR295-CQ295</f>
        <v>0</v>
      </c>
      <c r="CS373" s="24">
        <f t="shared" ref="CS373" si="2539">CS295-CR295</f>
        <v>0</v>
      </c>
      <c r="CT373" s="24">
        <f t="shared" ref="CT373" si="2540">CT295-CS295</f>
        <v>0</v>
      </c>
      <c r="CU373" s="24">
        <f t="shared" ref="CU373" si="2541">CU295-CT295</f>
        <v>0</v>
      </c>
      <c r="CV373" s="24">
        <f t="shared" ref="CV373" si="2542">CV295-CU295</f>
        <v>0</v>
      </c>
      <c r="CW373" s="24">
        <f t="shared" ref="CW373" si="2543">CW295-CV295</f>
        <v>0</v>
      </c>
      <c r="CX373" s="24">
        <f t="shared" ref="CX373" si="2544">CX295-CW295</f>
        <v>0</v>
      </c>
      <c r="CY373" s="24">
        <f t="shared" ref="CY373" si="2545">CY295-CX295</f>
        <v>0</v>
      </c>
      <c r="CZ373" s="24">
        <f t="shared" ref="CZ373" si="2546">CZ295-CY295</f>
        <v>0</v>
      </c>
      <c r="DA373" s="24">
        <f t="shared" ref="DA373" si="2547">DA295-CZ295</f>
        <v>0</v>
      </c>
      <c r="DB373" s="24">
        <f t="shared" ref="DB373" si="2548">DB295-DA295</f>
        <v>0</v>
      </c>
      <c r="DE373" s="123"/>
      <c r="DF373" s="23">
        <v>-7876.320000000007</v>
      </c>
    </row>
    <row r="374" spans="1:110" s="23" customFormat="1" x14ac:dyDescent="0.2">
      <c r="A374" s="23" t="s">
        <v>27</v>
      </c>
      <c r="C374" s="23">
        <f t="shared" ref="C374:AE374" si="2549">C287-C210-B287+C289-B289</f>
        <v>-1111.1600000000008</v>
      </c>
      <c r="D374" s="23">
        <f t="shared" si="2549"/>
        <v>-295.39000000000033</v>
      </c>
      <c r="E374" s="23">
        <f t="shared" si="2549"/>
        <v>-1312.1599999999999</v>
      </c>
      <c r="F374" s="23">
        <f t="shared" si="2549"/>
        <v>-330.20999999999873</v>
      </c>
      <c r="G374" s="23">
        <f t="shared" si="2549"/>
        <v>333.2000000000038</v>
      </c>
      <c r="H374" s="23">
        <f t="shared" si="2549"/>
        <v>255.99999999999943</v>
      </c>
      <c r="I374" s="23">
        <f t="shared" si="2549"/>
        <v>1861.1199999999978</v>
      </c>
      <c r="J374" s="23">
        <f t="shared" si="2549"/>
        <v>-496.9099999999936</v>
      </c>
      <c r="K374" s="23">
        <f t="shared" si="2549"/>
        <v>1581.4899999999998</v>
      </c>
      <c r="L374" s="23">
        <f t="shared" si="2549"/>
        <v>-458.13000000000102</v>
      </c>
      <c r="M374" s="23">
        <f t="shared" si="2549"/>
        <v>369.99999999999727</v>
      </c>
      <c r="N374" s="23">
        <f t="shared" si="2549"/>
        <v>166.65000000000509</v>
      </c>
      <c r="O374" s="23">
        <f t="shared" si="2549"/>
        <v>-523.7700000000018</v>
      </c>
      <c r="P374" s="23">
        <f t="shared" si="2549"/>
        <v>252.08000000001402</v>
      </c>
      <c r="Q374" s="23">
        <f t="shared" si="2549"/>
        <v>-3067.3700000000181</v>
      </c>
      <c r="R374" s="23">
        <f t="shared" si="2549"/>
        <v>665.69</v>
      </c>
      <c r="S374" s="23">
        <f t="shared" si="2549"/>
        <v>-1045.0500000000116</v>
      </c>
      <c r="T374" s="23">
        <f t="shared" si="2549"/>
        <v>190.85000000002674</v>
      </c>
      <c r="U374" s="23">
        <f t="shared" si="2549"/>
        <v>-2505.8899999999785</v>
      </c>
      <c r="V374" s="23">
        <f t="shared" si="2549"/>
        <v>93.080000000005384</v>
      </c>
      <c r="W374" s="23">
        <f t="shared" si="2549"/>
        <v>-1215.6600000000271</v>
      </c>
      <c r="X374" s="23">
        <f t="shared" si="2549"/>
        <v>-2277.2300000000214</v>
      </c>
      <c r="Y374" s="23">
        <f t="shared" si="2549"/>
        <v>-14076.670000000022</v>
      </c>
      <c r="Z374" s="23">
        <f t="shared" si="2549"/>
        <v>-2183.0900000000129</v>
      </c>
      <c r="AA374" s="23">
        <f t="shared" si="2549"/>
        <v>-2957.2099999999227</v>
      </c>
      <c r="AB374" s="24">
        <f t="shared" si="2549"/>
        <v>0</v>
      </c>
      <c r="AC374" s="24">
        <f t="shared" si="2549"/>
        <v>-8.7311491370201111E-11</v>
      </c>
      <c r="AD374" s="24">
        <f t="shared" si="2549"/>
        <v>-2.9103830456733704E-11</v>
      </c>
      <c r="AE374" s="24">
        <f t="shared" si="2549"/>
        <v>0</v>
      </c>
      <c r="AI374" s="23">
        <f t="shared" ref="AI374:BN374" si="2550">AI287-AI210-AH287+AI289-AH289</f>
        <v>-863.65000000000066</v>
      </c>
      <c r="AJ374" s="23">
        <f t="shared" si="2550"/>
        <v>26254.929999999997</v>
      </c>
      <c r="AK374" s="23">
        <f t="shared" si="2550"/>
        <v>0</v>
      </c>
      <c r="AL374" s="23">
        <f t="shared" si="2550"/>
        <v>6319.150000000006</v>
      </c>
      <c r="AM374" s="23">
        <f t="shared" si="2550"/>
        <v>0</v>
      </c>
      <c r="AN374" s="23">
        <f t="shared" si="2550"/>
        <v>-163.62999999999874</v>
      </c>
      <c r="AO374" s="23">
        <f t="shared" si="2550"/>
        <v>0</v>
      </c>
      <c r="AP374" s="23">
        <f t="shared" si="2550"/>
        <v>-360.14000000000306</v>
      </c>
      <c r="AQ374" s="23">
        <f t="shared" si="2550"/>
        <v>0</v>
      </c>
      <c r="AR374" s="23">
        <f t="shared" si="2550"/>
        <v>584.01000000000477</v>
      </c>
      <c r="AS374" s="23">
        <f t="shared" si="2550"/>
        <v>0</v>
      </c>
      <c r="AT374" s="23">
        <f t="shared" si="2550"/>
        <v>-331.92999999999802</v>
      </c>
      <c r="AU374" s="23">
        <f t="shared" si="2550"/>
        <v>0</v>
      </c>
      <c r="AV374" s="23">
        <f t="shared" si="2550"/>
        <v>1128.2699999999959</v>
      </c>
      <c r="AW374" s="23">
        <f t="shared" si="2550"/>
        <v>0</v>
      </c>
      <c r="AX374" s="23">
        <f t="shared" si="2550"/>
        <v>-4195.6100000000079</v>
      </c>
      <c r="AY374" s="23">
        <f t="shared" si="2550"/>
        <v>0</v>
      </c>
      <c r="AZ374" s="23">
        <f t="shared" si="2550"/>
        <v>298.10000000000673</v>
      </c>
      <c r="BA374" s="23">
        <f t="shared" si="2550"/>
        <v>0</v>
      </c>
      <c r="BB374" s="23">
        <f t="shared" si="2550"/>
        <v>367.57999999999129</v>
      </c>
      <c r="BC374" s="23">
        <f t="shared" si="2550"/>
        <v>0</v>
      </c>
      <c r="BD374" s="23">
        <f t="shared" si="2550"/>
        <v>-1515.9699999999971</v>
      </c>
      <c r="BE374" s="23">
        <f t="shared" si="2550"/>
        <v>0</v>
      </c>
      <c r="BF374" s="23">
        <f t="shared" si="2550"/>
        <v>470.90999999999804</v>
      </c>
      <c r="BG374" s="23">
        <f t="shared" si="2550"/>
        <v>0</v>
      </c>
      <c r="BH374" s="23">
        <f t="shared" si="2550"/>
        <v>-1126.4499999999935</v>
      </c>
      <c r="BI374" s="23">
        <f t="shared" si="2550"/>
        <v>0</v>
      </c>
      <c r="BJ374" s="23">
        <f t="shared" si="2550"/>
        <v>1317.2999999999911</v>
      </c>
      <c r="BK374" s="23">
        <f t="shared" si="2550"/>
        <v>0</v>
      </c>
      <c r="BL374" s="23">
        <f t="shared" si="2550"/>
        <v>-800.19000000000142</v>
      </c>
      <c r="BM374" s="23">
        <f t="shared" si="2550"/>
        <v>0</v>
      </c>
      <c r="BN374" s="23">
        <f t="shared" si="2550"/>
        <v>-1705.6999999999989</v>
      </c>
      <c r="BO374" s="23">
        <f t="shared" ref="BO374:CT374" si="2551">BO287-BO210-BN287+BO289-BN289</f>
        <v>0</v>
      </c>
      <c r="BP374" s="23">
        <f t="shared" si="2551"/>
        <v>433.47999999999593</v>
      </c>
      <c r="BQ374" s="23">
        <f t="shared" si="2551"/>
        <v>0</v>
      </c>
      <c r="BR374" s="23">
        <f t="shared" si="2551"/>
        <v>-340.39999999999054</v>
      </c>
      <c r="BS374" s="23">
        <f t="shared" si="2551"/>
        <v>0</v>
      </c>
      <c r="BT374" s="23">
        <f t="shared" si="2551"/>
        <v>-1739.9800000000032</v>
      </c>
      <c r="BU374" s="23">
        <f t="shared" si="2551"/>
        <v>0</v>
      </c>
      <c r="BV374" s="23">
        <f t="shared" si="2551"/>
        <v>524.32999999998538</v>
      </c>
      <c r="BW374" s="23">
        <f t="shared" si="2551"/>
        <v>0</v>
      </c>
      <c r="BX374" s="23">
        <f t="shared" si="2551"/>
        <v>-4070.8899999999849</v>
      </c>
      <c r="BY374" s="23">
        <f t="shared" si="2551"/>
        <v>0</v>
      </c>
      <c r="BZ374" s="23">
        <f t="shared" si="2551"/>
        <v>1793.6400000000031</v>
      </c>
      <c r="CA374" s="23">
        <f t="shared" si="2551"/>
        <v>0</v>
      </c>
      <c r="CB374" s="23">
        <f t="shared" si="2551"/>
        <v>-15832.940000000013</v>
      </c>
      <c r="CC374" s="23">
        <f t="shared" si="2551"/>
        <v>0</v>
      </c>
      <c r="CD374" s="23">
        <f t="shared" si="2551"/>
        <v>1756.2699999999895</v>
      </c>
      <c r="CE374" s="23">
        <f t="shared" si="2551"/>
        <v>0</v>
      </c>
      <c r="CF374" s="23">
        <f t="shared" si="2551"/>
        <v>-2749.6800000000057</v>
      </c>
      <c r="CG374" s="23">
        <f t="shared" si="2551"/>
        <v>0</v>
      </c>
      <c r="CH374" s="23">
        <f t="shared" si="2551"/>
        <v>566.59000000000742</v>
      </c>
      <c r="CI374" s="23">
        <f t="shared" si="2551"/>
        <v>0</v>
      </c>
      <c r="CJ374" s="23">
        <f t="shared" si="2551"/>
        <v>-3139.8299999999726</v>
      </c>
      <c r="CK374" s="23">
        <f t="shared" si="2551"/>
        <v>0</v>
      </c>
      <c r="CL374" s="23">
        <f t="shared" si="2551"/>
        <v>182.62000000000626</v>
      </c>
      <c r="CM374" s="24">
        <f t="shared" si="2551"/>
        <v>0</v>
      </c>
      <c r="CN374" s="24">
        <f t="shared" si="2551"/>
        <v>0</v>
      </c>
      <c r="CO374" s="24">
        <f t="shared" si="2551"/>
        <v>0</v>
      </c>
      <c r="CP374" s="24">
        <f t="shared" si="2551"/>
        <v>0</v>
      </c>
      <c r="CQ374" s="24">
        <f t="shared" si="2551"/>
        <v>0</v>
      </c>
      <c r="CR374" s="24">
        <f t="shared" si="2551"/>
        <v>0</v>
      </c>
      <c r="CS374" s="24">
        <f t="shared" si="2551"/>
        <v>0</v>
      </c>
      <c r="CT374" s="24">
        <f t="shared" si="2551"/>
        <v>0</v>
      </c>
      <c r="CU374" s="24">
        <f t="shared" ref="CU374:DB374" si="2552">CU287-CU210-CT287+CU289-CT289</f>
        <v>0</v>
      </c>
      <c r="CV374" s="24">
        <f t="shared" si="2552"/>
        <v>0</v>
      </c>
      <c r="CW374" s="24">
        <f t="shared" si="2552"/>
        <v>0</v>
      </c>
      <c r="CX374" s="24">
        <f t="shared" si="2552"/>
        <v>0</v>
      </c>
      <c r="CY374" s="24">
        <f t="shared" si="2552"/>
        <v>0</v>
      </c>
      <c r="CZ374" s="24">
        <f t="shared" si="2552"/>
        <v>0</v>
      </c>
      <c r="DA374" s="24">
        <f t="shared" si="2552"/>
        <v>0</v>
      </c>
      <c r="DB374" s="24">
        <f t="shared" si="2552"/>
        <v>0</v>
      </c>
      <c r="DE374" s="123"/>
      <c r="DF374" s="23">
        <v>-2957.2099999999227</v>
      </c>
    </row>
    <row r="375" spans="1:110" s="23" customFormat="1" x14ac:dyDescent="0.2">
      <c r="AB375" s="24"/>
      <c r="AC375" s="24"/>
      <c r="AD375" s="24"/>
      <c r="AE375" s="24"/>
      <c r="CM375" s="24"/>
      <c r="CN375" s="24"/>
      <c r="CO375" s="24"/>
      <c r="CP375" s="24"/>
      <c r="CQ375" s="24"/>
      <c r="CR375" s="24"/>
      <c r="CS375" s="24"/>
      <c r="CT375" s="24"/>
      <c r="CU375" s="24"/>
      <c r="CV375" s="24"/>
      <c r="CW375" s="24"/>
      <c r="CX375" s="24"/>
      <c r="CY375" s="24"/>
      <c r="CZ375" s="24"/>
      <c r="DA375" s="24"/>
      <c r="DB375" s="24"/>
      <c r="DE375" s="123"/>
    </row>
    <row r="376" spans="1:110" s="23" customFormat="1" x14ac:dyDescent="0.2">
      <c r="A376" s="23" t="s">
        <v>442</v>
      </c>
      <c r="C376" s="23">
        <f t="shared" ref="C376" si="2553">B328</f>
        <v>138.88</v>
      </c>
      <c r="D376" s="23">
        <f t="shared" ref="D376" si="2554">C328</f>
        <v>349.49</v>
      </c>
      <c r="E376" s="23">
        <f>D328</f>
        <v>779.67000000000007</v>
      </c>
      <c r="F376" s="23">
        <f t="shared" ref="F376" si="2555">E328</f>
        <v>825.23</v>
      </c>
      <c r="G376" s="23">
        <f t="shared" ref="G376" si="2556">F328</f>
        <v>1046.31</v>
      </c>
      <c r="H376" s="23">
        <f t="shared" ref="H376" si="2557">G328</f>
        <v>1589.8200000000002</v>
      </c>
      <c r="I376" s="23">
        <f t="shared" ref="I376" si="2558">H328</f>
        <v>3242.51</v>
      </c>
      <c r="J376" s="23">
        <f>I328</f>
        <v>6161.5999999999995</v>
      </c>
      <c r="K376" s="23">
        <f>J328</f>
        <v>6687.28</v>
      </c>
      <c r="L376" s="23">
        <f t="shared" ref="L376" si="2559">K328</f>
        <v>11891.49</v>
      </c>
      <c r="M376" s="23">
        <f t="shared" ref="M376" si="2560">L328</f>
        <v>11357.08</v>
      </c>
      <c r="N376" s="23">
        <f t="shared" ref="N376" si="2561">M328</f>
        <v>10603.2</v>
      </c>
      <c r="O376" s="23">
        <f t="shared" ref="O376" si="2562">N328</f>
        <v>11109.45</v>
      </c>
      <c r="P376" s="23">
        <f t="shared" ref="P376" si="2563">O328</f>
        <v>10772.73</v>
      </c>
      <c r="Q376" s="23">
        <f t="shared" ref="Q376" si="2564">P328</f>
        <v>13721.529999999999</v>
      </c>
      <c r="R376" s="23">
        <f t="shared" ref="R376" si="2565">Q328</f>
        <v>12884.099999999999</v>
      </c>
      <c r="S376" s="23">
        <f t="shared" ref="S376" si="2566">R328</f>
        <v>19606.18</v>
      </c>
      <c r="T376" s="23">
        <f t="shared" ref="T376" si="2567">S328</f>
        <v>17496.98</v>
      </c>
      <c r="U376" s="23">
        <f t="shared" ref="U376" si="2568">T328</f>
        <v>25672.41</v>
      </c>
      <c r="V376" s="23">
        <f t="shared" ref="V376" si="2569">U328</f>
        <v>27817.53</v>
      </c>
      <c r="W376" s="23">
        <f t="shared" ref="W376:AA376" si="2570">V328</f>
        <v>47252.729999999996</v>
      </c>
      <c r="X376" s="23">
        <f t="shared" si="2570"/>
        <v>48752.75</v>
      </c>
      <c r="Y376" s="23">
        <f t="shared" si="2570"/>
        <v>58093.02</v>
      </c>
      <c r="Z376" s="23">
        <f t="shared" si="2570"/>
        <v>50316.02</v>
      </c>
      <c r="AA376" s="23">
        <f t="shared" si="2570"/>
        <v>66325.960000000006</v>
      </c>
      <c r="AB376" s="24">
        <f t="shared" ref="AB376" si="2571">AA328</f>
        <v>80372.53</v>
      </c>
      <c r="AC376" s="24">
        <f t="shared" ref="AC376" si="2572">AB328</f>
        <v>88815.940468675326</v>
      </c>
      <c r="AD376" s="24">
        <f t="shared" ref="AD376" si="2573">AC328</f>
        <v>101155.63326208452</v>
      </c>
      <c r="AE376" s="24">
        <f t="shared" ref="AE376" si="2574">AD328</f>
        <v>108496.9168729232</v>
      </c>
      <c r="AI376" s="23">
        <f t="shared" ref="AI376" si="2575">AH328</f>
        <v>0</v>
      </c>
      <c r="AJ376" s="23">
        <f t="shared" ref="AJ376" si="2576">AI328</f>
        <v>0</v>
      </c>
      <c r="AK376" s="23">
        <f t="shared" ref="AK376" si="2577">AJ328</f>
        <v>7099.34</v>
      </c>
      <c r="AL376" s="23">
        <f t="shared" ref="AL376" si="2578">AK328</f>
        <v>8387.527730359634</v>
      </c>
      <c r="AM376" s="23">
        <f t="shared" ref="AM376" si="2579">AL328</f>
        <v>11109.45</v>
      </c>
      <c r="AN376" s="23">
        <f t="shared" ref="AN376" si="2580">AM328</f>
        <v>12136.27545903465</v>
      </c>
      <c r="AO376" s="23">
        <f t="shared" ref="AO376" si="2581">AN328</f>
        <v>11053.99</v>
      </c>
      <c r="AP376" s="23">
        <f t="shared" ref="AP376" si="2582">AO328</f>
        <v>10295.0907262129</v>
      </c>
      <c r="AQ376" s="23">
        <f t="shared" ref="AQ376" si="2583">AP328</f>
        <v>10772.73</v>
      </c>
      <c r="AR376" s="23">
        <f t="shared" ref="AR376" si="2584">AQ328</f>
        <v>15092.542164201255</v>
      </c>
      <c r="AS376" s="23">
        <f t="shared" ref="AS376" si="2585">AR328</f>
        <v>11200.14</v>
      </c>
      <c r="AT376" s="23">
        <f t="shared" ref="AT376" si="2586">AS328</f>
        <v>10594.434165033268</v>
      </c>
      <c r="AU376" s="23">
        <f t="shared" ref="AU376" si="2587">AT328</f>
        <v>13721.529999999999</v>
      </c>
      <c r="AV376" s="23">
        <f t="shared" ref="AV376" si="2588">AU328</f>
        <v>17616.754389869959</v>
      </c>
      <c r="AW376" s="23">
        <f t="shared" ref="AW376" si="2589">AV328</f>
        <v>14944.29</v>
      </c>
      <c r="AX376" s="23">
        <f t="shared" ref="AX376" si="2590">AW328</f>
        <v>14064.33461951659</v>
      </c>
      <c r="AY376" s="23">
        <f t="shared" ref="AY376" si="2591">AX328</f>
        <v>12884.099999999999</v>
      </c>
      <c r="AZ376" s="23">
        <f t="shared" ref="AZ376" si="2592">AY328</f>
        <v>14808.031590822458</v>
      </c>
      <c r="BA376" s="23">
        <f t="shared" ref="BA376" si="2593">AZ328</f>
        <v>15138.86</v>
      </c>
      <c r="BB376" s="23">
        <f t="shared" ref="BB376" si="2594">BA328</f>
        <v>15836.121803099237</v>
      </c>
      <c r="BC376" s="23">
        <f t="shared" ref="BC376" si="2595">BB328</f>
        <v>19606.18</v>
      </c>
      <c r="BD376" s="23">
        <f t="shared" ref="BD376" si="2596">BC328</f>
        <v>21394.329024250306</v>
      </c>
      <c r="BE376" s="23">
        <f t="shared" ref="BE376" si="2597">BD328</f>
        <v>19764.64</v>
      </c>
      <c r="BF376" s="23">
        <f t="shared" ref="BF376" si="2598">BE328</f>
        <v>20764.289421517042</v>
      </c>
      <c r="BG376" s="23">
        <f t="shared" ref="BG376" si="2599">BF328</f>
        <v>17496.98</v>
      </c>
      <c r="BH376" s="23">
        <f t="shared" ref="BH376" si="2600">BG328</f>
        <v>18768.028986063699</v>
      </c>
      <c r="BI376" s="23">
        <f t="shared" ref="BI376" si="2601">BH328</f>
        <v>21574.59</v>
      </c>
      <c r="BJ376" s="23">
        <f t="shared" ref="BJ376" si="2602">BI328</f>
        <v>23116.922723269014</v>
      </c>
      <c r="BK376" s="23">
        <f t="shared" ref="BK376" si="2603">BJ328</f>
        <v>25672.41</v>
      </c>
      <c r="BL376" s="23">
        <f t="shared" ref="BL376" si="2604">BK328</f>
        <v>27228.626332839933</v>
      </c>
      <c r="BM376" s="23">
        <f t="shared" ref="BM376" si="2605">BL328</f>
        <v>16274.25</v>
      </c>
      <c r="BN376" s="23">
        <f t="shared" ref="BN376" si="2606">BM328</f>
        <v>18493.728116707622</v>
      </c>
      <c r="BO376" s="23">
        <f t="shared" ref="BO376" si="2607">BN328</f>
        <v>27817.53</v>
      </c>
      <c r="BP376" s="23">
        <f t="shared" ref="BP376" si="2608">BO328</f>
        <v>29593.050444069959</v>
      </c>
      <c r="BQ376" s="23">
        <f t="shared" ref="BQ376" si="2609">BP328</f>
        <v>46794.73</v>
      </c>
      <c r="BR376" s="23">
        <f t="shared" ref="BR376" si="2610">BQ328</f>
        <v>48607.38500183991</v>
      </c>
      <c r="BS376" s="23">
        <f t="shared" ref="BS376" si="2611">BR328</f>
        <v>47252.729999999996</v>
      </c>
      <c r="BT376" s="23">
        <f t="shared" ref="BT376" si="2612">BS328</f>
        <v>49326.101844295539</v>
      </c>
      <c r="BU376" s="23">
        <f t="shared" ref="BU376" si="2613">BT328</f>
        <v>45468.68</v>
      </c>
      <c r="BV376" s="23">
        <f t="shared" ref="BV376" si="2614">BU328</f>
        <v>46808.01021049152</v>
      </c>
      <c r="BW376" s="23">
        <f t="shared" ref="BW376" si="2615">BV328</f>
        <v>48752.75</v>
      </c>
      <c r="BX376" s="23">
        <f t="shared" ref="BX376" si="2616">BW328</f>
        <v>50685.423054595129</v>
      </c>
      <c r="BY376" s="23">
        <f t="shared" ref="BY376" si="2617">BX328</f>
        <v>46136.56</v>
      </c>
      <c r="BZ376" s="23">
        <f t="shared" ref="BZ376" si="2618">BY328</f>
        <v>48127.556544411105</v>
      </c>
      <c r="CA376" s="23">
        <f t="shared" ref="CA376" si="2619">BZ328</f>
        <v>58093.02</v>
      </c>
      <c r="CB376" s="23">
        <f t="shared" ref="CB376" si="2620">CA328</f>
        <v>60904.286487841367</v>
      </c>
      <c r="CC376" s="23">
        <f t="shared" ref="CC376" si="2621">CB328</f>
        <v>47352.009999999995</v>
      </c>
      <c r="CD376" s="23">
        <f t="shared" ref="CD376" si="2622">CC328</f>
        <v>49488.614301772242</v>
      </c>
      <c r="CE376" s="23">
        <f t="shared" ref="CE376" si="2623">CD328</f>
        <v>50316.02</v>
      </c>
      <c r="CF376" s="23">
        <f t="shared" ref="CF376" si="2624">CE328</f>
        <v>53475.820074080184</v>
      </c>
      <c r="CG376" s="23">
        <f t="shared" ref="CG376" si="2625">CF328</f>
        <v>55439.100000000006</v>
      </c>
      <c r="CH376" s="23">
        <f t="shared" ref="CH376:CL376" si="2626">CG328</f>
        <v>58451.261028979454</v>
      </c>
      <c r="CI376" s="23">
        <f t="shared" si="2626"/>
        <v>66325.960000000006</v>
      </c>
      <c r="CJ376" s="23">
        <f t="shared" si="2626"/>
        <v>87849.641907515135</v>
      </c>
      <c r="CK376" s="23">
        <f t="shared" ref="CK376" si="2627">CJ328</f>
        <v>63123.600000000006</v>
      </c>
      <c r="CL376" s="23">
        <f t="shared" si="2626"/>
        <v>60786.170926986277</v>
      </c>
      <c r="CM376" s="24">
        <f t="shared" ref="CM376" si="2628">CL328</f>
        <v>80372.53</v>
      </c>
      <c r="CN376" s="24">
        <f t="shared" ref="CN376" si="2629">CM328</f>
        <v>99829.765094848583</v>
      </c>
      <c r="CO376" s="24">
        <f t="shared" ref="CO376" si="2630">CN328</f>
        <v>100879.23199033772</v>
      </c>
      <c r="CP376" s="24">
        <f t="shared" ref="CP376" si="2631">CO328</f>
        <v>102813.42436480173</v>
      </c>
      <c r="CQ376" s="24">
        <f t="shared" ref="CQ376" si="2632">CP328</f>
        <v>88815.940468675326</v>
      </c>
      <c r="CR376" s="24">
        <f t="shared" ref="CR376" si="2633">CQ328</f>
        <v>113746.645398547</v>
      </c>
      <c r="CS376" s="24">
        <f t="shared" ref="CS376" si="2634">CR328</f>
        <v>113727.62627930773</v>
      </c>
      <c r="CT376" s="24">
        <f t="shared" ref="CT376" si="2635">CS328</f>
        <v>114447.52193979266</v>
      </c>
      <c r="CU376" s="24">
        <f t="shared" ref="CU376" si="2636">CT328</f>
        <v>101155.63326208452</v>
      </c>
      <c r="CV376" s="24">
        <f t="shared" ref="CV376" si="2637">CU328</f>
        <v>127264.31069648857</v>
      </c>
      <c r="CW376" s="24">
        <f t="shared" ref="CW376" si="2638">CV328</f>
        <v>125633.43847684146</v>
      </c>
      <c r="CX376" s="24">
        <f t="shared" ref="CX376" si="2639">CW328</f>
        <v>124609.05875798491</v>
      </c>
      <c r="CY376" s="24">
        <f t="shared" ref="CY376" si="2640">CX328</f>
        <v>108496.9168729232</v>
      </c>
      <c r="CZ376" s="24">
        <f t="shared" ref="CZ376" si="2641">CY328</f>
        <v>138994.02490968927</v>
      </c>
      <c r="DA376" s="24">
        <f t="shared" ref="DA376" si="2642">CZ328</f>
        <v>137470.05401026766</v>
      </c>
      <c r="DB376" s="24">
        <f t="shared" ref="DB376" si="2643">DA328</f>
        <v>136669.84516052797</v>
      </c>
      <c r="DE376" s="123"/>
      <c r="DF376" s="23">
        <v>66325.960000000006</v>
      </c>
    </row>
    <row r="377" spans="1:110" s="23" customFormat="1" x14ac:dyDescent="0.2">
      <c r="A377" s="23" t="s">
        <v>443</v>
      </c>
      <c r="C377" s="23">
        <f t="shared" ref="C377:W377" si="2644">C376+C372+C368+C366</f>
        <v>349.49000000000069</v>
      </c>
      <c r="D377" s="23">
        <f t="shared" si="2644"/>
        <v>779.67000000000132</v>
      </c>
      <c r="E377" s="23">
        <f t="shared" si="2644"/>
        <v>825.22999999999843</v>
      </c>
      <c r="F377" s="23">
        <f t="shared" si="2644"/>
        <v>1046.3100000000009</v>
      </c>
      <c r="G377" s="23">
        <f t="shared" si="2644"/>
        <v>1589.8199999999993</v>
      </c>
      <c r="H377" s="23">
        <f t="shared" si="2644"/>
        <v>3242.5099999999989</v>
      </c>
      <c r="I377" s="23">
        <f t="shared" si="2644"/>
        <v>6161.6</v>
      </c>
      <c r="J377" s="23">
        <f>J376+J372+J368+J366</f>
        <v>6687.2800000000025</v>
      </c>
      <c r="K377" s="23">
        <f>K376+K372+K368+K366</f>
        <v>11891.489999999994</v>
      </c>
      <c r="L377" s="23">
        <f>L376+L372+L368+L366</f>
        <v>11357.079999999994</v>
      </c>
      <c r="M377" s="23">
        <f>M376+M372+M368+M366</f>
        <v>10603.200000000012</v>
      </c>
      <c r="N377" s="23">
        <f t="shared" si="2644"/>
        <v>11109.450000000012</v>
      </c>
      <c r="O377" s="23">
        <f t="shared" si="2644"/>
        <v>10772.73</v>
      </c>
      <c r="P377" s="23">
        <f t="shared" si="2644"/>
        <v>13721.529999999992</v>
      </c>
      <c r="Q377" s="23">
        <f t="shared" si="2644"/>
        <v>12884.099999999982</v>
      </c>
      <c r="R377" s="23">
        <f t="shared" si="2644"/>
        <v>19606.180000000029</v>
      </c>
      <c r="S377" s="23">
        <f t="shared" si="2644"/>
        <v>17496.979999999989</v>
      </c>
      <c r="T377" s="23">
        <f t="shared" si="2644"/>
        <v>25672.409999999982</v>
      </c>
      <c r="U377" s="23">
        <f t="shared" si="2644"/>
        <v>27817.530000000053</v>
      </c>
      <c r="V377" s="23">
        <f t="shared" si="2644"/>
        <v>47252.729999999981</v>
      </c>
      <c r="W377" s="23">
        <f t="shared" si="2644"/>
        <v>48752.749999999971</v>
      </c>
      <c r="X377" s="23">
        <f t="shared" ref="X377:Y377" si="2645">X376+X372+X368+X366</f>
        <v>58093.020000000004</v>
      </c>
      <c r="Y377" s="23">
        <f t="shared" si="2645"/>
        <v>50316.020000000004</v>
      </c>
      <c r="Z377" s="23">
        <f t="shared" ref="Z377:AA377" si="2646">Z376+Z372+Z368+Z366</f>
        <v>66325.959999999992</v>
      </c>
      <c r="AA377" s="23">
        <f t="shared" si="2646"/>
        <v>80372.529999999984</v>
      </c>
      <c r="AB377" s="24">
        <f t="shared" ref="AB377:AD377" si="2647">AB376+AB372+AB368+AB366</f>
        <v>88815.940468675311</v>
      </c>
      <c r="AC377" s="24">
        <f t="shared" si="2647"/>
        <v>101155.63326208451</v>
      </c>
      <c r="AD377" s="24">
        <f t="shared" si="2647"/>
        <v>108496.91687292319</v>
      </c>
      <c r="AE377" s="24">
        <f t="shared" ref="AE377" si="2648">AE376+AE372+AE368+AE366</f>
        <v>118490.24785715365</v>
      </c>
      <c r="AI377" s="23">
        <f t="shared" ref="AI377" si="2649">AI376+AI372+AI368+AI366</f>
        <v>0</v>
      </c>
      <c r="AJ377" s="23">
        <f t="shared" ref="AJ377:AL377" si="2650">AJ376+AJ372+AJ368+AJ366</f>
        <v>7099.34</v>
      </c>
      <c r="AK377" s="23">
        <f t="shared" si="2650"/>
        <v>8387.527730359634</v>
      </c>
      <c r="AL377" s="23">
        <f t="shared" si="2650"/>
        <v>11109.450000000004</v>
      </c>
      <c r="AM377" s="23">
        <f t="shared" ref="AM377" si="2651">AM376+AM372+AM368+AM366</f>
        <v>12136.27545903465</v>
      </c>
      <c r="AN377" s="23">
        <f t="shared" ref="AN377:CD377" si="2652">AN376+AN372+AN368+AN366</f>
        <v>11053.99</v>
      </c>
      <c r="AO377" s="23">
        <f t="shared" si="2652"/>
        <v>10295.0907262129</v>
      </c>
      <c r="AP377" s="23">
        <f t="shared" si="2652"/>
        <v>10772.730000000003</v>
      </c>
      <c r="AQ377" s="23">
        <f t="shared" si="2652"/>
        <v>15092.542164201255</v>
      </c>
      <c r="AR377" s="23">
        <f t="shared" si="2652"/>
        <v>11200.140000000005</v>
      </c>
      <c r="AS377" s="23">
        <f t="shared" si="2652"/>
        <v>10594.434165033268</v>
      </c>
      <c r="AT377" s="23">
        <f t="shared" si="2652"/>
        <v>13721.51999999998</v>
      </c>
      <c r="AU377" s="23">
        <f t="shared" si="2652"/>
        <v>17616.754389869959</v>
      </c>
      <c r="AV377" s="23">
        <f t="shared" si="2652"/>
        <v>14944.300000000028</v>
      </c>
      <c r="AW377" s="23">
        <f t="shared" si="2652"/>
        <v>14064.33461951659</v>
      </c>
      <c r="AX377" s="23">
        <f t="shared" si="2652"/>
        <v>12884.099999999966</v>
      </c>
      <c r="AY377" s="23">
        <f t="shared" si="2652"/>
        <v>14808.031590822458</v>
      </c>
      <c r="AZ377" s="23">
        <f t="shared" si="2652"/>
        <v>15138.86000000001</v>
      </c>
      <c r="BA377" s="23">
        <f t="shared" si="2652"/>
        <v>15836.121803099237</v>
      </c>
      <c r="BB377" s="23">
        <f t="shared" si="2652"/>
        <v>19606.180000000011</v>
      </c>
      <c r="BC377" s="23">
        <f t="shared" si="2652"/>
        <v>21394.329024250306</v>
      </c>
      <c r="BD377" s="23">
        <f t="shared" si="2652"/>
        <v>19764.639999999992</v>
      </c>
      <c r="BE377" s="23">
        <f t="shared" si="2652"/>
        <v>20764.289421517042</v>
      </c>
      <c r="BF377" s="23">
        <f t="shared" si="2652"/>
        <v>17496.979999999989</v>
      </c>
      <c r="BG377" s="23">
        <f t="shared" si="2652"/>
        <v>18768.028986063699</v>
      </c>
      <c r="BH377" s="23">
        <f t="shared" si="2652"/>
        <v>21574.589999999982</v>
      </c>
      <c r="BI377" s="23">
        <f t="shared" si="2652"/>
        <v>23116.922723269014</v>
      </c>
      <c r="BJ377" s="23">
        <f t="shared" si="2652"/>
        <v>25672.409999999989</v>
      </c>
      <c r="BK377" s="23">
        <f t="shared" si="2652"/>
        <v>27228.626332839933</v>
      </c>
      <c r="BL377" s="23">
        <f t="shared" si="2652"/>
        <v>16274.250000000022</v>
      </c>
      <c r="BM377" s="23">
        <f t="shared" si="2652"/>
        <v>18493.728116707622</v>
      </c>
      <c r="BN377" s="23">
        <f t="shared" si="2652"/>
        <v>27817.530000000013</v>
      </c>
      <c r="BO377" s="23">
        <f t="shared" si="2652"/>
        <v>29593.050444069959</v>
      </c>
      <c r="BP377" s="23">
        <f t="shared" si="2652"/>
        <v>46794.729999999981</v>
      </c>
      <c r="BQ377" s="23">
        <f t="shared" si="2652"/>
        <v>48607.38500183991</v>
      </c>
      <c r="BR377" s="23">
        <f t="shared" si="2652"/>
        <v>47252.730000000025</v>
      </c>
      <c r="BS377" s="23">
        <f t="shared" si="2652"/>
        <v>49326.101844295539</v>
      </c>
      <c r="BT377" s="23">
        <f t="shared" si="2652"/>
        <v>45468.679999999986</v>
      </c>
      <c r="BU377" s="23">
        <f t="shared" si="2652"/>
        <v>46808.01021049152</v>
      </c>
      <c r="BV377" s="23">
        <f t="shared" si="2652"/>
        <v>48752.749999999971</v>
      </c>
      <c r="BW377" s="23">
        <f t="shared" si="2652"/>
        <v>50685.423054595129</v>
      </c>
      <c r="BX377" s="23">
        <f t="shared" si="2652"/>
        <v>46136.56</v>
      </c>
      <c r="BY377" s="23">
        <f t="shared" si="2652"/>
        <v>48127.556544411105</v>
      </c>
      <c r="BZ377" s="23">
        <f t="shared" si="2652"/>
        <v>58093.020000000004</v>
      </c>
      <c r="CA377" s="23">
        <f t="shared" si="2652"/>
        <v>60904.286487841367</v>
      </c>
      <c r="CB377" s="23">
        <f t="shared" si="2652"/>
        <v>47352.009999999995</v>
      </c>
      <c r="CC377" s="23">
        <f t="shared" si="2652"/>
        <v>49488.614301772242</v>
      </c>
      <c r="CD377" s="23">
        <f t="shared" si="2652"/>
        <v>50316.02</v>
      </c>
      <c r="CE377" s="23">
        <f t="shared" ref="CE377:CF377" si="2653">CE376+CE372+CE368+CE366</f>
        <v>53475.820074080184</v>
      </c>
      <c r="CF377" s="23">
        <f t="shared" si="2653"/>
        <v>55439.099999999977</v>
      </c>
      <c r="CG377" s="23">
        <f t="shared" ref="CG377:CH377" si="2654">CG376+CG372+CG368+CG366</f>
        <v>58451.261028979454</v>
      </c>
      <c r="CH377" s="23">
        <f t="shared" si="2654"/>
        <v>66325.96000000005</v>
      </c>
      <c r="CI377" s="23">
        <f t="shared" ref="CI377:CJ377" si="2655">CI376+CI372+CI368+CI366</f>
        <v>87849.641907515135</v>
      </c>
      <c r="CJ377" s="23">
        <f t="shared" si="2655"/>
        <v>63123.600000000064</v>
      </c>
      <c r="CK377" s="23">
        <f t="shared" ref="CK377:DB377" si="2656">CK376+CK372+CK368+CK366</f>
        <v>60786.170926986277</v>
      </c>
      <c r="CL377" s="23">
        <f t="shared" si="2656"/>
        <v>80372.529999999941</v>
      </c>
      <c r="CM377" s="24">
        <f t="shared" si="2656"/>
        <v>99829.765094848583</v>
      </c>
      <c r="CN377" s="24">
        <f t="shared" si="2656"/>
        <v>100879.23199033772</v>
      </c>
      <c r="CO377" s="24">
        <f t="shared" si="2656"/>
        <v>102813.42436480173</v>
      </c>
      <c r="CP377" s="24">
        <f t="shared" si="2656"/>
        <v>88815.940468675326</v>
      </c>
      <c r="CQ377" s="24">
        <f t="shared" si="2656"/>
        <v>113746.645398547</v>
      </c>
      <c r="CR377" s="24">
        <f t="shared" si="2656"/>
        <v>113727.62627930773</v>
      </c>
      <c r="CS377" s="24">
        <f t="shared" si="2656"/>
        <v>114447.52193979266</v>
      </c>
      <c r="CT377" s="24">
        <f t="shared" si="2656"/>
        <v>101155.63326208452</v>
      </c>
      <c r="CU377" s="24">
        <f t="shared" si="2656"/>
        <v>127264.31069648857</v>
      </c>
      <c r="CV377" s="24">
        <f t="shared" si="2656"/>
        <v>125633.43847684146</v>
      </c>
      <c r="CW377" s="24">
        <f t="shared" si="2656"/>
        <v>124609.05875798491</v>
      </c>
      <c r="CX377" s="24">
        <f t="shared" si="2656"/>
        <v>108496.9168729232</v>
      </c>
      <c r="CY377" s="24">
        <f t="shared" si="2656"/>
        <v>138994.02490968927</v>
      </c>
      <c r="CZ377" s="24">
        <f t="shared" si="2656"/>
        <v>137470.05401026766</v>
      </c>
      <c r="DA377" s="24">
        <f t="shared" si="2656"/>
        <v>136669.84516052797</v>
      </c>
      <c r="DB377" s="24">
        <f t="shared" si="2656"/>
        <v>118490.24785715363</v>
      </c>
      <c r="DE377" s="123"/>
      <c r="DF377" s="23">
        <v>80372.529999999984</v>
      </c>
    </row>
    <row r="378" spans="1:110" s="28" customFormat="1" x14ac:dyDescent="0.2">
      <c r="A378" s="28" t="s">
        <v>444</v>
      </c>
      <c r="C378" s="28">
        <f t="shared" ref="C378:W378" si="2657">C377-C328</f>
        <v>6.8212102632969618E-13</v>
      </c>
      <c r="D378" s="28">
        <f t="shared" si="2657"/>
        <v>1.2505552149377763E-12</v>
      </c>
      <c r="E378" s="28">
        <f t="shared" si="2657"/>
        <v>-1.5916157281026244E-12</v>
      </c>
      <c r="F378" s="28">
        <f t="shared" si="2657"/>
        <v>0</v>
      </c>
      <c r="G378" s="28">
        <f t="shared" si="2657"/>
        <v>0</v>
      </c>
      <c r="H378" s="28">
        <f t="shared" si="2657"/>
        <v>0</v>
      </c>
      <c r="I378" s="28">
        <f t="shared" si="2657"/>
        <v>0</v>
      </c>
      <c r="J378" s="28">
        <f>J377-J328</f>
        <v>0</v>
      </c>
      <c r="K378" s="28">
        <f t="shared" si="2657"/>
        <v>0</v>
      </c>
      <c r="L378" s="28">
        <f t="shared" si="2657"/>
        <v>0</v>
      </c>
      <c r="M378" s="28">
        <f t="shared" si="2657"/>
        <v>0</v>
      </c>
      <c r="N378" s="28">
        <f t="shared" si="2657"/>
        <v>0</v>
      </c>
      <c r="O378" s="28">
        <f t="shared" si="2657"/>
        <v>0</v>
      </c>
      <c r="P378" s="28">
        <f t="shared" si="2657"/>
        <v>0</v>
      </c>
      <c r="Q378" s="28">
        <f t="shared" si="2657"/>
        <v>-1.6370904631912708E-11</v>
      </c>
      <c r="R378" s="28">
        <f t="shared" si="2657"/>
        <v>2.9103830456733704E-11</v>
      </c>
      <c r="S378" s="28">
        <f t="shared" si="2657"/>
        <v>0</v>
      </c>
      <c r="T378" s="28">
        <f t="shared" si="2657"/>
        <v>0</v>
      </c>
      <c r="U378" s="28">
        <f t="shared" si="2657"/>
        <v>5.4569682106375694E-11</v>
      </c>
      <c r="V378" s="28">
        <f t="shared" si="2657"/>
        <v>0</v>
      </c>
      <c r="W378" s="28">
        <f t="shared" si="2657"/>
        <v>0</v>
      </c>
      <c r="X378" s="28">
        <f t="shared" ref="X378:Y378" si="2658">X377-X328</f>
        <v>0</v>
      </c>
      <c r="Y378" s="28">
        <f t="shared" si="2658"/>
        <v>0</v>
      </c>
      <c r="Z378" s="28">
        <f t="shared" ref="Z378:AA378" si="2659">Z377-Z328</f>
        <v>0</v>
      </c>
      <c r="AA378" s="28">
        <f t="shared" si="2659"/>
        <v>0</v>
      </c>
      <c r="AB378" s="30">
        <f t="shared" ref="AB378:AD378" si="2660">AB377-AB328</f>
        <v>0</v>
      </c>
      <c r="AC378" s="30">
        <f t="shared" si="2660"/>
        <v>0</v>
      </c>
      <c r="AD378" s="30">
        <f t="shared" si="2660"/>
        <v>0</v>
      </c>
      <c r="AE378" s="30">
        <f t="shared" ref="AE378" si="2661">AE377-AE328</f>
        <v>0</v>
      </c>
      <c r="AI378" s="28">
        <f t="shared" ref="AI378" si="2662">AI377-AI328</f>
        <v>0</v>
      </c>
      <c r="AJ378" s="28">
        <f t="shared" ref="AJ378:AL378" si="2663">AJ377-AJ328</f>
        <v>0</v>
      </c>
      <c r="AK378" s="28">
        <f t="shared" si="2663"/>
        <v>0</v>
      </c>
      <c r="AL378" s="28">
        <f t="shared" si="2663"/>
        <v>0</v>
      </c>
      <c r="AM378" s="28">
        <f t="shared" ref="AM378" si="2664">AM377-AM328</f>
        <v>0</v>
      </c>
      <c r="AN378" s="28">
        <f t="shared" ref="AN378:CD378" si="2665">AN377-AN328</f>
        <v>0</v>
      </c>
      <c r="AO378" s="28">
        <f t="shared" si="2665"/>
        <v>0</v>
      </c>
      <c r="AP378" s="28">
        <f t="shared" si="2665"/>
        <v>0</v>
      </c>
      <c r="AQ378" s="28">
        <f t="shared" si="2665"/>
        <v>0</v>
      </c>
      <c r="AR378" s="28">
        <f t="shared" si="2665"/>
        <v>0</v>
      </c>
      <c r="AS378" s="28">
        <f t="shared" si="2665"/>
        <v>0</v>
      </c>
      <c r="AT378" s="28">
        <f t="shared" si="2665"/>
        <v>-1.0000000018408173E-2</v>
      </c>
      <c r="AU378" s="28">
        <f t="shared" si="2665"/>
        <v>0</v>
      </c>
      <c r="AV378" s="28">
        <f t="shared" si="2665"/>
        <v>1.000000002750312E-2</v>
      </c>
      <c r="AW378" s="28">
        <f t="shared" si="2665"/>
        <v>0</v>
      </c>
      <c r="AX378" s="28">
        <f t="shared" si="2665"/>
        <v>-3.2741809263825417E-11</v>
      </c>
      <c r="AY378" s="28">
        <f t="shared" si="2665"/>
        <v>0</v>
      </c>
      <c r="AZ378" s="28">
        <f t="shared" si="2665"/>
        <v>0</v>
      </c>
      <c r="BA378" s="28">
        <f t="shared" si="2665"/>
        <v>0</v>
      </c>
      <c r="BB378" s="28">
        <f t="shared" si="2665"/>
        <v>0</v>
      </c>
      <c r="BC378" s="28">
        <f t="shared" si="2665"/>
        <v>0</v>
      </c>
      <c r="BD378" s="28">
        <f t="shared" si="2665"/>
        <v>0</v>
      </c>
      <c r="BE378" s="28">
        <f t="shared" si="2665"/>
        <v>0</v>
      </c>
      <c r="BF378" s="28">
        <f t="shared" si="2665"/>
        <v>0</v>
      </c>
      <c r="BG378" s="28">
        <f t="shared" si="2665"/>
        <v>0</v>
      </c>
      <c r="BH378" s="28">
        <f t="shared" si="2665"/>
        <v>0</v>
      </c>
      <c r="BI378" s="28">
        <f t="shared" si="2665"/>
        <v>0</v>
      </c>
      <c r="BJ378" s="28">
        <f t="shared" si="2665"/>
        <v>0</v>
      </c>
      <c r="BK378" s="28">
        <f t="shared" si="2665"/>
        <v>0</v>
      </c>
      <c r="BL378" s="28">
        <f t="shared" si="2665"/>
        <v>2.1827872842550278E-11</v>
      </c>
      <c r="BM378" s="28">
        <f t="shared" si="2665"/>
        <v>0</v>
      </c>
      <c r="BN378" s="28">
        <f t="shared" si="2665"/>
        <v>0</v>
      </c>
      <c r="BO378" s="28">
        <f t="shared" si="2665"/>
        <v>0</v>
      </c>
      <c r="BP378" s="28">
        <f t="shared" si="2665"/>
        <v>0</v>
      </c>
      <c r="BQ378" s="28">
        <f t="shared" si="2665"/>
        <v>0</v>
      </c>
      <c r="BR378" s="28">
        <f t="shared" si="2665"/>
        <v>0</v>
      </c>
      <c r="BS378" s="28">
        <f t="shared" si="2665"/>
        <v>0</v>
      </c>
      <c r="BT378" s="28">
        <f t="shared" si="2665"/>
        <v>0</v>
      </c>
      <c r="BU378" s="28">
        <f t="shared" si="2665"/>
        <v>0</v>
      </c>
      <c r="BV378" s="28">
        <f t="shared" si="2665"/>
        <v>0</v>
      </c>
      <c r="BW378" s="28">
        <f t="shared" si="2665"/>
        <v>0</v>
      </c>
      <c r="BX378" s="28">
        <f t="shared" si="2665"/>
        <v>0</v>
      </c>
      <c r="BY378" s="28">
        <f t="shared" si="2665"/>
        <v>0</v>
      </c>
      <c r="BZ378" s="28">
        <f t="shared" si="2665"/>
        <v>0</v>
      </c>
      <c r="CA378" s="28">
        <f t="shared" si="2665"/>
        <v>0</v>
      </c>
      <c r="CB378" s="28">
        <f t="shared" si="2665"/>
        <v>0</v>
      </c>
      <c r="CC378" s="28">
        <f t="shared" si="2665"/>
        <v>0</v>
      </c>
      <c r="CD378" s="28">
        <f t="shared" si="2665"/>
        <v>0</v>
      </c>
      <c r="CE378" s="28">
        <f t="shared" ref="CE378:CF378" si="2666">CE377-CE328</f>
        <v>0</v>
      </c>
      <c r="CF378" s="28">
        <f t="shared" si="2666"/>
        <v>0</v>
      </c>
      <c r="CG378" s="28">
        <f t="shared" ref="CG378:CH378" si="2667">CG377-CG328</f>
        <v>0</v>
      </c>
      <c r="CH378" s="28">
        <f t="shared" si="2667"/>
        <v>0</v>
      </c>
      <c r="CI378" s="28">
        <f t="shared" ref="CI378:CJ378" si="2668">CI377-CI328</f>
        <v>0</v>
      </c>
      <c r="CJ378" s="28">
        <f t="shared" si="2668"/>
        <v>5.8207660913467407E-11</v>
      </c>
      <c r="CK378" s="28">
        <f t="shared" ref="CK378:DB378" si="2669">CK377-CK328</f>
        <v>0</v>
      </c>
      <c r="CL378" s="28">
        <f t="shared" si="2669"/>
        <v>0</v>
      </c>
      <c r="CM378" s="30">
        <f t="shared" si="2669"/>
        <v>0</v>
      </c>
      <c r="CN378" s="30">
        <f t="shared" si="2669"/>
        <v>0</v>
      </c>
      <c r="CO378" s="30">
        <f t="shared" si="2669"/>
        <v>0</v>
      </c>
      <c r="CP378" s="30">
        <f t="shared" si="2669"/>
        <v>0</v>
      </c>
      <c r="CQ378" s="30">
        <f t="shared" si="2669"/>
        <v>0</v>
      </c>
      <c r="CR378" s="30">
        <f t="shared" si="2669"/>
        <v>0</v>
      </c>
      <c r="CS378" s="30">
        <f t="shared" si="2669"/>
        <v>0</v>
      </c>
      <c r="CT378" s="30">
        <f t="shared" si="2669"/>
        <v>0</v>
      </c>
      <c r="CU378" s="30">
        <f t="shared" si="2669"/>
        <v>0</v>
      </c>
      <c r="CV378" s="30">
        <f t="shared" si="2669"/>
        <v>0</v>
      </c>
      <c r="CW378" s="30">
        <f t="shared" si="2669"/>
        <v>0</v>
      </c>
      <c r="CX378" s="30">
        <f t="shared" si="2669"/>
        <v>0</v>
      </c>
      <c r="CY378" s="30">
        <f t="shared" si="2669"/>
        <v>0</v>
      </c>
      <c r="CZ378" s="30">
        <f t="shared" si="2669"/>
        <v>0</v>
      </c>
      <c r="DA378" s="30">
        <f t="shared" si="2669"/>
        <v>0</v>
      </c>
      <c r="DB378" s="30">
        <f t="shared" si="2669"/>
        <v>0</v>
      </c>
      <c r="DE378" s="139"/>
      <c r="DF378" s="28">
        <v>0</v>
      </c>
    </row>
    <row r="379" spans="1:110" s="23" customFormat="1" x14ac:dyDescent="0.2">
      <c r="AB379" s="24"/>
      <c r="AC379" s="24"/>
      <c r="AD379" s="24"/>
      <c r="AE379" s="24"/>
      <c r="CM379" s="24"/>
      <c r="CN379" s="24"/>
      <c r="CO379" s="24"/>
      <c r="CP379" s="24"/>
      <c r="CQ379" s="24"/>
      <c r="CR379" s="24"/>
      <c r="CS379" s="24"/>
      <c r="CT379" s="24"/>
      <c r="CU379" s="24"/>
      <c r="CV379" s="24"/>
      <c r="CW379" s="24"/>
      <c r="CX379" s="24"/>
      <c r="CY379" s="24"/>
      <c r="CZ379" s="24"/>
      <c r="DA379" s="24"/>
      <c r="DB379" s="24"/>
      <c r="DE379" s="123"/>
    </row>
    <row r="380" spans="1:110" s="22" customFormat="1" x14ac:dyDescent="0.2">
      <c r="A380" s="22" t="s">
        <v>96</v>
      </c>
      <c r="C380" s="22">
        <f t="shared" ref="C380:W380" si="2670">C366+C368</f>
        <v>607.07000000000062</v>
      </c>
      <c r="D380" s="22">
        <f t="shared" si="2670"/>
        <v>1002.7700000000015</v>
      </c>
      <c r="E380" s="22">
        <f t="shared" si="2670"/>
        <v>3289.3899999999985</v>
      </c>
      <c r="F380" s="22">
        <f t="shared" si="2670"/>
        <v>-133.32000000000056</v>
      </c>
      <c r="G380" s="22">
        <f t="shared" si="2670"/>
        <v>165.44999999999527</v>
      </c>
      <c r="H380" s="22">
        <f t="shared" si="2670"/>
        <v>-1536.8399999999997</v>
      </c>
      <c r="I380" s="22">
        <f t="shared" si="2670"/>
        <v>-4825.74</v>
      </c>
      <c r="J380" s="22">
        <f>J366+J368</f>
        <v>-7031.5200000000041</v>
      </c>
      <c r="K380" s="22">
        <f t="shared" si="2670"/>
        <v>-614.56000000000495</v>
      </c>
      <c r="L380" s="22">
        <f t="shared" si="2670"/>
        <v>-12778.920000000006</v>
      </c>
      <c r="M380" s="22">
        <f t="shared" si="2670"/>
        <v>-15381.669999999984</v>
      </c>
      <c r="N380" s="22">
        <f t="shared" si="2670"/>
        <v>-14718.259999999995</v>
      </c>
      <c r="O380" s="22">
        <f t="shared" si="2670"/>
        <v>-16999.610000000008</v>
      </c>
      <c r="P380" s="22">
        <f t="shared" si="2670"/>
        <v>-7120.560000000004</v>
      </c>
      <c r="Q380" s="22">
        <f t="shared" si="2670"/>
        <v>7723.9999999999982</v>
      </c>
      <c r="R380" s="22">
        <f t="shared" si="2670"/>
        <v>237.9300000000203</v>
      </c>
      <c r="S380" s="22">
        <f t="shared" si="2670"/>
        <v>-14634.280000000021</v>
      </c>
      <c r="T380" s="22">
        <f t="shared" si="2670"/>
        <v>-10046.510000000017</v>
      </c>
      <c r="U380" s="22">
        <f t="shared" si="2670"/>
        <v>-10800.939999999977</v>
      </c>
      <c r="V380" s="22">
        <f t="shared" si="2670"/>
        <v>27743.979999999967</v>
      </c>
      <c r="W380" s="22">
        <f t="shared" si="2670"/>
        <v>11852.709999999992</v>
      </c>
      <c r="X380" s="22">
        <f t="shared" ref="X380:Y380" si="2671">X366+X368</f>
        <v>16572.350000000035</v>
      </c>
      <c r="Y380" s="22">
        <f t="shared" si="2671"/>
        <v>10773.280000000033</v>
      </c>
      <c r="Z380" s="22">
        <f t="shared" ref="Z380:AA380" si="2672">Z366+Z368</f>
        <v>2673.4600000000064</v>
      </c>
      <c r="AA380" s="22">
        <f t="shared" si="2672"/>
        <v>24880.099999999904</v>
      </c>
      <c r="AB380" s="21">
        <f t="shared" ref="AB380:AD380" si="2673">AB366+AB368</f>
        <v>8443.4104686753235</v>
      </c>
      <c r="AC380" s="21">
        <f t="shared" si="2673"/>
        <v>12339.692793409264</v>
      </c>
      <c r="AD380" s="21">
        <f t="shared" si="2673"/>
        <v>7341.2836108386909</v>
      </c>
      <c r="AE380" s="21">
        <f t="shared" ref="AE380" si="2674">AE366+AE368</f>
        <v>9993.3309842304407</v>
      </c>
      <c r="AI380" s="22">
        <f t="shared" ref="AI380" si="2675">AI366+AI368</f>
        <v>863.65000000000055</v>
      </c>
      <c r="AJ380" s="22">
        <f t="shared" ref="AJ380:AL380" si="2676">AJ366+AJ368</f>
        <v>-31195.23</v>
      </c>
      <c r="AK380" s="22">
        <f t="shared" si="2676"/>
        <v>1288.1877303596336</v>
      </c>
      <c r="AL380" s="22">
        <f t="shared" si="2676"/>
        <v>-54229.217730359625</v>
      </c>
      <c r="AM380" s="22">
        <f t="shared" ref="AM380" si="2677">AM366+AM368</f>
        <v>1026.8254590346498</v>
      </c>
      <c r="AN380" s="22">
        <f t="shared" ref="AN380:CD380" si="2678">AN366+AN368</f>
        <v>-12408.345459034648</v>
      </c>
      <c r="AO380" s="22">
        <f t="shared" si="2678"/>
        <v>-758.89927378709945</v>
      </c>
      <c r="AP380" s="22">
        <f t="shared" si="2678"/>
        <v>-5331.2907262129011</v>
      </c>
      <c r="AQ380" s="22">
        <f t="shared" si="2678"/>
        <v>4319.8121642012566</v>
      </c>
      <c r="AR380" s="22">
        <f t="shared" si="2678"/>
        <v>-9379.4221642012508</v>
      </c>
      <c r="AS380" s="22">
        <f t="shared" si="2678"/>
        <v>-605.70583496673044</v>
      </c>
      <c r="AT380" s="22">
        <f t="shared" si="2678"/>
        <v>-1878.3141650332905</v>
      </c>
      <c r="AU380" s="22">
        <f t="shared" si="2678"/>
        <v>3895.2243898699589</v>
      </c>
      <c r="AV380" s="22">
        <f t="shared" si="2678"/>
        <v>-11494.964389869947</v>
      </c>
      <c r="AW380" s="22">
        <f t="shared" si="2678"/>
        <v>-879.95538048341041</v>
      </c>
      <c r="AX380" s="22">
        <f t="shared" si="2678"/>
        <v>13144.855380483408</v>
      </c>
      <c r="AY380" s="22">
        <f t="shared" si="2678"/>
        <v>1923.9315908224598</v>
      </c>
      <c r="AZ380" s="22">
        <f t="shared" si="2678"/>
        <v>-2628.2315908224605</v>
      </c>
      <c r="BA380" s="22">
        <f t="shared" si="2678"/>
        <v>697.2618030992362</v>
      </c>
      <c r="BB380" s="22">
        <f t="shared" si="2678"/>
        <v>244.97819690078177</v>
      </c>
      <c r="BC380" s="22">
        <f t="shared" si="2678"/>
        <v>1788.1490242503069</v>
      </c>
      <c r="BD380" s="22">
        <f t="shared" si="2678"/>
        <v>-8964.8990242503241</v>
      </c>
      <c r="BE380" s="22">
        <f t="shared" si="2678"/>
        <v>999.64942151704145</v>
      </c>
      <c r="BF380" s="22">
        <f t="shared" si="2678"/>
        <v>-8457.1694215170392</v>
      </c>
      <c r="BG380" s="22">
        <f t="shared" si="2678"/>
        <v>1271.0489860636983</v>
      </c>
      <c r="BH380" s="22">
        <f t="shared" si="2678"/>
        <v>-12096.118986063724</v>
      </c>
      <c r="BI380" s="22">
        <f t="shared" si="2678"/>
        <v>1542.3327232690126</v>
      </c>
      <c r="BJ380" s="22">
        <f t="shared" si="2678"/>
        <v>-763.77272326900857</v>
      </c>
      <c r="BK380" s="22">
        <f t="shared" si="2678"/>
        <v>1556.2163328399331</v>
      </c>
      <c r="BL380" s="22">
        <f t="shared" si="2678"/>
        <v>-17615.846332839916</v>
      </c>
      <c r="BM380" s="22">
        <f t="shared" si="2678"/>
        <v>2219.4781167076203</v>
      </c>
      <c r="BN380" s="22">
        <f t="shared" si="2678"/>
        <v>3039.2118832923807</v>
      </c>
      <c r="BO380" s="22">
        <f t="shared" si="2678"/>
        <v>1775.5204440699599</v>
      </c>
      <c r="BP380" s="22">
        <f t="shared" si="2678"/>
        <v>11153.969555930011</v>
      </c>
      <c r="BQ380" s="22">
        <f t="shared" si="2678"/>
        <v>1812.6550018399048</v>
      </c>
      <c r="BR380" s="22">
        <f t="shared" si="2678"/>
        <v>13001.8349981601</v>
      </c>
      <c r="BS380" s="22">
        <f t="shared" si="2678"/>
        <v>2073.3718442955424</v>
      </c>
      <c r="BT380" s="22">
        <f t="shared" si="2678"/>
        <v>5461.4781557044589</v>
      </c>
      <c r="BU380" s="22">
        <f t="shared" si="2678"/>
        <v>1339.3302104915174</v>
      </c>
      <c r="BV380" s="22">
        <f t="shared" si="2678"/>
        <v>2978.5197895084839</v>
      </c>
      <c r="BW380" s="22">
        <f t="shared" si="2678"/>
        <v>1932.6730545951314</v>
      </c>
      <c r="BX380" s="22">
        <f t="shared" si="2678"/>
        <v>-4056.5030545951627</v>
      </c>
      <c r="BY380" s="22">
        <f t="shared" si="2678"/>
        <v>1990.9965444111099</v>
      </c>
      <c r="BZ380" s="22">
        <f t="shared" si="2678"/>
        <v>16705.203455588875</v>
      </c>
      <c r="CA380" s="22">
        <f t="shared" si="2678"/>
        <v>2811.2664878413698</v>
      </c>
      <c r="CB380" s="22">
        <f t="shared" si="2678"/>
        <v>1057.8035121586572</v>
      </c>
      <c r="CC380" s="22">
        <f t="shared" si="2678"/>
        <v>2136.6043017722491</v>
      </c>
      <c r="CD380" s="22">
        <f t="shared" si="2678"/>
        <v>4767.6056982277523</v>
      </c>
      <c r="CE380" s="22">
        <f t="shared" ref="CE380:CF380" si="2679">CE366+CE368</f>
        <v>3159.8000740801872</v>
      </c>
      <c r="CF380" s="22">
        <f t="shared" si="2679"/>
        <v>-4818.8600740801894</v>
      </c>
      <c r="CG380" s="22">
        <f t="shared" ref="CG380:CH380" si="2680">CG366+CG368</f>
        <v>3012.161028979448</v>
      </c>
      <c r="CH380" s="22">
        <f t="shared" si="2680"/>
        <v>1320.3589710205724</v>
      </c>
      <c r="CI380" s="22">
        <f t="shared" ref="CI380:CJ380" si="2681">CI366+CI368</f>
        <v>21523.681907515132</v>
      </c>
      <c r="CJ380" s="22">
        <f t="shared" si="2681"/>
        <v>-22648.641907515077</v>
      </c>
      <c r="CK380" s="22">
        <f t="shared" ref="CK380:DB380" si="2682">CK366+CK368</f>
        <v>-2337.42907301373</v>
      </c>
      <c r="CL380" s="22">
        <f t="shared" si="2682"/>
        <v>28342.48907301365</v>
      </c>
      <c r="CM380" s="21">
        <f t="shared" si="2682"/>
        <v>19457.235094848584</v>
      </c>
      <c r="CN380" s="21">
        <f t="shared" si="2682"/>
        <v>1049.4668954891413</v>
      </c>
      <c r="CO380" s="21">
        <f t="shared" si="2682"/>
        <v>1934.1923744640062</v>
      </c>
      <c r="CP380" s="21">
        <f t="shared" si="2682"/>
        <v>-13997.483896126407</v>
      </c>
      <c r="CQ380" s="21">
        <f t="shared" si="2682"/>
        <v>24930.704929871681</v>
      </c>
      <c r="CR380" s="21">
        <f t="shared" si="2682"/>
        <v>-19.019119239263091</v>
      </c>
      <c r="CS380" s="21">
        <f t="shared" si="2682"/>
        <v>719.89566048492907</v>
      </c>
      <c r="CT380" s="21">
        <f t="shared" si="2682"/>
        <v>-13291.888677708133</v>
      </c>
      <c r="CU380" s="21">
        <f t="shared" si="2682"/>
        <v>26108.677434404046</v>
      </c>
      <c r="CV380" s="21">
        <f t="shared" si="2682"/>
        <v>-1630.8722196470981</v>
      </c>
      <c r="CW380" s="21">
        <f t="shared" si="2682"/>
        <v>-1024.3797188565532</v>
      </c>
      <c r="CX380" s="21">
        <f t="shared" si="2682"/>
        <v>-16112.141885061706</v>
      </c>
      <c r="CY380" s="21">
        <f t="shared" si="2682"/>
        <v>30497.108036766076</v>
      </c>
      <c r="CZ380" s="21">
        <f t="shared" si="2682"/>
        <v>-1523.9708994215944</v>
      </c>
      <c r="DA380" s="21">
        <f t="shared" si="2682"/>
        <v>-800.20884973969078</v>
      </c>
      <c r="DB380" s="21">
        <f t="shared" si="2682"/>
        <v>-18179.597303374336</v>
      </c>
      <c r="DE380" s="126"/>
      <c r="DF380" s="22">
        <v>24880.099999999904</v>
      </c>
    </row>
    <row r="381" spans="1:110" x14ac:dyDescent="0.2">
      <c r="A381" s="152" t="s">
        <v>496</v>
      </c>
      <c r="AA381" s="2"/>
    </row>
    <row r="382" spans="1:110" x14ac:dyDescent="0.2">
      <c r="AA382" s="2"/>
    </row>
    <row r="383" spans="1:110" s="7" customFormat="1" hidden="1" outlineLevel="1" x14ac:dyDescent="0.2">
      <c r="A383" s="61" t="s">
        <v>97</v>
      </c>
      <c r="AB383" s="77"/>
      <c r="AC383" s="77"/>
      <c r="AD383" s="77"/>
      <c r="AE383" s="77"/>
      <c r="CM383" s="50"/>
      <c r="CN383" s="50"/>
      <c r="CO383" s="50"/>
      <c r="CP383" s="50"/>
      <c r="CQ383" s="50"/>
      <c r="CR383" s="50"/>
      <c r="CS383" s="50"/>
      <c r="CT383" s="50"/>
      <c r="CU383" s="50"/>
      <c r="CV383" s="50"/>
      <c r="CW383" s="50"/>
      <c r="CX383" s="50"/>
      <c r="CY383" s="50"/>
      <c r="CZ383" s="50"/>
      <c r="DA383" s="50"/>
      <c r="DB383" s="50"/>
      <c r="DE383" s="138"/>
    </row>
    <row r="384" spans="1:110" s="62" customFormat="1" hidden="1" outlineLevel="1" x14ac:dyDescent="0.2">
      <c r="A384" s="62" t="s">
        <v>98</v>
      </c>
      <c r="AB384" s="63"/>
      <c r="AC384" s="63"/>
      <c r="AD384" s="63"/>
      <c r="AE384" s="63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E384" s="139"/>
    </row>
    <row r="385" spans="1:110" s="62" customFormat="1" hidden="1" outlineLevel="1" x14ac:dyDescent="0.2">
      <c r="A385" s="62" t="s">
        <v>99</v>
      </c>
      <c r="AB385" s="63"/>
      <c r="AC385" s="63"/>
      <c r="AD385" s="63"/>
      <c r="AE385" s="63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E385" s="139"/>
      <c r="DF385" s="300"/>
    </row>
    <row r="386" spans="1:110" s="62" customFormat="1" hidden="1" outlineLevel="1" x14ac:dyDescent="0.2">
      <c r="A386" s="62" t="s">
        <v>100</v>
      </c>
      <c r="AB386" s="63"/>
      <c r="AC386" s="63"/>
      <c r="AD386" s="63"/>
      <c r="AE386" s="63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E386" s="139"/>
      <c r="DF386" s="300"/>
    </row>
    <row r="387" spans="1:110" s="62" customFormat="1" hidden="1" outlineLevel="1" x14ac:dyDescent="0.2">
      <c r="AB387" s="63"/>
      <c r="AC387" s="63"/>
      <c r="AD387" s="63"/>
      <c r="AE387" s="63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E387" s="139"/>
      <c r="DF387" s="300"/>
    </row>
    <row r="388" spans="1:110" s="62" customFormat="1" hidden="1" outlineLevel="1" x14ac:dyDescent="0.2">
      <c r="AB388" s="63"/>
      <c r="AC388" s="63"/>
      <c r="AD388" s="63"/>
      <c r="AE388" s="63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E388" s="139"/>
    </row>
    <row r="389" spans="1:110" s="62" customFormat="1" hidden="1" outlineLevel="1" x14ac:dyDescent="0.2">
      <c r="AB389" s="63"/>
      <c r="AC389" s="63"/>
      <c r="AD389" s="63"/>
      <c r="AE389" s="63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E389" s="139"/>
    </row>
    <row r="390" spans="1:110" s="11" customFormat="1" collapsed="1" x14ac:dyDescent="0.2">
      <c r="AB390" s="63"/>
      <c r="AC390" s="63"/>
      <c r="AD390" s="63"/>
      <c r="AE390" s="63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E390" s="139"/>
    </row>
    <row r="391" spans="1:110" s="83" customFormat="1" x14ac:dyDescent="0.2">
      <c r="A391" s="82" t="s">
        <v>101</v>
      </c>
      <c r="AB391" s="72"/>
      <c r="AC391" s="72"/>
      <c r="AD391" s="72"/>
      <c r="AE391" s="72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E391" s="139"/>
    </row>
    <row r="392" spans="1:110" s="66" customFormat="1" x14ac:dyDescent="0.2">
      <c r="A392" s="66" t="s">
        <v>471</v>
      </c>
      <c r="AB392" s="50"/>
      <c r="AC392" s="50"/>
      <c r="AD392" s="50"/>
      <c r="AE392" s="50"/>
      <c r="AL392" s="66">
        <f t="shared" ref="AL392:BQ392" si="2683">SUM(AI166:AL166)</f>
        <v>56095.519999999997</v>
      </c>
      <c r="AM392" s="66">
        <f t="shared" si="2683"/>
        <v>61381.31</v>
      </c>
      <c r="AN392" s="66">
        <f t="shared" si="2683"/>
        <v>67316.850000000006</v>
      </c>
      <c r="AO392" s="66">
        <f t="shared" si="2683"/>
        <v>76179.860000000015</v>
      </c>
      <c r="AP392" s="66">
        <f t="shared" si="2683"/>
        <v>85128.400000000009</v>
      </c>
      <c r="AQ392" s="66">
        <f t="shared" si="2683"/>
        <v>86862.010000000009</v>
      </c>
      <c r="AR392" s="66">
        <f t="shared" si="2683"/>
        <v>88890.59</v>
      </c>
      <c r="AS392" s="66">
        <f t="shared" si="2683"/>
        <v>91006.099999999991</v>
      </c>
      <c r="AT392" s="66">
        <f t="shared" si="2683"/>
        <v>92004.579999999987</v>
      </c>
      <c r="AU392" s="66">
        <f t="shared" si="2683"/>
        <v>93078.069999999992</v>
      </c>
      <c r="AV392" s="66">
        <f t="shared" si="2683"/>
        <v>95042.2</v>
      </c>
      <c r="AW392" s="66">
        <f t="shared" si="2683"/>
        <v>97122.41</v>
      </c>
      <c r="AX392" s="66">
        <f t="shared" si="2683"/>
        <v>101975.30000000002</v>
      </c>
      <c r="AY392" s="66">
        <f t="shared" si="2683"/>
        <v>103653.59</v>
      </c>
      <c r="AZ392" s="66">
        <f t="shared" si="2683"/>
        <v>105386.28</v>
      </c>
      <c r="BA392" s="66">
        <f t="shared" si="2683"/>
        <v>105568.59</v>
      </c>
      <c r="BB392" s="66">
        <f t="shared" si="2683"/>
        <v>109311.82</v>
      </c>
      <c r="BC392" s="66">
        <f t="shared" si="2683"/>
        <v>111396.14000000001</v>
      </c>
      <c r="BD392" s="66">
        <f t="shared" si="2683"/>
        <v>112986.73</v>
      </c>
      <c r="BE392" s="66">
        <f t="shared" si="2683"/>
        <v>115623.79999999999</v>
      </c>
      <c r="BF392" s="66">
        <f t="shared" si="2683"/>
        <v>119683.16</v>
      </c>
      <c r="BG392" s="66">
        <f t="shared" si="2683"/>
        <v>122877.08</v>
      </c>
      <c r="BH392" s="66">
        <f t="shared" si="2683"/>
        <v>127108.45000000001</v>
      </c>
      <c r="BI392" s="66">
        <f t="shared" si="2683"/>
        <v>132594.96</v>
      </c>
      <c r="BJ392" s="66">
        <f t="shared" si="2683"/>
        <v>135220.26</v>
      </c>
      <c r="BK392" s="66">
        <f t="shared" si="2683"/>
        <v>137851.44</v>
      </c>
      <c r="BL392" s="66">
        <f t="shared" si="2683"/>
        <v>142501.76000000001</v>
      </c>
      <c r="BM392" s="66">
        <f t="shared" si="2683"/>
        <v>144510.48000000001</v>
      </c>
      <c r="BN392" s="66">
        <f t="shared" si="2683"/>
        <v>145452.35999999999</v>
      </c>
      <c r="BO392" s="66">
        <f t="shared" si="2683"/>
        <v>137076.38</v>
      </c>
      <c r="BP392" s="66">
        <f t="shared" si="2683"/>
        <v>132782.66999999998</v>
      </c>
      <c r="BQ392" s="66">
        <f t="shared" si="2683"/>
        <v>132136.41</v>
      </c>
      <c r="BR392" s="66">
        <f t="shared" ref="BR392:CW392" si="2684">SUM(BO166:BR166)</f>
        <v>135979.03</v>
      </c>
      <c r="BS392" s="66">
        <f t="shared" si="2684"/>
        <v>144053.79</v>
      </c>
      <c r="BT392" s="66">
        <f t="shared" si="2684"/>
        <v>147791.95000000001</v>
      </c>
      <c r="BU392" s="66">
        <f t="shared" si="2684"/>
        <v>151758.45000000001</v>
      </c>
      <c r="BV392" s="66">
        <f t="shared" si="2684"/>
        <v>156521.22</v>
      </c>
      <c r="BW392" s="66">
        <f t="shared" si="2684"/>
        <v>163039.69</v>
      </c>
      <c r="BX392" s="66">
        <f t="shared" si="2684"/>
        <v>171029.4</v>
      </c>
      <c r="BY392" s="66">
        <f t="shared" si="2684"/>
        <v>177856.19999999998</v>
      </c>
      <c r="BZ392" s="66">
        <f t="shared" si="2684"/>
        <v>183340.68</v>
      </c>
      <c r="CA392" s="66">
        <f t="shared" si="2684"/>
        <v>195369.85</v>
      </c>
      <c r="CB392" s="66">
        <f t="shared" si="2684"/>
        <v>203631.28</v>
      </c>
      <c r="CC392" s="66">
        <f t="shared" si="2684"/>
        <v>212369.38</v>
      </c>
      <c r="CD392" s="66">
        <f t="shared" si="2684"/>
        <v>221112.91</v>
      </c>
      <c r="CE392" s="66">
        <f t="shared" si="2684"/>
        <v>228350.36</v>
      </c>
      <c r="CF392" s="66">
        <f t="shared" si="2684"/>
        <v>238880.90000000002</v>
      </c>
      <c r="CG392" s="66">
        <f t="shared" si="2684"/>
        <v>248420.86000000002</v>
      </c>
      <c r="CH392" s="66">
        <f t="shared" si="2684"/>
        <v>255734.46</v>
      </c>
      <c r="CI392" s="66">
        <f t="shared" si="2684"/>
        <v>264293.56</v>
      </c>
      <c r="CJ392" s="66">
        <f t="shared" si="2684"/>
        <v>270722.51</v>
      </c>
      <c r="CK392" s="66">
        <f t="shared" si="2684"/>
        <v>277504.43</v>
      </c>
      <c r="CL392" s="66">
        <f t="shared" si="2684"/>
        <v>285874.31000000006</v>
      </c>
      <c r="CM392" s="50">
        <f t="shared" si="2684"/>
        <v>295061.71514082467</v>
      </c>
      <c r="CN392" s="50">
        <f t="shared" si="2684"/>
        <v>304683.14224625577</v>
      </c>
      <c r="CO392" s="50">
        <f t="shared" si="2684"/>
        <v>315457.51025694038</v>
      </c>
      <c r="CP392" s="50">
        <f t="shared" si="2684"/>
        <v>328887.93605503603</v>
      </c>
      <c r="CQ392" s="50">
        <f t="shared" si="2684"/>
        <v>339797.42390368972</v>
      </c>
      <c r="CR392" s="50">
        <f t="shared" si="2684"/>
        <v>351521.96085675893</v>
      </c>
      <c r="CS392" s="50">
        <f t="shared" si="2684"/>
        <v>364140.74180669966</v>
      </c>
      <c r="CT392" s="50">
        <f t="shared" si="2684"/>
        <v>378967.49492333876</v>
      </c>
      <c r="CU392" s="50">
        <f t="shared" si="2684"/>
        <v>391709.86496571917</v>
      </c>
      <c r="CV392" s="50">
        <f t="shared" si="2684"/>
        <v>405350.14176143124</v>
      </c>
      <c r="CW392" s="50">
        <f t="shared" si="2684"/>
        <v>419870.61507295689</v>
      </c>
      <c r="CX392" s="50">
        <f t="shared" ref="CX392:DB392" si="2685">SUM(CU166:CX166)</f>
        <v>436857.50459768577</v>
      </c>
      <c r="CY392" s="50">
        <f t="shared" si="2685"/>
        <v>451598.38363399607</v>
      </c>
      <c r="CZ392" s="50">
        <f t="shared" si="2685"/>
        <v>467340.69582154753</v>
      </c>
      <c r="DA392" s="50">
        <f t="shared" si="2685"/>
        <v>484065.57482175296</v>
      </c>
      <c r="DB392" s="50">
        <f t="shared" si="2685"/>
        <v>503636.03706827393</v>
      </c>
      <c r="DE392" s="138"/>
    </row>
    <row r="393" spans="1:110" s="66" customFormat="1" x14ac:dyDescent="0.2">
      <c r="A393" s="66" t="s">
        <v>472</v>
      </c>
      <c r="AB393" s="50"/>
      <c r="AC393" s="50"/>
      <c r="AD393" s="50"/>
      <c r="AE393" s="50"/>
      <c r="AL393" s="66">
        <f t="shared" ref="AL393:BQ393" si="2686">SUM(AI190:AL190)</f>
        <v>5875.83</v>
      </c>
      <c r="AM393" s="66">
        <f t="shared" si="2686"/>
        <v>6663.9600000000009</v>
      </c>
      <c r="AN393" s="66">
        <f t="shared" si="2686"/>
        <v>7763.68</v>
      </c>
      <c r="AO393" s="66">
        <f t="shared" si="2686"/>
        <v>9138.4600000000064</v>
      </c>
      <c r="AP393" s="66">
        <f t="shared" si="2686"/>
        <v>10747.940000000006</v>
      </c>
      <c r="AQ393" s="66">
        <f t="shared" si="2686"/>
        <v>11386.110000000006</v>
      </c>
      <c r="AR393" s="66">
        <f t="shared" si="2686"/>
        <v>11217.030000000006</v>
      </c>
      <c r="AS393" s="66">
        <f t="shared" si="2686"/>
        <v>11469.809999999998</v>
      </c>
      <c r="AT393" s="66">
        <f t="shared" si="2686"/>
        <v>11326.409999999996</v>
      </c>
      <c r="AU393" s="66">
        <f t="shared" si="2686"/>
        <v>11647.539999999997</v>
      </c>
      <c r="AV393" s="66">
        <f t="shared" si="2686"/>
        <v>13019.289999999995</v>
      </c>
      <c r="AW393" s="66">
        <f t="shared" si="2686"/>
        <v>13471.859999999999</v>
      </c>
      <c r="AX393" s="66">
        <f t="shared" si="2686"/>
        <v>15712.620000000008</v>
      </c>
      <c r="AY393" s="66">
        <f t="shared" si="2686"/>
        <v>16103.780000000002</v>
      </c>
      <c r="AZ393" s="66">
        <f t="shared" si="2686"/>
        <v>16067.870000000004</v>
      </c>
      <c r="BA393" s="66">
        <f t="shared" si="2686"/>
        <v>16567.120000000003</v>
      </c>
      <c r="BB393" s="66">
        <f t="shared" si="2686"/>
        <v>16453.78</v>
      </c>
      <c r="BC393" s="66">
        <f t="shared" si="2686"/>
        <v>16699.760000000002</v>
      </c>
      <c r="BD393" s="66">
        <f t="shared" si="2686"/>
        <v>17512.2</v>
      </c>
      <c r="BE393" s="66">
        <f t="shared" si="2686"/>
        <v>18344.43</v>
      </c>
      <c r="BF393" s="66">
        <f t="shared" si="2686"/>
        <v>19610.910000000003</v>
      </c>
      <c r="BG393" s="66">
        <f t="shared" si="2686"/>
        <v>20554.359999999997</v>
      </c>
      <c r="BH393" s="66">
        <f t="shared" si="2686"/>
        <v>21400.959999999999</v>
      </c>
      <c r="BI393" s="66">
        <f t="shared" si="2686"/>
        <v>22458.69</v>
      </c>
      <c r="BJ393" s="66">
        <f t="shared" si="2686"/>
        <v>22715.260000000002</v>
      </c>
      <c r="BK393" s="66">
        <f t="shared" si="2686"/>
        <v>23449.500000000007</v>
      </c>
      <c r="BL393" s="66">
        <f t="shared" si="2686"/>
        <v>24165.49</v>
      </c>
      <c r="BM393" s="66">
        <f t="shared" si="2686"/>
        <v>24559.970000000005</v>
      </c>
      <c r="BN393" s="66">
        <f t="shared" si="2686"/>
        <v>24370.85</v>
      </c>
      <c r="BO393" s="66">
        <f t="shared" si="2686"/>
        <v>22948.239999999998</v>
      </c>
      <c r="BP393" s="66">
        <f t="shared" si="2686"/>
        <v>22222.610000000008</v>
      </c>
      <c r="BQ393" s="66">
        <f t="shared" si="2686"/>
        <v>22166.379999999997</v>
      </c>
      <c r="BR393" s="66">
        <f t="shared" ref="BR393:CW393" si="2687">SUM(BO190:BR190)</f>
        <v>23315.139999999992</v>
      </c>
      <c r="BS393" s="66">
        <f t="shared" si="2687"/>
        <v>24328.05999999999</v>
      </c>
      <c r="BT393" s="66">
        <f t="shared" si="2687"/>
        <v>24494.819999999985</v>
      </c>
      <c r="BU393" s="66">
        <f t="shared" si="2687"/>
        <v>24411.28999999999</v>
      </c>
      <c r="BV393" s="66">
        <f t="shared" si="2687"/>
        <v>24164.369999999992</v>
      </c>
      <c r="BW393" s="66">
        <f t="shared" si="2687"/>
        <v>24836.909999999989</v>
      </c>
      <c r="BX393" s="66">
        <f t="shared" si="2687"/>
        <v>25712.799999999988</v>
      </c>
      <c r="BY393" s="66">
        <f t="shared" si="2687"/>
        <v>26383.959999999995</v>
      </c>
      <c r="BZ393" s="66">
        <f t="shared" si="2687"/>
        <v>26779.69</v>
      </c>
      <c r="CA393" s="66">
        <f t="shared" si="2687"/>
        <v>27686.229999999996</v>
      </c>
      <c r="CB393" s="66">
        <f t="shared" si="2687"/>
        <v>28364.54</v>
      </c>
      <c r="CC393" s="66">
        <f t="shared" si="2687"/>
        <v>28909.719999999987</v>
      </c>
      <c r="CD393" s="66">
        <f t="shared" si="2687"/>
        <v>29208.51999999999</v>
      </c>
      <c r="CE393" s="66">
        <f t="shared" si="2687"/>
        <v>29937.980000000003</v>
      </c>
      <c r="CF393" s="66">
        <f t="shared" si="2687"/>
        <v>30814.560000000005</v>
      </c>
      <c r="CG393" s="66">
        <f t="shared" si="2687"/>
        <v>31514.070000000007</v>
      </c>
      <c r="CH393" s="66">
        <f t="shared" si="2687"/>
        <v>32736.970000000008</v>
      </c>
      <c r="CI393" s="66">
        <f t="shared" si="2687"/>
        <v>33715.159999999996</v>
      </c>
      <c r="CJ393" s="66">
        <f t="shared" si="2687"/>
        <v>34311.349999999991</v>
      </c>
      <c r="CK393" s="66">
        <f t="shared" si="2687"/>
        <v>35603.399999999994</v>
      </c>
      <c r="CL393" s="66">
        <f t="shared" si="2687"/>
        <v>36146.479999999989</v>
      </c>
      <c r="CM393" s="50">
        <f t="shared" si="2687"/>
        <v>36781.044797262351</v>
      </c>
      <c r="CN393" s="50">
        <f t="shared" si="2687"/>
        <v>37351.240912554953</v>
      </c>
      <c r="CO393" s="50">
        <f t="shared" si="2687"/>
        <v>37615.845119314246</v>
      </c>
      <c r="CP393" s="50">
        <f t="shared" si="2687"/>
        <v>37925.189064186416</v>
      </c>
      <c r="CQ393" s="50">
        <f t="shared" si="2687"/>
        <v>38950.967813891955</v>
      </c>
      <c r="CR393" s="50">
        <f t="shared" si="2687"/>
        <v>40121.753826267435</v>
      </c>
      <c r="CS393" s="50">
        <f t="shared" si="2687"/>
        <v>41500.551301832216</v>
      </c>
      <c r="CT393" s="50">
        <f t="shared" si="2687"/>
        <v>43432.457240077034</v>
      </c>
      <c r="CU393" s="50">
        <f t="shared" si="2687"/>
        <v>44815.193134029178</v>
      </c>
      <c r="CV393" s="50">
        <f t="shared" si="2687"/>
        <v>46343.74661808899</v>
      </c>
      <c r="CW393" s="50">
        <f t="shared" si="2687"/>
        <v>48014.636436484361</v>
      </c>
      <c r="CX393" s="50">
        <f t="shared" ref="CX393:DB393" si="2688">SUM(CU190:CX190)</f>
        <v>49994.068275704165</v>
      </c>
      <c r="CY393" s="50">
        <f t="shared" si="2688"/>
        <v>51660.548051555728</v>
      </c>
      <c r="CZ393" s="50">
        <f t="shared" si="2688"/>
        <v>53458.000637448175</v>
      </c>
      <c r="DA393" s="50">
        <f t="shared" si="2688"/>
        <v>55376.484275780618</v>
      </c>
      <c r="DB393" s="50">
        <f t="shared" si="2688"/>
        <v>57619.601625529831</v>
      </c>
      <c r="DE393" s="138"/>
      <c r="DF393" s="301"/>
    </row>
    <row r="394" spans="1:110" s="66" customFormat="1" x14ac:dyDescent="0.2">
      <c r="A394" s="66" t="s">
        <v>473</v>
      </c>
      <c r="AB394" s="50"/>
      <c r="AC394" s="50"/>
      <c r="AD394" s="50"/>
      <c r="AE394" s="50"/>
      <c r="AL394" s="66">
        <f t="shared" ref="AL394:BQ394" si="2689">SUM(AI203:AL203)</f>
        <v>4376.54</v>
      </c>
      <c r="AM394" s="66">
        <f t="shared" si="2689"/>
        <v>3871.4800000000014</v>
      </c>
      <c r="AN394" s="66">
        <f t="shared" si="2689"/>
        <v>3797.9400000000014</v>
      </c>
      <c r="AO394" s="66">
        <f t="shared" si="2689"/>
        <v>3472.2100000000073</v>
      </c>
      <c r="AP394" s="66">
        <f t="shared" si="2689"/>
        <v>4499.3400000000065</v>
      </c>
      <c r="AQ394" s="66">
        <f t="shared" si="2689"/>
        <v>4859.7300000000068</v>
      </c>
      <c r="AR394" s="66">
        <f t="shared" si="2689"/>
        <v>4903.690000000006</v>
      </c>
      <c r="AS394" s="66">
        <f t="shared" si="2689"/>
        <v>5172.0999999999967</v>
      </c>
      <c r="AT394" s="66">
        <f t="shared" si="2689"/>
        <v>4616.2999999999956</v>
      </c>
      <c r="AU394" s="66">
        <f t="shared" si="2689"/>
        <v>4499.9599999999973</v>
      </c>
      <c r="AV394" s="66">
        <f t="shared" si="2689"/>
        <v>4610.0199999999959</v>
      </c>
      <c r="AW394" s="66">
        <f t="shared" si="2689"/>
        <v>4736.579999999999</v>
      </c>
      <c r="AX394" s="66">
        <f t="shared" si="2689"/>
        <v>5440.6300000000083</v>
      </c>
      <c r="AY394" s="66">
        <f t="shared" si="2689"/>
        <v>5656.0200000000023</v>
      </c>
      <c r="AZ394" s="66">
        <f t="shared" si="2689"/>
        <v>5991.8200000000052</v>
      </c>
      <c r="BA394" s="66">
        <f t="shared" si="2689"/>
        <v>6147.9000000000051</v>
      </c>
      <c r="BB394" s="66">
        <f t="shared" si="2689"/>
        <v>6759.3499999999967</v>
      </c>
      <c r="BC394" s="66">
        <f t="shared" si="2689"/>
        <v>6968.5200000000023</v>
      </c>
      <c r="BD394" s="66">
        <f t="shared" si="2689"/>
        <v>7676.4100000000017</v>
      </c>
      <c r="BE394" s="66">
        <f t="shared" si="2689"/>
        <v>8240.5500000000011</v>
      </c>
      <c r="BF394" s="66">
        <f t="shared" si="2689"/>
        <v>8317.3000000000011</v>
      </c>
      <c r="BG394" s="66">
        <f t="shared" si="2689"/>
        <v>8379.4499999999935</v>
      </c>
      <c r="BH394" s="66">
        <f t="shared" si="2689"/>
        <v>8642.0899999999965</v>
      </c>
      <c r="BI394" s="66">
        <f t="shared" si="2689"/>
        <v>9114.5499999999956</v>
      </c>
      <c r="BJ394" s="66">
        <f t="shared" si="2689"/>
        <v>9373.5</v>
      </c>
      <c r="BK394" s="66">
        <f t="shared" si="2689"/>
        <v>10106.250000000005</v>
      </c>
      <c r="BL394" s="66">
        <f t="shared" si="2689"/>
        <v>10360.940000000002</v>
      </c>
      <c r="BM394" s="66">
        <f t="shared" si="2689"/>
        <v>10598.020000000008</v>
      </c>
      <c r="BN394" s="66">
        <f t="shared" si="2689"/>
        <v>10167.75</v>
      </c>
      <c r="BO394" s="66">
        <f t="shared" si="2689"/>
        <v>8720.61</v>
      </c>
      <c r="BP394" s="66">
        <f t="shared" si="2689"/>
        <v>7671.820000000007</v>
      </c>
      <c r="BQ394" s="66">
        <f t="shared" si="2689"/>
        <v>7799.3399999999983</v>
      </c>
      <c r="BR394" s="66">
        <f t="shared" ref="BR394:CW394" si="2690">SUM(BO203:BR203)</f>
        <v>8176.5399999999936</v>
      </c>
      <c r="BS394" s="66">
        <f t="shared" si="2690"/>
        <v>9319.419999999991</v>
      </c>
      <c r="BT394" s="66">
        <f t="shared" si="2690"/>
        <v>9990.979999999985</v>
      </c>
      <c r="BU394" s="66">
        <f t="shared" si="2690"/>
        <v>9848.0899999999929</v>
      </c>
      <c r="BV394" s="66">
        <f t="shared" si="2690"/>
        <v>10194.099999999993</v>
      </c>
      <c r="BW394" s="66">
        <f t="shared" si="2690"/>
        <v>10930.929999999991</v>
      </c>
      <c r="BX394" s="66">
        <f t="shared" si="2690"/>
        <v>11615.729999999989</v>
      </c>
      <c r="BY394" s="66">
        <f t="shared" si="2690"/>
        <v>12048.809999999996</v>
      </c>
      <c r="BZ394" s="66">
        <f t="shared" si="2690"/>
        <v>12488.89</v>
      </c>
      <c r="CA394" s="66">
        <f t="shared" si="2690"/>
        <v>13311.999999999995</v>
      </c>
      <c r="CB394" s="66">
        <f t="shared" si="2690"/>
        <v>14348.35</v>
      </c>
      <c r="CC394" s="66">
        <f t="shared" si="2690"/>
        <v>15012.919999999987</v>
      </c>
      <c r="CD394" s="66">
        <f t="shared" si="2690"/>
        <v>15476.10999999999</v>
      </c>
      <c r="CE394" s="66">
        <f t="shared" si="2690"/>
        <v>15800.100000000006</v>
      </c>
      <c r="CF394" s="66">
        <f t="shared" si="2690"/>
        <v>16057.360000000008</v>
      </c>
      <c r="CG394" s="66">
        <f t="shared" si="2690"/>
        <v>16463.880000000008</v>
      </c>
      <c r="CH394" s="66">
        <f t="shared" si="2690"/>
        <v>17212.610000000008</v>
      </c>
      <c r="CI394" s="66">
        <f t="shared" si="2690"/>
        <v>18098.069999999996</v>
      </c>
      <c r="CJ394" s="66">
        <f t="shared" si="2690"/>
        <v>18672.349999999991</v>
      </c>
      <c r="CK394" s="66">
        <f t="shared" si="2690"/>
        <v>19844.30999999999</v>
      </c>
      <c r="CL394" s="66">
        <f t="shared" si="2690"/>
        <v>20434.529999999984</v>
      </c>
      <c r="CM394" s="50">
        <f t="shared" si="2690"/>
        <v>21799.680658455331</v>
      </c>
      <c r="CN394" s="50">
        <f t="shared" si="2690"/>
        <v>23303.736926384619</v>
      </c>
      <c r="CO394" s="50">
        <f t="shared" si="2690"/>
        <v>24602.666584188577</v>
      </c>
      <c r="CP394" s="50">
        <f t="shared" si="2690"/>
        <v>25791.989733898412</v>
      </c>
      <c r="CQ394" s="50">
        <f t="shared" si="2690"/>
        <v>26612.215011484252</v>
      </c>
      <c r="CR394" s="50">
        <f t="shared" si="2690"/>
        <v>27595.602030893897</v>
      </c>
      <c r="CS394" s="50">
        <f t="shared" si="2690"/>
        <v>28725.480644630567</v>
      </c>
      <c r="CT394" s="50">
        <f t="shared" si="2690"/>
        <v>30259.221913159425</v>
      </c>
      <c r="CU394" s="50">
        <f t="shared" si="2690"/>
        <v>31388.84168457417</v>
      </c>
      <c r="CV394" s="50">
        <f t="shared" si="2690"/>
        <v>32640.168428638408</v>
      </c>
      <c r="CW394" s="50">
        <f t="shared" si="2690"/>
        <v>33983.317990611584</v>
      </c>
      <c r="CX394" s="50">
        <f t="shared" ref="CX394:DB394" si="2691">SUM(CU203:CX203)</f>
        <v>35541.626871991422</v>
      </c>
      <c r="CY394" s="50">
        <f t="shared" si="2691"/>
        <v>36838.441829355819</v>
      </c>
      <c r="CZ394" s="50">
        <f t="shared" si="2691"/>
        <v>38277.0903281746</v>
      </c>
      <c r="DA394" s="50">
        <f t="shared" si="2691"/>
        <v>39808.276345073638</v>
      </c>
      <c r="DB394" s="50">
        <f t="shared" si="2691"/>
        <v>41585.825634851382</v>
      </c>
      <c r="DE394" s="138"/>
    </row>
    <row r="395" spans="1:110" s="93" customFormat="1" x14ac:dyDescent="0.2">
      <c r="AB395" s="30"/>
      <c r="AC395" s="30"/>
      <c r="AD395" s="30"/>
      <c r="AE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E395" s="139"/>
    </row>
    <row r="396" spans="1:110" s="11" customFormat="1" x14ac:dyDescent="0.2">
      <c r="AB396" s="63"/>
      <c r="AC396" s="63"/>
      <c r="AD396" s="63"/>
      <c r="AE396" s="63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E396" s="139"/>
      <c r="DF396" s="302"/>
    </row>
    <row r="397" spans="1:110" s="62" customFormat="1" hidden="1" outlineLevel="1" x14ac:dyDescent="0.2">
      <c r="A397" s="61" t="s">
        <v>339</v>
      </c>
      <c r="AB397" s="63"/>
      <c r="AC397" s="63"/>
      <c r="AD397" s="63"/>
      <c r="AE397" s="63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E397" s="139"/>
      <c r="DF397" s="303"/>
    </row>
    <row r="398" spans="1:110" s="64" customFormat="1" hidden="1" outlineLevel="1" x14ac:dyDescent="0.2">
      <c r="A398" s="64" t="s">
        <v>474</v>
      </c>
      <c r="B398" s="64">
        <f t="shared" ref="B398:Z398" si="2692">B164-B404</f>
        <v>7825.43</v>
      </c>
      <c r="C398" s="64">
        <f t="shared" si="2692"/>
        <v>9170.02</v>
      </c>
      <c r="D398" s="64">
        <f t="shared" si="2692"/>
        <v>10813.13</v>
      </c>
      <c r="E398" s="64">
        <f t="shared" si="2692"/>
        <v>11232.34</v>
      </c>
      <c r="F398" s="64">
        <f t="shared" si="2692"/>
        <v>14716.9</v>
      </c>
      <c r="G398" s="64">
        <f t="shared" si="2692"/>
        <v>16808.509999999998</v>
      </c>
      <c r="H398" s="64">
        <f t="shared" si="2692"/>
        <v>20877.32</v>
      </c>
      <c r="I398" s="64">
        <f t="shared" si="2692"/>
        <v>29819.46</v>
      </c>
      <c r="J398" s="64">
        <f t="shared" si="2692"/>
        <v>40931.93</v>
      </c>
      <c r="K398" s="64">
        <f t="shared" si="2692"/>
        <v>44310.46</v>
      </c>
      <c r="L398" s="64">
        <f t="shared" si="2692"/>
        <v>52470.22</v>
      </c>
      <c r="M398" s="64">
        <f t="shared" si="2692"/>
        <v>64960.08</v>
      </c>
      <c r="N398" s="64">
        <f t="shared" si="2692"/>
        <v>75195.31</v>
      </c>
      <c r="O398" s="64">
        <f t="shared" si="2692"/>
        <v>85889.04</v>
      </c>
      <c r="P398" s="64">
        <f t="shared" si="2692"/>
        <v>92761.66</v>
      </c>
      <c r="Q398" s="64">
        <f t="shared" si="2692"/>
        <v>101975.34</v>
      </c>
      <c r="R398" s="64">
        <f t="shared" si="2692"/>
        <v>110011</v>
      </c>
      <c r="S398" s="64">
        <f t="shared" si="2692"/>
        <v>119862.1</v>
      </c>
      <c r="T398" s="64">
        <f t="shared" si="2692"/>
        <v>135220.29</v>
      </c>
      <c r="U398" s="64">
        <f t="shared" si="2692"/>
        <v>145452.35999999999</v>
      </c>
      <c r="V398" s="64">
        <f t="shared" si="2692"/>
        <v>135979.03</v>
      </c>
      <c r="W398" s="64">
        <f t="shared" si="2692"/>
        <v>156521.23000000001</v>
      </c>
      <c r="X398" s="64">
        <f t="shared" si="2692"/>
        <v>183340.7</v>
      </c>
      <c r="Y398" s="64">
        <f t="shared" si="2692"/>
        <v>221112.91</v>
      </c>
      <c r="Z398" s="64">
        <f t="shared" si="2692"/>
        <v>255734.45</v>
      </c>
      <c r="AA398" s="64">
        <f t="shared" ref="AA398" si="2693">AA164-AA404</f>
        <v>285874.36</v>
      </c>
      <c r="AB398" s="30"/>
      <c r="AC398" s="30"/>
      <c r="AD398" s="30"/>
      <c r="AE398" s="30"/>
      <c r="AI398" s="64">
        <f t="shared" ref="AI398:BN398" si="2694">AI164-AI404</f>
        <v>12078.33</v>
      </c>
      <c r="AJ398" s="64">
        <f t="shared" si="2694"/>
        <v>13327.53</v>
      </c>
      <c r="AK398" s="64">
        <f t="shared" si="2694"/>
        <v>13016.04</v>
      </c>
      <c r="AL398" s="64">
        <f t="shared" si="2694"/>
        <v>18266.05</v>
      </c>
      <c r="AM398" s="64">
        <f t="shared" si="2694"/>
        <v>17419.560000000001</v>
      </c>
      <c r="AN398" s="64">
        <f t="shared" si="2694"/>
        <v>19313.62</v>
      </c>
      <c r="AO398" s="64">
        <f t="shared" si="2694"/>
        <v>21928.54</v>
      </c>
      <c r="AP398" s="64">
        <f t="shared" si="2694"/>
        <v>27227.32</v>
      </c>
      <c r="AQ398" s="64">
        <f t="shared" si="2694"/>
        <v>19123.32</v>
      </c>
      <c r="AR398" s="64">
        <f t="shared" si="2694"/>
        <v>21331.09</v>
      </c>
      <c r="AS398" s="64">
        <f t="shared" si="2694"/>
        <v>24032.539999999997</v>
      </c>
      <c r="AT398" s="64">
        <f t="shared" si="2694"/>
        <v>28274.71</v>
      </c>
      <c r="AU398" s="64">
        <f t="shared" si="2694"/>
        <v>20048.240000000002</v>
      </c>
      <c r="AV398" s="64">
        <f t="shared" si="2694"/>
        <v>23123.48</v>
      </c>
      <c r="AW398" s="64">
        <f t="shared" si="2694"/>
        <v>25928.07</v>
      </c>
      <c r="AX398" s="64">
        <f t="shared" si="2694"/>
        <v>32875.51</v>
      </c>
      <c r="AY398" s="64">
        <f t="shared" si="2694"/>
        <v>21873.8</v>
      </c>
      <c r="AZ398" s="64">
        <f t="shared" si="2694"/>
        <v>25022.25</v>
      </c>
      <c r="BA398" s="64">
        <f t="shared" si="2694"/>
        <v>26286.97</v>
      </c>
      <c r="BB398" s="64">
        <f t="shared" si="2694"/>
        <v>36827.99</v>
      </c>
      <c r="BC398" s="64">
        <f t="shared" si="2694"/>
        <v>23989.79</v>
      </c>
      <c r="BD398" s="64">
        <f t="shared" si="2694"/>
        <v>26446.76</v>
      </c>
      <c r="BE398" s="64">
        <f t="shared" si="2694"/>
        <v>28747.45</v>
      </c>
      <c r="BF398" s="64">
        <f t="shared" si="2694"/>
        <v>40678.1</v>
      </c>
      <c r="BG398" s="64">
        <f t="shared" si="2694"/>
        <v>27004.77</v>
      </c>
      <c r="BH398" s="64">
        <f t="shared" si="2694"/>
        <v>30678.13</v>
      </c>
      <c r="BI398" s="64">
        <f t="shared" si="2694"/>
        <v>34233.96</v>
      </c>
      <c r="BJ398" s="64">
        <f t="shared" si="2694"/>
        <v>43303.4</v>
      </c>
      <c r="BK398" s="64">
        <f t="shared" si="2694"/>
        <v>29635.95</v>
      </c>
      <c r="BL398" s="64">
        <f t="shared" si="2694"/>
        <v>35328.449999999997</v>
      </c>
      <c r="BM398" s="64">
        <f t="shared" si="2694"/>
        <v>36242.68</v>
      </c>
      <c r="BN398" s="64">
        <f t="shared" si="2694"/>
        <v>44245.279999999999</v>
      </c>
      <c r="BO398" s="64">
        <f t="shared" ref="BO398:CT398" si="2695">BO164-BO404</f>
        <v>21259.97</v>
      </c>
      <c r="BP398" s="64">
        <f t="shared" si="2695"/>
        <v>31034.74</v>
      </c>
      <c r="BQ398" s="64">
        <f t="shared" si="2695"/>
        <v>35596.42</v>
      </c>
      <c r="BR398" s="64">
        <f t="shared" si="2695"/>
        <v>48087.9</v>
      </c>
      <c r="BS398" s="64">
        <f t="shared" si="2695"/>
        <v>29334.73</v>
      </c>
      <c r="BT398" s="64">
        <f t="shared" si="2695"/>
        <v>34772.9</v>
      </c>
      <c r="BU398" s="64">
        <f t="shared" si="2695"/>
        <v>39562.92</v>
      </c>
      <c r="BV398" s="64">
        <f t="shared" si="2695"/>
        <v>52850.67</v>
      </c>
      <c r="BW398" s="64">
        <f t="shared" si="2695"/>
        <v>35853.199999999997</v>
      </c>
      <c r="BX398" s="64">
        <f t="shared" si="2695"/>
        <v>42762.61</v>
      </c>
      <c r="BY398" s="64">
        <f t="shared" si="2695"/>
        <v>46389.72</v>
      </c>
      <c r="BZ398" s="64">
        <f t="shared" si="2695"/>
        <v>58335.15</v>
      </c>
      <c r="CA398" s="64">
        <f t="shared" si="2695"/>
        <v>47882.37</v>
      </c>
      <c r="CB398" s="64">
        <f t="shared" si="2695"/>
        <v>51024.04</v>
      </c>
      <c r="CC398" s="64">
        <f t="shared" si="2695"/>
        <v>55127.82</v>
      </c>
      <c r="CD398" s="64">
        <f t="shared" si="2695"/>
        <v>67078.679999999993</v>
      </c>
      <c r="CE398" s="64">
        <f t="shared" si="2695"/>
        <v>55119.82</v>
      </c>
      <c r="CF398" s="64">
        <f t="shared" si="2695"/>
        <v>61554.58</v>
      </c>
      <c r="CG398" s="64">
        <f t="shared" si="2695"/>
        <v>64667.78</v>
      </c>
      <c r="CH398" s="64">
        <f t="shared" si="2695"/>
        <v>74392.28</v>
      </c>
      <c r="CI398" s="64">
        <f t="shared" si="2695"/>
        <v>63678.92</v>
      </c>
      <c r="CJ398" s="64">
        <f t="shared" si="2695"/>
        <v>67983.53</v>
      </c>
      <c r="CK398" s="64">
        <f t="shared" si="2695"/>
        <v>71449.7</v>
      </c>
      <c r="CL398" s="64">
        <f t="shared" si="2695"/>
        <v>82762.16</v>
      </c>
      <c r="CM398" s="30">
        <f t="shared" si="2695"/>
        <v>72866.325140824716</v>
      </c>
      <c r="CN398" s="30">
        <f t="shared" si="2695"/>
        <v>77604.95710543108</v>
      </c>
      <c r="CO398" s="30">
        <f t="shared" si="2695"/>
        <v>82224.068010684598</v>
      </c>
      <c r="CP398" s="30">
        <f t="shared" si="2695"/>
        <v>96192.58579809565</v>
      </c>
      <c r="CQ398" s="30">
        <f t="shared" si="2695"/>
        <v>83775.812989478363</v>
      </c>
      <c r="CR398" s="30">
        <f t="shared" si="2695"/>
        <v>89329.494058500321</v>
      </c>
      <c r="CS398" s="30">
        <f t="shared" si="2695"/>
        <v>94842.848960625299</v>
      </c>
      <c r="CT398" s="30">
        <f t="shared" si="2695"/>
        <v>111019.33891473475</v>
      </c>
      <c r="CU398" s="30">
        <f t="shared" ref="CU398:DB398" si="2696">CU164-CU404</f>
        <v>96518.183031858745</v>
      </c>
      <c r="CV398" s="30">
        <f t="shared" si="2696"/>
        <v>102969.77085421246</v>
      </c>
      <c r="CW398" s="30">
        <f t="shared" si="2696"/>
        <v>109363.32227215097</v>
      </c>
      <c r="CX398" s="30">
        <f t="shared" si="2696"/>
        <v>128006.22843946359</v>
      </c>
      <c r="CY398" s="30">
        <f t="shared" si="2696"/>
        <v>111259.06206816905</v>
      </c>
      <c r="CZ398" s="30">
        <f t="shared" si="2696"/>
        <v>118712.08304176394</v>
      </c>
      <c r="DA398" s="30">
        <f t="shared" si="2696"/>
        <v>126088.20127235638</v>
      </c>
      <c r="DB398" s="30">
        <f t="shared" si="2696"/>
        <v>147576.69068598456</v>
      </c>
      <c r="DE398" s="139"/>
      <c r="DF398" s="304">
        <v>285874.36</v>
      </c>
    </row>
    <row r="399" spans="1:110" s="64" customFormat="1" hidden="1" outlineLevel="1" x14ac:dyDescent="0.2">
      <c r="A399" s="64" t="s">
        <v>475</v>
      </c>
      <c r="B399" s="64">
        <f t="shared" ref="B399:Z399" si="2697">B190-B405</f>
        <v>832.29000000000087</v>
      </c>
      <c r="C399" s="64">
        <f t="shared" si="2697"/>
        <v>1153.2700000000004</v>
      </c>
      <c r="D399" s="64">
        <f t="shared" si="2697"/>
        <v>1000.6000000000004</v>
      </c>
      <c r="E399" s="64">
        <f t="shared" si="2697"/>
        <v>975.42000000000007</v>
      </c>
      <c r="F399" s="64">
        <f t="shared" si="2697"/>
        <v>1247.0999999999985</v>
      </c>
      <c r="G399" s="64">
        <f t="shared" si="2697"/>
        <v>1668.4799999999959</v>
      </c>
      <c r="H399" s="64">
        <f t="shared" si="2697"/>
        <v>2756.4500000000007</v>
      </c>
      <c r="I399" s="64">
        <f t="shared" si="2697"/>
        <v>4069.6900000000023</v>
      </c>
      <c r="J399" s="64">
        <f t="shared" si="2697"/>
        <v>5670.4099999999926</v>
      </c>
      <c r="K399" s="64">
        <f t="shared" si="2697"/>
        <v>7090.619999999999</v>
      </c>
      <c r="L399" s="64">
        <f t="shared" si="2697"/>
        <v>8662.130000000001</v>
      </c>
      <c r="M399" s="64">
        <f t="shared" si="2697"/>
        <v>10537.880000000005</v>
      </c>
      <c r="N399" s="64">
        <f t="shared" si="2697"/>
        <v>12263.729999999996</v>
      </c>
      <c r="O399" s="64">
        <f t="shared" si="2697"/>
        <v>13862.61</v>
      </c>
      <c r="P399" s="64">
        <f t="shared" si="2697"/>
        <v>15390.339999999989</v>
      </c>
      <c r="Q399" s="64">
        <f t="shared" si="2697"/>
        <v>15423.310000000012</v>
      </c>
      <c r="R399" s="64">
        <f t="shared" si="2697"/>
        <v>16433.100000000006</v>
      </c>
      <c r="S399" s="64">
        <f t="shared" si="2697"/>
        <v>17141.010000000009</v>
      </c>
      <c r="T399" s="64">
        <f t="shared" si="2697"/>
        <v>22518.589999999967</v>
      </c>
      <c r="U399" s="64">
        <f t="shared" si="2697"/>
        <v>24201.119999999981</v>
      </c>
      <c r="V399" s="64">
        <f t="shared" si="2697"/>
        <v>23131.069999999992</v>
      </c>
      <c r="W399" s="64">
        <f t="shared" si="2697"/>
        <v>23864.800000000032</v>
      </c>
      <c r="X399" s="64">
        <f t="shared" si="2697"/>
        <v>26268.98000000001</v>
      </c>
      <c r="Y399" s="64">
        <f t="shared" si="2697"/>
        <v>29175.72000000003</v>
      </c>
      <c r="Z399" s="64">
        <f t="shared" si="2697"/>
        <v>32736.97</v>
      </c>
      <c r="AA399" s="64">
        <f t="shared" ref="AA399" si="2698">AA190-AA405</f>
        <v>37399.459999999934</v>
      </c>
      <c r="AB399" s="30"/>
      <c r="AC399" s="30"/>
      <c r="AD399" s="30"/>
      <c r="AE399" s="30"/>
      <c r="AI399" s="64">
        <f t="shared" ref="AI399:BN399" si="2699">AI190-AI405</f>
        <v>1084.7100000000009</v>
      </c>
      <c r="AJ399" s="64">
        <f t="shared" si="2699"/>
        <v>1403.630000000001</v>
      </c>
      <c r="AK399" s="64">
        <f t="shared" si="2699"/>
        <v>1258.25</v>
      </c>
      <c r="AL399" s="64">
        <f t="shared" si="2699"/>
        <v>2129.239999999998</v>
      </c>
      <c r="AM399" s="64">
        <f t="shared" si="2699"/>
        <v>1872.840000000002</v>
      </c>
      <c r="AN399" s="64">
        <f t="shared" si="2699"/>
        <v>2503.3500000000004</v>
      </c>
      <c r="AO399" s="64">
        <f t="shared" si="2699"/>
        <v>2633.0300000000061</v>
      </c>
      <c r="AP399" s="64">
        <f t="shared" si="2699"/>
        <v>3738.7199999999975</v>
      </c>
      <c r="AQ399" s="64">
        <f t="shared" si="2699"/>
        <v>2511.010000000002</v>
      </c>
      <c r="AR399" s="64">
        <f t="shared" si="2699"/>
        <v>2334.2700000000004</v>
      </c>
      <c r="AS399" s="64">
        <f t="shared" si="2699"/>
        <v>2885.8099999999977</v>
      </c>
      <c r="AT399" s="64">
        <f t="shared" si="2699"/>
        <v>3595.3199999999961</v>
      </c>
      <c r="AU399" s="64">
        <f t="shared" si="2699"/>
        <v>2832.1400000000031</v>
      </c>
      <c r="AV399" s="64">
        <f t="shared" si="2699"/>
        <v>3706.0199999999986</v>
      </c>
      <c r="AW399" s="64">
        <f t="shared" si="2699"/>
        <v>3338.380000000001</v>
      </c>
      <c r="AX399" s="64">
        <f t="shared" si="2699"/>
        <v>5836.0800000000054</v>
      </c>
      <c r="AY399" s="64">
        <f t="shared" si="2699"/>
        <v>3223.2999999999975</v>
      </c>
      <c r="AZ399" s="64">
        <f t="shared" si="2699"/>
        <v>3670.1100000000006</v>
      </c>
      <c r="BA399" s="64">
        <f t="shared" si="2699"/>
        <v>3837.630000000001</v>
      </c>
      <c r="BB399" s="64">
        <f t="shared" si="2699"/>
        <v>5722.739999999998</v>
      </c>
      <c r="BC399" s="64">
        <f t="shared" si="2699"/>
        <v>3469.2800000000025</v>
      </c>
      <c r="BD399" s="64">
        <f t="shared" si="2699"/>
        <v>4482.5499999999993</v>
      </c>
      <c r="BE399" s="64">
        <f t="shared" si="2699"/>
        <v>4669.8600000000006</v>
      </c>
      <c r="BF399" s="64">
        <f t="shared" si="2699"/>
        <v>6989.2200000000012</v>
      </c>
      <c r="BG399" s="64">
        <f t="shared" si="2699"/>
        <v>4412.7299999999959</v>
      </c>
      <c r="BH399" s="64">
        <f t="shared" si="2699"/>
        <v>5329.1500000000015</v>
      </c>
      <c r="BI399" s="64">
        <f t="shared" si="2699"/>
        <v>5727.59</v>
      </c>
      <c r="BJ399" s="64">
        <f t="shared" si="2699"/>
        <v>7245.7900000000045</v>
      </c>
      <c r="BK399" s="64">
        <f t="shared" si="2699"/>
        <v>5146.9700000000012</v>
      </c>
      <c r="BL399" s="64">
        <f t="shared" si="2699"/>
        <v>6045.1399999999958</v>
      </c>
      <c r="BM399" s="64">
        <f t="shared" si="2699"/>
        <v>6122.0700000000033</v>
      </c>
      <c r="BN399" s="64">
        <f t="shared" si="2699"/>
        <v>7056.6699999999983</v>
      </c>
      <c r="BO399" s="64">
        <f t="shared" ref="BO399:CT399" si="2700">BO190-BO405</f>
        <v>3724.3600000000024</v>
      </c>
      <c r="BP399" s="64">
        <f t="shared" si="2700"/>
        <v>5319.510000000002</v>
      </c>
      <c r="BQ399" s="64">
        <f t="shared" si="2700"/>
        <v>6065.8399999999965</v>
      </c>
      <c r="BR399" s="64">
        <f t="shared" si="2700"/>
        <v>8205.429999999993</v>
      </c>
      <c r="BS399" s="64">
        <f t="shared" si="2700"/>
        <v>4737.2799999999988</v>
      </c>
      <c r="BT399" s="64">
        <f t="shared" si="2700"/>
        <v>5486.2699999999968</v>
      </c>
      <c r="BU399" s="64">
        <f t="shared" si="2700"/>
        <v>5982.3100000000013</v>
      </c>
      <c r="BV399" s="64">
        <f t="shared" si="2700"/>
        <v>7958.5099999999948</v>
      </c>
      <c r="BW399" s="64">
        <f t="shared" si="2700"/>
        <v>5409.8199999999961</v>
      </c>
      <c r="BX399" s="64">
        <f t="shared" si="2700"/>
        <v>6362.1599999999962</v>
      </c>
      <c r="BY399" s="64">
        <f t="shared" si="2700"/>
        <v>6653.4700000000084</v>
      </c>
      <c r="BZ399" s="64">
        <f t="shared" si="2700"/>
        <v>8354.239999999998</v>
      </c>
      <c r="CA399" s="64">
        <f t="shared" si="2700"/>
        <v>6316.3599999999933</v>
      </c>
      <c r="CB399" s="64">
        <f t="shared" si="2700"/>
        <v>7040.4700000000012</v>
      </c>
      <c r="CC399" s="64">
        <f t="shared" si="2700"/>
        <v>7198.6499999999942</v>
      </c>
      <c r="CD399" s="64">
        <f t="shared" si="2700"/>
        <v>8653.0400000000009</v>
      </c>
      <c r="CE399" s="64">
        <f t="shared" si="2700"/>
        <v>7045.820000000007</v>
      </c>
      <c r="CF399" s="64">
        <f t="shared" si="2700"/>
        <v>7917.0500000000029</v>
      </c>
      <c r="CG399" s="64">
        <f t="shared" si="2700"/>
        <v>7898.1599999999962</v>
      </c>
      <c r="CH399" s="64">
        <f t="shared" si="2700"/>
        <v>9875.9400000000023</v>
      </c>
      <c r="CI399" s="64">
        <f t="shared" si="2700"/>
        <v>8024.0099999999948</v>
      </c>
      <c r="CJ399" s="64">
        <f t="shared" si="2700"/>
        <v>8513.239999999998</v>
      </c>
      <c r="CK399" s="64">
        <f t="shared" si="2700"/>
        <v>9190.2099999999991</v>
      </c>
      <c r="CL399" s="64">
        <f t="shared" si="2700"/>
        <v>10419.019999999997</v>
      </c>
      <c r="CM399" s="30">
        <f t="shared" si="2700"/>
        <v>8658.5747972623576</v>
      </c>
      <c r="CN399" s="30">
        <f t="shared" si="2700"/>
        <v>9083.4361152925994</v>
      </c>
      <c r="CO399" s="30">
        <f t="shared" si="2700"/>
        <v>9454.8142067592926</v>
      </c>
      <c r="CP399" s="30">
        <f t="shared" si="2700"/>
        <v>10728.363944872166</v>
      </c>
      <c r="CQ399" s="30">
        <f t="shared" si="2700"/>
        <v>9684.3535469678973</v>
      </c>
      <c r="CR399" s="30">
        <f t="shared" si="2700"/>
        <v>10254.222127668079</v>
      </c>
      <c r="CS399" s="30">
        <f t="shared" si="2700"/>
        <v>10833.611682324074</v>
      </c>
      <c r="CT399" s="30">
        <f t="shared" si="2700"/>
        <v>12660.269883116984</v>
      </c>
      <c r="CU399" s="30">
        <f t="shared" ref="CU399:DB399" si="2701">CU190-CU405</f>
        <v>11067.089440920041</v>
      </c>
      <c r="CV399" s="30">
        <f t="shared" si="2701"/>
        <v>11782.775611727891</v>
      </c>
      <c r="CW399" s="30">
        <f t="shared" si="2701"/>
        <v>12504.501500719445</v>
      </c>
      <c r="CX399" s="30">
        <f t="shared" si="2701"/>
        <v>14639.701722336787</v>
      </c>
      <c r="CY399" s="30">
        <f t="shared" si="2701"/>
        <v>12733.569216771604</v>
      </c>
      <c r="CZ399" s="30">
        <f t="shared" si="2701"/>
        <v>13580.228197620338</v>
      </c>
      <c r="DA399" s="30">
        <f t="shared" si="2701"/>
        <v>14422.985139051889</v>
      </c>
      <c r="DB399" s="30">
        <f t="shared" si="2701"/>
        <v>16882.819072086</v>
      </c>
      <c r="DE399" s="139"/>
      <c r="DF399" s="64">
        <v>37399.459999999934</v>
      </c>
    </row>
    <row r="400" spans="1:110" s="89" customFormat="1" hidden="1" outlineLevel="1" x14ac:dyDescent="0.2">
      <c r="A400" s="86" t="s">
        <v>476</v>
      </c>
      <c r="B400" s="86">
        <f>+B399/B398</f>
        <v>0.10635709475389861</v>
      </c>
      <c r="C400" s="86">
        <f t="shared" ref="C400" si="2702">+C399/C398</f>
        <v>0.12576526550650929</v>
      </c>
      <c r="D400" s="86">
        <f t="shared" ref="D400" si="2703">+D399/D398</f>
        <v>9.2535648789943373E-2</v>
      </c>
      <c r="E400" s="86">
        <f t="shared" ref="E400" si="2704">+E399/E398</f>
        <v>8.6840320004558269E-2</v>
      </c>
      <c r="F400" s="86">
        <f t="shared" ref="F400" si="2705">+F399/F398</f>
        <v>8.4739313306470693E-2</v>
      </c>
      <c r="G400" s="86">
        <f t="shared" ref="G400" si="2706">+G399/G398</f>
        <v>9.9264003769518896E-2</v>
      </c>
      <c r="H400" s="86">
        <f t="shared" ref="H400" si="2707">+H399/H398</f>
        <v>0.13203083537542179</v>
      </c>
      <c r="I400" s="86">
        <f t="shared" ref="I400" si="2708">+I399/I398</f>
        <v>0.13647765586633703</v>
      </c>
      <c r="J400" s="86">
        <f t="shared" ref="J400" si="2709">+J399/J398</f>
        <v>0.13853268096569091</v>
      </c>
      <c r="K400" s="86">
        <f t="shared" ref="K400" si="2710">+K399/K398</f>
        <v>0.16002135838806456</v>
      </c>
      <c r="L400" s="86">
        <f t="shared" ref="L400" si="2711">+L399/L398</f>
        <v>0.165086595787096</v>
      </c>
      <c r="M400" s="86">
        <f t="shared" ref="M400" si="2712">+M399/M398</f>
        <v>0.16222085933391714</v>
      </c>
      <c r="N400" s="86">
        <f t="shared" ref="N400" si="2713">+N399/N398</f>
        <v>0.16309168750019112</v>
      </c>
      <c r="O400" s="86">
        <f t="shared" ref="O400" si="2714">+O399/O398</f>
        <v>0.16140138485655448</v>
      </c>
      <c r="P400" s="86">
        <f t="shared" ref="P400" si="2715">+P399/P398</f>
        <v>0.16591272730565612</v>
      </c>
      <c r="Q400" s="86">
        <f t="shared" ref="Q400" si="2716">+Q399/Q398</f>
        <v>0.1512454873894023</v>
      </c>
      <c r="R400" s="86">
        <f t="shared" ref="R400" si="2717">+R399/R398</f>
        <v>0.14937688049376885</v>
      </c>
      <c r="S400" s="86">
        <f t="shared" ref="S400" si="2718">+S399/S398</f>
        <v>0.14300608782926386</v>
      </c>
      <c r="T400" s="86">
        <f t="shared" ref="T400" si="2719">+T399/T398</f>
        <v>0.1665326261317733</v>
      </c>
      <c r="U400" s="86">
        <f t="shared" ref="U400" si="2720">+U399/U398</f>
        <v>0.16638519993762896</v>
      </c>
      <c r="V400" s="86">
        <f t="shared" ref="V400" si="2721">+V399/V398</f>
        <v>0.17010762615382674</v>
      </c>
      <c r="W400" s="86">
        <f t="shared" ref="W400" si="2722">+W399/W398</f>
        <v>0.15247005150675108</v>
      </c>
      <c r="X400" s="86">
        <f t="shared" ref="X400:Y400" si="2723">+X399/X398</f>
        <v>0.14327958822018247</v>
      </c>
      <c r="Y400" s="86">
        <f t="shared" si="2723"/>
        <v>0.13194941896427501</v>
      </c>
      <c r="Z400" s="86">
        <f t="shared" ref="Z400:AA400" si="2724">+Z399/Z398</f>
        <v>0.12801157607041211</v>
      </c>
      <c r="AA400" s="86">
        <f t="shared" si="2724"/>
        <v>0.1308248140896579</v>
      </c>
      <c r="AB400" s="87"/>
      <c r="AC400" s="87"/>
      <c r="AD400" s="87"/>
      <c r="AE400" s="87"/>
      <c r="AF400" s="86"/>
      <c r="AG400" s="86"/>
      <c r="AH400" s="86"/>
      <c r="AI400" s="86">
        <f t="shared" ref="AI400" si="2725">+AI399/AI398</f>
        <v>8.9806289445643644E-2</v>
      </c>
      <c r="AJ400" s="86">
        <f t="shared" ref="AJ400" si="2726">+AJ399/AJ398</f>
        <v>0.10531808969854137</v>
      </c>
      <c r="AK400" s="86">
        <f t="shared" ref="AK400" si="2727">+AK399/AK398</f>
        <v>9.6669186634337323E-2</v>
      </c>
      <c r="AL400" s="86">
        <f t="shared" ref="AL400" si="2728">+AL399/AL398</f>
        <v>0.11656816881591794</v>
      </c>
      <c r="AM400" s="86">
        <f t="shared" ref="AM400" si="2729">+AM399/AM398</f>
        <v>0.10751362261733373</v>
      </c>
      <c r="AN400" s="86">
        <f t="shared" ref="AN400" si="2730">+AN399/AN398</f>
        <v>0.12961578409433344</v>
      </c>
      <c r="AO400" s="86">
        <f t="shared" ref="AO400" si="2731">+AO399/AO398</f>
        <v>0.12007320140784594</v>
      </c>
      <c r="AP400" s="86">
        <f t="shared" ref="AP400" si="2732">+AP399/AP398</f>
        <v>0.13731502035455556</v>
      </c>
      <c r="AQ400" s="86">
        <f t="shared" ref="AQ400" si="2733">+AQ399/AQ398</f>
        <v>0.13130617486921739</v>
      </c>
      <c r="AR400" s="86">
        <f t="shared" ref="AR400" si="2734">+AR399/AR398</f>
        <v>0.10943041354192404</v>
      </c>
      <c r="AS400" s="86">
        <f t="shared" ref="AS400" si="2735">+AS399/AS398</f>
        <v>0.12007927584849533</v>
      </c>
      <c r="AT400" s="86">
        <f t="shared" ref="AT400" si="2736">+AT399/AT398</f>
        <v>0.12715674183749351</v>
      </c>
      <c r="AU400" s="86">
        <f t="shared" ref="AU400" si="2737">+AU399/AU398</f>
        <v>0.14126626576697021</v>
      </c>
      <c r="AV400" s="86">
        <f t="shared" ref="AV400" si="2738">+AV399/AV398</f>
        <v>0.1602708588845623</v>
      </c>
      <c r="AW400" s="86">
        <f t="shared" ref="AW400" si="2739">+AW399/AW398</f>
        <v>0.12875543763959296</v>
      </c>
      <c r="AX400" s="86">
        <f t="shared" ref="AX400" si="2740">+AX399/AX398</f>
        <v>0.17752059207598619</v>
      </c>
      <c r="AY400" s="86">
        <f t="shared" ref="AY400" si="2741">+AY399/AY398</f>
        <v>0.1473589408333256</v>
      </c>
      <c r="AZ400" s="86">
        <f t="shared" ref="AZ400" si="2742">+AZ399/AZ398</f>
        <v>0.14667386026436474</v>
      </c>
      <c r="BA400" s="86">
        <f t="shared" ref="BA400" si="2743">+BA399/BA398</f>
        <v>0.14598981929069804</v>
      </c>
      <c r="BB400" s="86">
        <f t="shared" ref="BB400" si="2744">+BB399/BB398</f>
        <v>0.15539104903634432</v>
      </c>
      <c r="BC400" s="86">
        <f t="shared" ref="BC400" si="2745">+BC399/BC398</f>
        <v>0.14461485490285669</v>
      </c>
      <c r="BD400" s="86">
        <f t="shared" ref="BD400" si="2746">+BD399/BD398</f>
        <v>0.1694933519266632</v>
      </c>
      <c r="BE400" s="86">
        <f t="shared" ref="BE400" si="2747">+BE399/BE398</f>
        <v>0.16244432114848448</v>
      </c>
      <c r="BF400" s="86">
        <f t="shared" ref="BF400" si="2748">+BF399/BF398</f>
        <v>0.17181775943320857</v>
      </c>
      <c r="BG400" s="86">
        <f t="shared" ref="BG400" si="2749">+BG399/BG398</f>
        <v>0.16340557612599538</v>
      </c>
      <c r="BH400" s="86">
        <f t="shared" ref="BH400" si="2750">+BH399/BH398</f>
        <v>0.17371169624745711</v>
      </c>
      <c r="BI400" s="86">
        <f t="shared" ref="BI400" si="2751">+BI399/BI398</f>
        <v>0.16730725864025081</v>
      </c>
      <c r="BJ400" s="86">
        <f t="shared" ref="BJ400" si="2752">+BJ399/BJ398</f>
        <v>0.16732612219825704</v>
      </c>
      <c r="BK400" s="86">
        <f t="shared" ref="BK400" si="2753">+BK399/BK398</f>
        <v>0.17367319083747951</v>
      </c>
      <c r="BL400" s="86">
        <f t="shared" ref="BL400" si="2754">+BL399/BL398</f>
        <v>0.17111251696578808</v>
      </c>
      <c r="BM400" s="86">
        <f t="shared" ref="BM400" si="2755">+BM399/BM398</f>
        <v>0.16891879960311995</v>
      </c>
      <c r="BN400" s="86">
        <f t="shared" ref="BN400" si="2756">+BN399/BN398</f>
        <v>0.15948978060484639</v>
      </c>
      <c r="BO400" s="86">
        <f t="shared" ref="BO400" si="2757">+BO399/BO398</f>
        <v>0.17518180881722797</v>
      </c>
      <c r="BP400" s="86">
        <f t="shared" ref="BP400" si="2758">+BP399/BP398</f>
        <v>0.17140501257622914</v>
      </c>
      <c r="BQ400" s="86">
        <f t="shared" ref="BQ400" si="2759">+BQ399/BQ398</f>
        <v>0.17040590036863248</v>
      </c>
      <c r="BR400" s="86">
        <f t="shared" ref="BR400" si="2760">+BR399/BR398</f>
        <v>0.17063398484857922</v>
      </c>
      <c r="BS400" s="86">
        <f t="shared" ref="BS400" si="2761">+BS399/BS398</f>
        <v>0.16149049266858767</v>
      </c>
      <c r="BT400" s="86">
        <f t="shared" ref="BT400" si="2762">+BT399/BT398</f>
        <v>0.15777430125183681</v>
      </c>
      <c r="BU400" s="86">
        <f t="shared" ref="BU400" si="2763">+BU399/BU398</f>
        <v>0.15121002190940411</v>
      </c>
      <c r="BV400" s="86">
        <f t="shared" ref="BV400" si="2764">+BV399/BV398</f>
        <v>0.15058484594424243</v>
      </c>
      <c r="BW400" s="86">
        <f t="shared" ref="BW400" si="2765">+BW399/BW398</f>
        <v>0.15088806577934458</v>
      </c>
      <c r="BX400" s="86">
        <f t="shared" ref="BX400" si="2766">+BX399/BX398</f>
        <v>0.1487785708122118</v>
      </c>
      <c r="BY400" s="86">
        <f t="shared" ref="BY400" si="2767">+BY399/BY398</f>
        <v>0.14342552617260912</v>
      </c>
      <c r="BZ400" s="86">
        <f t="shared" ref="BZ400" si="2768">+BZ399/BZ398</f>
        <v>0.14321108285484821</v>
      </c>
      <c r="CA400" s="86">
        <f t="shared" ref="CA400" si="2769">+CA399/CA398</f>
        <v>0.13191410533772646</v>
      </c>
      <c r="CB400" s="86">
        <f t="shared" ref="CB400:CC400" si="2770">+CB399/CB398</f>
        <v>0.13798338979038119</v>
      </c>
      <c r="CC400" s="86">
        <f t="shared" si="2770"/>
        <v>0.13058107503616131</v>
      </c>
      <c r="CD400" s="86">
        <f t="shared" ref="CD400" si="2771">+CD399/CD398</f>
        <v>0.12899836430889816</v>
      </c>
      <c r="CE400" s="86">
        <f t="shared" ref="CE400:CF400" si="2772">+CE399/CE398</f>
        <v>0.12782734051018321</v>
      </c>
      <c r="CF400" s="86">
        <f t="shared" si="2772"/>
        <v>0.12861837413235544</v>
      </c>
      <c r="CG400" s="86">
        <f t="shared" ref="CG400:CH400" si="2773">+CG399/CG398</f>
        <v>0.12213439211922841</v>
      </c>
      <c r="CH400" s="86">
        <f t="shared" si="2773"/>
        <v>0.1327549041379025</v>
      </c>
      <c r="CI400" s="86">
        <f t="shared" ref="CI400:CJ400" si="2774">+CI399/CI398</f>
        <v>0.12600731921960981</v>
      </c>
      <c r="CJ400" s="86">
        <f t="shared" si="2774"/>
        <v>0.12522503612271971</v>
      </c>
      <c r="CK400" s="86">
        <f t="shared" ref="CK400:DB400" si="2775">+CK399/CK398</f>
        <v>0.12862489275672256</v>
      </c>
      <c r="CL400" s="86">
        <f t="shared" si="2775"/>
        <v>0.1258911077236263</v>
      </c>
      <c r="CM400" s="47">
        <f t="shared" si="2775"/>
        <v>0.1188282074130733</v>
      </c>
      <c r="CN400" s="47">
        <f t="shared" si="2775"/>
        <v>0.11704711211878123</v>
      </c>
      <c r="CO400" s="47">
        <f t="shared" si="2775"/>
        <v>0.11498840224653793</v>
      </c>
      <c r="CP400" s="47">
        <f t="shared" si="2775"/>
        <v>0.1115300504281127</v>
      </c>
      <c r="CQ400" s="47">
        <f t="shared" si="2775"/>
        <v>0.11559844305162616</v>
      </c>
      <c r="CR400" s="47">
        <f t="shared" si="2775"/>
        <v>0.11479100196126454</v>
      </c>
      <c r="CS400" s="47">
        <f t="shared" si="2775"/>
        <v>0.11422697442188527</v>
      </c>
      <c r="CT400" s="47">
        <f t="shared" si="2775"/>
        <v>0.1140366174657223</v>
      </c>
      <c r="CU400" s="47">
        <f t="shared" si="2775"/>
        <v>0.11466325922512459</v>
      </c>
      <c r="CV400" s="47">
        <f t="shared" si="2775"/>
        <v>0.11442946326849927</v>
      </c>
      <c r="CW400" s="47">
        <f t="shared" si="2775"/>
        <v>0.1143390785953078</v>
      </c>
      <c r="CX400" s="47">
        <f t="shared" si="2775"/>
        <v>0.11436710463866342</v>
      </c>
      <c r="CY400" s="47">
        <f t="shared" si="2775"/>
        <v>0.11444972643189887</v>
      </c>
      <c r="CZ400" s="47">
        <f t="shared" si="2775"/>
        <v>0.11439634323359228</v>
      </c>
      <c r="DA400" s="47">
        <f t="shared" si="2775"/>
        <v>0.11438806322486567</v>
      </c>
      <c r="DB400" s="47">
        <f t="shared" si="2775"/>
        <v>0.11440030938225511</v>
      </c>
      <c r="DE400" s="130"/>
      <c r="DF400" s="89">
        <v>0.1308248140896579</v>
      </c>
    </row>
    <row r="401" spans="1:110" s="64" customFormat="1" hidden="1" outlineLevel="1" x14ac:dyDescent="0.2">
      <c r="A401" s="64" t="s">
        <v>477</v>
      </c>
      <c r="B401" s="64">
        <f t="shared" ref="B401:Z401" si="2776">B203-B407</f>
        <v>315.06000000000091</v>
      </c>
      <c r="C401" s="64">
        <f t="shared" si="2776"/>
        <v>313.90000000000043</v>
      </c>
      <c r="D401" s="64">
        <f t="shared" si="2776"/>
        <v>384.59000000000037</v>
      </c>
      <c r="E401" s="64">
        <f t="shared" si="2776"/>
        <v>624.4</v>
      </c>
      <c r="F401" s="64">
        <f t="shared" si="2776"/>
        <v>1127.6899999999987</v>
      </c>
      <c r="G401" s="64">
        <f t="shared" si="2776"/>
        <v>1236.9099999999962</v>
      </c>
      <c r="H401" s="64">
        <f t="shared" si="2776"/>
        <v>2272.3100000000004</v>
      </c>
      <c r="I401" s="64">
        <f t="shared" si="2776"/>
        <v>2271.5000000000027</v>
      </c>
      <c r="J401" s="64">
        <f t="shared" si="2776"/>
        <v>2935.4599999999937</v>
      </c>
      <c r="K401" s="64">
        <f t="shared" si="2776"/>
        <v>5307.9499999999989</v>
      </c>
      <c r="L401" s="64">
        <f t="shared" si="2776"/>
        <v>4179.0200000000004</v>
      </c>
      <c r="M401" s="64">
        <f t="shared" si="2776"/>
        <v>4634.1900000000032</v>
      </c>
      <c r="N401" s="64">
        <f t="shared" si="2776"/>
        <v>4837.5099999999966</v>
      </c>
      <c r="O401" s="64">
        <f t="shared" si="2776"/>
        <v>4520.1500000000005</v>
      </c>
      <c r="P401" s="64">
        <f t="shared" si="2776"/>
        <v>4616.2999999999884</v>
      </c>
      <c r="Q401" s="64">
        <f t="shared" si="2776"/>
        <v>5488.4400000000123</v>
      </c>
      <c r="R401" s="64">
        <f t="shared" si="2776"/>
        <v>6759.3400000000056</v>
      </c>
      <c r="S401" s="64">
        <f t="shared" si="2776"/>
        <v>8317.2900000000118</v>
      </c>
      <c r="T401" s="64">
        <f t="shared" si="2776"/>
        <v>9373.4999999999673</v>
      </c>
      <c r="U401" s="64">
        <f t="shared" si="2776"/>
        <v>10167.749999999982</v>
      </c>
      <c r="V401" s="64">
        <f t="shared" si="2776"/>
        <v>8224.9799999999941</v>
      </c>
      <c r="W401" s="64">
        <f t="shared" si="2776"/>
        <v>10194.12000000003</v>
      </c>
      <c r="X401" s="64">
        <f t="shared" si="2776"/>
        <v>12488.880000000012</v>
      </c>
      <c r="Y401" s="64">
        <f t="shared" si="2776"/>
        <v>15476.11000000003</v>
      </c>
      <c r="Z401" s="64">
        <f t="shared" si="2776"/>
        <v>17212.61</v>
      </c>
      <c r="AA401" s="64">
        <f t="shared" ref="AA401" si="2777">AA203-AA407</f>
        <v>20881.839999999935</v>
      </c>
      <c r="AB401" s="30"/>
      <c r="AC401" s="30"/>
      <c r="AD401" s="30"/>
      <c r="AE401" s="30"/>
      <c r="AI401" s="64">
        <f t="shared" ref="AI401:BN401" si="2778">AI203-AI407</f>
        <v>901.99000000000069</v>
      </c>
      <c r="AJ401" s="64">
        <f t="shared" si="2778"/>
        <v>870.13000000000079</v>
      </c>
      <c r="AK401" s="64">
        <f t="shared" si="2778"/>
        <v>1013.2300000000001</v>
      </c>
      <c r="AL401" s="64">
        <f t="shared" si="2778"/>
        <v>1591.1899999999982</v>
      </c>
      <c r="AM401" s="64">
        <f t="shared" si="2778"/>
        <v>396.93000000000211</v>
      </c>
      <c r="AN401" s="64">
        <f t="shared" si="2778"/>
        <v>796.59000000000083</v>
      </c>
      <c r="AO401" s="64">
        <f t="shared" si="2778"/>
        <v>687.50000000000625</v>
      </c>
      <c r="AP401" s="64">
        <f t="shared" si="2778"/>
        <v>2618.3199999999974</v>
      </c>
      <c r="AQ401" s="64">
        <f t="shared" si="2778"/>
        <v>757.32000000000198</v>
      </c>
      <c r="AR401" s="64">
        <f t="shared" si="2778"/>
        <v>840.55000000000018</v>
      </c>
      <c r="AS401" s="64">
        <f t="shared" si="2778"/>
        <v>955.90999999999758</v>
      </c>
      <c r="AT401" s="64">
        <f t="shared" si="2778"/>
        <v>2062.5199999999963</v>
      </c>
      <c r="AU401" s="64">
        <f t="shared" si="2778"/>
        <v>640.9800000000032</v>
      </c>
      <c r="AV401" s="64">
        <f t="shared" si="2778"/>
        <v>950.60999999999842</v>
      </c>
      <c r="AW401" s="64">
        <f t="shared" si="2778"/>
        <v>1082.4700000000012</v>
      </c>
      <c r="AX401" s="64">
        <f t="shared" si="2778"/>
        <v>2766.5700000000056</v>
      </c>
      <c r="AY401" s="64">
        <f t="shared" si="2778"/>
        <v>856.36999999999762</v>
      </c>
      <c r="AZ401" s="64">
        <f t="shared" si="2778"/>
        <v>1286.4100000000003</v>
      </c>
      <c r="BA401" s="64">
        <f t="shared" si="2778"/>
        <v>1238.5500000000006</v>
      </c>
      <c r="BB401" s="64">
        <f t="shared" si="2778"/>
        <v>3378.0199999999986</v>
      </c>
      <c r="BC401" s="64">
        <f t="shared" si="2778"/>
        <v>1065.5400000000025</v>
      </c>
      <c r="BD401" s="64">
        <f t="shared" si="2778"/>
        <v>1994.2999999999988</v>
      </c>
      <c r="BE401" s="64">
        <f t="shared" si="2778"/>
        <v>1802.6900000000003</v>
      </c>
      <c r="BF401" s="64">
        <f t="shared" si="2778"/>
        <v>3454.77</v>
      </c>
      <c r="BG401" s="64">
        <f t="shared" si="2778"/>
        <v>1127.6899999999955</v>
      </c>
      <c r="BH401" s="64">
        <f t="shared" si="2778"/>
        <v>2256.940000000001</v>
      </c>
      <c r="BI401" s="64">
        <f t="shared" si="2778"/>
        <v>2275.1500000000005</v>
      </c>
      <c r="BJ401" s="64">
        <f t="shared" si="2778"/>
        <v>3713.7200000000039</v>
      </c>
      <c r="BK401" s="64">
        <f t="shared" si="2778"/>
        <v>1860.440000000001</v>
      </c>
      <c r="BL401" s="64">
        <f t="shared" si="2778"/>
        <v>2511.6299999999969</v>
      </c>
      <c r="BM401" s="64">
        <f t="shared" si="2778"/>
        <v>2512.2300000000041</v>
      </c>
      <c r="BN401" s="64">
        <f t="shared" si="2778"/>
        <v>3283.449999999998</v>
      </c>
      <c r="BO401" s="64">
        <f t="shared" ref="BO401:CT401" si="2779">BO203-BO407</f>
        <v>413.30000000000251</v>
      </c>
      <c r="BP401" s="64">
        <f t="shared" si="2779"/>
        <v>1462.840000000002</v>
      </c>
      <c r="BQ401" s="64">
        <f t="shared" si="2779"/>
        <v>2639.7499999999959</v>
      </c>
      <c r="BR401" s="64">
        <f t="shared" si="2779"/>
        <v>3660.6499999999933</v>
      </c>
      <c r="BS401" s="64">
        <f t="shared" si="2779"/>
        <v>1556.1799999999989</v>
      </c>
      <c r="BT401" s="64">
        <f t="shared" si="2779"/>
        <v>2134.3999999999974</v>
      </c>
      <c r="BU401" s="64">
        <f t="shared" si="2779"/>
        <v>2496.8600000000015</v>
      </c>
      <c r="BV401" s="64">
        <f t="shared" si="2779"/>
        <v>4006.6599999999958</v>
      </c>
      <c r="BW401" s="64">
        <f t="shared" si="2779"/>
        <v>2293.0099999999966</v>
      </c>
      <c r="BX401" s="64">
        <f t="shared" si="2779"/>
        <v>2819.1999999999962</v>
      </c>
      <c r="BY401" s="64">
        <f t="shared" si="2779"/>
        <v>2929.9400000000078</v>
      </c>
      <c r="BZ401" s="64">
        <f t="shared" si="2779"/>
        <v>4446.739999999998</v>
      </c>
      <c r="CA401" s="64">
        <f t="shared" si="2779"/>
        <v>3116.1199999999935</v>
      </c>
      <c r="CB401" s="64">
        <f t="shared" si="2779"/>
        <v>3855.5500000000015</v>
      </c>
      <c r="CC401" s="64">
        <f t="shared" si="2779"/>
        <v>3594.5099999999948</v>
      </c>
      <c r="CD401" s="64">
        <f t="shared" si="2779"/>
        <v>4909.9300000000012</v>
      </c>
      <c r="CE401" s="64">
        <f t="shared" si="2779"/>
        <v>3440.1100000000069</v>
      </c>
      <c r="CF401" s="64">
        <f t="shared" si="2779"/>
        <v>4112.810000000004</v>
      </c>
      <c r="CG401" s="64">
        <f t="shared" si="2779"/>
        <v>4001.0299999999961</v>
      </c>
      <c r="CH401" s="64">
        <f t="shared" si="2779"/>
        <v>5658.6600000000017</v>
      </c>
      <c r="CI401" s="64">
        <f t="shared" si="2779"/>
        <v>4325.5699999999943</v>
      </c>
      <c r="CJ401" s="64">
        <f t="shared" si="2779"/>
        <v>4687.0899999999983</v>
      </c>
      <c r="CK401" s="64">
        <f t="shared" si="2779"/>
        <v>5172.989999999998</v>
      </c>
      <c r="CL401" s="64">
        <f t="shared" si="2779"/>
        <v>6248.8799999999956</v>
      </c>
      <c r="CM401" s="30">
        <f t="shared" si="2779"/>
        <v>5690.7206584553387</v>
      </c>
      <c r="CN401" s="30">
        <f t="shared" si="2779"/>
        <v>6191.1462679292908</v>
      </c>
      <c r="CO401" s="30">
        <f t="shared" si="2779"/>
        <v>6471.9196578039509</v>
      </c>
      <c r="CP401" s="30">
        <f t="shared" si="2779"/>
        <v>7438.2031497098324</v>
      </c>
      <c r="CQ401" s="30">
        <f t="shared" si="2779"/>
        <v>6510.9459360411774</v>
      </c>
      <c r="CR401" s="30">
        <f t="shared" si="2779"/>
        <v>7174.5332873389325</v>
      </c>
      <c r="CS401" s="30">
        <f t="shared" si="2779"/>
        <v>7601.7982715406233</v>
      </c>
      <c r="CT401" s="30">
        <f t="shared" si="2779"/>
        <v>8971.9444182386942</v>
      </c>
      <c r="CU401" s="30">
        <f t="shared" ref="CU401:DB401" si="2780">CU203-CU407</f>
        <v>7640.5657074559203</v>
      </c>
      <c r="CV401" s="30">
        <f t="shared" si="2780"/>
        <v>8425.8600314031683</v>
      </c>
      <c r="CW401" s="30">
        <f t="shared" si="2780"/>
        <v>8944.9478335137974</v>
      </c>
      <c r="CX401" s="30">
        <f t="shared" si="2780"/>
        <v>10530.253299618538</v>
      </c>
      <c r="CY401" s="30">
        <f t="shared" si="2780"/>
        <v>8937.3806648203154</v>
      </c>
      <c r="CZ401" s="30">
        <f t="shared" si="2780"/>
        <v>9864.5085302219468</v>
      </c>
      <c r="DA401" s="30">
        <f t="shared" si="2780"/>
        <v>10476.133850412833</v>
      </c>
      <c r="DB401" s="30">
        <f t="shared" si="2780"/>
        <v>12307.802589396284</v>
      </c>
      <c r="DE401" s="139"/>
      <c r="DF401" s="304">
        <v>20881.839999999935</v>
      </c>
    </row>
    <row r="402" spans="1:110" s="64" customFormat="1" hidden="1" outlineLevel="1" x14ac:dyDescent="0.2">
      <c r="AB402" s="30"/>
      <c r="AC402" s="30"/>
      <c r="AD402" s="30"/>
      <c r="AE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E402" s="139"/>
    </row>
    <row r="403" spans="1:110" s="64" customFormat="1" hidden="1" outlineLevel="1" x14ac:dyDescent="0.2">
      <c r="A403" s="65" t="s">
        <v>352</v>
      </c>
      <c r="AB403" s="30"/>
      <c r="AC403" s="30"/>
      <c r="AD403" s="30"/>
      <c r="AE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E403" s="139"/>
    </row>
    <row r="404" spans="1:110" s="64" customFormat="1" hidden="1" outlineLevel="1" x14ac:dyDescent="0.2">
      <c r="A404" s="64" t="s">
        <v>478</v>
      </c>
      <c r="AB404" s="30"/>
      <c r="AC404" s="30"/>
      <c r="AD404" s="30"/>
      <c r="AE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E404" s="139"/>
    </row>
    <row r="405" spans="1:110" s="64" customFormat="1" hidden="1" outlineLevel="1" x14ac:dyDescent="0.2">
      <c r="A405" s="64" t="s">
        <v>479</v>
      </c>
      <c r="AB405" s="30"/>
      <c r="AC405" s="30"/>
      <c r="AD405" s="30"/>
      <c r="AE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E405" s="139"/>
    </row>
    <row r="406" spans="1:110" s="89" customFormat="1" hidden="1" outlineLevel="1" x14ac:dyDescent="0.2">
      <c r="A406" s="86" t="s">
        <v>480</v>
      </c>
      <c r="B406" s="86" t="e">
        <f>+B405/B404</f>
        <v>#DIV/0!</v>
      </c>
      <c r="C406" s="86" t="e">
        <f t="shared" ref="C406:X406" si="2781">+C405/C404</f>
        <v>#DIV/0!</v>
      </c>
      <c r="D406" s="86" t="e">
        <f t="shared" si="2781"/>
        <v>#DIV/0!</v>
      </c>
      <c r="E406" s="86" t="e">
        <f t="shared" si="2781"/>
        <v>#DIV/0!</v>
      </c>
      <c r="F406" s="86" t="e">
        <f t="shared" si="2781"/>
        <v>#DIV/0!</v>
      </c>
      <c r="G406" s="86" t="e">
        <f t="shared" si="2781"/>
        <v>#DIV/0!</v>
      </c>
      <c r="H406" s="86" t="e">
        <f t="shared" si="2781"/>
        <v>#DIV/0!</v>
      </c>
      <c r="I406" s="86" t="e">
        <f t="shared" si="2781"/>
        <v>#DIV/0!</v>
      </c>
      <c r="J406" s="86" t="e">
        <f t="shared" si="2781"/>
        <v>#DIV/0!</v>
      </c>
      <c r="K406" s="86" t="e">
        <f t="shared" si="2781"/>
        <v>#DIV/0!</v>
      </c>
      <c r="L406" s="86" t="e">
        <f t="shared" si="2781"/>
        <v>#DIV/0!</v>
      </c>
      <c r="M406" s="86" t="e">
        <f t="shared" si="2781"/>
        <v>#DIV/0!</v>
      </c>
      <c r="N406" s="86" t="e">
        <f t="shared" si="2781"/>
        <v>#DIV/0!</v>
      </c>
      <c r="O406" s="86" t="e">
        <f t="shared" si="2781"/>
        <v>#DIV/0!</v>
      </c>
      <c r="P406" s="86" t="e">
        <f t="shared" si="2781"/>
        <v>#DIV/0!</v>
      </c>
      <c r="Q406" s="86" t="e">
        <f t="shared" si="2781"/>
        <v>#DIV/0!</v>
      </c>
      <c r="R406" s="86" t="e">
        <f t="shared" si="2781"/>
        <v>#DIV/0!</v>
      </c>
      <c r="S406" s="86" t="e">
        <f t="shared" si="2781"/>
        <v>#DIV/0!</v>
      </c>
      <c r="T406" s="86" t="e">
        <f t="shared" si="2781"/>
        <v>#DIV/0!</v>
      </c>
      <c r="U406" s="86" t="e">
        <f t="shared" si="2781"/>
        <v>#DIV/0!</v>
      </c>
      <c r="V406" s="86" t="e">
        <f t="shared" si="2781"/>
        <v>#DIV/0!</v>
      </c>
      <c r="W406" s="86" t="e">
        <f t="shared" si="2781"/>
        <v>#DIV/0!</v>
      </c>
      <c r="X406" s="86" t="e">
        <f t="shared" si="2781"/>
        <v>#DIV/0!</v>
      </c>
      <c r="Y406" s="86" t="e">
        <f t="shared" ref="Y406:Z406" si="2782">+Y405/Y404</f>
        <v>#DIV/0!</v>
      </c>
      <c r="Z406" s="86" t="e">
        <f t="shared" si="2782"/>
        <v>#DIV/0!</v>
      </c>
      <c r="AA406" s="86" t="e">
        <f t="shared" ref="AA406" si="2783">+AA405/AA404</f>
        <v>#DIV/0!</v>
      </c>
      <c r="AB406" s="87"/>
      <c r="AC406" s="87"/>
      <c r="AD406" s="87"/>
      <c r="AE406" s="87"/>
      <c r="AF406" s="86"/>
      <c r="AG406" s="86"/>
      <c r="AH406" s="86"/>
      <c r="AI406" s="86" t="e">
        <f t="shared" ref="AI406" si="2784">+AI405/AI404</f>
        <v>#DIV/0!</v>
      </c>
      <c r="AJ406" s="86" t="e">
        <f t="shared" ref="AJ406" si="2785">+AJ405/AJ404</f>
        <v>#DIV/0!</v>
      </c>
      <c r="AK406" s="86" t="e">
        <f t="shared" ref="AK406" si="2786">+AK405/AK404</f>
        <v>#DIV/0!</v>
      </c>
      <c r="AL406" s="86" t="e">
        <f t="shared" ref="AL406" si="2787">+AL405/AL404</f>
        <v>#DIV/0!</v>
      </c>
      <c r="AM406" s="86" t="e">
        <f t="shared" ref="AM406" si="2788">+AM405/AM404</f>
        <v>#DIV/0!</v>
      </c>
      <c r="AN406" s="86" t="e">
        <f t="shared" ref="AN406" si="2789">+AN405/AN404</f>
        <v>#DIV/0!</v>
      </c>
      <c r="AO406" s="86" t="e">
        <f t="shared" ref="AO406" si="2790">+AO405/AO404</f>
        <v>#DIV/0!</v>
      </c>
      <c r="AP406" s="86" t="e">
        <f t="shared" ref="AP406" si="2791">+AP405/AP404</f>
        <v>#DIV/0!</v>
      </c>
      <c r="AQ406" s="86" t="e">
        <f t="shared" ref="AQ406" si="2792">+AQ405/AQ404</f>
        <v>#DIV/0!</v>
      </c>
      <c r="AR406" s="86" t="e">
        <f t="shared" ref="AR406" si="2793">+AR405/AR404</f>
        <v>#DIV/0!</v>
      </c>
      <c r="AS406" s="86" t="e">
        <f t="shared" ref="AS406" si="2794">+AS405/AS404</f>
        <v>#DIV/0!</v>
      </c>
      <c r="AT406" s="86" t="e">
        <f t="shared" ref="AT406" si="2795">+AT405/AT404</f>
        <v>#DIV/0!</v>
      </c>
      <c r="AU406" s="86" t="e">
        <f t="shared" ref="AU406" si="2796">+AU405/AU404</f>
        <v>#DIV/0!</v>
      </c>
      <c r="AV406" s="86" t="e">
        <f t="shared" ref="AV406" si="2797">+AV405/AV404</f>
        <v>#DIV/0!</v>
      </c>
      <c r="AW406" s="86" t="e">
        <f t="shared" ref="AW406" si="2798">+AW405/AW404</f>
        <v>#DIV/0!</v>
      </c>
      <c r="AX406" s="86" t="e">
        <f t="shared" ref="AX406" si="2799">+AX405/AX404</f>
        <v>#DIV/0!</v>
      </c>
      <c r="AY406" s="86" t="e">
        <f t="shared" ref="AY406" si="2800">+AY405/AY404</f>
        <v>#DIV/0!</v>
      </c>
      <c r="AZ406" s="86" t="e">
        <f t="shared" ref="AZ406" si="2801">+AZ405/AZ404</f>
        <v>#DIV/0!</v>
      </c>
      <c r="BA406" s="86" t="e">
        <f t="shared" ref="BA406" si="2802">+BA405/BA404</f>
        <v>#DIV/0!</v>
      </c>
      <c r="BB406" s="86" t="e">
        <f t="shared" ref="BB406" si="2803">+BB405/BB404</f>
        <v>#DIV/0!</v>
      </c>
      <c r="BC406" s="86" t="e">
        <f t="shared" ref="BC406" si="2804">+BC405/BC404</f>
        <v>#DIV/0!</v>
      </c>
      <c r="BD406" s="86" t="e">
        <f t="shared" ref="BD406" si="2805">+BD405/BD404</f>
        <v>#DIV/0!</v>
      </c>
      <c r="BE406" s="86" t="e">
        <f t="shared" ref="BE406" si="2806">+BE405/BE404</f>
        <v>#DIV/0!</v>
      </c>
      <c r="BF406" s="86" t="e">
        <f t="shared" ref="BF406" si="2807">+BF405/BF404</f>
        <v>#DIV/0!</v>
      </c>
      <c r="BG406" s="86" t="e">
        <f t="shared" ref="BG406" si="2808">+BG405/BG404</f>
        <v>#DIV/0!</v>
      </c>
      <c r="BH406" s="86" t="e">
        <f t="shared" ref="BH406" si="2809">+BH405/BH404</f>
        <v>#DIV/0!</v>
      </c>
      <c r="BI406" s="86" t="e">
        <f t="shared" ref="BI406" si="2810">+BI405/BI404</f>
        <v>#DIV/0!</v>
      </c>
      <c r="BJ406" s="86" t="e">
        <f t="shared" ref="BJ406" si="2811">+BJ405/BJ404</f>
        <v>#DIV/0!</v>
      </c>
      <c r="BK406" s="86" t="e">
        <f t="shared" ref="BK406" si="2812">+BK405/BK404</f>
        <v>#DIV/0!</v>
      </c>
      <c r="BL406" s="86" t="e">
        <f t="shared" ref="BL406" si="2813">+BL405/BL404</f>
        <v>#DIV/0!</v>
      </c>
      <c r="BM406" s="86" t="e">
        <f t="shared" ref="BM406" si="2814">+BM405/BM404</f>
        <v>#DIV/0!</v>
      </c>
      <c r="BN406" s="86" t="e">
        <f t="shared" ref="BN406" si="2815">+BN405/BN404</f>
        <v>#DIV/0!</v>
      </c>
      <c r="BO406" s="86" t="e">
        <f t="shared" ref="BO406" si="2816">+BO405/BO404</f>
        <v>#DIV/0!</v>
      </c>
      <c r="BP406" s="86" t="e">
        <f t="shared" ref="BP406" si="2817">+BP405/BP404</f>
        <v>#DIV/0!</v>
      </c>
      <c r="BQ406" s="86" t="e">
        <f t="shared" ref="BQ406" si="2818">+BQ405/BQ404</f>
        <v>#DIV/0!</v>
      </c>
      <c r="BR406" s="86" t="e">
        <f t="shared" ref="BR406" si="2819">+BR405/BR404</f>
        <v>#DIV/0!</v>
      </c>
      <c r="BS406" s="86" t="e">
        <f t="shared" ref="BS406" si="2820">+BS405/BS404</f>
        <v>#DIV/0!</v>
      </c>
      <c r="BT406" s="86" t="e">
        <f t="shared" ref="BT406" si="2821">+BT405/BT404</f>
        <v>#DIV/0!</v>
      </c>
      <c r="BU406" s="86" t="e">
        <f t="shared" ref="BU406" si="2822">+BU405/BU404</f>
        <v>#DIV/0!</v>
      </c>
      <c r="BV406" s="86" t="e">
        <f t="shared" ref="BV406" si="2823">+BV405/BV404</f>
        <v>#DIV/0!</v>
      </c>
      <c r="BW406" s="86" t="e">
        <f t="shared" ref="BW406" si="2824">+BW405/BW404</f>
        <v>#DIV/0!</v>
      </c>
      <c r="BX406" s="86" t="e">
        <f t="shared" ref="BX406" si="2825">+BX405/BX404</f>
        <v>#DIV/0!</v>
      </c>
      <c r="BY406" s="86" t="e">
        <f t="shared" ref="BY406" si="2826">+BY405/BY404</f>
        <v>#DIV/0!</v>
      </c>
      <c r="BZ406" s="86" t="e">
        <f t="shared" ref="BZ406" si="2827">+BZ405/BZ404</f>
        <v>#DIV/0!</v>
      </c>
      <c r="CA406" s="86" t="e">
        <f t="shared" ref="CA406" si="2828">+CA405/CA404</f>
        <v>#DIV/0!</v>
      </c>
      <c r="CB406" s="86" t="e">
        <f t="shared" ref="CB406:CC406" si="2829">+CB405/CB404</f>
        <v>#DIV/0!</v>
      </c>
      <c r="CC406" s="86" t="e">
        <f t="shared" si="2829"/>
        <v>#DIV/0!</v>
      </c>
      <c r="CD406" s="86" t="e">
        <f t="shared" ref="CD406" si="2830">+CD405/CD404</f>
        <v>#DIV/0!</v>
      </c>
      <c r="CE406" s="86" t="e">
        <f t="shared" ref="CE406:CF406" si="2831">+CE405/CE404</f>
        <v>#DIV/0!</v>
      </c>
      <c r="CF406" s="86" t="e">
        <f t="shared" si="2831"/>
        <v>#DIV/0!</v>
      </c>
      <c r="CG406" s="86" t="e">
        <f t="shared" ref="CG406:CH406" si="2832">+CG405/CG404</f>
        <v>#DIV/0!</v>
      </c>
      <c r="CH406" s="86" t="e">
        <f t="shared" si="2832"/>
        <v>#DIV/0!</v>
      </c>
      <c r="CI406" s="86" t="e">
        <f t="shared" ref="CI406:CJ406" si="2833">+CI405/CI404</f>
        <v>#DIV/0!</v>
      </c>
      <c r="CJ406" s="86" t="e">
        <f t="shared" si="2833"/>
        <v>#DIV/0!</v>
      </c>
      <c r="CK406" s="86" t="e">
        <f t="shared" ref="CK406:DB406" si="2834">+CK405/CK404</f>
        <v>#DIV/0!</v>
      </c>
      <c r="CL406" s="86" t="e">
        <f t="shared" si="2834"/>
        <v>#DIV/0!</v>
      </c>
      <c r="CM406" s="47" t="e">
        <f t="shared" si="2834"/>
        <v>#DIV/0!</v>
      </c>
      <c r="CN406" s="47" t="e">
        <f t="shared" si="2834"/>
        <v>#DIV/0!</v>
      </c>
      <c r="CO406" s="47" t="e">
        <f t="shared" si="2834"/>
        <v>#DIV/0!</v>
      </c>
      <c r="CP406" s="47" t="e">
        <f t="shared" si="2834"/>
        <v>#DIV/0!</v>
      </c>
      <c r="CQ406" s="47" t="e">
        <f t="shared" si="2834"/>
        <v>#DIV/0!</v>
      </c>
      <c r="CR406" s="47" t="e">
        <f t="shared" si="2834"/>
        <v>#DIV/0!</v>
      </c>
      <c r="CS406" s="47" t="e">
        <f t="shared" si="2834"/>
        <v>#DIV/0!</v>
      </c>
      <c r="CT406" s="47" t="e">
        <f t="shared" si="2834"/>
        <v>#DIV/0!</v>
      </c>
      <c r="CU406" s="47" t="e">
        <f t="shared" si="2834"/>
        <v>#DIV/0!</v>
      </c>
      <c r="CV406" s="47" t="e">
        <f t="shared" si="2834"/>
        <v>#DIV/0!</v>
      </c>
      <c r="CW406" s="47" t="e">
        <f t="shared" si="2834"/>
        <v>#DIV/0!</v>
      </c>
      <c r="CX406" s="47" t="e">
        <f t="shared" si="2834"/>
        <v>#DIV/0!</v>
      </c>
      <c r="CY406" s="47" t="e">
        <f t="shared" si="2834"/>
        <v>#DIV/0!</v>
      </c>
      <c r="CZ406" s="47" t="e">
        <f t="shared" si="2834"/>
        <v>#DIV/0!</v>
      </c>
      <c r="DA406" s="47" t="e">
        <f t="shared" si="2834"/>
        <v>#DIV/0!</v>
      </c>
      <c r="DB406" s="47" t="e">
        <f t="shared" si="2834"/>
        <v>#DIV/0!</v>
      </c>
      <c r="DE406" s="130"/>
    </row>
    <row r="407" spans="1:110" s="64" customFormat="1" hidden="1" outlineLevel="1" x14ac:dyDescent="0.2">
      <c r="A407" s="64" t="s">
        <v>481</v>
      </c>
      <c r="AB407" s="30"/>
      <c r="AC407" s="30"/>
      <c r="AD407" s="30"/>
      <c r="AE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E407" s="139"/>
    </row>
    <row r="408" spans="1:110" s="62" customFormat="1" hidden="1" outlineLevel="1" x14ac:dyDescent="0.2">
      <c r="AB408" s="63"/>
      <c r="AC408" s="63"/>
      <c r="AD408" s="63"/>
      <c r="AE408" s="63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E408" s="139"/>
    </row>
    <row r="409" spans="1:110" s="11" customFormat="1" collapsed="1" x14ac:dyDescent="0.2">
      <c r="AB409" s="63"/>
      <c r="AC409" s="63"/>
      <c r="AD409" s="63"/>
      <c r="AE409" s="63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E409" s="139"/>
    </row>
    <row r="410" spans="1:110" s="62" customFormat="1" x14ac:dyDescent="0.2">
      <c r="A410" s="154" t="s">
        <v>497</v>
      </c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63"/>
      <c r="AC410" s="63"/>
      <c r="AD410" s="63"/>
      <c r="AE410" s="63"/>
      <c r="AL410" s="180"/>
      <c r="CF410" s="180"/>
      <c r="CG410" s="180"/>
      <c r="CH410" s="180"/>
      <c r="CI410" s="180"/>
      <c r="CJ410" s="180"/>
      <c r="CK410" s="180"/>
      <c r="CL410" s="18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E410" s="139"/>
    </row>
    <row r="411" spans="1:110" s="84" customFormat="1" x14ac:dyDescent="0.2">
      <c r="A411" s="84" t="s">
        <v>512</v>
      </c>
      <c r="B411" s="84">
        <f>B164/B332</f>
        <v>0.94706757999709534</v>
      </c>
      <c r="C411" s="84">
        <f>C164/C332</f>
        <v>1.1237700749382664</v>
      </c>
      <c r="D411" s="84">
        <f>D164/D332</f>
        <v>1.3571308442650523</v>
      </c>
      <c r="E411" s="84">
        <f t="shared" ref="E411:AE411" si="2835">E166/(E328+E315+E305)</f>
        <v>1.0658894926093352</v>
      </c>
      <c r="F411" s="84">
        <f t="shared" si="2835"/>
        <v>1.181535886052685</v>
      </c>
      <c r="G411" s="84">
        <f t="shared" si="2835"/>
        <v>1.0763525971776573</v>
      </c>
      <c r="H411" s="84">
        <f t="shared" si="2835"/>
        <v>0.86633302080429764</v>
      </c>
      <c r="I411" s="84">
        <f t="shared" si="2835"/>
        <v>0.75712969353016701</v>
      </c>
      <c r="J411" s="84">
        <f t="shared" si="2835"/>
        <v>0.73890854517803195</v>
      </c>
      <c r="K411" s="84">
        <f t="shared" si="2835"/>
        <v>0.62642002957593579</v>
      </c>
      <c r="L411" s="84">
        <f t="shared" si="2835"/>
        <v>0.54702099644977198</v>
      </c>
      <c r="M411" s="84">
        <f t="shared" si="2835"/>
        <v>0.53658621850242705</v>
      </c>
      <c r="N411" s="84">
        <f t="shared" si="2835"/>
        <v>0.51777085946293</v>
      </c>
      <c r="O411" s="84">
        <f t="shared" si="2835"/>
        <v>0.50127074787903958</v>
      </c>
      <c r="P411" s="84">
        <f t="shared" si="2835"/>
        <v>0.4746875653630297</v>
      </c>
      <c r="Q411" s="84">
        <f t="shared" si="2835"/>
        <v>0.53287045563469548</v>
      </c>
      <c r="R411" s="84">
        <f t="shared" si="2835"/>
        <v>0.53324746033577308</v>
      </c>
      <c r="S411" s="84">
        <f t="shared" si="2835"/>
        <v>0.50869374525104549</v>
      </c>
      <c r="T411" s="84">
        <f t="shared" si="2835"/>
        <v>0.50461451481989428</v>
      </c>
      <c r="U411" s="84">
        <f t="shared" si="2835"/>
        <v>0.4898279423498873</v>
      </c>
      <c r="V411" s="84">
        <f t="shared" si="2835"/>
        <v>0.4533218967472839</v>
      </c>
      <c r="W411" s="84">
        <f t="shared" si="2835"/>
        <v>0.50879448186619625</v>
      </c>
      <c r="X411" s="84">
        <f t="shared" si="2835"/>
        <v>0.57810172035213303</v>
      </c>
      <c r="Y411" s="84">
        <f t="shared" si="2835"/>
        <v>0.67913112288803634</v>
      </c>
      <c r="Z411" s="84">
        <f t="shared" si="2835"/>
        <v>0.70201448820910417</v>
      </c>
      <c r="AA411" s="84">
        <f t="shared" ref="AA411" si="2836">AA166/(AA328+AA315+AA305)</f>
        <v>0.65053473449100663</v>
      </c>
      <c r="AB411" s="50">
        <f t="shared" si="2835"/>
        <v>0.66717419386120047</v>
      </c>
      <c r="AC411" s="50">
        <f t="shared" si="2835"/>
        <v>0.6822508110005796</v>
      </c>
      <c r="AD411" s="50">
        <f t="shared" si="2835"/>
        <v>0.69504021160213603</v>
      </c>
      <c r="AE411" s="50">
        <f t="shared" si="2835"/>
        <v>0.70541220498980406</v>
      </c>
      <c r="AL411" s="84">
        <f t="shared" ref="AL411:BQ411" si="2837">SUM(AI166:AL166)/(AL328+AL315+AL305)</f>
        <v>0.39586450162536174</v>
      </c>
      <c r="AM411" s="84">
        <f t="shared" si="2837"/>
        <v>0.43486754862493016</v>
      </c>
      <c r="AN411" s="84">
        <f t="shared" si="2837"/>
        <v>0.43880687963007092</v>
      </c>
      <c r="AO411" s="84">
        <f t="shared" si="2837"/>
        <v>0.4874139009765967</v>
      </c>
      <c r="AP411" s="84">
        <f t="shared" si="2837"/>
        <v>0.50838495610894563</v>
      </c>
      <c r="AQ411" s="84">
        <f t="shared" si="2837"/>
        <v>0.53586764651165197</v>
      </c>
      <c r="AR411" s="84">
        <f t="shared" si="2837"/>
        <v>0.50951346286815602</v>
      </c>
      <c r="AS411" s="84">
        <f t="shared" si="2837"/>
        <v>0.51227153831406202</v>
      </c>
      <c r="AT411" s="84">
        <f t="shared" si="2837"/>
        <v>0.48060572948583014</v>
      </c>
      <c r="AU411" s="84">
        <f t="shared" si="2837"/>
        <v>0.50399154957563774</v>
      </c>
      <c r="AV411" s="84">
        <f t="shared" si="2837"/>
        <v>0.44859578938594252</v>
      </c>
      <c r="AW411" s="84">
        <f t="shared" si="2837"/>
        <v>0.45075226833782639</v>
      </c>
      <c r="AX411" s="84">
        <f t="shared" si="2837"/>
        <v>0.55007798704684108</v>
      </c>
      <c r="AY411" s="84">
        <f t="shared" si="2837"/>
        <v>0.58615890207920174</v>
      </c>
      <c r="AZ411" s="84">
        <f t="shared" si="2837"/>
        <v>0.5594058018464706</v>
      </c>
      <c r="BA411" s="84">
        <f t="shared" si="2837"/>
        <v>0.55446694905651184</v>
      </c>
      <c r="BB411" s="84">
        <f t="shared" si="2837"/>
        <v>0.54281532981105973</v>
      </c>
      <c r="BC411" s="84">
        <f t="shared" si="2837"/>
        <v>0.58150881236021768</v>
      </c>
      <c r="BD411" s="84">
        <f t="shared" si="2837"/>
        <v>0.52976297730627397</v>
      </c>
      <c r="BE411" s="84">
        <f t="shared" si="2837"/>
        <v>0.5322501319929035</v>
      </c>
      <c r="BF411" s="84">
        <f t="shared" si="2837"/>
        <v>0.51826684330346373</v>
      </c>
      <c r="BG411" s="84">
        <f t="shared" si="2837"/>
        <v>0.55995913434793643</v>
      </c>
      <c r="BH411" s="84">
        <f t="shared" si="2837"/>
        <v>0.5142424565221938</v>
      </c>
      <c r="BI411" s="84">
        <f t="shared" si="2837"/>
        <v>0.52349627590267478</v>
      </c>
      <c r="BJ411" s="84">
        <f t="shared" si="2837"/>
        <v>0.51275549845980262</v>
      </c>
      <c r="BK411" s="84">
        <f t="shared" si="2837"/>
        <v>0.54786552443167658</v>
      </c>
      <c r="BL411" s="84">
        <f t="shared" si="2837"/>
        <v>0.52000608381358193</v>
      </c>
      <c r="BM411" s="84">
        <f t="shared" si="2837"/>
        <v>0.52113055042627521</v>
      </c>
      <c r="BN411" s="84">
        <f t="shared" si="2837"/>
        <v>0.49603319702446297</v>
      </c>
      <c r="BO411" s="84">
        <f t="shared" si="2837"/>
        <v>0.5060758584712447</v>
      </c>
      <c r="BP411" s="84">
        <f t="shared" si="2837"/>
        <v>0.44852005039888521</v>
      </c>
      <c r="BQ411" s="84">
        <f t="shared" si="2837"/>
        <v>0.43472859309839817</v>
      </c>
      <c r="BR411" s="84">
        <f t="shared" ref="BR411:CW411" si="2838">SUM(BO166:BR166)/(BR328+BR315+BR305)</f>
        <v>0.45890098605694424</v>
      </c>
      <c r="BS411" s="84">
        <f t="shared" si="2838"/>
        <v>0.51512285242128875</v>
      </c>
      <c r="BT411" s="84">
        <f t="shared" si="2838"/>
        <v>0.51379575012842127</v>
      </c>
      <c r="BU411" s="84">
        <f t="shared" si="2838"/>
        <v>0.51408984301126615</v>
      </c>
      <c r="BV411" s="84">
        <f t="shared" si="2838"/>
        <v>0.5154343933398966</v>
      </c>
      <c r="BW411" s="84">
        <f t="shared" si="2838"/>
        <v>0.56444263278029405</v>
      </c>
      <c r="BX411" s="84">
        <f t="shared" si="2838"/>
        <v>0.56000303070001534</v>
      </c>
      <c r="BY411" s="84">
        <f t="shared" si="2838"/>
        <v>0.57065103942356232</v>
      </c>
      <c r="BZ411" s="84">
        <f t="shared" si="2838"/>
        <v>0.58429240823282602</v>
      </c>
      <c r="CA411" s="84">
        <f t="shared" si="2838"/>
        <v>0.63564916156091544</v>
      </c>
      <c r="CB411" s="84">
        <f t="shared" si="2838"/>
        <v>0.66736965685262861</v>
      </c>
      <c r="CC411" s="84">
        <f t="shared" si="2838"/>
        <v>0.68142840965327156</v>
      </c>
      <c r="CD411" s="84">
        <f t="shared" si="2838"/>
        <v>0.68373307221676671</v>
      </c>
      <c r="CE411" s="84">
        <f t="shared" si="2838"/>
        <v>0.72108674679074436</v>
      </c>
      <c r="CF411" s="84">
        <f t="shared" si="2838"/>
        <v>0.70191757823833345</v>
      </c>
      <c r="CG411" s="84">
        <f t="shared" si="2838"/>
        <v>0.71737214566847618</v>
      </c>
      <c r="CH411" s="84">
        <f t="shared" si="2838"/>
        <v>0.70201451566002004</v>
      </c>
      <c r="CI411" s="84">
        <f t="shared" si="2838"/>
        <v>0.75819094085122918</v>
      </c>
      <c r="CJ411" s="84">
        <f t="shared" si="2838"/>
        <v>0.72229450495644409</v>
      </c>
      <c r="CK411" s="84">
        <f t="shared" si="2838"/>
        <v>0.72046226966741733</v>
      </c>
      <c r="CL411" s="84">
        <f t="shared" si="2838"/>
        <v>0.65219736001734807</v>
      </c>
      <c r="CM411" s="50">
        <f t="shared" si="2838"/>
        <v>0.70445617745739686</v>
      </c>
      <c r="CN411" s="50">
        <f t="shared" si="2838"/>
        <v>0.69941615107666399</v>
      </c>
      <c r="CO411" s="50">
        <f t="shared" si="2838"/>
        <v>0.6973156337067945</v>
      </c>
      <c r="CP411" s="50">
        <f t="shared" si="2838"/>
        <v>0.66717419386120047</v>
      </c>
      <c r="CQ411" s="50">
        <f t="shared" si="2838"/>
        <v>0.72583913121883326</v>
      </c>
      <c r="CR411" s="50">
        <f t="shared" si="2838"/>
        <v>0.72048948697538562</v>
      </c>
      <c r="CS411" s="50">
        <f t="shared" si="2838"/>
        <v>0.71685339873285925</v>
      </c>
      <c r="CT411" s="50">
        <f t="shared" si="2838"/>
        <v>0.6822508110005796</v>
      </c>
      <c r="CU411" s="50">
        <f t="shared" si="2838"/>
        <v>0.74371696643360974</v>
      </c>
      <c r="CV411" s="50">
        <f t="shared" si="2838"/>
        <v>0.73715328687462878</v>
      </c>
      <c r="CW411" s="50">
        <f t="shared" si="2838"/>
        <v>0.73217473796232402</v>
      </c>
      <c r="CX411" s="50">
        <f t="shared" ref="CX411:DB411" si="2839">SUM(CU166:CX166)/(CX328+CX315+CX305)</f>
        <v>0.69504021160213603</v>
      </c>
      <c r="CY411" s="50">
        <f t="shared" si="2839"/>
        <v>0.75826058859907053</v>
      </c>
      <c r="CZ411" s="50">
        <f t="shared" si="2839"/>
        <v>0.7505671120496038</v>
      </c>
      <c r="DA411" s="50">
        <f t="shared" si="2839"/>
        <v>0.74454157857509506</v>
      </c>
      <c r="DB411" s="50">
        <f t="shared" si="2839"/>
        <v>0.70541220498980406</v>
      </c>
      <c r="DE411" s="138"/>
      <c r="DF411" s="84">
        <v>0.65053473449100663</v>
      </c>
    </row>
    <row r="412" spans="1:110" s="84" customFormat="1" x14ac:dyDescent="0.2">
      <c r="A412" s="84" t="s">
        <v>513</v>
      </c>
      <c r="E412" s="181">
        <f t="shared" ref="E412:AE412" si="2840">+E204</f>
        <v>5.6899263517220133E-2</v>
      </c>
      <c r="F412" s="181">
        <f t="shared" si="2840"/>
        <v>7.7788408410355517E-2</v>
      </c>
      <c r="G412" s="181">
        <f t="shared" si="2840"/>
        <v>7.468672466127356E-2</v>
      </c>
      <c r="H412" s="181">
        <f t="shared" si="2840"/>
        <v>0.11077489925831895</v>
      </c>
      <c r="I412" s="181">
        <f t="shared" si="2840"/>
        <v>7.711279379838655E-2</v>
      </c>
      <c r="J412" s="181">
        <f t="shared" si="2840"/>
        <v>7.2460705792442695E-2</v>
      </c>
      <c r="K412" s="181">
        <f t="shared" si="2840"/>
        <v>0.12071808377568238</v>
      </c>
      <c r="L412" s="181">
        <f t="shared" si="2840"/>
        <v>8.0298164353165752E-2</v>
      </c>
      <c r="M412" s="181">
        <f t="shared" si="2840"/>
        <v>7.2056692640116507E-2</v>
      </c>
      <c r="N412" s="181">
        <f t="shared" si="2840"/>
        <v>6.493476334935161E-2</v>
      </c>
      <c r="O412" s="181">
        <f t="shared" si="2840"/>
        <v>5.3098026040663292E-2</v>
      </c>
      <c r="P412" s="181">
        <f t="shared" si="2840"/>
        <v>5.0174676086777295E-2</v>
      </c>
      <c r="Q412" s="181">
        <f t="shared" si="2840"/>
        <v>5.4275172048786902E-2</v>
      </c>
      <c r="R412" s="181">
        <f t="shared" si="2840"/>
        <v>6.1835404609986842E-2</v>
      </c>
      <c r="S412" s="181">
        <f t="shared" si="2840"/>
        <v>6.9494237952941851E-2</v>
      </c>
      <c r="T412" s="181">
        <f t="shared" si="2840"/>
        <v>6.932021814181856E-2</v>
      </c>
      <c r="U412" s="181">
        <f t="shared" si="2840"/>
        <v>6.9904331562581606E-2</v>
      </c>
      <c r="V412" s="181">
        <f t="shared" si="2840"/>
        <v>6.0487120697948753E-2</v>
      </c>
      <c r="W412" s="181">
        <f t="shared" si="2840"/>
        <v>6.5129311851178456E-2</v>
      </c>
      <c r="X412" s="181">
        <f t="shared" si="2840"/>
        <v>6.8118426514134675E-2</v>
      </c>
      <c r="Y412" s="181">
        <f t="shared" si="2840"/>
        <v>6.9991887854942661E-2</v>
      </c>
      <c r="Z412" s="181">
        <f t="shared" si="2840"/>
        <v>6.7306575238494468E-2</v>
      </c>
      <c r="AA412" s="181">
        <f t="shared" ref="AA412" si="2841">+AA204</f>
        <v>7.304551551947483E-2</v>
      </c>
      <c r="AB412" s="182">
        <f t="shared" si="2840"/>
        <v>7.8421817605320687E-2</v>
      </c>
      <c r="AC412" s="182">
        <f t="shared" si="2840"/>
        <v>7.9846483718295169E-2</v>
      </c>
      <c r="AD412" s="182">
        <f t="shared" si="2840"/>
        <v>8.1357482698443506E-2</v>
      </c>
      <c r="AE412" s="182">
        <f t="shared" si="2840"/>
        <v>8.2571187472857327E-2</v>
      </c>
      <c r="AL412" s="181">
        <f t="shared" ref="AL412:BQ412" si="2842">+AL204</f>
        <v>8.8029719622031821E-2</v>
      </c>
      <c r="AM412" s="181">
        <f t="shared" si="2842"/>
        <v>2.3022259548962656E-2</v>
      </c>
      <c r="AN412" s="181">
        <f t="shared" si="2842"/>
        <v>4.1639202185798106E-2</v>
      </c>
      <c r="AO412" s="181">
        <f t="shared" si="2842"/>
        <v>3.1634866914991074E-2</v>
      </c>
      <c r="AP412" s="181">
        <f t="shared" si="2842"/>
        <v>9.6888189596412599E-2</v>
      </c>
      <c r="AQ412" s="181">
        <f t="shared" si="2842"/>
        <v>3.9911988300241216E-2</v>
      </c>
      <c r="AR412" s="181">
        <f t="shared" si="2842"/>
        <v>3.9724755250043139E-2</v>
      </c>
      <c r="AS412" s="181">
        <f t="shared" si="2842"/>
        <v>4.0083680464410548E-2</v>
      </c>
      <c r="AT412" s="181">
        <f t="shared" si="2842"/>
        <v>7.3601968695289607E-2</v>
      </c>
      <c r="AU412" s="181">
        <f t="shared" si="2842"/>
        <v>3.1971883816235398E-2</v>
      </c>
      <c r="AV412" s="181">
        <f t="shared" si="2842"/>
        <v>4.1110161619271772E-2</v>
      </c>
      <c r="AW412" s="181">
        <f t="shared" si="2842"/>
        <v>4.1748961646586161E-2</v>
      </c>
      <c r="AX412" s="181">
        <f t="shared" si="2842"/>
        <v>8.4152915042230686E-2</v>
      </c>
      <c r="AY412" s="181">
        <f t="shared" si="2842"/>
        <v>3.9415866224380869E-2</v>
      </c>
      <c r="AZ412" s="181">
        <f t="shared" si="2842"/>
        <v>5.1754151987212851E-2</v>
      </c>
      <c r="BA412" s="181">
        <f t="shared" si="2842"/>
        <v>4.7435157971657274E-2</v>
      </c>
      <c r="BB412" s="181">
        <f t="shared" si="2842"/>
        <v>9.224839522058921E-2</v>
      </c>
      <c r="BC412" s="181">
        <f t="shared" si="2842"/>
        <v>4.4750187414561111E-2</v>
      </c>
      <c r="BD412" s="181">
        <f t="shared" si="2842"/>
        <v>7.5408102920735812E-2</v>
      </c>
      <c r="BE412" s="181">
        <f t="shared" si="2842"/>
        <v>6.2707822780803169E-2</v>
      </c>
      <c r="BF412" s="181">
        <f t="shared" si="2842"/>
        <v>8.4929482940451995E-2</v>
      </c>
      <c r="BG412" s="181">
        <f t="shared" si="2842"/>
        <v>4.1758918887292711E-2</v>
      </c>
      <c r="BH412" s="181">
        <f t="shared" si="2842"/>
        <v>7.3568369388877383E-2</v>
      </c>
      <c r="BI412" s="181">
        <f t="shared" si="2842"/>
        <v>6.645886131782594E-2</v>
      </c>
      <c r="BJ412" s="181">
        <f t="shared" si="2842"/>
        <v>8.5760471464134541E-2</v>
      </c>
      <c r="BK412" s="181">
        <f t="shared" si="2842"/>
        <v>6.2776458996590317E-2</v>
      </c>
      <c r="BL412" s="181">
        <f t="shared" si="2842"/>
        <v>7.1093693609541236E-2</v>
      </c>
      <c r="BM412" s="181">
        <f t="shared" si="2842"/>
        <v>6.9316893783793146E-2</v>
      </c>
      <c r="BN412" s="181">
        <f t="shared" si="2842"/>
        <v>7.4210175639073769E-2</v>
      </c>
      <c r="BO412" s="181">
        <f t="shared" si="2842"/>
        <v>1.9440290837663576E-2</v>
      </c>
      <c r="BP412" s="181">
        <f t="shared" si="2842"/>
        <v>4.7135564854095827E-2</v>
      </c>
      <c r="BQ412" s="181">
        <f t="shared" si="2842"/>
        <v>7.4157738334360485E-2</v>
      </c>
      <c r="BR412" s="181">
        <f t="shared" ref="BR412:DB412" si="2843">+BR204</f>
        <v>7.6124139336506552E-2</v>
      </c>
      <c r="BS412" s="181">
        <f t="shared" si="2843"/>
        <v>5.3049065050198144E-2</v>
      </c>
      <c r="BT412" s="181">
        <f t="shared" si="2843"/>
        <v>6.138113300875099E-2</v>
      </c>
      <c r="BU412" s="181">
        <f t="shared" si="2843"/>
        <v>6.3111115155302031E-2</v>
      </c>
      <c r="BV412" s="181">
        <f t="shared" si="2843"/>
        <v>7.5810959444790313E-2</v>
      </c>
      <c r="BW412" s="181">
        <f t="shared" si="2843"/>
        <v>6.39555186147958E-2</v>
      </c>
      <c r="BX412" s="181">
        <f t="shared" si="2843"/>
        <v>6.5926752366144079E-2</v>
      </c>
      <c r="BY412" s="181">
        <f t="shared" si="2843"/>
        <v>6.3159251661790747E-2</v>
      </c>
      <c r="BZ412" s="181">
        <f t="shared" si="2843"/>
        <v>7.6227454630698604E-2</v>
      </c>
      <c r="CA412" s="181">
        <f t="shared" si="2843"/>
        <v>6.5078650033404642E-2</v>
      </c>
      <c r="CB412" s="181">
        <f t="shared" si="2843"/>
        <v>7.5563401094856486E-2</v>
      </c>
      <c r="CC412" s="181">
        <f t="shared" si="2843"/>
        <v>6.5203195047436935E-2</v>
      </c>
      <c r="CD412" s="181">
        <f t="shared" si="2843"/>
        <v>7.3196580493235727E-2</v>
      </c>
      <c r="CE412" s="181">
        <f t="shared" si="2843"/>
        <v>6.2411488281347925E-2</v>
      </c>
      <c r="CF412" s="181">
        <f t="shared" si="2843"/>
        <v>6.6815661807781063E-2</v>
      </c>
      <c r="CG412" s="181">
        <f t="shared" si="2843"/>
        <v>6.1870532744436199E-2</v>
      </c>
      <c r="CH412" s="181">
        <f t="shared" si="2843"/>
        <v>7.6065150846297516E-2</v>
      </c>
      <c r="CI412" s="181">
        <f t="shared" si="2843"/>
        <v>6.7927816614980194E-2</v>
      </c>
      <c r="CJ412" s="181">
        <f t="shared" si="2843"/>
        <v>6.8944492879378261E-2</v>
      </c>
      <c r="CK412" s="181">
        <f t="shared" si="2843"/>
        <v>7.2400443948679949E-2</v>
      </c>
      <c r="CL412" s="181">
        <f t="shared" si="2843"/>
        <v>7.5504070942565962E-2</v>
      </c>
      <c r="CM412" s="182">
        <f t="shared" si="2843"/>
        <v>7.8098087799229582E-2</v>
      </c>
      <c r="CN412" s="182">
        <f t="shared" si="2843"/>
        <v>7.9777716512596478E-2</v>
      </c>
      <c r="CO412" s="182">
        <f t="shared" si="2843"/>
        <v>7.8710769418060877E-2</v>
      </c>
      <c r="CP412" s="182">
        <f t="shared" si="2843"/>
        <v>7.7326158643061332E-2</v>
      </c>
      <c r="CQ412" s="182">
        <f t="shared" si="2843"/>
        <v>7.7718683993659429E-2</v>
      </c>
      <c r="CR412" s="182">
        <f t="shared" si="2843"/>
        <v>8.0315391494778385E-2</v>
      </c>
      <c r="CS412" s="182">
        <f t="shared" si="2843"/>
        <v>8.0151517535039102E-2</v>
      </c>
      <c r="CT412" s="182">
        <f t="shared" si="2843"/>
        <v>8.0814248273711503E-2</v>
      </c>
      <c r="CU412" s="182">
        <f t="shared" si="2843"/>
        <v>7.9161930606732628E-2</v>
      </c>
      <c r="CV412" s="182">
        <f t="shared" si="2843"/>
        <v>8.1828481907886746E-2</v>
      </c>
      <c r="CW412" s="182">
        <f t="shared" si="2843"/>
        <v>8.1791112849098235E-2</v>
      </c>
      <c r="CX412" s="182">
        <f t="shared" si="2843"/>
        <v>8.2263600982498131E-2</v>
      </c>
      <c r="CY412" s="182">
        <f t="shared" si="2843"/>
        <v>8.0329462595544188E-2</v>
      </c>
      <c r="CZ412" s="182">
        <f t="shared" si="2843"/>
        <v>8.3096078153657937E-2</v>
      </c>
      <c r="DA412" s="182">
        <f t="shared" si="2843"/>
        <v>8.3085758577710972E-2</v>
      </c>
      <c r="DB412" s="182">
        <f t="shared" si="2843"/>
        <v>8.3399367015113329E-2</v>
      </c>
      <c r="DE412" s="138"/>
      <c r="DF412" s="84">
        <v>7.304551551947483E-2</v>
      </c>
    </row>
    <row r="413" spans="1:110" s="84" customFormat="1" x14ac:dyDescent="0.2">
      <c r="A413" s="84" t="s">
        <v>514</v>
      </c>
      <c r="E413" s="84">
        <f>(E328+E315+E305+E307)/E287</f>
        <v>4.0158462142846343</v>
      </c>
      <c r="F413" s="84">
        <f t="shared" ref="F413:AE413" si="2844">(F328+F315+F305+F307)/F287</f>
        <v>3.8681546353511678</v>
      </c>
      <c r="G413" s="84">
        <f t="shared" si="2844"/>
        <v>3.2809760538868118</v>
      </c>
      <c r="H413" s="84">
        <f t="shared" si="2844"/>
        <v>3.5586812202469105</v>
      </c>
      <c r="I413" s="84">
        <f t="shared" si="2844"/>
        <v>3.6799007673267092</v>
      </c>
      <c r="J413" s="84">
        <f t="shared" si="2844"/>
        <v>4.0323069553965274</v>
      </c>
      <c r="K413" s="84">
        <f t="shared" si="2844"/>
        <v>3.4053772855941</v>
      </c>
      <c r="L413" s="84">
        <f t="shared" si="2844"/>
        <v>3.8579472306995259</v>
      </c>
      <c r="M413" s="84">
        <f t="shared" si="2844"/>
        <v>4.1318215197445927</v>
      </c>
      <c r="N413" s="84">
        <f t="shared" si="2844"/>
        <v>4.2855197433880816</v>
      </c>
      <c r="O413" s="84">
        <f t="shared" si="2844"/>
        <v>4.5412534760515397</v>
      </c>
      <c r="P413" s="84">
        <f t="shared" si="2844"/>
        <v>4.7781125310352932</v>
      </c>
      <c r="Q413" s="84">
        <f t="shared" si="2844"/>
        <v>4.3764749766638396</v>
      </c>
      <c r="R413" s="84">
        <f t="shared" si="2844"/>
        <v>4.1907613271489135</v>
      </c>
      <c r="S413" s="84">
        <f t="shared" si="2844"/>
        <v>4.3917515276803849</v>
      </c>
      <c r="T413" s="84">
        <f t="shared" si="2844"/>
        <v>4.4076843532965242</v>
      </c>
      <c r="U413" s="84">
        <f t="shared" si="2844"/>
        <v>4.5605345485424706</v>
      </c>
      <c r="V413" s="84">
        <f t="shared" si="2844"/>
        <v>4.0672556855919044</v>
      </c>
      <c r="W413" s="84">
        <f t="shared" si="2844"/>
        <v>3.8494860793280616</v>
      </c>
      <c r="X413" s="84">
        <f t="shared" si="2844"/>
        <v>3.6536697342709483</v>
      </c>
      <c r="Y413" s="84">
        <f t="shared" si="2844"/>
        <v>3.8938769030389797</v>
      </c>
      <c r="Z413" s="84">
        <f t="shared" si="2844"/>
        <v>3.8475133018485379</v>
      </c>
      <c r="AA413" s="84">
        <f t="shared" ref="AA413" si="2845">(AA328+AA315+AA305+AA307)/AA287</f>
        <v>4.1019117978072979</v>
      </c>
      <c r="AB413" s="50">
        <f t="shared" si="2844"/>
        <v>3.8358117612178324</v>
      </c>
      <c r="AC413" s="50">
        <f t="shared" si="2844"/>
        <v>3.5922413702079528</v>
      </c>
      <c r="AD413" s="50">
        <f t="shared" si="2844"/>
        <v>3.3787152869145936</v>
      </c>
      <c r="AE413" s="50">
        <f t="shared" si="2844"/>
        <v>3.1947921532505146</v>
      </c>
      <c r="AL413" s="84">
        <f t="shared" ref="AL413:CW413" si="2846">(AL328+AL315+AL305+AL307)/AL287</f>
        <v>4.2211854272735509</v>
      </c>
      <c r="AM413" s="84">
        <f t="shared" si="2846"/>
        <v>4.1486236427494205</v>
      </c>
      <c r="AN413" s="84">
        <f t="shared" si="2846"/>
        <v>4.4218271404407057</v>
      </c>
      <c r="AO413" s="84">
        <f t="shared" si="2846"/>
        <v>4.4040015952804019</v>
      </c>
      <c r="AP413" s="84">
        <f t="shared" si="2846"/>
        <v>4.4782360127292371</v>
      </c>
      <c r="AQ413" s="84">
        <f t="shared" si="2846"/>
        <v>4.2278993465369625</v>
      </c>
      <c r="AR413" s="84">
        <f t="shared" si="2846"/>
        <v>4.4475548021549312</v>
      </c>
      <c r="AS413" s="84">
        <f t="shared" si="2846"/>
        <v>4.4311631593232832</v>
      </c>
      <c r="AT413" s="84">
        <f t="shared" si="2846"/>
        <v>4.7197707012161354</v>
      </c>
      <c r="AU413" s="84">
        <f t="shared" si="2846"/>
        <v>4.5085308202519743</v>
      </c>
      <c r="AV413" s="84">
        <f t="shared" si="2846"/>
        <v>5.0629408971705541</v>
      </c>
      <c r="AW413" s="84">
        <f t="shared" si="2846"/>
        <v>5.0642371200211613</v>
      </c>
      <c r="AX413" s="84">
        <f t="shared" si="2846"/>
        <v>4.3764749766638396</v>
      </c>
      <c r="AY413" s="84">
        <f t="shared" si="2846"/>
        <v>4.1260630289396083</v>
      </c>
      <c r="AZ413" s="84">
        <f t="shared" si="2846"/>
        <v>4.2229771374370522</v>
      </c>
      <c r="BA413" s="84">
        <f t="shared" si="2846"/>
        <v>4.1785072275404422</v>
      </c>
      <c r="BB413" s="84">
        <f t="shared" si="2846"/>
        <v>4.1907613271489144</v>
      </c>
      <c r="BC413" s="84">
        <f t="shared" si="2846"/>
        <v>3.9255277968225073</v>
      </c>
      <c r="BD413" s="84">
        <f t="shared" si="2846"/>
        <v>4.3845159416594059</v>
      </c>
      <c r="BE413" s="84">
        <f t="shared" si="2846"/>
        <v>4.3352935417270597</v>
      </c>
      <c r="BF413" s="84">
        <f t="shared" si="2846"/>
        <v>4.3917515276803849</v>
      </c>
      <c r="BG413" s="84">
        <f t="shared" si="2846"/>
        <v>4.0919338688674225</v>
      </c>
      <c r="BH413" s="84">
        <f t="shared" si="2846"/>
        <v>4.5839542219538831</v>
      </c>
      <c r="BI413" s="84">
        <f t="shared" si="2846"/>
        <v>4.5283351946490491</v>
      </c>
      <c r="BJ413" s="84">
        <f t="shared" si="2846"/>
        <v>4.4076843532965233</v>
      </c>
      <c r="BK413" s="84">
        <f t="shared" si="2846"/>
        <v>4.1165503955830847</v>
      </c>
      <c r="BL413" s="84">
        <f t="shared" si="2846"/>
        <v>4.4730613605635963</v>
      </c>
      <c r="BM413" s="84">
        <f t="shared" si="2846"/>
        <v>4.3624441425333629</v>
      </c>
      <c r="BN413" s="84">
        <f t="shared" si="2846"/>
        <v>4.5605345485424715</v>
      </c>
      <c r="BO413" s="84">
        <f t="shared" si="2846"/>
        <v>4.2061627662568721</v>
      </c>
      <c r="BP413" s="84">
        <f t="shared" si="2846"/>
        <v>4.2419010749714845</v>
      </c>
      <c r="BQ413" s="84">
        <f t="shared" si="2846"/>
        <v>4.2076970220120202</v>
      </c>
      <c r="BR413" s="84">
        <f t="shared" si="2846"/>
        <v>4.0672556855919053</v>
      </c>
      <c r="BS413" s="84">
        <f t="shared" si="2846"/>
        <v>3.7889448859002326</v>
      </c>
      <c r="BT413" s="84">
        <f t="shared" si="2846"/>
        <v>3.9244725799588158</v>
      </c>
      <c r="BU413" s="84">
        <f t="shared" si="2846"/>
        <v>3.9179485777162246</v>
      </c>
      <c r="BV413" s="84">
        <f t="shared" si="2846"/>
        <v>3.849486079328063</v>
      </c>
      <c r="BW413" s="84">
        <f t="shared" si="2846"/>
        <v>3.5954146041787256</v>
      </c>
      <c r="BX413" s="84">
        <f t="shared" si="2846"/>
        <v>3.9025005462215896</v>
      </c>
      <c r="BY413" s="84">
        <f t="shared" si="2846"/>
        <v>3.8586752163067897</v>
      </c>
      <c r="BZ413" s="84">
        <f t="shared" si="2846"/>
        <v>3.6536697342709479</v>
      </c>
      <c r="CA413" s="84">
        <f t="shared" si="2846"/>
        <v>3.4844654153178229</v>
      </c>
      <c r="CB413" s="84">
        <f t="shared" si="2846"/>
        <v>4.0712650664562222</v>
      </c>
      <c r="CC413" s="84">
        <f t="shared" si="2846"/>
        <v>4.0040150648789909</v>
      </c>
      <c r="CD413" s="84">
        <f t="shared" si="2846"/>
        <v>3.8938769030389806</v>
      </c>
      <c r="CE413" s="84">
        <f t="shared" si="2846"/>
        <v>3.6968647180083178</v>
      </c>
      <c r="CF413" s="84">
        <f t="shared" si="2846"/>
        <v>3.9538748627561602</v>
      </c>
      <c r="CG413" s="84">
        <f t="shared" si="2846"/>
        <v>3.8748835699389041</v>
      </c>
      <c r="CH413" s="84">
        <f t="shared" si="2846"/>
        <v>3.8475133018485379</v>
      </c>
      <c r="CI413" s="84">
        <f t="shared" si="2846"/>
        <v>3.5550426133776805</v>
      </c>
      <c r="CJ413" s="84">
        <f t="shared" si="2846"/>
        <v>3.8206977364671082</v>
      </c>
      <c r="CK413" s="84">
        <f t="shared" si="2846"/>
        <v>3.8023659279093445</v>
      </c>
      <c r="CL413" s="84">
        <f t="shared" ref="CL413" si="2847">(CL328+CL315+CL305+CL307)/CL287</f>
        <v>4.1019117978072979</v>
      </c>
      <c r="CM413" s="50">
        <f t="shared" si="2846"/>
        <v>3.7619784191644019</v>
      </c>
      <c r="CN413" s="50">
        <f t="shared" si="2846"/>
        <v>3.7386143343461651</v>
      </c>
      <c r="CO413" s="50">
        <f t="shared" si="2846"/>
        <v>3.7087418875482543</v>
      </c>
      <c r="CP413" s="50">
        <f t="shared" si="2846"/>
        <v>3.8358117612178324</v>
      </c>
      <c r="CQ413" s="50">
        <f t="shared" si="2846"/>
        <v>3.4992734662401497</v>
      </c>
      <c r="CR413" s="50">
        <f t="shared" si="2846"/>
        <v>3.4860702521195837</v>
      </c>
      <c r="CS413" s="50">
        <f t="shared" si="2846"/>
        <v>3.4662295070806772</v>
      </c>
      <c r="CT413" s="50">
        <f t="shared" si="2846"/>
        <v>3.5922413702079528</v>
      </c>
      <c r="CU413" s="50">
        <f t="shared" si="2846"/>
        <v>3.271262576103581</v>
      </c>
      <c r="CV413" s="50">
        <f t="shared" si="2846"/>
        <v>3.2647044946717902</v>
      </c>
      <c r="CW413" s="50">
        <f t="shared" si="2846"/>
        <v>3.2513673582012603</v>
      </c>
      <c r="CX413" s="50">
        <f t="shared" ref="CX413:DB413" si="2848">(CX328+CX315+CX305+CX307)/CX287</f>
        <v>3.3787152869145936</v>
      </c>
      <c r="CY413" s="50">
        <f t="shared" si="2848"/>
        <v>3.0749979497915763</v>
      </c>
      <c r="CZ413" s="50">
        <f t="shared" si="2848"/>
        <v>3.0740040940303386</v>
      </c>
      <c r="DA413" s="50">
        <f t="shared" si="2848"/>
        <v>3.0663300355265268</v>
      </c>
      <c r="DB413" s="50">
        <f t="shared" si="2848"/>
        <v>3.1947921532505146</v>
      </c>
      <c r="DE413" s="138"/>
      <c r="DF413" s="84">
        <v>4.1019117978072979</v>
      </c>
    </row>
    <row r="414" spans="1:110" s="84" customFormat="1" x14ac:dyDescent="0.2">
      <c r="A414" s="154" t="s">
        <v>498</v>
      </c>
      <c r="AB414" s="50"/>
      <c r="AC414" s="50"/>
      <c r="AD414" s="50"/>
      <c r="AE414" s="50"/>
      <c r="CM414" s="50"/>
      <c r="CN414" s="50"/>
      <c r="CO414" s="50"/>
      <c r="CP414" s="50"/>
      <c r="CQ414" s="50"/>
      <c r="CR414" s="50"/>
      <c r="CS414" s="50"/>
      <c r="CT414" s="50"/>
      <c r="CU414" s="50"/>
      <c r="CV414" s="50"/>
      <c r="CW414" s="50"/>
      <c r="CX414" s="50"/>
      <c r="CY414" s="50"/>
      <c r="CZ414" s="50"/>
      <c r="DA414" s="50"/>
      <c r="DB414" s="50"/>
      <c r="DE414" s="138"/>
    </row>
    <row r="415" spans="1:110" s="88" customFormat="1" x14ac:dyDescent="0.2">
      <c r="A415" s="88" t="s">
        <v>102</v>
      </c>
      <c r="B415" s="88">
        <f t="shared" ref="B415:AE415" si="2849">B328/B287</f>
        <v>3.4725121955488429E-2</v>
      </c>
      <c r="C415" s="88">
        <f t="shared" si="2849"/>
        <v>0.11138910490954755</v>
      </c>
      <c r="D415" s="88">
        <f t="shared" si="2849"/>
        <v>0.24238947957470625</v>
      </c>
      <c r="F415" s="88">
        <f t="shared" si="2849"/>
        <v>0.31554043661959086</v>
      </c>
      <c r="G415" s="88">
        <f t="shared" si="2849"/>
        <v>0.32023897769756349</v>
      </c>
      <c r="H415" s="88">
        <f t="shared" si="2849"/>
        <v>0.46846587830760456</v>
      </c>
      <c r="I415" s="88">
        <f t="shared" si="2849"/>
        <v>0.56887982856789365</v>
      </c>
      <c r="J415" s="88">
        <f t="shared" si="2849"/>
        <v>0.4780828871079591</v>
      </c>
      <c r="K415" s="88">
        <f t="shared" si="2849"/>
        <v>0.56649719931057019</v>
      </c>
      <c r="L415" s="88">
        <f t="shared" si="2849"/>
        <v>0.45336649295125259</v>
      </c>
      <c r="M415" s="88">
        <f t="shared" si="2849"/>
        <v>0.36081530538561901</v>
      </c>
      <c r="N415" s="88">
        <f t="shared" si="2849"/>
        <v>0.32810253135808393</v>
      </c>
      <c r="O415" s="88">
        <f t="shared" si="2849"/>
        <v>0.28566083495241917</v>
      </c>
      <c r="P415" s="88">
        <f t="shared" si="2849"/>
        <v>0.33541534921228955</v>
      </c>
      <c r="Q415" s="88">
        <f t="shared" si="2849"/>
        <v>0.29162505692574708</v>
      </c>
      <c r="R415" s="88">
        <f t="shared" si="2849"/>
        <v>0.39043286950190897</v>
      </c>
      <c r="S415" s="88">
        <f t="shared" si="2849"/>
        <v>0.31868605826586649</v>
      </c>
      <c r="T415" s="88">
        <f t="shared" si="2849"/>
        <v>0.41158304315204219</v>
      </c>
      <c r="U415" s="88">
        <f t="shared" si="2849"/>
        <v>0.41690928585281106</v>
      </c>
      <c r="V415" s="88">
        <f t="shared" si="2849"/>
        <v>0.62282385067959001</v>
      </c>
      <c r="W415" s="88">
        <f t="shared" si="2849"/>
        <v>0.59160459112660158</v>
      </c>
      <c r="X415" s="88">
        <f t="shared" si="2849"/>
        <v>0.65034875083892196</v>
      </c>
      <c r="Y415" s="88">
        <f t="shared" si="2849"/>
        <v>0.58263620661784421</v>
      </c>
      <c r="Z415" s="88">
        <f t="shared" si="2849"/>
        <v>0.67918235103772862</v>
      </c>
      <c r="AA415" s="88">
        <f t="shared" ref="AA415" si="2850">AA328/AA287</f>
        <v>0.73540742136960624</v>
      </c>
      <c r="AB415" s="42">
        <f t="shared" si="2849"/>
        <v>0.67739442951417084</v>
      </c>
      <c r="AC415" s="42">
        <f t="shared" si="2849"/>
        <v>0.64264328259548809</v>
      </c>
      <c r="AD415" s="42">
        <f t="shared" si="2849"/>
        <v>0.57412009877033643</v>
      </c>
      <c r="AE415" s="42">
        <f t="shared" si="2849"/>
        <v>0.52291046393803298</v>
      </c>
      <c r="AL415" s="88">
        <f t="shared" ref="AL415:CW415" si="2851">AL328/AL287</f>
        <v>0.32810253135808393</v>
      </c>
      <c r="AM415" s="88">
        <f t="shared" si="2851"/>
        <v>0.35363880296549383</v>
      </c>
      <c r="AN415" s="88">
        <f t="shared" si="2851"/>
        <v>0.31610962327900399</v>
      </c>
      <c r="AO415" s="88">
        <f t="shared" si="2851"/>
        <v>0.28784968329021166</v>
      </c>
      <c r="AP415" s="88">
        <f t="shared" si="2851"/>
        <v>0.28566083495241917</v>
      </c>
      <c r="AQ415" s="88">
        <f t="shared" si="2851"/>
        <v>0.39020495014546208</v>
      </c>
      <c r="AR415" s="88">
        <f t="shared" si="2851"/>
        <v>0.28269703737208113</v>
      </c>
      <c r="AS415" s="88">
        <f t="shared" si="2851"/>
        <v>0.26168517370039057</v>
      </c>
      <c r="AT415" s="88">
        <f t="shared" si="2851"/>
        <v>0.33541534921228949</v>
      </c>
      <c r="AU415" s="88">
        <f t="shared" si="2851"/>
        <v>0.42626669878055962</v>
      </c>
      <c r="AV415" s="88">
        <f t="shared" si="2851"/>
        <v>0.35425357986160583</v>
      </c>
      <c r="AW415" s="88">
        <f t="shared" si="2851"/>
        <v>0.32794981954366975</v>
      </c>
      <c r="AX415" s="88">
        <f t="shared" si="2851"/>
        <v>0.29162505692574708</v>
      </c>
      <c r="AY415" s="88">
        <f t="shared" si="2851"/>
        <v>0.33061051161515792</v>
      </c>
      <c r="AZ415" s="88">
        <f t="shared" si="2851"/>
        <v>0.32739281835510131</v>
      </c>
      <c r="BA415" s="88">
        <f t="shared" si="2851"/>
        <v>0.33541824662708231</v>
      </c>
      <c r="BB415" s="88">
        <f t="shared" si="2851"/>
        <v>0.39043286950190897</v>
      </c>
      <c r="BC415" s="88">
        <f t="shared" si="2851"/>
        <v>0.41860149696062315</v>
      </c>
      <c r="BD415" s="88">
        <f t="shared" si="2851"/>
        <v>0.38890266257076722</v>
      </c>
      <c r="BE415" s="88">
        <f t="shared" si="2851"/>
        <v>0.39693515850454875</v>
      </c>
      <c r="BF415" s="88">
        <f t="shared" si="2851"/>
        <v>0.31868605826586649</v>
      </c>
      <c r="BG415" s="88">
        <f t="shared" si="2851"/>
        <v>0.33443699603878985</v>
      </c>
      <c r="BH415" s="88">
        <f t="shared" si="2851"/>
        <v>0.38289030796146567</v>
      </c>
      <c r="BI415" s="88">
        <f t="shared" si="2851"/>
        <v>0.39591717247483588</v>
      </c>
      <c r="BJ415" s="88">
        <f t="shared" si="2851"/>
        <v>0.41158304315204214</v>
      </c>
      <c r="BK415" s="88">
        <f t="shared" si="2851"/>
        <v>0.42646427046559987</v>
      </c>
      <c r="BL415" s="88">
        <f t="shared" si="2851"/>
        <v>0.25725569580874408</v>
      </c>
      <c r="BM415" s="88">
        <f t="shared" si="2851"/>
        <v>0.28186025805982406</v>
      </c>
      <c r="BN415" s="88">
        <f t="shared" si="2851"/>
        <v>0.41690928585281106</v>
      </c>
      <c r="BO415" s="88">
        <f t="shared" si="2851"/>
        <v>0.44151361410749379</v>
      </c>
      <c r="BP415" s="88">
        <f t="shared" si="2851"/>
        <v>0.64698392727524112</v>
      </c>
      <c r="BQ415" s="88">
        <f t="shared" si="2851"/>
        <v>0.64988165530246145</v>
      </c>
      <c r="BR415" s="88">
        <f t="shared" si="2851"/>
        <v>0.62282385067959001</v>
      </c>
      <c r="BS415" s="88">
        <f t="shared" si="2851"/>
        <v>0.64024143726929972</v>
      </c>
      <c r="BT415" s="88">
        <f t="shared" si="2851"/>
        <v>0.59405827793353705</v>
      </c>
      <c r="BU415" s="88">
        <f t="shared" si="2851"/>
        <v>0.59556850977349651</v>
      </c>
      <c r="BV415" s="88">
        <f t="shared" si="2851"/>
        <v>0.59160459112660169</v>
      </c>
      <c r="BW415" s="88">
        <f t="shared" si="2851"/>
        <v>0.60261069741390372</v>
      </c>
      <c r="BX415" s="88">
        <f t="shared" si="2851"/>
        <v>0.56377595285728876</v>
      </c>
      <c r="BY415" s="88">
        <f t="shared" si="2851"/>
        <v>0.57031388105692837</v>
      </c>
      <c r="BZ415" s="88">
        <f t="shared" si="2851"/>
        <v>0.65034875083892185</v>
      </c>
      <c r="CA415" s="88">
        <f t="shared" si="2851"/>
        <v>0.66330846179183445</v>
      </c>
      <c r="CB415" s="88">
        <f t="shared" si="2851"/>
        <v>0.60388905900223899</v>
      </c>
      <c r="CC415" s="88">
        <f t="shared" si="2851"/>
        <v>0.60827364183678267</v>
      </c>
      <c r="CD415" s="88">
        <f t="shared" si="2851"/>
        <v>0.58263620661784432</v>
      </c>
      <c r="CE415" s="88">
        <f t="shared" si="2851"/>
        <v>0.59987485634723703</v>
      </c>
      <c r="CF415" s="88">
        <f t="shared" si="2851"/>
        <v>0.62130651989070484</v>
      </c>
      <c r="CG415" s="88">
        <f t="shared" si="2851"/>
        <v>0.63130009078838512</v>
      </c>
      <c r="CH415" s="88">
        <f t="shared" si="2851"/>
        <v>0.67918235103772862</v>
      </c>
      <c r="CI415" s="88">
        <f t="shared" si="2851"/>
        <v>0.86745553181180413</v>
      </c>
      <c r="CJ415" s="88">
        <f t="shared" si="2851"/>
        <v>0.62262171723124715</v>
      </c>
      <c r="CK415" s="88">
        <f t="shared" si="2851"/>
        <v>0.58113718595425867</v>
      </c>
      <c r="CL415" s="88">
        <f t="shared" ref="CL415" si="2852">CL328/CL287</f>
        <v>0.73540742136960624</v>
      </c>
      <c r="CM415" s="42">
        <f t="shared" si="2851"/>
        <v>0.87578734431386274</v>
      </c>
      <c r="CN415" s="42">
        <f t="shared" si="2851"/>
        <v>0.84638885966452038</v>
      </c>
      <c r="CO415" s="42">
        <f t="shared" si="2851"/>
        <v>0.82469913788338656</v>
      </c>
      <c r="CP415" s="42">
        <f t="shared" si="2851"/>
        <v>0.67739442951417084</v>
      </c>
      <c r="CQ415" s="42">
        <f t="shared" si="2851"/>
        <v>0.83249708400292832</v>
      </c>
      <c r="CR415" s="42">
        <f t="shared" si="2851"/>
        <v>0.796324459235903</v>
      </c>
      <c r="CS415" s="42">
        <f t="shared" si="2851"/>
        <v>0.76591664814430827</v>
      </c>
      <c r="CT415" s="42">
        <f t="shared" si="2851"/>
        <v>0.64264328259548809</v>
      </c>
      <c r="CU415" s="42">
        <f t="shared" si="2851"/>
        <v>0.77574548528021681</v>
      </c>
      <c r="CV415" s="42">
        <f t="shared" si="2851"/>
        <v>0.73260716683927807</v>
      </c>
      <c r="CW415" s="42">
        <f t="shared" si="2851"/>
        <v>0.69442853622741108</v>
      </c>
      <c r="CX415" s="42">
        <f t="shared" ref="CX415:DB415" si="2853">CX328/CX287</f>
        <v>0.57412009877033643</v>
      </c>
      <c r="CY415" s="42">
        <f t="shared" si="2853"/>
        <v>0.70582239377072487</v>
      </c>
      <c r="CZ415" s="42">
        <f t="shared" si="2853"/>
        <v>0.66798697193773027</v>
      </c>
      <c r="DA415" s="42">
        <f t="shared" si="2853"/>
        <v>0.6348418737816377</v>
      </c>
      <c r="DB415" s="42">
        <f t="shared" si="2853"/>
        <v>0.52291046393803298</v>
      </c>
      <c r="DE415" s="125"/>
      <c r="DF415" s="88">
        <v>0.73540742136960624</v>
      </c>
    </row>
    <row r="416" spans="1:110" s="89" customFormat="1" x14ac:dyDescent="0.2">
      <c r="A416" s="89" t="s">
        <v>103</v>
      </c>
      <c r="C416" s="89">
        <f t="shared" ref="C416:AE416" si="2854">C295/B295-1</f>
        <v>0.16763655213339645</v>
      </c>
      <c r="D416" s="89">
        <f t="shared" si="2854"/>
        <v>-5.5684007320076501E-2</v>
      </c>
      <c r="F416" s="89">
        <f t="shared" si="2854"/>
        <v>0.24722123919370809</v>
      </c>
      <c r="G416" s="89">
        <f t="shared" si="2854"/>
        <v>1.2988479456140123E-2</v>
      </c>
      <c r="H416" s="89">
        <f t="shared" si="2854"/>
        <v>0.83846525413797712</v>
      </c>
      <c r="I416" s="89">
        <f t="shared" si="2854"/>
        <v>0.91472462073747507</v>
      </c>
      <c r="J416" s="89">
        <f t="shared" si="2854"/>
        <v>0.6539587347443514</v>
      </c>
      <c r="K416" s="89">
        <f>K295/J295-1</f>
        <v>0.20801530090269815</v>
      </c>
      <c r="L416" s="89">
        <f t="shared" si="2854"/>
        <v>0.51621387457065615</v>
      </c>
      <c r="M416" s="89">
        <f t="shared" si="2854"/>
        <v>0.38214433893791355</v>
      </c>
      <c r="N416" s="89">
        <f t="shared" si="2854"/>
        <v>0.29200149318130042</v>
      </c>
      <c r="O416" s="89">
        <f t="shared" si="2854"/>
        <v>0.2579587639047507</v>
      </c>
      <c r="P416" s="89">
        <f t="shared" si="2854"/>
        <v>0.1171341618595938</v>
      </c>
      <c r="Q416" s="89">
        <f t="shared" si="2854"/>
        <v>-5.8678697056645079E-2</v>
      </c>
      <c r="R416" s="89">
        <f t="shared" si="2854"/>
        <v>6.6017219624012968E-2</v>
      </c>
      <c r="S416" s="89">
        <f t="shared" si="2854"/>
        <v>0.14443384232381939</v>
      </c>
      <c r="T416" s="89">
        <f t="shared" si="2854"/>
        <v>0.16769350642200309</v>
      </c>
      <c r="U416" s="89">
        <f t="shared" si="2854"/>
        <v>0.12306900623845296</v>
      </c>
      <c r="V416" s="89">
        <f t="shared" si="2854"/>
        <v>-5.9584650760897695E-2</v>
      </c>
      <c r="W416" s="89">
        <f t="shared" si="2854"/>
        <v>-6.8903978620455941E-2</v>
      </c>
      <c r="X416" s="89">
        <f t="shared" si="2854"/>
        <v>-4.0130566381327504E-2</v>
      </c>
      <c r="Y416" s="89">
        <f t="shared" si="2854"/>
        <v>-3.774772097462753E-2</v>
      </c>
      <c r="Z416" s="89">
        <f t="shared" si="2854"/>
        <v>0.13608910295066368</v>
      </c>
      <c r="AA416" s="89">
        <f t="shared" si="2854"/>
        <v>-6.0793146985775093E-2</v>
      </c>
      <c r="AB416" s="47">
        <f t="shared" si="2854"/>
        <v>0</v>
      </c>
      <c r="AC416" s="47">
        <f t="shared" si="2854"/>
        <v>0</v>
      </c>
      <c r="AD416" s="47">
        <f t="shared" si="2854"/>
        <v>0</v>
      </c>
      <c r="AE416" s="47">
        <f t="shared" si="2854"/>
        <v>0</v>
      </c>
      <c r="AL416" s="89">
        <f t="shared" ref="AL416:CW416" si="2855">AL295/AK295-1</f>
        <v>4.2054405281221028</v>
      </c>
      <c r="AM416" s="89">
        <f t="shared" si="2855"/>
        <v>0</v>
      </c>
      <c r="AN416" s="89">
        <f t="shared" si="2855"/>
        <v>0.18333159676874522</v>
      </c>
      <c r="AO416" s="89">
        <f t="shared" si="2855"/>
        <v>0</v>
      </c>
      <c r="AP416" s="89">
        <f t="shared" si="2855"/>
        <v>8.3184468669112333E-2</v>
      </c>
      <c r="AQ416" s="89">
        <f t="shared" si="2855"/>
        <v>0</v>
      </c>
      <c r="AR416" s="89">
        <f t="shared" si="2855"/>
        <v>6.1035555784056283E-2</v>
      </c>
      <c r="AS416" s="89">
        <f t="shared" si="2855"/>
        <v>0</v>
      </c>
      <c r="AT416" s="89">
        <f t="shared" si="2855"/>
        <v>6.262017002724285E-2</v>
      </c>
      <c r="AU416" s="89">
        <f t="shared" si="2855"/>
        <v>0</v>
      </c>
      <c r="AV416" s="89">
        <f t="shared" si="2855"/>
        <v>8.4952831891716318E-2</v>
      </c>
      <c r="AW416" s="89">
        <f t="shared" si="2855"/>
        <v>0</v>
      </c>
      <c r="AX416" s="89">
        <f t="shared" si="2855"/>
        <v>-0.10308332664224107</v>
      </c>
      <c r="AY416" s="89">
        <f t="shared" si="2855"/>
        <v>0</v>
      </c>
      <c r="AZ416" s="89">
        <f t="shared" si="2855"/>
        <v>3.0191696897583498E-2</v>
      </c>
      <c r="BA416" s="89">
        <f t="shared" si="2855"/>
        <v>0</v>
      </c>
      <c r="BB416" s="89">
        <f t="shared" si="2855"/>
        <v>3.4775588693170212E-2</v>
      </c>
      <c r="BC416" s="89">
        <f t="shared" si="2855"/>
        <v>0</v>
      </c>
      <c r="BD416" s="89">
        <f t="shared" si="2855"/>
        <v>9.4207641083743798E-2</v>
      </c>
      <c r="BE416" s="89">
        <f t="shared" si="2855"/>
        <v>0</v>
      </c>
      <c r="BF416" s="89">
        <f t="shared" si="2855"/>
        <v>4.5901892249929466E-2</v>
      </c>
      <c r="BG416" s="89">
        <f t="shared" si="2855"/>
        <v>0</v>
      </c>
      <c r="BH416" s="89">
        <f t="shared" si="2855"/>
        <v>0.14907479329281403</v>
      </c>
      <c r="BI416" s="89">
        <f t="shared" si="2855"/>
        <v>0</v>
      </c>
      <c r="BJ416" s="89">
        <f t="shared" si="2855"/>
        <v>1.6203221267986345E-2</v>
      </c>
      <c r="BK416" s="89">
        <f t="shared" si="2855"/>
        <v>0</v>
      </c>
      <c r="BL416" s="89">
        <f t="shared" si="2855"/>
        <v>5.9429332937863233E-2</v>
      </c>
      <c r="BM416" s="89">
        <f t="shared" si="2855"/>
        <v>0</v>
      </c>
      <c r="BN416" s="89">
        <f t="shared" si="2855"/>
        <v>6.0069767111424976E-2</v>
      </c>
      <c r="BO416" s="89">
        <f t="shared" si="2855"/>
        <v>0</v>
      </c>
      <c r="BP416" s="89">
        <f t="shared" si="2855"/>
        <v>3.9815223514954479E-2</v>
      </c>
      <c r="BQ416" s="89">
        <f t="shared" si="2855"/>
        <v>0</v>
      </c>
      <c r="BR416" s="89">
        <f t="shared" si="2855"/>
        <v>-9.5593786307382911E-2</v>
      </c>
      <c r="BS416" s="89">
        <f t="shared" si="2855"/>
        <v>0</v>
      </c>
      <c r="BT416" s="89">
        <f t="shared" si="2855"/>
        <v>-5.7153992232284123E-2</v>
      </c>
      <c r="BU416" s="89">
        <f t="shared" si="2855"/>
        <v>0</v>
      </c>
      <c r="BV416" s="89">
        <f t="shared" si="2855"/>
        <v>-1.2462253953846925E-2</v>
      </c>
      <c r="BW416" s="89">
        <f t="shared" si="2855"/>
        <v>0</v>
      </c>
      <c r="BX416" s="89">
        <f t="shared" si="2855"/>
        <v>2.8983407310528397E-2</v>
      </c>
      <c r="BY416" s="89">
        <f t="shared" si="2855"/>
        <v>0</v>
      </c>
      <c r="BZ416" s="89">
        <f t="shared" si="2855"/>
        <v>-6.7167238267233143E-2</v>
      </c>
      <c r="CA416" s="89">
        <f t="shared" si="2855"/>
        <v>0</v>
      </c>
      <c r="CB416" s="89">
        <f t="shared" si="2855"/>
        <v>1.0318328614034922E-2</v>
      </c>
      <c r="CC416" s="89">
        <f t="shared" si="2855"/>
        <v>0</v>
      </c>
      <c r="CD416" s="89">
        <f t="shared" si="2855"/>
        <v>-4.7575153520771907E-2</v>
      </c>
      <c r="CE416" s="89">
        <f t="shared" si="2855"/>
        <v>0</v>
      </c>
      <c r="CF416" s="89">
        <f t="shared" si="2855"/>
        <v>8.3583297300581894E-2</v>
      </c>
      <c r="CG416" s="89">
        <f t="shared" si="2855"/>
        <v>0</v>
      </c>
      <c r="CH416" s="89">
        <f t="shared" si="2855"/>
        <v>4.8455717046288926E-2</v>
      </c>
      <c r="CI416" s="89">
        <f t="shared" si="2855"/>
        <v>0</v>
      </c>
      <c r="CJ416" s="89">
        <f t="shared" si="2855"/>
        <v>8.2003350742601011E-3</v>
      </c>
      <c r="CK416" s="89">
        <f t="shared" si="2855"/>
        <v>0</v>
      </c>
      <c r="CL416" s="89">
        <f t="shared" si="2855"/>
        <v>-6.8432314154064811E-2</v>
      </c>
      <c r="CM416" s="47">
        <f t="shared" si="2855"/>
        <v>0</v>
      </c>
      <c r="CN416" s="47">
        <f t="shared" si="2855"/>
        <v>0</v>
      </c>
      <c r="CO416" s="47">
        <f t="shared" si="2855"/>
        <v>0</v>
      </c>
      <c r="CP416" s="47">
        <f t="shared" si="2855"/>
        <v>0</v>
      </c>
      <c r="CQ416" s="47">
        <f t="shared" si="2855"/>
        <v>0</v>
      </c>
      <c r="CR416" s="47">
        <f t="shared" si="2855"/>
        <v>0</v>
      </c>
      <c r="CS416" s="47">
        <f t="shared" si="2855"/>
        <v>0</v>
      </c>
      <c r="CT416" s="47">
        <f t="shared" si="2855"/>
        <v>0</v>
      </c>
      <c r="CU416" s="47">
        <f t="shared" si="2855"/>
        <v>0</v>
      </c>
      <c r="CV416" s="47">
        <f t="shared" si="2855"/>
        <v>0</v>
      </c>
      <c r="CW416" s="47">
        <f t="shared" si="2855"/>
        <v>0</v>
      </c>
      <c r="CX416" s="47">
        <f t="shared" ref="CX416:DB416" si="2856">CX295/CW295-1</f>
        <v>0</v>
      </c>
      <c r="CY416" s="47">
        <f t="shared" si="2856"/>
        <v>0</v>
      </c>
      <c r="CZ416" s="47">
        <f t="shared" si="2856"/>
        <v>0</v>
      </c>
      <c r="DA416" s="47">
        <f t="shared" si="2856"/>
        <v>0</v>
      </c>
      <c r="DB416" s="47">
        <f t="shared" si="2856"/>
        <v>0</v>
      </c>
      <c r="DE416" s="130"/>
      <c r="DF416" s="89">
        <v>-6.0793146985775093E-2</v>
      </c>
    </row>
    <row r="417" spans="1:110" s="89" customFormat="1" x14ac:dyDescent="0.2">
      <c r="A417" s="89" t="s">
        <v>104</v>
      </c>
      <c r="C417" s="89">
        <f>C190/B190-1</f>
        <v>0.38565884487378099</v>
      </c>
      <c r="D417" s="89">
        <f>D190/C190-1</f>
        <v>-0.1323801017974976</v>
      </c>
      <c r="F417" s="89">
        <f t="shared" ref="F417:AE417" si="2857">F190/E190-1</f>
        <v>0.27852617334071317</v>
      </c>
      <c r="G417" s="89">
        <f t="shared" si="2857"/>
        <v>0.33788789992783097</v>
      </c>
      <c r="H417" s="89">
        <f t="shared" si="2857"/>
        <v>0.65207254507096724</v>
      </c>
      <c r="I417" s="89">
        <f t="shared" si="2857"/>
        <v>0.47642438643907981</v>
      </c>
      <c r="J417" s="89">
        <f t="shared" si="2857"/>
        <v>0.39332725588435213</v>
      </c>
      <c r="K417" s="89">
        <f t="shared" si="2857"/>
        <v>0.25045984329175641</v>
      </c>
      <c r="L417" s="89">
        <f t="shared" si="2857"/>
        <v>0.22163224090418088</v>
      </c>
      <c r="M417" s="89">
        <f t="shared" si="2857"/>
        <v>0.21654604583399273</v>
      </c>
      <c r="N417" s="89">
        <f t="shared" si="2857"/>
        <v>0.1637758258776898</v>
      </c>
      <c r="O417" s="89">
        <f t="shared" si="2857"/>
        <v>0.13037469024513793</v>
      </c>
      <c r="P417" s="89">
        <f t="shared" si="2857"/>
        <v>0.11020507682175218</v>
      </c>
      <c r="Q417" s="89">
        <f t="shared" si="2857"/>
        <v>2.1422528677095265E-3</v>
      </c>
      <c r="R417" s="89">
        <f t="shared" si="2857"/>
        <v>6.5471678906797059E-2</v>
      </c>
      <c r="S417" s="89">
        <f t="shared" si="2857"/>
        <v>4.3078299286196886E-2</v>
      </c>
      <c r="T417" s="89">
        <f t="shared" si="2857"/>
        <v>0.31372597064000041</v>
      </c>
      <c r="U417" s="89">
        <f t="shared" si="2857"/>
        <v>7.4717377953060771E-2</v>
      </c>
      <c r="V417" s="89">
        <f t="shared" si="2857"/>
        <v>-4.4214895839530977E-2</v>
      </c>
      <c r="W417" s="89">
        <f t="shared" si="2857"/>
        <v>3.1720538652126429E-2</v>
      </c>
      <c r="X417" s="89">
        <f t="shared" si="2857"/>
        <v>0.1007416781200754</v>
      </c>
      <c r="Y417" s="89">
        <f t="shared" si="2857"/>
        <v>0.11065294503250667</v>
      </c>
      <c r="Z417" s="89">
        <f t="shared" si="2857"/>
        <v>0.12206211192045879</v>
      </c>
      <c r="AA417" s="89">
        <f t="shared" si="2857"/>
        <v>0.14242277156376826</v>
      </c>
      <c r="AB417" s="47">
        <f t="shared" si="2857"/>
        <v>1.4057129813812352E-2</v>
      </c>
      <c r="AC417" s="47">
        <f t="shared" si="2857"/>
        <v>0.14521399396506385</v>
      </c>
      <c r="AD417" s="47">
        <f t="shared" si="2857"/>
        <v>0.15107621011072769</v>
      </c>
      <c r="AE417" s="47">
        <f t="shared" si="2857"/>
        <v>0.15252876216780042</v>
      </c>
      <c r="AL417" s="89">
        <f t="shared" ref="AL417:BQ417" si="2858">AL190/AK190-1</f>
        <v>0.69222332604808101</v>
      </c>
      <c r="AM417" s="89">
        <f t="shared" si="2858"/>
        <v>-0.12041855309875649</v>
      </c>
      <c r="AN417" s="89">
        <f t="shared" si="2858"/>
        <v>0.33665983212660855</v>
      </c>
      <c r="AO417" s="89">
        <f t="shared" si="2858"/>
        <v>5.1802584536723151E-2</v>
      </c>
      <c r="AP417" s="89">
        <f t="shared" si="2858"/>
        <v>0.41993065023945375</v>
      </c>
      <c r="AQ417" s="89">
        <f t="shared" si="2858"/>
        <v>-0.32837709162494022</v>
      </c>
      <c r="AR417" s="89">
        <f t="shared" si="2858"/>
        <v>-7.0386019968061264E-2</v>
      </c>
      <c r="AS417" s="89">
        <f t="shared" si="2858"/>
        <v>0.23627943639767346</v>
      </c>
      <c r="AT417" s="89">
        <f t="shared" si="2858"/>
        <v>0.24586164716318781</v>
      </c>
      <c r="AU417" s="89">
        <f t="shared" si="2858"/>
        <v>-0.21227039595918973</v>
      </c>
      <c r="AV417" s="89">
        <f t="shared" si="2858"/>
        <v>0.30855819274470697</v>
      </c>
      <c r="AW417" s="89">
        <f t="shared" si="2858"/>
        <v>-9.9200759844792485E-2</v>
      </c>
      <c r="AX417" s="89">
        <f t="shared" si="2858"/>
        <v>0.7481772596289229</v>
      </c>
      <c r="AY417" s="89">
        <f t="shared" si="2858"/>
        <v>-0.44769434277803</v>
      </c>
      <c r="AZ417" s="89">
        <f t="shared" si="2858"/>
        <v>0.13861880681289462</v>
      </c>
      <c r="BA417" s="89">
        <f t="shared" si="2858"/>
        <v>4.5644408478220155E-2</v>
      </c>
      <c r="BB417" s="89">
        <f t="shared" si="2858"/>
        <v>0.49121723563761921</v>
      </c>
      <c r="BC417" s="89">
        <f t="shared" si="2858"/>
        <v>-0.39377291297525252</v>
      </c>
      <c r="BD417" s="89">
        <f t="shared" si="2858"/>
        <v>0.29206924779781285</v>
      </c>
      <c r="BE417" s="89">
        <f t="shared" si="2858"/>
        <v>4.17864831401773E-2</v>
      </c>
      <c r="BF417" s="89">
        <f t="shared" si="2858"/>
        <v>0.49666585293777543</v>
      </c>
      <c r="BG417" s="89">
        <f t="shared" si="2858"/>
        <v>-0.36863770206117485</v>
      </c>
      <c r="BH417" s="89">
        <f t="shared" si="2858"/>
        <v>0.20767642706442646</v>
      </c>
      <c r="BI417" s="89">
        <f t="shared" si="2858"/>
        <v>7.4766144694744741E-2</v>
      </c>
      <c r="BJ417" s="89">
        <f t="shared" si="2858"/>
        <v>0.26506785576481628</v>
      </c>
      <c r="BK417" s="89">
        <f t="shared" si="2858"/>
        <v>-0.28966061671674204</v>
      </c>
      <c r="BL417" s="89">
        <f t="shared" si="2858"/>
        <v>0.17450461145100804</v>
      </c>
      <c r="BM417" s="89">
        <f t="shared" si="2858"/>
        <v>1.2725925288745499E-2</v>
      </c>
      <c r="BN417" s="89">
        <f t="shared" si="2858"/>
        <v>0.15266078303580244</v>
      </c>
      <c r="BO417" s="89">
        <f t="shared" si="2858"/>
        <v>-0.47222131685341617</v>
      </c>
      <c r="BP417" s="89">
        <f t="shared" si="2858"/>
        <v>0.42830177533858138</v>
      </c>
      <c r="BQ417" s="89">
        <f t="shared" si="2858"/>
        <v>0.14030051640094565</v>
      </c>
      <c r="BR417" s="89">
        <f t="shared" ref="BR417:DB417" si="2859">BR190/BQ190-1</f>
        <v>0.35272773432863347</v>
      </c>
      <c r="BS417" s="89">
        <f t="shared" si="2859"/>
        <v>-0.4226652350943213</v>
      </c>
      <c r="BT417" s="89">
        <f t="shared" si="2859"/>
        <v>0.15810549513644911</v>
      </c>
      <c r="BU417" s="89">
        <f t="shared" si="2859"/>
        <v>9.0414799125818623E-2</v>
      </c>
      <c r="BV417" s="89">
        <f t="shared" si="2859"/>
        <v>0.33034062093070959</v>
      </c>
      <c r="BW417" s="89">
        <f t="shared" si="2859"/>
        <v>-0.32024713168671026</v>
      </c>
      <c r="BX417" s="89">
        <f t="shared" si="2859"/>
        <v>0.17603912884347372</v>
      </c>
      <c r="BY417" s="89">
        <f t="shared" si="2859"/>
        <v>4.5787908509061781E-2</v>
      </c>
      <c r="BZ417" s="89">
        <f t="shared" si="2859"/>
        <v>0.25562150276472084</v>
      </c>
      <c r="CA417" s="89">
        <f t="shared" si="2859"/>
        <v>-0.24393361933581093</v>
      </c>
      <c r="CB417" s="89">
        <f t="shared" si="2859"/>
        <v>0.11464039415106297</v>
      </c>
      <c r="CC417" s="89">
        <f t="shared" si="2859"/>
        <v>2.2467250055748123E-2</v>
      </c>
      <c r="CD417" s="89">
        <f t="shared" si="2859"/>
        <v>0.20203649295354098</v>
      </c>
      <c r="CE417" s="89">
        <f t="shared" si="2859"/>
        <v>-0.18574050275972298</v>
      </c>
      <c r="CF417" s="89">
        <f t="shared" si="2859"/>
        <v>0.1236520376620458</v>
      </c>
      <c r="CG417" s="89">
        <f t="shared" si="2859"/>
        <v>-2.3859897310244405E-3</v>
      </c>
      <c r="CH417" s="89">
        <f t="shared" si="2859"/>
        <v>0.25041022212768627</v>
      </c>
      <c r="CI417" s="89">
        <f t="shared" si="2859"/>
        <v>-0.18751936524523305</v>
      </c>
      <c r="CJ417" s="89">
        <f t="shared" si="2859"/>
        <v>6.0970761502042503E-2</v>
      </c>
      <c r="CK417" s="89">
        <f t="shared" si="2859"/>
        <v>7.9519665838153397E-2</v>
      </c>
      <c r="CL417" s="89">
        <f t="shared" si="2859"/>
        <v>0.13370858772541627</v>
      </c>
      <c r="CM417" s="47">
        <f t="shared" si="2859"/>
        <v>-0.16896456698783957</v>
      </c>
      <c r="CN417" s="47">
        <f t="shared" si="2859"/>
        <v>4.9068273703031684E-2</v>
      </c>
      <c r="CO417" s="47">
        <f t="shared" si="2859"/>
        <v>4.0885198811653645E-2</v>
      </c>
      <c r="CP417" s="47">
        <f t="shared" si="2859"/>
        <v>0.13469854724404917</v>
      </c>
      <c r="CQ417" s="47">
        <f t="shared" si="2859"/>
        <v>-9.7313104147932483E-2</v>
      </c>
      <c r="CR417" s="47">
        <f t="shared" si="2859"/>
        <v>5.8844256143313123E-2</v>
      </c>
      <c r="CS417" s="47">
        <f t="shared" si="2859"/>
        <v>5.6502535974199075E-2</v>
      </c>
      <c r="CT417" s="47">
        <f t="shared" si="2859"/>
        <v>0.1686102709194619</v>
      </c>
      <c r="CU417" s="47">
        <f t="shared" si="2859"/>
        <v>-0.12584095417440644</v>
      </c>
      <c r="CV417" s="47">
        <f t="shared" si="2859"/>
        <v>6.4667966643662922E-2</v>
      </c>
      <c r="CW417" s="47">
        <f t="shared" si="2859"/>
        <v>6.1252621010043695E-2</v>
      </c>
      <c r="CX417" s="47">
        <f t="shared" si="2859"/>
        <v>0.17075452559980042</v>
      </c>
      <c r="CY417" s="47">
        <f t="shared" si="2859"/>
        <v>-0.13020296053278646</v>
      </c>
      <c r="CZ417" s="47">
        <f t="shared" si="2859"/>
        <v>6.6490311273730285E-2</v>
      </c>
      <c r="DA417" s="47">
        <f t="shared" si="2859"/>
        <v>6.2057642122628431E-2</v>
      </c>
      <c r="DB417" s="47">
        <f t="shared" si="2859"/>
        <v>0.17054957134870974</v>
      </c>
      <c r="DE417" s="130"/>
      <c r="DF417" s="89">
        <v>0.14242277156376826</v>
      </c>
    </row>
    <row r="418" spans="1:110" s="103" customFormat="1" x14ac:dyDescent="0.2">
      <c r="A418" s="147" t="s">
        <v>105</v>
      </c>
      <c r="C418" s="103">
        <f>IF(C416&gt;C417,"RF",0)</f>
        <v>0</v>
      </c>
      <c r="D418" s="103" t="str">
        <f t="shared" ref="D418:U418" si="2860">IF(D416&gt;D417,"RF",0)</f>
        <v>RF</v>
      </c>
      <c r="F418" s="103">
        <f t="shared" si="2860"/>
        <v>0</v>
      </c>
      <c r="G418" s="103">
        <f t="shared" si="2860"/>
        <v>0</v>
      </c>
      <c r="H418" s="103" t="str">
        <f t="shared" si="2860"/>
        <v>RF</v>
      </c>
      <c r="I418" s="103" t="str">
        <f t="shared" si="2860"/>
        <v>RF</v>
      </c>
      <c r="J418" s="103" t="str">
        <f t="shared" si="2860"/>
        <v>RF</v>
      </c>
      <c r="K418" s="103">
        <f t="shared" si="2860"/>
        <v>0</v>
      </c>
      <c r="L418" s="103" t="str">
        <f t="shared" si="2860"/>
        <v>RF</v>
      </c>
      <c r="M418" s="103" t="str">
        <f t="shared" si="2860"/>
        <v>RF</v>
      </c>
      <c r="N418" s="103" t="str">
        <f t="shared" si="2860"/>
        <v>RF</v>
      </c>
      <c r="O418" s="103" t="str">
        <f t="shared" si="2860"/>
        <v>RF</v>
      </c>
      <c r="P418" s="103" t="str">
        <f t="shared" si="2860"/>
        <v>RF</v>
      </c>
      <c r="Q418" s="103">
        <f t="shared" si="2860"/>
        <v>0</v>
      </c>
      <c r="R418" s="103" t="str">
        <f t="shared" si="2860"/>
        <v>RF</v>
      </c>
      <c r="S418" s="103" t="str">
        <f t="shared" si="2860"/>
        <v>RF</v>
      </c>
      <c r="T418" s="103">
        <f t="shared" si="2860"/>
        <v>0</v>
      </c>
      <c r="U418" s="103" t="str">
        <f t="shared" si="2860"/>
        <v>RF</v>
      </c>
      <c r="V418" s="103">
        <f>IF(V416&gt;V417,"RF",0)</f>
        <v>0</v>
      </c>
      <c r="W418" s="103">
        <f t="shared" ref="W418:AE418" si="2861">IF(W416&gt;W417,"RF",0)</f>
        <v>0</v>
      </c>
      <c r="X418" s="103">
        <f t="shared" si="2861"/>
        <v>0</v>
      </c>
      <c r="Y418" s="103">
        <f t="shared" si="2861"/>
        <v>0</v>
      </c>
      <c r="Z418" s="103" t="str">
        <f t="shared" si="2861"/>
        <v>RF</v>
      </c>
      <c r="AA418" s="103">
        <f t="shared" ref="AA418" si="2862">IF(AA416&gt;AA417,"RF",0)</f>
        <v>0</v>
      </c>
      <c r="AB418" s="73">
        <f t="shared" si="2861"/>
        <v>0</v>
      </c>
      <c r="AC418" s="73">
        <f t="shared" si="2861"/>
        <v>0</v>
      </c>
      <c r="AD418" s="73">
        <f t="shared" si="2861"/>
        <v>0</v>
      </c>
      <c r="AE418" s="73">
        <f t="shared" si="2861"/>
        <v>0</v>
      </c>
      <c r="AL418" s="103" t="str">
        <f t="shared" ref="AL418:CW418" si="2863">IF(AL416&gt;AL417,"RF",0)</f>
        <v>RF</v>
      </c>
      <c r="AM418" s="103" t="str">
        <f t="shared" si="2863"/>
        <v>RF</v>
      </c>
      <c r="AN418" s="103">
        <f t="shared" si="2863"/>
        <v>0</v>
      </c>
      <c r="AO418" s="103">
        <f t="shared" si="2863"/>
        <v>0</v>
      </c>
      <c r="AP418" s="103">
        <f t="shared" si="2863"/>
        <v>0</v>
      </c>
      <c r="AQ418" s="103" t="str">
        <f t="shared" si="2863"/>
        <v>RF</v>
      </c>
      <c r="AR418" s="103" t="str">
        <f t="shared" si="2863"/>
        <v>RF</v>
      </c>
      <c r="AS418" s="103">
        <f t="shared" si="2863"/>
        <v>0</v>
      </c>
      <c r="AT418" s="103">
        <f t="shared" si="2863"/>
        <v>0</v>
      </c>
      <c r="AU418" s="103" t="str">
        <f t="shared" si="2863"/>
        <v>RF</v>
      </c>
      <c r="AV418" s="103">
        <f t="shared" si="2863"/>
        <v>0</v>
      </c>
      <c r="AW418" s="103" t="str">
        <f t="shared" si="2863"/>
        <v>RF</v>
      </c>
      <c r="AX418" s="103">
        <f t="shared" si="2863"/>
        <v>0</v>
      </c>
      <c r="AY418" s="103" t="str">
        <f t="shared" si="2863"/>
        <v>RF</v>
      </c>
      <c r="AZ418" s="103">
        <f t="shared" si="2863"/>
        <v>0</v>
      </c>
      <c r="BA418" s="103">
        <f t="shared" si="2863"/>
        <v>0</v>
      </c>
      <c r="BB418" s="103">
        <f t="shared" si="2863"/>
        <v>0</v>
      </c>
      <c r="BC418" s="103" t="str">
        <f t="shared" si="2863"/>
        <v>RF</v>
      </c>
      <c r="BD418" s="103">
        <f t="shared" si="2863"/>
        <v>0</v>
      </c>
      <c r="BE418" s="103">
        <f t="shared" si="2863"/>
        <v>0</v>
      </c>
      <c r="BF418" s="103">
        <f t="shared" si="2863"/>
        <v>0</v>
      </c>
      <c r="BG418" s="103" t="str">
        <f t="shared" si="2863"/>
        <v>RF</v>
      </c>
      <c r="BH418" s="103">
        <f t="shared" si="2863"/>
        <v>0</v>
      </c>
      <c r="BI418" s="103">
        <f t="shared" si="2863"/>
        <v>0</v>
      </c>
      <c r="BJ418" s="103">
        <f t="shared" si="2863"/>
        <v>0</v>
      </c>
      <c r="BK418" s="103" t="str">
        <f t="shared" si="2863"/>
        <v>RF</v>
      </c>
      <c r="BL418" s="103">
        <f t="shared" si="2863"/>
        <v>0</v>
      </c>
      <c r="BM418" s="103">
        <f t="shared" si="2863"/>
        <v>0</v>
      </c>
      <c r="BN418" s="103">
        <f t="shared" si="2863"/>
        <v>0</v>
      </c>
      <c r="BO418" s="103" t="str">
        <f t="shared" si="2863"/>
        <v>RF</v>
      </c>
      <c r="BP418" s="103">
        <f t="shared" si="2863"/>
        <v>0</v>
      </c>
      <c r="BQ418" s="103">
        <f t="shared" si="2863"/>
        <v>0</v>
      </c>
      <c r="BR418" s="103">
        <f t="shared" si="2863"/>
        <v>0</v>
      </c>
      <c r="BS418" s="103" t="str">
        <f t="shared" si="2863"/>
        <v>RF</v>
      </c>
      <c r="BT418" s="103">
        <f t="shared" si="2863"/>
        <v>0</v>
      </c>
      <c r="BU418" s="103">
        <f t="shared" si="2863"/>
        <v>0</v>
      </c>
      <c r="BV418" s="103">
        <f t="shared" si="2863"/>
        <v>0</v>
      </c>
      <c r="BW418" s="103" t="str">
        <f t="shared" si="2863"/>
        <v>RF</v>
      </c>
      <c r="BX418" s="103">
        <f t="shared" si="2863"/>
        <v>0</v>
      </c>
      <c r="BY418" s="103">
        <f t="shared" si="2863"/>
        <v>0</v>
      </c>
      <c r="BZ418" s="103">
        <f t="shared" si="2863"/>
        <v>0</v>
      </c>
      <c r="CA418" s="103" t="str">
        <f t="shared" si="2863"/>
        <v>RF</v>
      </c>
      <c r="CB418" s="103">
        <f t="shared" si="2863"/>
        <v>0</v>
      </c>
      <c r="CC418" s="103">
        <f t="shared" si="2863"/>
        <v>0</v>
      </c>
      <c r="CD418" s="103">
        <f t="shared" si="2863"/>
        <v>0</v>
      </c>
      <c r="CE418" s="103" t="str">
        <f t="shared" si="2863"/>
        <v>RF</v>
      </c>
      <c r="CF418" s="103">
        <f t="shared" si="2863"/>
        <v>0</v>
      </c>
      <c r="CG418" s="103" t="str">
        <f t="shared" si="2863"/>
        <v>RF</v>
      </c>
      <c r="CH418" s="103">
        <f t="shared" si="2863"/>
        <v>0</v>
      </c>
      <c r="CI418" s="103" t="str">
        <f t="shared" si="2863"/>
        <v>RF</v>
      </c>
      <c r="CJ418" s="103">
        <f t="shared" si="2863"/>
        <v>0</v>
      </c>
      <c r="CK418" s="103">
        <f t="shared" si="2863"/>
        <v>0</v>
      </c>
      <c r="CL418" s="103">
        <f t="shared" ref="CL418" si="2864">IF(CL416&gt;CL417,"RF",0)</f>
        <v>0</v>
      </c>
      <c r="CM418" s="73" t="str">
        <f t="shared" si="2863"/>
        <v>RF</v>
      </c>
      <c r="CN418" s="73">
        <f t="shared" si="2863"/>
        <v>0</v>
      </c>
      <c r="CO418" s="73">
        <f t="shared" si="2863"/>
        <v>0</v>
      </c>
      <c r="CP418" s="73">
        <f t="shared" si="2863"/>
        <v>0</v>
      </c>
      <c r="CQ418" s="73" t="str">
        <f t="shared" si="2863"/>
        <v>RF</v>
      </c>
      <c r="CR418" s="73">
        <f t="shared" si="2863"/>
        <v>0</v>
      </c>
      <c r="CS418" s="73">
        <f t="shared" si="2863"/>
        <v>0</v>
      </c>
      <c r="CT418" s="73">
        <f t="shared" si="2863"/>
        <v>0</v>
      </c>
      <c r="CU418" s="73" t="str">
        <f t="shared" si="2863"/>
        <v>RF</v>
      </c>
      <c r="CV418" s="73">
        <f t="shared" si="2863"/>
        <v>0</v>
      </c>
      <c r="CW418" s="73">
        <f t="shared" si="2863"/>
        <v>0</v>
      </c>
      <c r="CX418" s="73">
        <f t="shared" ref="CX418:DB418" si="2865">IF(CX416&gt;CX417,"RF",0)</f>
        <v>0</v>
      </c>
      <c r="CY418" s="73" t="str">
        <f t="shared" si="2865"/>
        <v>RF</v>
      </c>
      <c r="CZ418" s="73">
        <f t="shared" si="2865"/>
        <v>0</v>
      </c>
      <c r="DA418" s="73">
        <f t="shared" si="2865"/>
        <v>0</v>
      </c>
      <c r="DB418" s="73">
        <f t="shared" si="2865"/>
        <v>0</v>
      </c>
      <c r="DE418" s="142"/>
      <c r="DF418" s="103">
        <v>0</v>
      </c>
    </row>
    <row r="419" spans="1:110" s="86" customFormat="1" x14ac:dyDescent="0.2">
      <c r="A419" s="86" t="s">
        <v>432</v>
      </c>
      <c r="B419" s="86">
        <f>B198/B164</f>
        <v>6.3004844462221252E-2</v>
      </c>
      <c r="C419" s="86">
        <f>C198/C164</f>
        <v>5.8384823588171014E-2</v>
      </c>
      <c r="D419" s="86">
        <f>D198/D164</f>
        <v>3.7099341263815387E-2</v>
      </c>
      <c r="F419" s="86">
        <f t="shared" ref="F419:AE419" si="2866">F198/F164</f>
        <v>1.4120500920710204E-2</v>
      </c>
      <c r="G419" s="86">
        <f t="shared" si="2866"/>
        <v>1.6202506944398998E-2</v>
      </c>
      <c r="H419" s="86">
        <f t="shared" si="2866"/>
        <v>1.4383072156771081E-2</v>
      </c>
      <c r="I419" s="86">
        <f t="shared" si="2866"/>
        <v>1.8996990555831664E-2</v>
      </c>
      <c r="J419" s="86">
        <f t="shared" si="2866"/>
        <v>2.848094384994795E-2</v>
      </c>
      <c r="K419" s="86">
        <f t="shared" si="2866"/>
        <v>3.0682822972273368E-2</v>
      </c>
      <c r="L419" s="86">
        <f t="shared" si="2866"/>
        <v>3.406599019405674E-2</v>
      </c>
      <c r="M419" s="86">
        <f t="shared" si="2866"/>
        <v>4.417820914013653E-2</v>
      </c>
      <c r="N419" s="86">
        <f t="shared" si="2866"/>
        <v>5.9302767685910203E-2</v>
      </c>
      <c r="O419" s="86">
        <f t="shared" si="2866"/>
        <v>7.3019328193678734E-2</v>
      </c>
      <c r="P419" s="86">
        <f t="shared" si="2866"/>
        <v>7.5166722975850156E-2</v>
      </c>
      <c r="Q419" s="86">
        <f t="shared" si="2866"/>
        <v>6.487382145526556E-2</v>
      </c>
      <c r="R419" s="86">
        <f t="shared" si="2866"/>
        <v>6.0887002208870021E-2</v>
      </c>
      <c r="S419" s="86">
        <f t="shared" si="2866"/>
        <v>6.2948922136355015E-2</v>
      </c>
      <c r="T419" s="86">
        <f t="shared" si="2866"/>
        <v>6.7855127362912757E-2</v>
      </c>
      <c r="U419" s="86">
        <f t="shared" si="2866"/>
        <v>7.4428699541210619E-2</v>
      </c>
      <c r="V419" s="86">
        <f t="shared" si="2866"/>
        <v>8.5308815631351398E-2</v>
      </c>
      <c r="W419" s="86">
        <f t="shared" si="2866"/>
        <v>5.7962935762771603E-2</v>
      </c>
      <c r="X419" s="86">
        <f t="shared" si="2866"/>
        <v>5.0360940042227388E-2</v>
      </c>
      <c r="Y419" s="86">
        <f t="shared" si="2866"/>
        <v>4.188244820259477E-2</v>
      </c>
      <c r="Z419" s="86">
        <f t="shared" si="2866"/>
        <v>3.7682056523866844E-2</v>
      </c>
      <c r="AA419" s="86">
        <f t="shared" ref="AA419" si="2867">AA198/AA164</f>
        <v>3.4959518580120308E-2</v>
      </c>
      <c r="AB419" s="87">
        <f t="shared" si="2866"/>
        <v>4.0719195328822568E-3</v>
      </c>
      <c r="AC419" s="87">
        <f t="shared" si="2866"/>
        <v>1.9241521210662225E-3</v>
      </c>
      <c r="AD419" s="87">
        <f t="shared" si="2866"/>
        <v>2.4055339164087523E-4</v>
      </c>
      <c r="AE419" s="87">
        <f t="shared" si="2866"/>
        <v>-9.0238194845161863E-4</v>
      </c>
      <c r="AL419" s="86">
        <f t="shared" ref="AL419:BQ419" si="2868">AL198/AL164</f>
        <v>1.4418552451132018E-2</v>
      </c>
      <c r="AM419" s="86">
        <f t="shared" si="2868"/>
        <v>4.0802408327190808E-2</v>
      </c>
      <c r="AN419" s="86">
        <f t="shared" si="2868"/>
        <v>4.0058777173828622E-2</v>
      </c>
      <c r="AO419" s="86">
        <f t="shared" si="2868"/>
        <v>4.0323249974690514E-2</v>
      </c>
      <c r="AP419" s="86">
        <f t="shared" si="2868"/>
        <v>2.8923522403233225E-2</v>
      </c>
      <c r="AQ419" s="86">
        <f t="shared" si="2868"/>
        <v>4.0496106324634004E-2</v>
      </c>
      <c r="AR419" s="86">
        <f t="shared" si="2868"/>
        <v>3.2371060269306445E-2</v>
      </c>
      <c r="AS419" s="86">
        <f t="shared" si="2868"/>
        <v>3.8208612156684231E-2</v>
      </c>
      <c r="AT419" s="86">
        <f t="shared" si="2868"/>
        <v>1.6573821623634691E-2</v>
      </c>
      <c r="AU419" s="86">
        <f t="shared" si="2868"/>
        <v>7.8827867184351336E-2</v>
      </c>
      <c r="AV419" s="86">
        <f t="shared" si="2868"/>
        <v>8.7090697420976429E-2</v>
      </c>
      <c r="AW419" s="86">
        <f t="shared" si="2868"/>
        <v>6.2349415131940013E-2</v>
      </c>
      <c r="AX419" s="86">
        <f t="shared" si="2868"/>
        <v>5.4166460079250481E-2</v>
      </c>
      <c r="AY419" s="86">
        <f t="shared" si="2868"/>
        <v>7.5850560945057571E-2</v>
      </c>
      <c r="AZ419" s="86">
        <f t="shared" si="2868"/>
        <v>6.7725724105546073E-2</v>
      </c>
      <c r="BA419" s="86">
        <f t="shared" si="2868"/>
        <v>6.5097651041561649E-2</v>
      </c>
      <c r="BB419" s="86">
        <f t="shared" si="2868"/>
        <v>4.4425720762930589E-2</v>
      </c>
      <c r="BC419" s="86">
        <f t="shared" si="2868"/>
        <v>7.3301183545166501E-2</v>
      </c>
      <c r="BD419" s="86">
        <f t="shared" si="2868"/>
        <v>7.2347992721981821E-2</v>
      </c>
      <c r="BE419" s="86">
        <f t="shared" si="2868"/>
        <v>6.5723394596738149E-2</v>
      </c>
      <c r="BF419" s="86">
        <f t="shared" si="2868"/>
        <v>4.90932467347295E-2</v>
      </c>
      <c r="BG419" s="86">
        <f t="shared" si="2868"/>
        <v>7.475531174677659E-2</v>
      </c>
      <c r="BH419" s="86">
        <f t="shared" si="2868"/>
        <v>7.1255972903172385E-2</v>
      </c>
      <c r="BI419" s="86">
        <f t="shared" si="2868"/>
        <v>7.3325142636142593E-2</v>
      </c>
      <c r="BJ419" s="86">
        <f t="shared" si="2868"/>
        <v>5.711399104920168E-2</v>
      </c>
      <c r="BK419" s="86">
        <f t="shared" si="2868"/>
        <v>8.9933678522200231E-2</v>
      </c>
      <c r="BL419" s="86">
        <f t="shared" si="2868"/>
        <v>7.6685504175812977E-2</v>
      </c>
      <c r="BM419" s="86">
        <f t="shared" si="2868"/>
        <v>7.4708051391343025E-2</v>
      </c>
      <c r="BN419" s="86">
        <f t="shared" si="2868"/>
        <v>6.2299752651582267E-2</v>
      </c>
      <c r="BO419" s="86">
        <f t="shared" si="2868"/>
        <v>0.14862626805211859</v>
      </c>
      <c r="BP419" s="86">
        <f t="shared" si="2868"/>
        <v>9.7542947032905697E-2</v>
      </c>
      <c r="BQ419" s="86">
        <f t="shared" si="2868"/>
        <v>7.7195965212232029E-2</v>
      </c>
      <c r="BR419" s="86">
        <f t="shared" ref="BR419:DB419" si="2869">BR198/BR164</f>
        <v>5.5514380956540002E-2</v>
      </c>
      <c r="BS419" s="86">
        <f t="shared" si="2869"/>
        <v>8.1584183662164272E-2</v>
      </c>
      <c r="BT419" s="86">
        <f t="shared" si="2869"/>
        <v>6.5302002421425878E-2</v>
      </c>
      <c r="BU419" s="86">
        <f t="shared" si="2869"/>
        <v>5.7309217823153603E-2</v>
      </c>
      <c r="BV419" s="86">
        <f t="shared" si="2869"/>
        <v>4.0622569212462205E-2</v>
      </c>
      <c r="BW419" s="86">
        <f t="shared" si="2869"/>
        <v>6.1708857228922387E-2</v>
      </c>
      <c r="BX419" s="86">
        <f t="shared" si="2869"/>
        <v>5.3878142611033325E-2</v>
      </c>
      <c r="BY419" s="86">
        <f t="shared" si="2869"/>
        <v>5.1366552762120571E-2</v>
      </c>
      <c r="BZ419" s="86">
        <f t="shared" si="2869"/>
        <v>4.0015153813781228E-2</v>
      </c>
      <c r="CA419" s="86">
        <f t="shared" si="2869"/>
        <v>4.8015167169043631E-2</v>
      </c>
      <c r="CB419" s="86">
        <f t="shared" si="2869"/>
        <v>4.4537633633087458E-2</v>
      </c>
      <c r="CC419" s="86">
        <f t="shared" si="2869"/>
        <v>4.2516101670626555E-2</v>
      </c>
      <c r="CD419" s="86">
        <f t="shared" si="2869"/>
        <v>3.4964164470737948E-2</v>
      </c>
      <c r="CE419" s="86">
        <f t="shared" si="2869"/>
        <v>4.1580143041105723E-2</v>
      </c>
      <c r="CF419" s="86">
        <f t="shared" si="2869"/>
        <v>3.9629707488865976E-2</v>
      </c>
      <c r="CG419" s="86">
        <f t="shared" si="2869"/>
        <v>3.8442637121608322E-2</v>
      </c>
      <c r="CH419" s="86">
        <f t="shared" si="2869"/>
        <v>3.2521250860976438E-2</v>
      </c>
      <c r="CI419" s="86">
        <f t="shared" si="2869"/>
        <v>3.9070386243987808E-2</v>
      </c>
      <c r="CJ419" s="86">
        <f t="shared" si="2869"/>
        <v>3.6327033915420394E-2</v>
      </c>
      <c r="CK419" s="86">
        <f t="shared" si="2869"/>
        <v>3.3569490144815167E-2</v>
      </c>
      <c r="CL419" s="86">
        <f t="shared" ref="CL419" si="2870">CL198/CL164</f>
        <v>3.0062410164258643E-2</v>
      </c>
      <c r="CM419" s="87">
        <f t="shared" si="2869"/>
        <v>7.382962590957283E-3</v>
      </c>
      <c r="CN419" s="87">
        <f t="shared" si="2869"/>
        <v>3.6671093231014289E-3</v>
      </c>
      <c r="CO419" s="87">
        <f t="shared" si="2869"/>
        <v>3.2948879421633472E-3</v>
      </c>
      <c r="CP419" s="87">
        <f t="shared" si="2869"/>
        <v>2.5545722083834548E-3</v>
      </c>
      <c r="CQ419" s="87">
        <f t="shared" si="2869"/>
        <v>5.1090441247982942E-3</v>
      </c>
      <c r="CR419" s="87">
        <f t="shared" si="2869"/>
        <v>1.1569763278373351E-3</v>
      </c>
      <c r="CS419" s="87">
        <f t="shared" si="2869"/>
        <v>1.0923310426546062E-3</v>
      </c>
      <c r="CT419" s="87">
        <f t="shared" si="2869"/>
        <v>8.4872497748615682E-4</v>
      </c>
      <c r="CU419" s="87">
        <f t="shared" si="2869"/>
        <v>2.7696297515165821E-3</v>
      </c>
      <c r="CV419" s="87">
        <f t="shared" si="2869"/>
        <v>-7.0586571095010518E-4</v>
      </c>
      <c r="CW419" s="87">
        <f t="shared" si="2869"/>
        <v>-4.7040139161666765E-4</v>
      </c>
      <c r="CX419" s="87">
        <f t="shared" si="2869"/>
        <v>-2.9767760411452684E-4</v>
      </c>
      <c r="CY419" s="87">
        <f t="shared" si="2869"/>
        <v>1.5433991702549334E-3</v>
      </c>
      <c r="CZ419" s="87">
        <f t="shared" si="2869"/>
        <v>-1.8989981551146972E-3</v>
      </c>
      <c r="DA419" s="87">
        <f t="shared" si="2869"/>
        <v>-1.6305093147563157E-3</v>
      </c>
      <c r="DB419" s="87">
        <f t="shared" si="2869"/>
        <v>-1.3224798460427284E-3</v>
      </c>
      <c r="DE419" s="141"/>
      <c r="DF419" s="86">
        <v>3.4959518580120308E-2</v>
      </c>
    </row>
    <row r="420" spans="1:110" s="86" customFormat="1" x14ac:dyDescent="0.2">
      <c r="A420" s="86" t="s">
        <v>433</v>
      </c>
      <c r="B420" s="86">
        <f>B194/B164</f>
        <v>4.0014414543354165E-2</v>
      </c>
      <c r="C420" s="86">
        <f>C194/C164</f>
        <v>5.104678070494939E-2</v>
      </c>
      <c r="D420" s="86">
        <f>D194/D164</f>
        <v>4.0747683603175031E-2</v>
      </c>
      <c r="F420" s="86">
        <f t="shared" ref="F420:AE420" si="2871">F194/F164</f>
        <v>1.4418797436960229E-2</v>
      </c>
      <c r="G420" s="86">
        <f t="shared" si="2871"/>
        <v>1.4487899284350608E-2</v>
      </c>
      <c r="H420" s="86">
        <f t="shared" si="2871"/>
        <v>1.6518403703157304E-2</v>
      </c>
      <c r="I420" s="86">
        <f t="shared" si="2871"/>
        <v>1.7094206266646012E-2</v>
      </c>
      <c r="J420" s="86">
        <f t="shared" si="2871"/>
        <v>1.7793443895755712E-2</v>
      </c>
      <c r="K420" s="86">
        <f t="shared" si="2871"/>
        <v>2.2101327767755065E-2</v>
      </c>
      <c r="L420" s="86">
        <f t="shared" si="2871"/>
        <v>2.5135781782504439E-2</v>
      </c>
      <c r="M420" s="86">
        <f t="shared" si="2871"/>
        <v>2.4327094424760561E-2</v>
      </c>
      <c r="N420" s="86">
        <f t="shared" si="2871"/>
        <v>2.1770905658876863E-2</v>
      </c>
      <c r="O420" s="86">
        <f t="shared" si="2871"/>
        <v>1.6833579697712306E-2</v>
      </c>
      <c r="P420" s="86">
        <f t="shared" si="2871"/>
        <v>2.8276229640564858E-2</v>
      </c>
      <c r="Q420" s="86">
        <f t="shared" si="2871"/>
        <v>1.7521196791302682E-2</v>
      </c>
      <c r="R420" s="86">
        <f t="shared" si="2871"/>
        <v>2.1542663915426637E-2</v>
      </c>
      <c r="S420" s="86">
        <f t="shared" si="2871"/>
        <v>1.6091241518378201E-2</v>
      </c>
      <c r="T420" s="86">
        <f t="shared" si="2871"/>
        <v>1.4221460403612505E-2</v>
      </c>
      <c r="U420" s="86">
        <f t="shared" si="2871"/>
        <v>1.6928360598617995E-2</v>
      </c>
      <c r="V420" s="86">
        <f t="shared" si="2871"/>
        <v>2.1357778475107524E-2</v>
      </c>
      <c r="W420" s="86">
        <f t="shared" si="2871"/>
        <v>1.8834186263422537E-2</v>
      </c>
      <c r="X420" s="86">
        <f t="shared" si="2871"/>
        <v>1.9102414248445651E-2</v>
      </c>
      <c r="Y420" s="86">
        <f t="shared" si="2871"/>
        <v>1.6653618280361829E-2</v>
      </c>
      <c r="Z420" s="86">
        <f t="shared" si="2871"/>
        <v>1.6115075618478466E-2</v>
      </c>
      <c r="AA420" s="86">
        <f t="shared" ref="AA420" si="2872">AA194/AA164</f>
        <v>1.5268070910591633E-2</v>
      </c>
      <c r="AB420" s="87">
        <f t="shared" si="2871"/>
        <v>6.6790659286119587E-3</v>
      </c>
      <c r="AC420" s="87">
        <f t="shared" si="2871"/>
        <v>6.2212114361844149E-3</v>
      </c>
      <c r="AD420" s="87">
        <f t="shared" si="2871"/>
        <v>5.7230215016907541E-3</v>
      </c>
      <c r="AE420" s="87">
        <f t="shared" si="2871"/>
        <v>5.2146907439801667E-3</v>
      </c>
      <c r="AL420" s="86">
        <f t="shared" ref="AL420:BQ420" si="2873">AL194/AL164</f>
        <v>1.077682367014215E-2</v>
      </c>
      <c r="AM420" s="86">
        <f t="shared" si="2873"/>
        <v>3.1956031036375197E-2</v>
      </c>
      <c r="AN420" s="86">
        <f t="shared" si="2873"/>
        <v>3.0408074716184744E-2</v>
      </c>
      <c r="AO420" s="86">
        <f t="shared" si="2873"/>
        <v>2.6804794117620229E-2</v>
      </c>
      <c r="AP420" s="86">
        <f t="shared" si="2873"/>
        <v>-1.0503053550624888E-2</v>
      </c>
      <c r="AQ420" s="86">
        <f t="shared" si="2873"/>
        <v>4.2217041810731611E-2</v>
      </c>
      <c r="AR420" s="86">
        <f t="shared" si="2873"/>
        <v>2.5716923045188973E-2</v>
      </c>
      <c r="AS420" s="86">
        <f t="shared" si="2873"/>
        <v>2.8256272537151718E-2</v>
      </c>
      <c r="AT420" s="86">
        <f t="shared" si="2873"/>
        <v>2.0795969260162174E-2</v>
      </c>
      <c r="AU420" s="86">
        <f t="shared" si="2873"/>
        <v>2.3235456079935192E-2</v>
      </c>
      <c r="AV420" s="86">
        <f t="shared" si="2873"/>
        <v>2.2857718647885179E-2</v>
      </c>
      <c r="AW420" s="86">
        <f t="shared" si="2873"/>
        <v>1.4191954896758611E-2</v>
      </c>
      <c r="AX420" s="86">
        <f t="shared" si="2873"/>
        <v>1.2908088726228124E-2</v>
      </c>
      <c r="AY420" s="86">
        <f t="shared" si="2873"/>
        <v>2.1248251332644533E-2</v>
      </c>
      <c r="AZ420" s="86">
        <f t="shared" si="2873"/>
        <v>1.8389633226428479E-2</v>
      </c>
      <c r="BA420" s="86">
        <f t="shared" si="2873"/>
        <v>2.7477111283651174E-2</v>
      </c>
      <c r="BB420" s="86">
        <f t="shared" si="2873"/>
        <v>1.9623661242440874E-2</v>
      </c>
      <c r="BC420" s="86">
        <f t="shared" si="2873"/>
        <v>2.2979359135698978E-2</v>
      </c>
      <c r="BD420" s="86">
        <f t="shared" si="2873"/>
        <v>1.6281389478333075E-2</v>
      </c>
      <c r="BE420" s="86">
        <f t="shared" si="2873"/>
        <v>1.5809750082181204E-2</v>
      </c>
      <c r="BF420" s="86">
        <f t="shared" si="2873"/>
        <v>1.2104547655863966E-2</v>
      </c>
      <c r="BG420" s="86">
        <f t="shared" si="2873"/>
        <v>2.2393080926073432E-2</v>
      </c>
      <c r="BH420" s="86">
        <f t="shared" si="2873"/>
        <v>1.5568093622394846E-2</v>
      </c>
      <c r="BI420" s="86">
        <f t="shared" si="2873"/>
        <v>1.1838536938174842E-2</v>
      </c>
      <c r="BJ420" s="86">
        <f t="shared" si="2873"/>
        <v>1.0055330528318793E-2</v>
      </c>
      <c r="BK420" s="86">
        <f t="shared" si="2873"/>
        <v>1.5570953520977055E-2</v>
      </c>
      <c r="BL420" s="86">
        <f t="shared" si="2873"/>
        <v>1.7822746256911923E-2</v>
      </c>
      <c r="BM420" s="86">
        <f t="shared" si="2873"/>
        <v>1.8216919940799079E-2</v>
      </c>
      <c r="BN420" s="86">
        <f t="shared" si="2873"/>
        <v>1.6068154614458312E-2</v>
      </c>
      <c r="BO420" s="86">
        <f t="shared" si="2873"/>
        <v>3.1619517807409889E-2</v>
      </c>
      <c r="BP420" s="86">
        <f t="shared" si="2873"/>
        <v>2.2978120648022182E-2</v>
      </c>
      <c r="BQ420" s="86">
        <f t="shared" si="2873"/>
        <v>1.9723893582556898E-2</v>
      </c>
      <c r="BR420" s="86">
        <f t="shared" ref="BR420:DB420" si="2874">BR194/BR164</f>
        <v>1.6984730046435796E-2</v>
      </c>
      <c r="BS420" s="86">
        <f t="shared" si="2874"/>
        <v>2.4454971973493535E-2</v>
      </c>
      <c r="BT420" s="86">
        <f t="shared" si="2874"/>
        <v>2.0957412237690844E-2</v>
      </c>
      <c r="BU420" s="86">
        <f t="shared" si="2874"/>
        <v>1.8513800295832564E-2</v>
      </c>
      <c r="BV420" s="86">
        <f t="shared" si="2874"/>
        <v>1.45572421314621E-2</v>
      </c>
      <c r="BW420" s="86">
        <f t="shared" si="2874"/>
        <v>2.6870683788336885E-2</v>
      </c>
      <c r="BX420" s="86">
        <f t="shared" si="2874"/>
        <v>2.0115002334983763E-2</v>
      </c>
      <c r="BY420" s="86">
        <f t="shared" si="2874"/>
        <v>1.7787992684586154E-2</v>
      </c>
      <c r="BZ420" s="86">
        <f t="shared" si="2874"/>
        <v>1.4630972921129028E-2</v>
      </c>
      <c r="CA420" s="86">
        <f t="shared" si="2874"/>
        <v>1.7343961879915302E-2</v>
      </c>
      <c r="CB420" s="86">
        <f t="shared" si="2874"/>
        <v>1.7832574606009247E-2</v>
      </c>
      <c r="CC420" s="86">
        <f t="shared" si="2874"/>
        <v>1.6702093425787559E-2</v>
      </c>
      <c r="CD420" s="86">
        <f t="shared" si="2874"/>
        <v>1.5223913171815548E-2</v>
      </c>
      <c r="CE420" s="86">
        <f t="shared" si="2874"/>
        <v>1.8104558396598538E-2</v>
      </c>
      <c r="CF420" s="86">
        <f t="shared" si="2874"/>
        <v>1.6633043390110045E-2</v>
      </c>
      <c r="CG420" s="86">
        <f t="shared" si="2874"/>
        <v>1.6190442906807687E-2</v>
      </c>
      <c r="CH420" s="86">
        <f t="shared" si="2874"/>
        <v>1.4146898038344841E-2</v>
      </c>
      <c r="CI420" s="86">
        <f t="shared" si="2874"/>
        <v>1.6226719925526375E-2</v>
      </c>
      <c r="CJ420" s="86">
        <f t="shared" si="2874"/>
        <v>1.6059330840866897E-2</v>
      </c>
      <c r="CK420" s="86">
        <f t="shared" si="2874"/>
        <v>1.4999923022769866E-2</v>
      </c>
      <c r="CL420" s="86">
        <f t="shared" ref="CL420" si="2875">CL194/CL164</f>
        <v>1.4112125638093545E-2</v>
      </c>
      <c r="CM420" s="87">
        <f t="shared" si="2874"/>
        <v>7.3144610898099099E-3</v>
      </c>
      <c r="CN420" s="87">
        <f t="shared" si="2874"/>
        <v>7.0097141122178333E-3</v>
      </c>
      <c r="CO420" s="87">
        <f t="shared" si="2874"/>
        <v>6.7458217469600701E-3</v>
      </c>
      <c r="CP420" s="87">
        <f t="shared" si="2874"/>
        <v>5.8739333623141453E-3</v>
      </c>
      <c r="CQ420" s="87">
        <f t="shared" si="2874"/>
        <v>6.8644869352819599E-3</v>
      </c>
      <c r="CR420" s="87">
        <f t="shared" si="2874"/>
        <v>6.5468369737226974E-3</v>
      </c>
      <c r="CS420" s="87">
        <f t="shared" si="2874"/>
        <v>6.2659533325118482E-3</v>
      </c>
      <c r="CT420" s="87">
        <f t="shared" si="2874"/>
        <v>5.435561456620816E-3</v>
      </c>
      <c r="CU420" s="87">
        <f t="shared" si="2874"/>
        <v>6.3443886646311776E-3</v>
      </c>
      <c r="CV420" s="87">
        <f t="shared" si="2874"/>
        <v>6.0306864356003773E-3</v>
      </c>
      <c r="CW420" s="87">
        <f t="shared" si="2874"/>
        <v>5.7546628547934901E-3</v>
      </c>
      <c r="CX420" s="87">
        <f t="shared" si="2874"/>
        <v>4.9799809327804407E-3</v>
      </c>
      <c r="CY420" s="87">
        <f t="shared" si="2874"/>
        <v>5.800377134251679E-3</v>
      </c>
      <c r="CZ420" s="87">
        <f t="shared" si="2874"/>
        <v>5.5005705171630725E-3</v>
      </c>
      <c r="DA420" s="87">
        <f t="shared" si="2874"/>
        <v>5.2375611026740055E-3</v>
      </c>
      <c r="DB420" s="87">
        <f t="shared" si="2874"/>
        <v>4.5236332081467307E-3</v>
      </c>
      <c r="DE420" s="141"/>
      <c r="DF420" s="86">
        <v>1.5268070910591633E-2</v>
      </c>
    </row>
    <row r="421" spans="1:110" s="85" customFormat="1" x14ac:dyDescent="0.2">
      <c r="AB421" s="58"/>
      <c r="AC421" s="58"/>
      <c r="AD421" s="58"/>
      <c r="AE421" s="58"/>
      <c r="CM421" s="72"/>
      <c r="CN421" s="72"/>
      <c r="CO421" s="72"/>
      <c r="CP421" s="72"/>
      <c r="CQ421" s="72"/>
      <c r="CR421" s="72"/>
      <c r="CS421" s="72"/>
      <c r="CT421" s="72"/>
      <c r="CU421" s="72"/>
      <c r="CV421" s="72"/>
      <c r="CW421" s="72"/>
      <c r="CX421" s="72"/>
      <c r="CY421" s="72"/>
      <c r="CZ421" s="72"/>
      <c r="DA421" s="72"/>
      <c r="DB421" s="72"/>
      <c r="DE421" s="143"/>
    </row>
  </sheetData>
  <sortState xmlns:xlrd2="http://schemas.microsoft.com/office/spreadsheetml/2017/richdata2" ref="A176:DE187">
    <sortCondition descending="1" ref="Z176:Z187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U49" activePane="bottomRight" state="frozen"/>
      <selection activeCell="A2" sqref="A2"/>
      <selection pane="topRight" activeCell="A2" sqref="A2"/>
      <selection pane="bottomLeft" activeCell="A2" sqref="A2"/>
      <selection pane="bottomRight" activeCell="BF68" sqref="BF68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100510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Larsen &amp; Toubro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12078.33</v>
      </c>
      <c r="D6">
        <f>_xll.EQNXTDZ($A$1,$B6,D$1,$B$1)</f>
        <v>13327.53</v>
      </c>
      <c r="E6">
        <f>_xll.EQNXTDZ($A$1,$B6,E$1,$B$1)</f>
        <v>13016.04</v>
      </c>
      <c r="F6">
        <f>_xll.EQNXTDZ($A$1,$B6,F$1,$B$1)</f>
        <v>18266.05</v>
      </c>
      <c r="G6">
        <f>_xll.EQNXTDZ($A$1,$B6,G$1,$B$1)</f>
        <v>17419.560000000001</v>
      </c>
      <c r="H6">
        <f>_xll.EQNXTDZ($A$1,$B6,H$1,$B$1)</f>
        <v>19313.62</v>
      </c>
      <c r="I6">
        <f>_xll.EQNXTDZ($A$1,$B6,I$1,$B$1)</f>
        <v>21928.54</v>
      </c>
      <c r="J6">
        <f>_xll.EQNXTDZ($A$1,$B6,J$1,$B$1)</f>
        <v>27227.32</v>
      </c>
      <c r="K6">
        <f>_xll.EQNXTDZ($A$1,$B6,K$1,$B$1)</f>
        <v>19123.32</v>
      </c>
      <c r="L6">
        <f>_xll.EQNXTDZ($A$1,$B6,L$1,$B$1)</f>
        <v>21331.09</v>
      </c>
      <c r="M6">
        <f>_xll.EQNXTDZ($A$1,$B6,M$1,$B$1)</f>
        <v>23773.42</v>
      </c>
      <c r="N6">
        <f>_xll.EQNXTDZ($A$1,$B6,N$1,$B$1)</f>
        <v>27939.21</v>
      </c>
      <c r="O6">
        <f>_xll.EQNXTDZ($A$1,$B6,O$1,$B$1)</f>
        <v>19865.740000000002</v>
      </c>
      <c r="P6">
        <f>_xll.EQNXTDZ($A$1,$B6,P$1,$B$1)</f>
        <v>22976.5</v>
      </c>
      <c r="Q6">
        <f>_xll.EQNXTDZ($A$1,$B6,Q$1,$B$1)</f>
        <v>25591</v>
      </c>
      <c r="R6">
        <f>_xll.EQNXTDZ($A$1,$B6,R$1,$B$1)</f>
        <v>32875.51</v>
      </c>
      <c r="S6">
        <f>_xll.EQNXTDZ($A$1,$B6,S$1,$B$1)</f>
        <v>21873.8</v>
      </c>
      <c r="T6">
        <f>_xll.EQNXTDZ($A$1,$B6,T$1,$B$1)</f>
        <v>25022.25</v>
      </c>
      <c r="U6">
        <f>_xll.EQNXTDZ($A$1,$B6,U$1,$B$1)</f>
        <v>26286.97</v>
      </c>
      <c r="V6">
        <f>_xll.EQNXTDZ($A$1,$B6,V$1,$B$1)</f>
        <v>36827.99</v>
      </c>
      <c r="W6">
        <f>_xll.EQNXTDZ($A$1,$B6,W$1,$B$1)</f>
        <v>23989.79</v>
      </c>
      <c r="X6">
        <f>_xll.EQNXTDZ($A$1,$B6,X$1,$B$1)</f>
        <v>26446.76</v>
      </c>
      <c r="Y6">
        <f>_xll.EQNXTDZ($A$1,$B6,Y$1,$B$1)</f>
        <v>28747.45</v>
      </c>
      <c r="Z6">
        <f>_xll.EQNXTDZ($A$1,$B6,Z$1,$B$1)</f>
        <v>40678.1</v>
      </c>
      <c r="AA6">
        <f>_xll.EQNXTDZ($A$1,$B6,AA$1,$B$1)</f>
        <v>27004.77</v>
      </c>
      <c r="AB6">
        <f>_xll.EQNXTDZ($A$1,$B6,AB$1,$B$1)</f>
        <v>30678.13</v>
      </c>
      <c r="AC6">
        <f>_xll.EQNXTDZ($A$1,$B6,AC$1,$B$1)</f>
        <v>34233.96</v>
      </c>
      <c r="AD6">
        <f>_xll.EQNXTDZ($A$1,$B6,AD$1,$B$1)</f>
        <v>43303.4</v>
      </c>
      <c r="AE6">
        <f>_xll.EQNXTDZ($A$1,$B6,AE$1,$B$1)</f>
        <v>29635.95</v>
      </c>
      <c r="AF6">
        <f>_xll.EQNXTDZ($A$1,$B6,AF$1,$B$1)</f>
        <v>35328.449999999997</v>
      </c>
      <c r="AG6">
        <f>_xll.EQNXTDZ($A$1,$B6,AG$1,$B$1)</f>
        <v>36242.68</v>
      </c>
      <c r="AH6">
        <f>_xll.EQNXTDZ($A$1,$B6,AH$1,$B$1)</f>
        <v>44245.279999999999</v>
      </c>
      <c r="AI6">
        <f>_xll.EQNXTDZ($A$1,$B6,AI$1,$B$1)</f>
        <v>21259.97</v>
      </c>
      <c r="AJ6">
        <f>_xll.EQNXTDZ($A$1,$B6,AJ$1,$B$1)</f>
        <v>31034.74</v>
      </c>
      <c r="AK6">
        <f>_xll.EQNXTDZ($A$1,$B6,AK$1,$B$1)</f>
        <v>35596.42</v>
      </c>
      <c r="AL6">
        <f>_xll.EQNXTDZ($A$1,$B6,AL$1,$B$1)</f>
        <v>48087.9</v>
      </c>
      <c r="AM6">
        <f>_xll.EQNXTDZ($A$1,$B6,AM$1,$B$1)</f>
        <v>29334.73</v>
      </c>
      <c r="AN6">
        <f>_xll.EQNXTDZ($A$1,$B6,AN$1,$B$1)</f>
        <v>34772.9</v>
      </c>
      <c r="AO6">
        <f>_xll.EQNXTDZ($A$1,$B6,AO$1,$B$1)</f>
        <v>39562.92</v>
      </c>
      <c r="AP6">
        <f>_xll.EQNXTDZ($A$1,$B6,AP$1,$B$1)</f>
        <v>52850.67</v>
      </c>
      <c r="AQ6">
        <f>_xll.EQNXTDZ($A$1,$B6,AQ$1,$B$1)</f>
        <v>35853.199999999997</v>
      </c>
      <c r="AR6">
        <f>_xll.EQNXTDZ($A$1,$B6,AR$1,$B$1)</f>
        <v>42762.61</v>
      </c>
      <c r="AS6">
        <f>_xll.EQNXTDZ($A$1,$B6,AS$1,$B$1)</f>
        <v>46389.72</v>
      </c>
      <c r="AT6">
        <f>_xll.EQNXTDZ($A$1,$B6,AT$1,$B$1)</f>
        <v>58335.15</v>
      </c>
      <c r="AU6">
        <f>_xll.EQNXTDZ($A$1,$B6,AU$1,$B$1)</f>
        <v>47882.37</v>
      </c>
      <c r="AV6">
        <f>_xll.EQNXTDZ($A$1,$B6,AV$1,$B$1)</f>
        <v>51024.04</v>
      </c>
      <c r="AW6">
        <f>_xll.EQNXTDZ($A$1,$B6,AW$1,$B$1)</f>
        <v>55127.82</v>
      </c>
      <c r="AX6">
        <f>_xll.EQNXTDZ($A$1,$B6,AX$1,$B$1)</f>
        <v>67078.679999999993</v>
      </c>
      <c r="AY6">
        <f>_xll.EQNXTDZ($A$1,$B6,AY$1,$B$1)</f>
        <v>55119.82</v>
      </c>
      <c r="AZ6">
        <f>_xll.EQNXTDZ($A$1,$B6,AZ$1,$B$1)</f>
        <v>61554.58</v>
      </c>
      <c r="BA6">
        <f>_xll.EQNXTDZ($A$1,$B6,BA$1,$B$1)</f>
        <v>64667.78</v>
      </c>
      <c r="BB6">
        <f>_xll.EQNXTDZ($A$1,$B6,BB$1,$B$1)</f>
        <v>74392.28</v>
      </c>
      <c r="BC6">
        <f>_xll.EQNXTDZ($A$1,$B6,BC$1,$B$1)</f>
        <v>63678.92</v>
      </c>
      <c r="BD6">
        <f>_xll.EQNXTDZ($A$1,$B6,BD$1,$B$1)</f>
        <v>67983.53</v>
      </c>
      <c r="BE6">
        <f>_xll.EQNXTDZ($A$1,$B6,BE$1,$B$1)</f>
        <v>71449.7</v>
      </c>
      <c r="BF6">
        <f>_xll.EQNXTDZ($A$1,$B6,BF$1,$B$1)</f>
        <v>82762.16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122.98</v>
      </c>
      <c r="D7">
        <f>_xll.EQNXTDZ($A$1,$B7,D$1,$B$1)</f>
        <v>132.30000000000001</v>
      </c>
      <c r="E7">
        <f>_xll.EQNXTDZ($A$1,$B7,E$1,$B$1)</f>
        <v>146.69999999999999</v>
      </c>
      <c r="F7">
        <f>_xll.EQNXTDZ($A$1,$B7,F$1,$B$1)</f>
        <v>190.45</v>
      </c>
      <c r="G7">
        <f>_xll.EQNXTDZ($A$1,$B7,G$1,$B$1)</f>
        <v>178.42</v>
      </c>
      <c r="H7">
        <f>_xll.EQNXTDZ($A$1,$B7,H$1,$B$1)</f>
        <v>182.85</v>
      </c>
      <c r="I7">
        <f>_xll.EQNXTDZ($A$1,$B7,I$1,$B$1)</f>
        <v>196.19</v>
      </c>
      <c r="J7">
        <f>_xll.EQNXTDZ($A$1,$B7,J$1,$B$1)</f>
        <v>203.18</v>
      </c>
      <c r="K7">
        <f>_xll.EQNXTDZ($A$1,$B7,K$1,$B$1)</f>
        <v>148.57</v>
      </c>
      <c r="L7">
        <f>_xll.EQNXTDZ($A$1,$B7,L$1,$B$1)</f>
        <v>171.74</v>
      </c>
      <c r="M7">
        <f>_xll.EQNXTDZ($A$1,$B7,M$1,$B$1)</f>
        <v>184.68</v>
      </c>
      <c r="N7">
        <f>_xll.EQNXTDZ($A$1,$B7,N$1,$B$1)</f>
        <v>252.09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259.12</v>
      </c>
      <c r="N8">
        <f>_xll.EQNXTDZ($A$1,$B8,N$1,$B$1)</f>
        <v>335.5</v>
      </c>
      <c r="O8">
        <f>_xll.EQNXTDZ($A$1,$B8,O$1,$B$1)</f>
        <v>182.5</v>
      </c>
      <c r="P8">
        <f>_xll.EQNXTDZ($A$1,$B8,P$1,$B$1)</f>
        <v>146.97999999999999</v>
      </c>
      <c r="Q8">
        <f>_xll.EQNXTDZ($A$1,$B8,Q$1,$B$1)</f>
        <v>337.07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11955.35</v>
      </c>
      <c r="D9">
        <f>_xll.EQNXTDZ($A$1,$B9,D$1,$B$1)</f>
        <v>13195.23</v>
      </c>
      <c r="E9">
        <f>_xll.EQNXTDZ($A$1,$B9,E$1,$B$1)</f>
        <v>12869.34</v>
      </c>
      <c r="F9">
        <f>_xll.EQNXTDZ($A$1,$B9,F$1,$B$1)</f>
        <v>18075.599999999999</v>
      </c>
      <c r="G9">
        <f>_xll.EQNXTDZ($A$1,$B9,G$1,$B$1)</f>
        <v>17241.14</v>
      </c>
      <c r="H9">
        <f>_xll.EQNXTDZ($A$1,$B9,H$1,$B$1)</f>
        <v>19130.77</v>
      </c>
      <c r="I9">
        <f>_xll.EQNXTDZ($A$1,$B9,I$1,$B$1)</f>
        <v>21732.35</v>
      </c>
      <c r="J9">
        <f>_xll.EQNXTDZ($A$1,$B9,J$1,$B$1)</f>
        <v>27024.14</v>
      </c>
      <c r="K9">
        <f>_xll.EQNXTDZ($A$1,$B9,K$1,$B$1)</f>
        <v>18974.75</v>
      </c>
      <c r="L9">
        <f>_xll.EQNXTDZ($A$1,$B9,L$1,$B$1)</f>
        <v>21159.35</v>
      </c>
      <c r="M9">
        <f>_xll.EQNXTDZ($A$1,$B9,M$1,$B$1)</f>
        <v>23847.86</v>
      </c>
      <c r="N9">
        <f>_xll.EQNXTDZ($A$1,$B9,N$1,$B$1)</f>
        <v>28022.62</v>
      </c>
      <c r="O9">
        <f>_xll.EQNXTDZ($A$1,$B9,O$1,$B$1)</f>
        <v>20048.240000000002</v>
      </c>
      <c r="P9">
        <f>_xll.EQNXTDZ($A$1,$B9,P$1,$B$1)</f>
        <v>23123.48</v>
      </c>
      <c r="Q9">
        <f>_xll.EQNXTDZ($A$1,$B9,Q$1,$B$1)</f>
        <v>25928.07</v>
      </c>
      <c r="R9">
        <f>_xll.EQNXTDZ($A$1,$B9,R$1,$B$1)</f>
        <v>32875.51</v>
      </c>
      <c r="S9">
        <f>_xll.EQNXTDZ($A$1,$B9,S$1,$B$1)</f>
        <v>21873.8</v>
      </c>
      <c r="T9">
        <f>_xll.EQNXTDZ($A$1,$B9,T$1,$B$1)</f>
        <v>25022.25</v>
      </c>
      <c r="U9">
        <f>_xll.EQNXTDZ($A$1,$B9,U$1,$B$1)</f>
        <v>26286.97</v>
      </c>
      <c r="V9">
        <f>_xll.EQNXTDZ($A$1,$B9,V$1,$B$1)</f>
        <v>36827.99</v>
      </c>
      <c r="W9">
        <f>_xll.EQNXTDZ($A$1,$B9,W$1,$B$1)</f>
        <v>23989.79</v>
      </c>
      <c r="X9">
        <f>_xll.EQNXTDZ($A$1,$B9,X$1,$B$1)</f>
        <v>26446.76</v>
      </c>
      <c r="Y9">
        <f>_xll.EQNXTDZ($A$1,$B9,Y$1,$B$1)</f>
        <v>28747.45</v>
      </c>
      <c r="Z9">
        <f>_xll.EQNXTDZ($A$1,$B9,Z$1,$B$1)</f>
        <v>40678.1</v>
      </c>
      <c r="AA9">
        <f>_xll.EQNXTDZ($A$1,$B9,AA$1,$B$1)</f>
        <v>27004.77</v>
      </c>
      <c r="AB9">
        <f>_xll.EQNXTDZ($A$1,$B9,AB$1,$B$1)</f>
        <v>30678.13</v>
      </c>
      <c r="AC9">
        <f>_xll.EQNXTDZ($A$1,$B9,AC$1,$B$1)</f>
        <v>34233.96</v>
      </c>
      <c r="AD9">
        <f>_xll.EQNXTDZ($A$1,$B9,AD$1,$B$1)</f>
        <v>43303.4</v>
      </c>
      <c r="AE9">
        <f>_xll.EQNXTDZ($A$1,$B9,AE$1,$B$1)</f>
        <v>29635.95</v>
      </c>
      <c r="AF9">
        <f>_xll.EQNXTDZ($A$1,$B9,AF$1,$B$1)</f>
        <v>35328.449999999997</v>
      </c>
      <c r="AG9">
        <f>_xll.EQNXTDZ($A$1,$B9,AG$1,$B$1)</f>
        <v>36242.68</v>
      </c>
      <c r="AH9">
        <f>_xll.EQNXTDZ($A$1,$B9,AH$1,$B$1)</f>
        <v>44245.279999999999</v>
      </c>
      <c r="AI9">
        <f>_xll.EQNXTDZ($A$1,$B9,AI$1,$B$1)</f>
        <v>21259.97</v>
      </c>
      <c r="AJ9">
        <f>_xll.EQNXTDZ($A$1,$B9,AJ$1,$B$1)</f>
        <v>31034.74</v>
      </c>
      <c r="AK9">
        <f>_xll.EQNXTDZ($A$1,$B9,AK$1,$B$1)</f>
        <v>35596.42</v>
      </c>
      <c r="AL9">
        <f>_xll.EQNXTDZ($A$1,$B9,AL$1,$B$1)</f>
        <v>48087.9</v>
      </c>
      <c r="AM9">
        <f>_xll.EQNXTDZ($A$1,$B9,AM$1,$B$1)</f>
        <v>29334.73</v>
      </c>
      <c r="AN9">
        <f>_xll.EQNXTDZ($A$1,$B9,AN$1,$B$1)</f>
        <v>34772.9</v>
      </c>
      <c r="AO9">
        <f>_xll.EQNXTDZ($A$1,$B9,AO$1,$B$1)</f>
        <v>39562.92</v>
      </c>
      <c r="AP9">
        <f>_xll.EQNXTDZ($A$1,$B9,AP$1,$B$1)</f>
        <v>52850.67</v>
      </c>
      <c r="AQ9">
        <f>_xll.EQNXTDZ($A$1,$B9,AQ$1,$B$1)</f>
        <v>35853.199999999997</v>
      </c>
      <c r="AR9">
        <f>_xll.EQNXTDZ($A$1,$B9,AR$1,$B$1)</f>
        <v>42762.61</v>
      </c>
      <c r="AS9">
        <f>_xll.EQNXTDZ($A$1,$B9,AS$1,$B$1)</f>
        <v>46389.72</v>
      </c>
      <c r="AT9">
        <f>_xll.EQNXTDZ($A$1,$B9,AT$1,$B$1)</f>
        <v>58335.15</v>
      </c>
      <c r="AU9">
        <f>_xll.EQNXTDZ($A$1,$B9,AU$1,$B$1)</f>
        <v>47882.37</v>
      </c>
      <c r="AV9">
        <f>_xll.EQNXTDZ($A$1,$B9,AV$1,$B$1)</f>
        <v>51024.04</v>
      </c>
      <c r="AW9">
        <f>_xll.EQNXTDZ($A$1,$B9,AW$1,$B$1)</f>
        <v>55127.82</v>
      </c>
      <c r="AX9">
        <f>_xll.EQNXTDZ($A$1,$B9,AX$1,$B$1)</f>
        <v>67078.679999999993</v>
      </c>
      <c r="AY9">
        <f>_xll.EQNXTDZ($A$1,$B9,AY$1,$B$1)</f>
        <v>55119.82</v>
      </c>
      <c r="AZ9">
        <f>_xll.EQNXTDZ($A$1,$B9,AZ$1,$B$1)</f>
        <v>61554.58</v>
      </c>
      <c r="BA9">
        <f>_xll.EQNXTDZ($A$1,$B9,BA$1,$B$1)</f>
        <v>64667.78</v>
      </c>
      <c r="BB9">
        <f>_xll.EQNXTDZ($A$1,$B9,BB$1,$B$1)</f>
        <v>74392.28</v>
      </c>
      <c r="BC9">
        <f>_xll.EQNXTDZ($A$1,$B9,BC$1,$B$1)</f>
        <v>63678.92</v>
      </c>
      <c r="BD9">
        <f>_xll.EQNXTDZ($A$1,$B9,BD$1,$B$1)</f>
        <v>67983.53</v>
      </c>
      <c r="BE9">
        <f>_xll.EQNXTDZ($A$1,$B9,BE$1,$B$1)</f>
        <v>71449.7</v>
      </c>
      <c r="BF9">
        <f>_xll.EQNXTDZ($A$1,$B9,BF$1,$B$1)</f>
        <v>82762.16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-511.51</v>
      </c>
      <c r="D10">
        <f>_xll.EQNXTDZ($A$1,$B10,D$1,$B$1)</f>
        <v>-881.21</v>
      </c>
      <c r="E10">
        <f>_xll.EQNXTDZ($A$1,$B10,E$1,$B$1)</f>
        <v>-542.87</v>
      </c>
      <c r="F10">
        <f>_xll.EQNXTDZ($A$1,$B10,F$1,$B$1)</f>
        <v>831.73</v>
      </c>
      <c r="G10">
        <f>_xll.EQNXTDZ($A$1,$B10,G$1,$B$1)</f>
        <v>-1875.53</v>
      </c>
      <c r="H10">
        <f>_xll.EQNXTDZ($A$1,$B10,H$1,$B$1)</f>
        <v>-339.64</v>
      </c>
      <c r="I10">
        <f>_xll.EQNXTDZ($A$1,$B10,I$1,$B$1)</f>
        <v>-69.38</v>
      </c>
      <c r="J10">
        <f>_xll.EQNXTDZ($A$1,$B10,J$1,$B$1)</f>
        <v>1735.38</v>
      </c>
      <c r="K10">
        <f>_xll.EQNXTDZ($A$1,$B10,K$1,$B$1)</f>
        <v>-872.29</v>
      </c>
      <c r="L10">
        <f>_xll.EQNXTDZ($A$1,$B10,L$1,$B$1)</f>
        <v>-699.94</v>
      </c>
      <c r="M10">
        <f>_xll.EQNXTDZ($A$1,$B10,M$1,$B$1)</f>
        <v>780.15</v>
      </c>
      <c r="N10">
        <f>_xll.EQNXTDZ($A$1,$B10,N$1,$B$1)</f>
        <v>10.9</v>
      </c>
      <c r="O10">
        <f>_xll.EQNXTDZ($A$1,$B10,O$1,$B$1)</f>
        <v>-1098.4100000000001</v>
      </c>
      <c r="P10">
        <f>_xll.EQNXTDZ($A$1,$B10,P$1,$B$1)</f>
        <v>490.12</v>
      </c>
      <c r="Q10">
        <f>_xll.EQNXTDZ($A$1,$B10,Q$1,$B$1)</f>
        <v>-372.68</v>
      </c>
      <c r="R10">
        <f>_xll.EQNXTDZ($A$1,$B10,R$1,$B$1)</f>
        <v>497.58</v>
      </c>
      <c r="S10">
        <f>_xll.EQNXTDZ($A$1,$B10,S$1,$B$1)</f>
        <v>-179.78</v>
      </c>
      <c r="T10">
        <f>_xll.EQNXTDZ($A$1,$B10,T$1,$B$1)</f>
        <v>24.85</v>
      </c>
      <c r="U10">
        <f>_xll.EQNXTDZ($A$1,$B10,U$1,$B$1)</f>
        <v>-859</v>
      </c>
      <c r="V10">
        <f>_xll.EQNXTDZ($A$1,$B10,V$1,$B$1)</f>
        <v>1366.88</v>
      </c>
      <c r="W10">
        <f>_xll.EQNXTDZ($A$1,$B10,W$1,$B$1)</f>
        <v>-375.41</v>
      </c>
      <c r="X10">
        <f>_xll.EQNXTDZ($A$1,$B10,X$1,$B$1)</f>
        <v>-290.18</v>
      </c>
      <c r="Y10">
        <f>_xll.EQNXTDZ($A$1,$B10,Y$1,$B$1)</f>
        <v>-372.45</v>
      </c>
      <c r="Z10">
        <f>_xll.EQNXTDZ($A$1,$B10,Z$1,$B$1)</f>
        <v>-196.79</v>
      </c>
      <c r="AA10">
        <f>_xll.EQNXTDZ($A$1,$B10,AA$1,$B$1)</f>
        <v>91.97</v>
      </c>
      <c r="AB10">
        <f>_xll.EQNXTDZ($A$1,$B10,AB$1,$B$1)</f>
        <v>-166.5</v>
      </c>
      <c r="AC10">
        <f>_xll.EQNXTDZ($A$1,$B10,AC$1,$B$1)</f>
        <v>-903.93</v>
      </c>
      <c r="AD10">
        <f>_xll.EQNXTDZ($A$1,$B10,AD$1,$B$1)</f>
        <v>247.32</v>
      </c>
      <c r="AE10">
        <f>_xll.EQNXTDZ($A$1,$B10,AE$1,$B$1)</f>
        <v>-215.92</v>
      </c>
      <c r="AF10">
        <f>_xll.EQNXTDZ($A$1,$B10,AF$1,$B$1)</f>
        <v>313.27999999999997</v>
      </c>
      <c r="AG10">
        <f>_xll.EQNXTDZ($A$1,$B10,AG$1,$B$1)</f>
        <v>-114</v>
      </c>
      <c r="AH10">
        <f>_xll.EQNXTDZ($A$1,$B10,AH$1,$B$1)</f>
        <v>664.33</v>
      </c>
      <c r="AI10">
        <f>_xll.EQNXTDZ($A$1,$B10,AI$1,$B$1)</f>
        <v>-192.63</v>
      </c>
      <c r="AJ10">
        <f>_xll.EQNXTDZ($A$1,$B10,AJ$1,$B$1)</f>
        <v>540.58000000000004</v>
      </c>
      <c r="AK10">
        <f>_xll.EQNXTDZ($A$1,$B10,AK$1,$B$1)</f>
        <v>297</v>
      </c>
      <c r="AL10">
        <f>_xll.EQNXTDZ($A$1,$B10,AL$1,$B$1)</f>
        <v>-301.57</v>
      </c>
      <c r="AM10">
        <f>_xll.EQNXTDZ($A$1,$B10,AM$1,$B$1)</f>
        <v>-459.16</v>
      </c>
      <c r="AN10">
        <f>_xll.EQNXTDZ($A$1,$B10,AN$1,$B$1)</f>
        <v>-521.71</v>
      </c>
      <c r="AO10">
        <f>_xll.EQNXTDZ($A$1,$B10,AO$1,$B$1)</f>
        <v>-1281.73</v>
      </c>
      <c r="AP10">
        <f>_xll.EQNXTDZ($A$1,$B10,AP$1,$B$1)</f>
        <v>185.99</v>
      </c>
      <c r="AQ10">
        <f>_xll.EQNXTDZ($A$1,$B10,AQ$1,$B$1)</f>
        <v>-1522.76</v>
      </c>
      <c r="AR10">
        <f>_xll.EQNXTDZ($A$1,$B10,AR$1,$B$1)</f>
        <v>-1005.34</v>
      </c>
      <c r="AS10">
        <f>_xll.EQNXTDZ($A$1,$B10,AS$1,$B$1)</f>
        <v>-694.92</v>
      </c>
      <c r="AT10">
        <f>_xll.EQNXTDZ($A$1,$B10,AT$1,$B$1)</f>
        <v>66.37</v>
      </c>
      <c r="AU10">
        <f>_xll.EQNXTDZ($A$1,$B10,AU$1,$B$1)</f>
        <v>-407.88</v>
      </c>
      <c r="AV10">
        <f>_xll.EQNXTDZ($A$1,$B10,AV$1,$B$1)</f>
        <v>373.75</v>
      </c>
      <c r="AW10">
        <f>_xll.EQNXTDZ($A$1,$B10,AW$1,$B$1)</f>
        <v>-2.08</v>
      </c>
      <c r="AX10">
        <f>_xll.EQNXTDZ($A$1,$B10,AX$1,$B$1)</f>
        <v>1057.29</v>
      </c>
      <c r="AY10">
        <f>_xll.EQNXTDZ($A$1,$B10,AY$1,$B$1)</f>
        <v>-156.30000000000001</v>
      </c>
      <c r="AZ10">
        <f>_xll.EQNXTDZ($A$1,$B10,AZ$1,$B$1)</f>
        <v>-477.33</v>
      </c>
      <c r="BA10">
        <f>_xll.EQNXTDZ($A$1,$B10,BA$1,$B$1)</f>
        <v>-20.93</v>
      </c>
      <c r="BB10">
        <f>_xll.EQNXTDZ($A$1,$B10,BB$1,$B$1)</f>
        <v>243.79</v>
      </c>
      <c r="BC10">
        <f>_xll.EQNXTDZ($A$1,$B10,BC$1,$B$1)</f>
        <v>-493.3</v>
      </c>
      <c r="BD10">
        <f>_xll.EQNXTDZ($A$1,$B10,BD$1,$B$1)</f>
        <v>-168.68</v>
      </c>
      <c r="BE10">
        <f>_xll.EQNXTDZ($A$1,$B10,BE$1,$B$1)</f>
        <v>-11.13</v>
      </c>
      <c r="BF10">
        <f>_xll.EQNXTDZ($A$1,$B10,BF$1,$B$1)</f>
        <v>-1290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3720.05</v>
      </c>
      <c r="D11">
        <f>_xll.EQNXTDZ($A$1,$B11,D$1,$B$1)</f>
        <v>3191.01</v>
      </c>
      <c r="E11">
        <f>_xll.EQNXTDZ($A$1,$B11,E$1,$B$1)</f>
        <v>2031.46</v>
      </c>
      <c r="F11">
        <f>_xll.EQNXTDZ($A$1,$B11,F$1,$B$1)</f>
        <v>2643.42</v>
      </c>
      <c r="G11">
        <f>_xll.EQNXTDZ($A$1,$B11,G$1,$B$1)</f>
        <v>3148.88</v>
      </c>
      <c r="H11">
        <f>_xll.EQNXTDZ($A$1,$B11,H$1,$B$1)</f>
        <v>3223.99</v>
      </c>
      <c r="I11">
        <f>_xll.EQNXTDZ($A$1,$B11,I$1,$B$1)</f>
        <v>2851.44</v>
      </c>
      <c r="J11">
        <f>_xll.EQNXTDZ($A$1,$B11,J$1,$B$1)</f>
        <v>2936.93</v>
      </c>
      <c r="K11">
        <f>_xll.EQNXTDZ($A$1,$B11,K$1,$B$1)</f>
        <v>2685.05</v>
      </c>
      <c r="L11">
        <f>_xll.EQNXTDZ($A$1,$B11,L$1,$B$1)</f>
        <v>3401.01</v>
      </c>
      <c r="M11">
        <f>_xll.EQNXTDZ($A$1,$B11,M$1,$B$1)</f>
        <v>3411.76</v>
      </c>
      <c r="N11">
        <f>_xll.EQNXTDZ($A$1,$B11,N$1,$B$1)</f>
        <v>3482.34</v>
      </c>
      <c r="O11">
        <f>_xll.EQNXTDZ($A$1,$B11,O$1,$B$1)</f>
        <v>3355.03</v>
      </c>
      <c r="P11">
        <f>_xll.EQNXTDZ($A$1,$B11,P$1,$B$1)</f>
        <v>3858.45</v>
      </c>
      <c r="Q11">
        <f>_xll.EQNXTDZ($A$1,$B11,Q$1,$B$1)</f>
        <v>4225.6400000000003</v>
      </c>
      <c r="R11">
        <f>_xll.EQNXTDZ($A$1,$B11,R$1,$B$1)</f>
        <v>4125.03</v>
      </c>
      <c r="S11">
        <f>_xll.EQNXTDZ($A$1,$B11,S$1,$B$1)</f>
        <v>3514.04</v>
      </c>
      <c r="T11">
        <f>_xll.EQNXTDZ($A$1,$B11,T$1,$B$1)</f>
        <v>3956.37</v>
      </c>
      <c r="U11">
        <f>_xll.EQNXTDZ($A$1,$B11,U$1,$B$1)</f>
        <v>3467.37</v>
      </c>
      <c r="V11">
        <f>_xll.EQNXTDZ($A$1,$B11,V$1,$B$1)</f>
        <v>3383.2</v>
      </c>
      <c r="W11">
        <f>_xll.EQNXTDZ($A$1,$B11,W$1,$B$1)</f>
        <v>3341.8</v>
      </c>
      <c r="X11">
        <f>_xll.EQNXTDZ($A$1,$B11,X$1,$B$1)</f>
        <v>4191.82</v>
      </c>
      <c r="Y11">
        <f>_xll.EQNXTDZ($A$1,$B11,Y$1,$B$1)</f>
        <v>3719.75</v>
      </c>
      <c r="Z11">
        <f>_xll.EQNXTDZ($A$1,$B11,Z$1,$B$1)</f>
        <v>4031.07</v>
      </c>
      <c r="AA11">
        <f>_xll.EQNXTDZ($A$1,$B11,AA$1,$B$1)</f>
        <v>3034.41</v>
      </c>
      <c r="AB11">
        <f>_xll.EQNXTDZ($A$1,$B11,AB$1,$B$1)</f>
        <v>3515.89</v>
      </c>
      <c r="AC11">
        <f>_xll.EQNXTDZ($A$1,$B11,AC$1,$B$1)</f>
        <v>3988.16</v>
      </c>
      <c r="AD11">
        <f>_xll.EQNXTDZ($A$1,$B11,AD$1,$B$1)</f>
        <v>4233.1000000000004</v>
      </c>
      <c r="AE11">
        <f>_xll.EQNXTDZ($A$1,$B11,AE$1,$B$1)</f>
        <v>3925.05</v>
      </c>
      <c r="AF11">
        <f>_xll.EQNXTDZ($A$1,$B11,AF$1,$B$1)</f>
        <v>3867.41</v>
      </c>
      <c r="AG11">
        <f>_xll.EQNXTDZ($A$1,$B11,AG$1,$B$1)</f>
        <v>3961.55</v>
      </c>
      <c r="AH11">
        <f>_xll.EQNXTDZ($A$1,$B11,AH$1,$B$1)</f>
        <v>3794.65</v>
      </c>
      <c r="AI11">
        <f>_xll.EQNXTDZ($A$1,$B11,AI$1,$B$1)</f>
        <v>2348.75</v>
      </c>
      <c r="AJ11">
        <f>_xll.EQNXTDZ($A$1,$B11,AJ$1,$B$1)</f>
        <v>3995.07</v>
      </c>
      <c r="AK11">
        <f>_xll.EQNXTDZ($A$1,$B11,AK$1,$B$1)</f>
        <v>4147.82</v>
      </c>
      <c r="AL11">
        <f>_xll.EQNXTDZ($A$1,$B11,AL$1,$B$1)</f>
        <v>5070.41</v>
      </c>
      <c r="AM11">
        <f>_xll.EQNXTDZ($A$1,$B11,AM$1,$B$1)</f>
        <v>3721.95</v>
      </c>
      <c r="AN11">
        <f>_xll.EQNXTDZ($A$1,$B11,AN$1,$B$1)</f>
        <v>4387.8999999999996</v>
      </c>
      <c r="AO11">
        <f>_xll.EQNXTDZ($A$1,$B11,AO$1,$B$1)</f>
        <v>4003</v>
      </c>
      <c r="AP11">
        <f>_xll.EQNXTDZ($A$1,$B11,AP$1,$B$1)</f>
        <v>4987.9799999999996</v>
      </c>
      <c r="AQ11">
        <f>_xll.EQNXTDZ($A$1,$B11,AQ$1,$B$1)</f>
        <v>4214.05</v>
      </c>
      <c r="AR11">
        <f>_xll.EQNXTDZ($A$1,$B11,AR$1,$B$1)</f>
        <v>4102.4799999999996</v>
      </c>
      <c r="AS11">
        <f>_xll.EQNXTDZ($A$1,$B11,AS$1,$B$1)</f>
        <v>4660.3100000000004</v>
      </c>
      <c r="AT11">
        <f>_xll.EQNXTDZ($A$1,$B11,AT$1,$B$1)</f>
        <v>6018.27</v>
      </c>
      <c r="AU11">
        <f>_xll.EQNXTDZ($A$1,$B11,AU$1,$B$1)</f>
        <v>4629.32</v>
      </c>
      <c r="AV11">
        <f>_xll.EQNXTDZ($A$1,$B11,AV$1,$B$1)</f>
        <v>4429.8999999999996</v>
      </c>
      <c r="AW11">
        <f>_xll.EQNXTDZ($A$1,$B11,AW$1,$B$1)</f>
        <v>4835.59</v>
      </c>
      <c r="AX11">
        <f>_xll.EQNXTDZ($A$1,$B11,AX$1,$B$1)</f>
        <v>5547.44</v>
      </c>
      <c r="AY11">
        <f>_xll.EQNXTDZ($A$1,$B11,AY$1,$B$1)</f>
        <v>5191.49</v>
      </c>
      <c r="AZ11">
        <f>_xll.EQNXTDZ($A$1,$B11,AZ$1,$B$1)</f>
        <v>6204.75</v>
      </c>
      <c r="BA11">
        <f>_xll.EQNXTDZ($A$1,$B11,BA$1,$B$1)</f>
        <v>7286.39</v>
      </c>
      <c r="BB11">
        <f>_xll.EQNXTDZ($A$1,$B11,BB$1,$B$1)</f>
        <v>8972.39</v>
      </c>
      <c r="BC11">
        <f>_xll.EQNXTDZ($A$1,$B11,BC$1,$B$1)</f>
        <v>6650.27</v>
      </c>
      <c r="BD11">
        <f>_xll.EQNXTDZ($A$1,$B11,BD$1,$B$1)</f>
        <v>7572.63</v>
      </c>
      <c r="BE11">
        <f>_xll.EQNXTDZ($A$1,$B11,BE$1,$B$1)</f>
        <v>8466.4699999999993</v>
      </c>
      <c r="BF11">
        <f>_xll.EQNXTDZ($A$1,$B11,BF$1,$B$1)</f>
        <v>10342.39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501.66</v>
      </c>
      <c r="D12">
        <f>_xll.EQNXTDZ($A$1,$B12,D$1,$B$1)</f>
        <v>437.12</v>
      </c>
      <c r="E12">
        <f>_xll.EQNXTDZ($A$1,$B12,E$1,$B$1)</f>
        <v>516.58000000000004</v>
      </c>
      <c r="F12">
        <f>_xll.EQNXTDZ($A$1,$B12,F$1,$B$1)</f>
        <v>607.86</v>
      </c>
      <c r="G12">
        <f>_xll.EQNXTDZ($A$1,$B12,G$1,$B$1)</f>
        <v>407.75</v>
      </c>
      <c r="H12">
        <f>_xll.EQNXTDZ($A$1,$B12,H$1,$B$1)</f>
        <v>471.08</v>
      </c>
      <c r="I12">
        <f>_xll.EQNXTDZ($A$1,$B12,I$1,$B$1)</f>
        <v>405.67</v>
      </c>
      <c r="J12">
        <f>_xll.EQNXTDZ($A$1,$B12,J$1,$B$1)</f>
        <v>509.02</v>
      </c>
      <c r="K12">
        <f>_xll.EQNXTDZ($A$1,$B12,K$1,$B$1)</f>
        <v>328.7</v>
      </c>
      <c r="L12">
        <f>_xll.EQNXTDZ($A$1,$B12,L$1,$B$1)</f>
        <v>345.28</v>
      </c>
      <c r="M12">
        <f>_xll.EQNXTDZ($A$1,$B12,M$1,$B$1)</f>
        <v>304.18</v>
      </c>
      <c r="N12">
        <f>_xll.EQNXTDZ($A$1,$B12,N$1,$B$1)</f>
        <v>448.41</v>
      </c>
      <c r="O12">
        <f>_xll.EQNXTDZ($A$1,$B12,O$1,$B$1)</f>
        <v>319.48</v>
      </c>
      <c r="P12">
        <f>_xll.EQNXTDZ($A$1,$B12,P$1,$B$1)</f>
        <v>299.41000000000003</v>
      </c>
      <c r="Q12">
        <f>_xll.EQNXTDZ($A$1,$B12,Q$1,$B$1)</f>
        <v>339.54</v>
      </c>
      <c r="R12">
        <f>_xll.EQNXTDZ($A$1,$B12,R$1,$B$1)</f>
        <v>375.01</v>
      </c>
      <c r="S12">
        <f>_xll.EQNXTDZ($A$1,$B12,S$1,$B$1)</f>
        <v>310.57</v>
      </c>
      <c r="T12">
        <f>_xll.EQNXTDZ($A$1,$B12,T$1,$B$1)</f>
        <v>329.81</v>
      </c>
      <c r="U12">
        <f>_xll.EQNXTDZ($A$1,$B12,U$1,$B$1)</f>
        <v>385.2</v>
      </c>
      <c r="V12">
        <f>_xll.EQNXTDZ($A$1,$B12,V$1,$B$1)</f>
        <v>584.99</v>
      </c>
      <c r="W12">
        <f>_xll.EQNXTDZ($A$1,$B12,W$1,$B$1)</f>
        <v>360.51</v>
      </c>
      <c r="X12">
        <f>_xll.EQNXTDZ($A$1,$B12,X$1,$B$1)</f>
        <v>322.17</v>
      </c>
      <c r="Y12">
        <f>_xll.EQNXTDZ($A$1,$B12,Y$1,$B$1)</f>
        <v>284.32</v>
      </c>
      <c r="Z12">
        <f>_xll.EQNXTDZ($A$1,$B12,Z$1,$B$1)</f>
        <v>488.18</v>
      </c>
      <c r="AA12">
        <f>_xll.EQNXTDZ($A$1,$B12,AA$1,$B$1)</f>
        <v>175.58</v>
      </c>
      <c r="AB12">
        <f>_xll.EQNXTDZ($A$1,$B12,AB$1,$B$1)</f>
        <v>186.18</v>
      </c>
      <c r="AC12">
        <f>_xll.EQNXTDZ($A$1,$B12,AC$1,$B$1)</f>
        <v>227.11</v>
      </c>
      <c r="AD12">
        <f>_xll.EQNXTDZ($A$1,$B12,AD$1,$B$1)</f>
        <v>299</v>
      </c>
      <c r="AE12">
        <f>_xll.EQNXTDZ($A$1,$B12,AE$1,$B$1)</f>
        <v>185.52</v>
      </c>
      <c r="AF12">
        <f>_xll.EQNXTDZ($A$1,$B12,AF$1,$B$1)</f>
        <v>188.85</v>
      </c>
      <c r="AG12">
        <f>_xll.EQNXTDZ($A$1,$B12,AG$1,$B$1)</f>
        <v>243.05</v>
      </c>
      <c r="AH12">
        <f>_xll.EQNXTDZ($A$1,$B12,AH$1,$B$1)</f>
        <v>223.67</v>
      </c>
      <c r="AI12">
        <f>_xll.EQNXTDZ($A$1,$B12,AI$1,$B$1)</f>
        <v>139.47999999999999</v>
      </c>
      <c r="AJ12">
        <f>_xll.EQNXTDZ($A$1,$B12,AJ$1,$B$1)</f>
        <v>293.94</v>
      </c>
      <c r="AK12">
        <f>_xll.EQNXTDZ($A$1,$B12,AK$1,$B$1)</f>
        <v>346.23</v>
      </c>
      <c r="AL12">
        <f>_xll.EQNXTDZ($A$1,$B12,AL$1,$B$1)</f>
        <v>433.93</v>
      </c>
      <c r="AM12">
        <f>_xll.EQNXTDZ($A$1,$B12,AM$1,$B$1)</f>
        <v>239.01</v>
      </c>
      <c r="AN12">
        <f>_xll.EQNXTDZ($A$1,$B12,AN$1,$B$1)</f>
        <v>252.7</v>
      </c>
      <c r="AO12">
        <f>_xll.EQNXTDZ($A$1,$B12,AO$1,$B$1)</f>
        <v>322.75</v>
      </c>
      <c r="AP12">
        <f>_xll.EQNXTDZ($A$1,$B12,AP$1,$B$1)</f>
        <v>255.04</v>
      </c>
      <c r="AQ12">
        <f>_xll.EQNXTDZ($A$1,$B12,AQ$1,$B$1)</f>
        <v>199.32</v>
      </c>
      <c r="AR12">
        <f>_xll.EQNXTDZ($A$1,$B12,AR$1,$B$1)</f>
        <v>303.58</v>
      </c>
      <c r="AS12">
        <f>_xll.EQNXTDZ($A$1,$B12,AS$1,$B$1)</f>
        <v>374.5</v>
      </c>
      <c r="AT12">
        <f>_xll.EQNXTDZ($A$1,$B12,AT$1,$B$1)</f>
        <v>175.45</v>
      </c>
      <c r="AU12">
        <f>_xll.EQNXTDZ($A$1,$B12,AU$1,$B$1)</f>
        <v>325.37</v>
      </c>
      <c r="AV12">
        <f>_xll.EQNXTDZ($A$1,$B12,AV$1,$B$1)</f>
        <v>338.5</v>
      </c>
      <c r="AW12">
        <f>_xll.EQNXTDZ($A$1,$B12,AW$1,$B$1)</f>
        <v>285.14999999999998</v>
      </c>
      <c r="AX12">
        <f>_xll.EQNXTDZ($A$1,$B12,AX$1,$B$1)</f>
        <v>114.75</v>
      </c>
      <c r="AY12">
        <f>_xll.EQNXTDZ($A$1,$B12,AY$1,$B$1)</f>
        <v>351.64</v>
      </c>
      <c r="AZ12">
        <f>_xll.EQNXTDZ($A$1,$B12,AZ$1,$B$1)</f>
        <v>331.86</v>
      </c>
      <c r="BA12">
        <f>_xll.EQNXTDZ($A$1,$B12,BA$1,$B$1)</f>
        <v>455.68</v>
      </c>
      <c r="BB12">
        <f>_xll.EQNXTDZ($A$1,$B12,BB$1,$B$1)</f>
        <v>262.97000000000003</v>
      </c>
      <c r="BC12">
        <f>_xll.EQNXTDZ($A$1,$B12,BC$1,$B$1)</f>
        <v>212.36</v>
      </c>
      <c r="BD12">
        <f>_xll.EQNXTDZ($A$1,$B12,BD$1,$B$1)</f>
        <v>302.08</v>
      </c>
      <c r="BE12">
        <f>_xll.EQNXTDZ($A$1,$B12,BE$1,$B$1)</f>
        <v>298.29000000000002</v>
      </c>
      <c r="BF12">
        <f>_xll.EQNXTDZ($A$1,$B12,BF$1,$B$1)</f>
        <v>449.57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147.27000000000001</v>
      </c>
      <c r="T13">
        <f>_xll.EQNXTDZ($A$1,$B13,T$1,$B$1)</f>
        <v>166.08</v>
      </c>
      <c r="U13">
        <f>_xll.EQNXTDZ($A$1,$B13,U$1,$B$1)</f>
        <v>176.59</v>
      </c>
      <c r="V13">
        <f>_xll.EQNXTDZ($A$1,$B13,V$1,$B$1)</f>
        <v>209.25</v>
      </c>
      <c r="W13">
        <f>_xll.EQNXTDZ($A$1,$B13,W$1,$B$1)</f>
        <v>178.94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5642.42</v>
      </c>
      <c r="D14">
        <f>_xll.EQNXTDZ($A$1,$B14,D$1,$B$1)</f>
        <v>7217.02</v>
      </c>
      <c r="E14">
        <f>_xll.EQNXTDZ($A$1,$B14,E$1,$B$1)</f>
        <v>8272.34</v>
      </c>
      <c r="F14">
        <f>_xll.EQNXTDZ($A$1,$B14,F$1,$B$1)</f>
        <v>10180.35</v>
      </c>
      <c r="G14">
        <f>_xll.EQNXTDZ($A$1,$B14,G$1,$B$1)</f>
        <v>10973.39</v>
      </c>
      <c r="H14">
        <f>_xll.EQNXTDZ($A$1,$B14,H$1,$B$1)</f>
        <v>9970</v>
      </c>
      <c r="I14">
        <f>_xll.EQNXTDZ($A$1,$B14,I$1,$B$1)</f>
        <v>12876.68</v>
      </c>
      <c r="J14">
        <f>_xll.EQNXTDZ($A$1,$B14,J$1,$B$1)</f>
        <v>15365</v>
      </c>
      <c r="K14">
        <f>_xll.EQNXTDZ($A$1,$B14,K$1,$B$1)</f>
        <v>11187.97</v>
      </c>
      <c r="L14">
        <f>_xll.EQNXTDZ($A$1,$B14,L$1,$B$1)</f>
        <v>12322.74</v>
      </c>
      <c r="M14">
        <f>_xll.EQNXTDZ($A$1,$B14,M$1,$B$1)</f>
        <v>13266.78</v>
      </c>
      <c r="N14">
        <f>_xll.EQNXTDZ($A$1,$B14,N$1,$B$1)</f>
        <v>16841.189999999999</v>
      </c>
      <c r="O14">
        <f>_xll.EQNXTDZ($A$1,$B14,O$1,$B$1)</f>
        <v>10133.43</v>
      </c>
      <c r="P14">
        <f>_xll.EQNXTDZ($A$1,$B14,P$1,$B$1)</f>
        <v>10059.200000000001</v>
      </c>
      <c r="Q14">
        <f>_xll.EQNXTDZ($A$1,$B14,Q$1,$B$1)</f>
        <v>13388.3</v>
      </c>
      <c r="R14">
        <f>_xll.EQNXTDZ($A$1,$B14,R$1,$B$1)</f>
        <v>17077.25</v>
      </c>
      <c r="S14">
        <f>_xll.EQNXTDZ($A$1,$B14,S$1,$B$1)</f>
        <v>9865.92</v>
      </c>
      <c r="T14">
        <f>_xll.EQNXTDZ($A$1,$B14,T$1,$B$1)</f>
        <v>12006.89</v>
      </c>
      <c r="U14">
        <f>_xll.EQNXTDZ($A$1,$B14,U$1,$B$1)</f>
        <v>14116.16</v>
      </c>
      <c r="V14">
        <f>_xll.EQNXTDZ($A$1,$B14,V$1,$B$1)</f>
        <v>19705.05</v>
      </c>
      <c r="W14">
        <f>_xll.EQNXTDZ($A$1,$B14,W$1,$B$1)</f>
        <v>11817.84</v>
      </c>
      <c r="X14">
        <f>_xll.EQNXTDZ($A$1,$B14,X$1,$B$1)</f>
        <v>12425.87</v>
      </c>
      <c r="Y14">
        <f>_xll.EQNXTDZ($A$1,$B14,Y$1,$B$1)</f>
        <v>14715</v>
      </c>
      <c r="Z14">
        <f>_xll.EQNXTDZ($A$1,$B14,Z$1,$B$1)</f>
        <v>22716.41</v>
      </c>
      <c r="AA14">
        <f>_xll.EQNXTDZ($A$1,$B14,AA$1,$B$1)</f>
        <v>13187.41</v>
      </c>
      <c r="AB14">
        <f>_xll.EQNXTDZ($A$1,$B14,AB$1,$B$1)</f>
        <v>15661.17</v>
      </c>
      <c r="AC14">
        <f>_xll.EQNXTDZ($A$1,$B14,AC$1,$B$1)</f>
        <v>19227.21</v>
      </c>
      <c r="AD14">
        <f>_xll.EQNXTDZ($A$1,$B14,AD$1,$B$1)</f>
        <v>25243.3</v>
      </c>
      <c r="AE14">
        <f>_xll.EQNXTDZ($A$1,$B14,AE$1,$B$1)</f>
        <v>14045.91</v>
      </c>
      <c r="AF14">
        <f>_xll.EQNXTDZ($A$1,$B14,AF$1,$B$1)</f>
        <v>16493.52</v>
      </c>
      <c r="AG14">
        <f>_xll.EQNXTDZ($A$1,$B14,AG$1,$B$1)</f>
        <v>17759.11</v>
      </c>
      <c r="AH14">
        <f>_xll.EQNXTDZ($A$1,$B14,AH$1,$B$1)</f>
        <v>23984.78</v>
      </c>
      <c r="AI14">
        <f>_xll.EQNXTDZ($A$1,$B14,AI$1,$B$1)</f>
        <v>6937.5</v>
      </c>
      <c r="AJ14">
        <f>_xll.EQNXTDZ($A$1,$B14,AJ$1,$B$1)</f>
        <v>12680.55</v>
      </c>
      <c r="AK14">
        <f>_xll.EQNXTDZ($A$1,$B14,AK$1,$B$1)</f>
        <v>16290.1</v>
      </c>
      <c r="AL14">
        <f>_xll.EQNXTDZ($A$1,$B14,AL$1,$B$1)</f>
        <v>25982.720000000001</v>
      </c>
      <c r="AM14">
        <f>_xll.EQNXTDZ($A$1,$B14,AM$1,$B$1)</f>
        <v>11979.34</v>
      </c>
      <c r="AN14">
        <f>_xll.EQNXTDZ($A$1,$B14,AN$1,$B$1)</f>
        <v>15635.21</v>
      </c>
      <c r="AO14">
        <f>_xll.EQNXTDZ($A$1,$B14,AO$1,$B$1)</f>
        <v>20836.419999999998</v>
      </c>
      <c r="AP14">
        <f>_xll.EQNXTDZ($A$1,$B14,AP$1,$B$1)</f>
        <v>29373.52</v>
      </c>
      <c r="AQ14">
        <f>_xll.EQNXTDZ($A$1,$B14,AQ$1,$B$1)</f>
        <v>16640.16</v>
      </c>
      <c r="AR14">
        <f>_xll.EQNXTDZ($A$1,$B14,AR$1,$B$1)</f>
        <v>21884.240000000002</v>
      </c>
      <c r="AS14">
        <f>_xll.EQNXTDZ($A$1,$B14,AS$1,$B$1)</f>
        <v>23467.26</v>
      </c>
      <c r="AT14">
        <f>_xll.EQNXTDZ($A$1,$B14,AT$1,$B$1)</f>
        <v>31705.81</v>
      </c>
      <c r="AU14">
        <f>_xll.EQNXTDZ($A$1,$B14,AU$1,$B$1)</f>
        <v>24799.99</v>
      </c>
      <c r="AV14">
        <f>_xll.EQNXTDZ($A$1,$B14,AV$1,$B$1)</f>
        <v>25969.32</v>
      </c>
      <c r="AW14">
        <f>_xll.EQNXTDZ($A$1,$B14,AW$1,$B$1)</f>
        <v>30110.75</v>
      </c>
      <c r="AX14">
        <f>_xll.EQNXTDZ($A$1,$B14,AX$1,$B$1)</f>
        <v>37906.82</v>
      </c>
      <c r="AY14">
        <f>_xll.EQNXTDZ($A$1,$B14,AY$1,$B$1)</f>
        <v>28789.19</v>
      </c>
      <c r="AZ14">
        <f>_xll.EQNXTDZ($A$1,$B14,AZ$1,$B$1)</f>
        <v>33398.239999999998</v>
      </c>
      <c r="BA14">
        <f>_xll.EQNXTDZ($A$1,$B14,BA$1,$B$1)</f>
        <v>34250.78</v>
      </c>
      <c r="BB14">
        <f>_xll.EQNXTDZ($A$1,$B14,BB$1,$B$1)</f>
        <v>39586.1</v>
      </c>
      <c r="BC14">
        <f>_xll.EQNXTDZ($A$1,$B14,BC$1,$B$1)</f>
        <v>33861.49</v>
      </c>
      <c r="BD14">
        <f>_xll.EQNXTDZ($A$1,$B14,BD$1,$B$1)</f>
        <v>35882.44</v>
      </c>
      <c r="BE14">
        <f>_xll.EQNXTDZ($A$1,$B14,BE$1,$B$1)</f>
        <v>37534.980000000003</v>
      </c>
      <c r="BF14">
        <f>_xll.EQNXTDZ($A$1,$B14,BF$1,$B$1)</f>
        <v>46231.37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947.19</v>
      </c>
      <c r="D16">
        <f>_xll.EQNXTDZ($A$1,$B16,D$1,$B$1)</f>
        <v>1298.51</v>
      </c>
      <c r="E16">
        <f>_xll.EQNXTDZ($A$1,$B16,E$1,$B$1)</f>
        <v>926.75</v>
      </c>
      <c r="F16">
        <f>_xll.EQNXTDZ($A$1,$B16,F$1,$B$1)</f>
        <v>979.16</v>
      </c>
      <c r="G16">
        <f>_xll.EQNXTDZ($A$1,$B16,G$1,$B$1)</f>
        <v>1565.14</v>
      </c>
      <c r="H16">
        <f>_xll.EQNXTDZ($A$1,$B16,H$1,$B$1)</f>
        <v>2003.52</v>
      </c>
      <c r="I16">
        <f>_xll.EQNXTDZ($A$1,$B16,I$1,$B$1)</f>
        <v>1708.34</v>
      </c>
      <c r="J16">
        <f>_xll.EQNXTDZ($A$1,$B16,J$1,$B$1)</f>
        <v>1858.07</v>
      </c>
      <c r="K16">
        <f>_xll.EQNXTDZ($A$1,$B16,K$1,$B$1)</f>
        <v>1751.04</v>
      </c>
      <c r="L16">
        <f>_xll.EQNXTDZ($A$1,$B16,L$1,$B$1)</f>
        <v>2261.91</v>
      </c>
      <c r="M16">
        <f>_xll.EQNXTDZ($A$1,$B16,M$1,$B$1)</f>
        <v>1928.59</v>
      </c>
      <c r="N16">
        <f>_xll.EQNXTDZ($A$1,$B16,N$1,$B$1)</f>
        <v>2048.9899999999998</v>
      </c>
      <c r="O16">
        <f>_xll.EQNXTDZ($A$1,$B16,O$1,$B$1)</f>
        <v>3149.42</v>
      </c>
      <c r="P16">
        <f>_xll.EQNXTDZ($A$1,$B16,P$1,$B$1)</f>
        <v>3335.19</v>
      </c>
      <c r="Q16">
        <f>_xll.EQNXTDZ($A$1,$B16,Q$1,$B$1)</f>
        <v>3417.12</v>
      </c>
      <c r="R16">
        <f>_xll.EQNXTDZ($A$1,$B16,R$1,$B$1)</f>
        <v>3429.1</v>
      </c>
      <c r="S16">
        <f>_xll.EQNXTDZ($A$1,$B16,S$1,$B$1)</f>
        <v>3420.01</v>
      </c>
      <c r="T16">
        <f>_xll.EQNXTDZ($A$1,$B16,T$1,$B$1)</f>
        <v>3436.5</v>
      </c>
      <c r="U16">
        <f>_xll.EQNXTDZ($A$1,$B16,U$1,$B$1)</f>
        <v>3496.07</v>
      </c>
      <c r="V16">
        <f>_xll.EQNXTDZ($A$1,$B16,V$1,$B$1)</f>
        <v>3501.37</v>
      </c>
      <c r="W16">
        <f>_xll.EQNXTDZ($A$1,$B16,W$1,$B$1)</f>
        <v>3530.59</v>
      </c>
      <c r="X16">
        <f>_xll.EQNXTDZ($A$1,$B16,X$1,$B$1)</f>
        <v>3794.88</v>
      </c>
      <c r="Y16">
        <f>_xll.EQNXTDZ($A$1,$B16,Y$1,$B$1)</f>
        <v>3838.7</v>
      </c>
      <c r="Z16">
        <f>_xll.EQNXTDZ($A$1,$B16,Z$1,$B$1)</f>
        <v>4125.4399999999996</v>
      </c>
      <c r="AA16">
        <f>_xll.EQNXTDZ($A$1,$B16,AA$1,$B$1)</f>
        <v>4128.75</v>
      </c>
      <c r="AB16">
        <f>_xll.EQNXTDZ($A$1,$B16,AB$1,$B$1)</f>
        <v>4403.42</v>
      </c>
      <c r="AC16">
        <f>_xll.EQNXTDZ($A$1,$B16,AC$1,$B$1)</f>
        <v>4445.47</v>
      </c>
      <c r="AD16">
        <f>_xll.EQNXTDZ($A$1,$B16,AD$1,$B$1)</f>
        <v>4488.75</v>
      </c>
      <c r="AE16">
        <f>_xll.EQNXTDZ($A$1,$B16,AE$1,$B$1)</f>
        <v>4551.78</v>
      </c>
      <c r="AF16">
        <f>_xll.EQNXTDZ($A$1,$B16,AF$1,$B$1)</f>
        <v>6140.6</v>
      </c>
      <c r="AG16">
        <f>_xll.EQNXTDZ($A$1,$B16,AG$1,$B$1)</f>
        <v>6133.21</v>
      </c>
      <c r="AH16">
        <f>_xll.EQNXTDZ($A$1,$B16,AH$1,$B$1)</f>
        <v>6288.41</v>
      </c>
      <c r="AI16">
        <f>_xll.EQNXTDZ($A$1,$B16,AI$1,$B$1)</f>
        <v>6150.73</v>
      </c>
      <c r="AJ16">
        <f>_xll.EQNXTDZ($A$1,$B16,AJ$1,$B$1)</f>
        <v>6080.88</v>
      </c>
      <c r="AK16">
        <f>_xll.EQNXTDZ($A$1,$B16,AK$1,$B$1)</f>
        <v>6167.55</v>
      </c>
      <c r="AL16">
        <f>_xll.EQNXTDZ($A$1,$B16,AL$1,$B$1)</f>
        <v>6351.41</v>
      </c>
      <c r="AM16">
        <f>_xll.EQNXTDZ($A$1,$B16,AM$1,$B$1)</f>
        <v>6871.75</v>
      </c>
      <c r="AN16">
        <f>_xll.EQNXTDZ($A$1,$B16,AN$1,$B$1)</f>
        <v>7253.83</v>
      </c>
      <c r="AO16">
        <f>_xll.EQNXTDZ($A$1,$B16,AO$1,$B$1)</f>
        <v>7621.04</v>
      </c>
      <c r="AP16">
        <f>_xll.EQNXTDZ($A$1,$B16,AP$1,$B$1)</f>
        <v>7965.02</v>
      </c>
      <c r="AQ16">
        <f>_xll.EQNXTDZ($A$1,$B16,AQ$1,$B$1)</f>
        <v>8546.09</v>
      </c>
      <c r="AR16">
        <f>_xll.EQNXTDZ($A$1,$B16,AR$1,$B$1)</f>
        <v>9154.41</v>
      </c>
      <c r="AS16">
        <f>_xll.EQNXTDZ($A$1,$B16,AS$1,$B$1)</f>
        <v>9532.5</v>
      </c>
      <c r="AT16">
        <f>_xll.EQNXTDZ($A$1,$B16,AT$1,$B$1)</f>
        <v>9981.09</v>
      </c>
      <c r="AU16">
        <f>_xll.EQNXTDZ($A$1,$B16,AU$1,$B$1)</f>
        <v>9889.36</v>
      </c>
      <c r="AV16">
        <f>_xll.EQNXTDZ($A$1,$B16,AV$1,$B$1)</f>
        <v>10298.89</v>
      </c>
      <c r="AW16">
        <f>_xll.EQNXTDZ($A$1,$B16,AW$1,$B$1)</f>
        <v>10253.27</v>
      </c>
      <c r="AX16">
        <f>_xll.EQNXTDZ($A$1,$B16,AX$1,$B$1)</f>
        <v>10729.52</v>
      </c>
      <c r="AY16">
        <f>_xll.EQNXTDZ($A$1,$B16,AY$1,$B$1)</f>
        <v>11043.52</v>
      </c>
      <c r="AZ16">
        <f>_xll.EQNXTDZ($A$1,$B16,AZ$1,$B$1)</f>
        <v>11455.65</v>
      </c>
      <c r="BA16">
        <f>_xll.EQNXTDZ($A$1,$B16,BA$1,$B$1)</f>
        <v>11912.19</v>
      </c>
      <c r="BB16">
        <f>_xll.EQNXTDZ($A$1,$B16,BB$1,$B$1)</f>
        <v>12357.29</v>
      </c>
      <c r="BC16">
        <f>_xll.EQNXTDZ($A$1,$B16,BC$1,$B$1)</f>
        <v>12638.44</v>
      </c>
      <c r="BD16">
        <f>_xll.EQNXTDZ($A$1,$B16,BD$1,$B$1)</f>
        <v>12985.98</v>
      </c>
      <c r="BE16">
        <f>_xll.EQNXTDZ($A$1,$B16,BE$1,$B$1)</f>
        <v>12799.86</v>
      </c>
      <c r="BF16">
        <f>_xll.EQNXTDZ($A$1,$B16,BF$1,$B$1)</f>
        <v>13762.92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570.83000000000004</v>
      </c>
      <c r="D18">
        <f>_xll.EQNXTDZ($A$1,$B18,D$1,$B$1)</f>
        <v>529.15</v>
      </c>
      <c r="E18">
        <f>_xll.EQNXTDZ($A$1,$B18,E$1,$B$1)</f>
        <v>406.83</v>
      </c>
      <c r="F18">
        <f>_xll.EQNXTDZ($A$1,$B18,F$1,$B$1)</f>
        <v>703.84</v>
      </c>
      <c r="G18">
        <f>_xll.EQNXTDZ($A$1,$B18,G$1,$B$1)</f>
        <v>1148.67</v>
      </c>
      <c r="H18">
        <f>_xll.EQNXTDZ($A$1,$B18,H$1,$B$1)</f>
        <v>1298.47</v>
      </c>
      <c r="I18">
        <f>_xll.EQNXTDZ($A$1,$B18,I$1,$B$1)</f>
        <v>1326.57</v>
      </c>
      <c r="J18">
        <f>_xll.EQNXTDZ($A$1,$B18,J$1,$B$1)</f>
        <v>881.02</v>
      </c>
      <c r="K18">
        <f>_xll.EQNXTDZ($A$1,$B18,K$1,$B$1)</f>
        <v>1383.27</v>
      </c>
      <c r="L18">
        <f>_xll.EQNXTDZ($A$1,$B18,L$1,$B$1)</f>
        <v>1194.08</v>
      </c>
      <c r="M18">
        <f>_xll.EQNXTDZ($A$1,$B18,M$1,$B$1)</f>
        <v>1270.5899999999999</v>
      </c>
      <c r="N18">
        <f>_xll.EQNXTDZ($A$1,$B18,N$1,$B$1)</f>
        <v>1595.47</v>
      </c>
      <c r="O18">
        <f>_xll.EQNXTDZ($A$1,$B18,O$1,$B$1)</f>
        <v>1357.15</v>
      </c>
      <c r="P18">
        <f>_xll.EQNXTDZ($A$1,$B18,P$1,$B$1)</f>
        <v>1375.09</v>
      </c>
      <c r="Q18">
        <f>_xll.EQNXTDZ($A$1,$B18,Q$1,$B$1)</f>
        <v>1591.77</v>
      </c>
      <c r="R18">
        <f>_xll.EQNXTDZ($A$1,$B18,R$1,$B$1)</f>
        <v>1535.46</v>
      </c>
      <c r="S18">
        <f>_xll.EQNXTDZ($A$1,$B18,S$1,$B$1)</f>
        <v>1572.47</v>
      </c>
      <c r="T18">
        <f>_xll.EQNXTDZ($A$1,$B18,T$1,$B$1)</f>
        <v>1431.64</v>
      </c>
      <c r="U18">
        <f>_xll.EQNXTDZ($A$1,$B18,U$1,$B$1)</f>
        <v>1666.95</v>
      </c>
      <c r="V18">
        <f>_xll.EQNXTDZ($A$1,$B18,V$1,$B$1)</f>
        <v>2354.5100000000002</v>
      </c>
      <c r="W18">
        <f>_xll.EQNXTDZ($A$1,$B18,W$1,$B$1)</f>
        <v>1666.24</v>
      </c>
      <c r="X18">
        <f>_xll.EQNXTDZ($A$1,$B18,X$1,$B$1)</f>
        <v>1519.65</v>
      </c>
      <c r="Y18">
        <f>_xll.EQNXTDZ($A$1,$B18,Y$1,$B$1)</f>
        <v>1892.27</v>
      </c>
      <c r="Z18">
        <f>_xll.EQNXTDZ($A$1,$B18,Z$1,$B$1)</f>
        <v>2524.5700000000002</v>
      </c>
      <c r="AA18">
        <f>_xll.EQNXTDZ($A$1,$B18,AA$1,$B$1)</f>
        <v>1973.92</v>
      </c>
      <c r="AB18">
        <f>_xll.EQNXTDZ($A$1,$B18,AB$1,$B$1)</f>
        <v>1748.82</v>
      </c>
      <c r="AC18">
        <f>_xll.EQNXTDZ($A$1,$B18,AC$1,$B$1)</f>
        <v>1522.35</v>
      </c>
      <c r="AD18">
        <f>_xll.EQNXTDZ($A$1,$B18,AD$1,$B$1)</f>
        <v>1546.14</v>
      </c>
      <c r="AE18">
        <f>_xll.EQNXTDZ($A$1,$B18,AE$1,$B$1)</f>
        <v>1996.64</v>
      </c>
      <c r="AF18">
        <f>_xll.EQNXTDZ($A$1,$B18,AF$1,$B$1)</f>
        <v>2279.65</v>
      </c>
      <c r="AG18">
        <f>_xll.EQNXTDZ($A$1,$B18,AG$1,$B$1)</f>
        <v>2137.69</v>
      </c>
      <c r="AH18">
        <f>_xll.EQNXTDZ($A$1,$B18,AH$1,$B$1)</f>
        <v>2232.77</v>
      </c>
      <c r="AI18">
        <f>_xll.EQNXTDZ($A$1,$B18,AI$1,$B$1)</f>
        <v>2151.7800000000002</v>
      </c>
      <c r="AJ18">
        <f>_xll.EQNXTDZ($A$1,$B18,AJ$1,$B$1)</f>
        <v>2124.21</v>
      </c>
      <c r="AK18">
        <f>_xll.EQNXTDZ($A$1,$B18,AK$1,$B$1)</f>
        <v>2281.88</v>
      </c>
      <c r="AL18">
        <f>_xll.EQNXTDZ($A$1,$B18,AL$1,$B$1)</f>
        <v>2345.5700000000002</v>
      </c>
      <c r="AM18">
        <f>_xll.EQNXTDZ($A$1,$B18,AM$1,$B$1)</f>
        <v>2244.56</v>
      </c>
      <c r="AN18">
        <f>_xll.EQNXTDZ($A$1,$B18,AN$1,$B$1)</f>
        <v>2278.6999999999998</v>
      </c>
      <c r="AO18">
        <f>_xll.EQNXTDZ($A$1,$B18,AO$1,$B$1)</f>
        <v>2079.13</v>
      </c>
      <c r="AP18">
        <f>_xll.EQNXTDZ($A$1,$B18,AP$1,$B$1)</f>
        <v>2124.61</v>
      </c>
      <c r="AQ18">
        <f>_xll.EQNXTDZ($A$1,$B18,AQ$1,$B$1)</f>
        <v>2366.52</v>
      </c>
      <c r="AR18">
        <f>_xll.EQNXTDZ($A$1,$B18,AR$1,$B$1)</f>
        <v>1961.08</v>
      </c>
      <c r="AS18">
        <f>_xll.EQNXTDZ($A$1,$B18,AS$1,$B$1)</f>
        <v>2396.6</v>
      </c>
      <c r="AT18">
        <f>_xll.EQNXTDZ($A$1,$B18,AT$1,$B$1)</f>
        <v>2033.92</v>
      </c>
      <c r="AU18">
        <f>_xll.EQNXTDZ($A$1,$B18,AU$1,$B$1)</f>
        <v>2329.85</v>
      </c>
      <c r="AV18">
        <f>_xll.EQNXTDZ($A$1,$B18,AV$1,$B$1)</f>
        <v>2573.21</v>
      </c>
      <c r="AW18">
        <f>_xll.EQNXTDZ($A$1,$B18,AW$1,$B$1)</f>
        <v>2446.4899999999998</v>
      </c>
      <c r="AX18">
        <f>_xll.EQNXTDZ($A$1,$B18,AX$1,$B$1)</f>
        <v>3069.82</v>
      </c>
      <c r="AY18">
        <f>_xll.EQNXTDZ($A$1,$B18,AY$1,$B$1)</f>
        <v>2854.46</v>
      </c>
      <c r="AZ18">
        <f>_xll.EQNXTDZ($A$1,$B18,AZ$1,$B$1)</f>
        <v>2724.36</v>
      </c>
      <c r="BA18">
        <f>_xll.EQNXTDZ($A$1,$B18,BA$1,$B$1)</f>
        <v>2885.51</v>
      </c>
      <c r="BB18">
        <f>_xll.EQNXTDZ($A$1,$B18,BB$1,$B$1)</f>
        <v>3093.8</v>
      </c>
      <c r="BC18">
        <f>_xll.EQNXTDZ($A$1,$B18,BC$1,$B$1)</f>
        <v>2785.65</v>
      </c>
      <c r="BD18">
        <f>_xll.EQNXTDZ($A$1,$B18,BD$1,$B$1)</f>
        <v>2895.84</v>
      </c>
      <c r="BE18">
        <f>_xll.EQNXTDZ($A$1,$B18,BE$1,$B$1)</f>
        <v>3171.02</v>
      </c>
      <c r="BF18">
        <f>_xll.EQNXTDZ($A$1,$B18,BF$1,$B$1)</f>
        <v>2846.89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1084.71</v>
      </c>
      <c r="D22">
        <f>_xll.EQNXTDZ($A$1,$B22,D$1,$B$1)</f>
        <v>1403.63</v>
      </c>
      <c r="E22">
        <f>_xll.EQNXTDZ($A$1,$B22,E$1,$B$1)</f>
        <v>1258.25</v>
      </c>
      <c r="F22">
        <f>_xll.EQNXTDZ($A$1,$B22,F$1,$B$1)</f>
        <v>2129.2399999999998</v>
      </c>
      <c r="G22">
        <f>_xll.EQNXTDZ($A$1,$B22,G$1,$B$1)</f>
        <v>1872.84</v>
      </c>
      <c r="H22">
        <f>_xll.EQNXTDZ($A$1,$B22,H$1,$B$1)</f>
        <v>2503.35</v>
      </c>
      <c r="I22">
        <f>_xll.EQNXTDZ($A$1,$B22,I$1,$B$1)</f>
        <v>2633.03</v>
      </c>
      <c r="J22">
        <f>_xll.EQNXTDZ($A$1,$B22,J$1,$B$1)</f>
        <v>3738.72</v>
      </c>
      <c r="K22">
        <f>_xll.EQNXTDZ($A$1,$B22,K$1,$B$1)</f>
        <v>2511.0100000000002</v>
      </c>
      <c r="L22">
        <f>_xll.EQNXTDZ($A$1,$B22,L$1,$B$1)</f>
        <v>2334.27</v>
      </c>
      <c r="M22">
        <f>_xll.EQNXTDZ($A$1,$B22,M$1,$B$1)</f>
        <v>2885.81</v>
      </c>
      <c r="N22">
        <f>_xll.EQNXTDZ($A$1,$B22,N$1,$B$1)</f>
        <v>3595.32</v>
      </c>
      <c r="O22">
        <f>_xll.EQNXTDZ($A$1,$B22,O$1,$B$1)</f>
        <v>2832.14</v>
      </c>
      <c r="P22">
        <f>_xll.EQNXTDZ($A$1,$B22,P$1,$B$1)</f>
        <v>3706.02</v>
      </c>
      <c r="Q22">
        <f>_xll.EQNXTDZ($A$1,$B22,Q$1,$B$1)</f>
        <v>3338.38</v>
      </c>
      <c r="R22">
        <f>_xll.EQNXTDZ($A$1,$B22,R$1,$B$1)</f>
        <v>5836.08</v>
      </c>
      <c r="S22">
        <f>_xll.EQNXTDZ($A$1,$B22,S$1,$B$1)</f>
        <v>3223.3</v>
      </c>
      <c r="T22">
        <f>_xll.EQNXTDZ($A$1,$B22,T$1,$B$1)</f>
        <v>3670.11</v>
      </c>
      <c r="U22">
        <f>_xll.EQNXTDZ($A$1,$B22,U$1,$B$1)</f>
        <v>3837.63</v>
      </c>
      <c r="V22">
        <f>_xll.EQNXTDZ($A$1,$B22,V$1,$B$1)</f>
        <v>5722.74</v>
      </c>
      <c r="W22">
        <f>_xll.EQNXTDZ($A$1,$B22,W$1,$B$1)</f>
        <v>3469.28</v>
      </c>
      <c r="X22">
        <f>_xll.EQNXTDZ($A$1,$B22,X$1,$B$1)</f>
        <v>4482.55</v>
      </c>
      <c r="Y22">
        <f>_xll.EQNXTDZ($A$1,$B22,Y$1,$B$1)</f>
        <v>4669.8599999999997</v>
      </c>
      <c r="Z22">
        <f>_xll.EQNXTDZ($A$1,$B22,Z$1,$B$1)</f>
        <v>6989.22</v>
      </c>
      <c r="AA22">
        <f>_xll.EQNXTDZ($A$1,$B22,AA$1,$B$1)</f>
        <v>4412.7299999999996</v>
      </c>
      <c r="AB22">
        <f>_xll.EQNXTDZ($A$1,$B22,AB$1,$B$1)</f>
        <v>5329.15</v>
      </c>
      <c r="AC22">
        <f>_xll.EQNXTDZ($A$1,$B22,AC$1,$B$1)</f>
        <v>5727.59</v>
      </c>
      <c r="AD22">
        <f>_xll.EQNXTDZ($A$1,$B22,AD$1,$B$1)</f>
        <v>7245.79</v>
      </c>
      <c r="AE22">
        <f>_xll.EQNXTDZ($A$1,$B22,AE$1,$B$1)</f>
        <v>5146.97</v>
      </c>
      <c r="AF22">
        <f>_xll.EQNXTDZ($A$1,$B22,AF$1,$B$1)</f>
        <v>6045.14</v>
      </c>
      <c r="AG22">
        <f>_xll.EQNXTDZ($A$1,$B22,AG$1,$B$1)</f>
        <v>6122.07</v>
      </c>
      <c r="AH22">
        <f>_xll.EQNXTDZ($A$1,$B22,AH$1,$B$1)</f>
        <v>7056.67</v>
      </c>
      <c r="AI22">
        <f>_xll.EQNXTDZ($A$1,$B22,AI$1,$B$1)</f>
        <v>3724.36</v>
      </c>
      <c r="AJ22">
        <f>_xll.EQNXTDZ($A$1,$B22,AJ$1,$B$1)</f>
        <v>5319.51</v>
      </c>
      <c r="AK22">
        <f>_xll.EQNXTDZ($A$1,$B22,AK$1,$B$1)</f>
        <v>6065.84</v>
      </c>
      <c r="AL22">
        <f>_xll.EQNXTDZ($A$1,$B22,AL$1,$B$1)</f>
        <v>8205.43</v>
      </c>
      <c r="AM22">
        <f>_xll.EQNXTDZ($A$1,$B22,AM$1,$B$1)</f>
        <v>4737.28</v>
      </c>
      <c r="AN22">
        <f>_xll.EQNXTDZ($A$1,$B22,AN$1,$B$1)</f>
        <v>5486.27</v>
      </c>
      <c r="AO22">
        <f>_xll.EQNXTDZ($A$1,$B22,AO$1,$B$1)</f>
        <v>5982.31</v>
      </c>
      <c r="AP22">
        <f>_xll.EQNXTDZ($A$1,$B22,AP$1,$B$1)</f>
        <v>7958.5099999999902</v>
      </c>
      <c r="AQ22">
        <f>_xll.EQNXTDZ($A$1,$B22,AQ$1,$B$1)</f>
        <v>5409.82</v>
      </c>
      <c r="AR22">
        <f>_xll.EQNXTDZ($A$1,$B22,AR$1,$B$1)</f>
        <v>6362.16</v>
      </c>
      <c r="AS22">
        <f>_xll.EQNXTDZ($A$1,$B22,AS$1,$B$1)</f>
        <v>6653.47</v>
      </c>
      <c r="AT22">
        <f>_xll.EQNXTDZ($A$1,$B22,AT$1,$B$1)</f>
        <v>8354.24</v>
      </c>
      <c r="AU22">
        <f>_xll.EQNXTDZ($A$1,$B22,AU$1,$B$1)</f>
        <v>6316.36</v>
      </c>
      <c r="AV22">
        <f>_xll.EQNXTDZ($A$1,$B22,AV$1,$B$1)</f>
        <v>7040.4700000000103</v>
      </c>
      <c r="AW22">
        <f>_xll.EQNXTDZ($A$1,$B22,AW$1,$B$1)</f>
        <v>7198.6499999999896</v>
      </c>
      <c r="AX22">
        <f>_xll.EQNXTDZ($A$1,$B22,AX$1,$B$1)</f>
        <v>8653.04000000001</v>
      </c>
      <c r="AY22">
        <f>_xll.EQNXTDZ($A$1,$B22,AY$1,$B$1)</f>
        <v>7045.8199999999897</v>
      </c>
      <c r="AZ22">
        <f>_xll.EQNXTDZ($A$1,$B22,AZ$1,$B$1)</f>
        <v>7917.05</v>
      </c>
      <c r="BA22">
        <f>_xll.EQNXTDZ($A$1,$B22,BA$1,$B$1)</f>
        <v>7898.1600000000099</v>
      </c>
      <c r="BB22">
        <f>_xll.EQNXTDZ($A$1,$B22,BB$1,$B$1)</f>
        <v>9875.9400000000096</v>
      </c>
      <c r="BC22">
        <f>_xll.EQNXTDZ($A$1,$B22,BC$1,$B$1)</f>
        <v>8024.01</v>
      </c>
      <c r="BD22">
        <f>_xll.EQNXTDZ($A$1,$B22,BD$1,$B$1)</f>
        <v>8513.2399999999907</v>
      </c>
      <c r="BE22">
        <f>_xll.EQNXTDZ($A$1,$B22,BE$1,$B$1)</f>
        <v>9190.21000000001</v>
      </c>
      <c r="BF22">
        <f>_xll.EQNXTDZ($A$1,$B22,BF$1,$B$1)</f>
        <v>10419.02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608.12</v>
      </c>
      <c r="D23">
        <f>_xll.EQNXTDZ($A$1,$B23,D$1,$B$1)</f>
        <v>331.14</v>
      </c>
      <c r="E23">
        <f>_xll.EQNXTDZ($A$1,$B23,E$1,$B$1)</f>
        <v>559.52</v>
      </c>
      <c r="F23">
        <f>_xll.EQNXTDZ($A$1,$B23,F$1,$B$1)</f>
        <v>389.48</v>
      </c>
      <c r="G23">
        <f>_xll.EQNXTDZ($A$1,$B23,G$1,$B$1)</f>
        <v>263.52999999999997</v>
      </c>
      <c r="H23">
        <f>_xll.EQNXTDZ($A$1,$B23,H$1,$B$1)</f>
        <v>253.01</v>
      </c>
      <c r="I23">
        <f>_xll.EQNXTDZ($A$1,$B23,I$1,$B$1)</f>
        <v>195.92</v>
      </c>
      <c r="J23">
        <f>_xll.EQNXTDZ($A$1,$B23,J$1,$B$1)</f>
        <v>269.27999999999997</v>
      </c>
      <c r="K23">
        <f>_xll.EQNXTDZ($A$1,$B23,K$1,$B$1)</f>
        <v>277.04000000000002</v>
      </c>
      <c r="L23">
        <f>_xll.EQNXTDZ($A$1,$B23,L$1,$B$1)</f>
        <v>214.54</v>
      </c>
      <c r="M23">
        <f>_xll.EQNXTDZ($A$1,$B23,M$1,$B$1)</f>
        <v>236.73</v>
      </c>
      <c r="N23">
        <f>_xll.EQNXTDZ($A$1,$B23,N$1,$B$1)</f>
        <v>289.58999999999997</v>
      </c>
      <c r="O23">
        <f>_xll.EQNXTDZ($A$1,$B23,O$1,$B$1)</f>
        <v>283.27</v>
      </c>
      <c r="P23">
        <f>_xll.EQNXTDZ($A$1,$B23,P$1,$B$1)</f>
        <v>321.66000000000003</v>
      </c>
      <c r="Q23">
        <f>_xll.EQNXTDZ($A$1,$B23,Q$1,$B$1)</f>
        <v>241.03</v>
      </c>
      <c r="R23">
        <f>_xll.EQNXTDZ($A$1,$B23,R$1,$B$1)</f>
        <v>145.03</v>
      </c>
      <c r="S23">
        <f>_xll.EQNXTDZ($A$1,$B23,S$1,$B$1)</f>
        <v>305.79000000000002</v>
      </c>
      <c r="T23">
        <f>_xll.EQNXTDZ($A$1,$B23,T$1,$B$1)</f>
        <v>451.81</v>
      </c>
      <c r="U23">
        <f>_xll.EQNXTDZ($A$1,$B23,U$1,$B$1)</f>
        <v>274.27999999999997</v>
      </c>
      <c r="V23">
        <f>_xll.EQNXTDZ($A$1,$B23,V$1,$B$1)</f>
        <v>351.31</v>
      </c>
      <c r="W23">
        <f>_xll.EQNXTDZ($A$1,$B23,W$1,$B$1)</f>
        <v>365.73</v>
      </c>
      <c r="X23">
        <f>_xll.EQNXTDZ($A$1,$B23,X$1,$B$1)</f>
        <v>399.65</v>
      </c>
      <c r="Y23">
        <f>_xll.EQNXTDZ($A$1,$B23,Y$1,$B$1)</f>
        <v>213.94</v>
      </c>
      <c r="Z23">
        <f>_xll.EQNXTDZ($A$1,$B23,Z$1,$B$1)</f>
        <v>412.94</v>
      </c>
      <c r="AA23">
        <f>_xll.EQNXTDZ($A$1,$B23,AA$1,$B$1)</f>
        <v>227.99</v>
      </c>
      <c r="AB23">
        <f>_xll.EQNXTDZ($A$1,$B23,AB$1,$B$1)</f>
        <v>408.46</v>
      </c>
      <c r="AC23">
        <f>_xll.EQNXTDZ($A$1,$B23,AC$1,$B$1)</f>
        <v>589.12</v>
      </c>
      <c r="AD23">
        <f>_xll.EQNXTDZ($A$1,$B23,AD$1,$B$1)</f>
        <v>610.97</v>
      </c>
      <c r="AE23">
        <f>_xll.EQNXTDZ($A$1,$B23,AE$1,$B$1)</f>
        <v>634.99</v>
      </c>
      <c r="AF23">
        <f>_xll.EQNXTDZ($A$1,$B23,AF$1,$B$1)</f>
        <v>596.44000000000005</v>
      </c>
      <c r="AG23">
        <f>_xll.EQNXTDZ($A$1,$B23,AG$1,$B$1)</f>
        <v>469.01</v>
      </c>
      <c r="AH23">
        <f>_xll.EQNXTDZ($A$1,$B23,AH$1,$B$1)</f>
        <v>660.48</v>
      </c>
      <c r="AI23">
        <f>_xll.EQNXTDZ($A$1,$B23,AI$1,$B$1)</f>
        <v>777.4</v>
      </c>
      <c r="AJ23">
        <f>_xll.EQNXTDZ($A$1,$B23,AJ$1,$B$1)</f>
        <v>559.03</v>
      </c>
      <c r="AK23">
        <f>_xll.EQNXTDZ($A$1,$B23,AK$1,$B$1)</f>
        <v>1064.6600000000001</v>
      </c>
      <c r="AL23">
        <f>_xll.EQNXTDZ($A$1,$B23,AL$1,$B$1)</f>
        <v>1028.26</v>
      </c>
      <c r="AM23">
        <f>_xll.EQNXTDZ($A$1,$B23,AM$1,$B$1)</f>
        <v>647.97</v>
      </c>
      <c r="AN23">
        <f>_xll.EQNXTDZ($A$1,$B23,AN$1,$B$1)</f>
        <v>532.14</v>
      </c>
      <c r="AO23">
        <f>_xll.EQNXTDZ($A$1,$B23,AO$1,$B$1)</f>
        <v>571.39</v>
      </c>
      <c r="AP23">
        <f>_xll.EQNXTDZ($A$1,$B23,AP$1,$B$1)</f>
        <v>515.59</v>
      </c>
      <c r="AQ23">
        <f>_xll.EQNXTDZ($A$1,$B23,AQ$1,$B$1)</f>
        <v>694.72</v>
      </c>
      <c r="AR23">
        <f>_xll.EQNXTDZ($A$1,$B23,AR$1,$B$1)</f>
        <v>738.53</v>
      </c>
      <c r="AS23">
        <f>_xll.EQNXTDZ($A$1,$B23,AS$1,$B$1)</f>
        <v>755.03</v>
      </c>
      <c r="AT23">
        <f>_xll.EQNXTDZ($A$1,$B23,AT$1,$B$1)</f>
        <v>740.91</v>
      </c>
      <c r="AU23">
        <f>_xll.EQNXTDZ($A$1,$B23,AU$1,$B$1)</f>
        <v>1145.56</v>
      </c>
      <c r="AV23">
        <f>_xll.EQNXTDZ($A$1,$B23,AV$1,$B$1)</f>
        <v>1132.98</v>
      </c>
      <c r="AW23">
        <f>_xll.EQNXTDZ($A$1,$B23,AW$1,$B$1)</f>
        <v>837.75</v>
      </c>
      <c r="AX23">
        <f>_xll.EQNXTDZ($A$1,$B23,AX$1,$B$1)</f>
        <v>1041.74</v>
      </c>
      <c r="AY23">
        <f>_xll.EQNXTDZ($A$1,$B23,AY$1,$B$1)</f>
        <v>920.64</v>
      </c>
      <c r="AZ23">
        <f>_xll.EQNXTDZ($A$1,$B23,AZ$1,$B$1)</f>
        <v>1101.27</v>
      </c>
      <c r="BA23">
        <f>_xll.EQNXTDZ($A$1,$B23,BA$1,$B$1)</f>
        <v>967.87</v>
      </c>
      <c r="BB23">
        <f>_xll.EQNXTDZ($A$1,$B23,BB$1,$B$1)</f>
        <v>1135.05</v>
      </c>
      <c r="BC23">
        <f>_xll.EQNXTDZ($A$1,$B23,BC$1,$B$1)</f>
        <v>1356.78</v>
      </c>
      <c r="BD23">
        <f>_xll.EQNXTDZ($A$1,$B23,BD$1,$B$1)</f>
        <v>1384.28</v>
      </c>
      <c r="BE23">
        <f>_xll.EQNXTDZ($A$1,$B23,BE$1,$B$1)</f>
        <v>1441.04</v>
      </c>
      <c r="BF23">
        <f>_xll.EQNXTDZ($A$1,$B23,BF$1,$B$1)</f>
        <v>1578.59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1692.83</v>
      </c>
      <c r="D24">
        <f>_xll.EQNXTDZ($A$1,$B24,D$1,$B$1)</f>
        <v>1734.77</v>
      </c>
      <c r="E24">
        <f>_xll.EQNXTDZ($A$1,$B24,E$1,$B$1)</f>
        <v>1817.77</v>
      </c>
      <c r="F24">
        <f>_xll.EQNXTDZ($A$1,$B24,F$1,$B$1)</f>
        <v>2518.7199999999998</v>
      </c>
      <c r="G24">
        <f>_xll.EQNXTDZ($A$1,$B24,G$1,$B$1)</f>
        <v>2136.37</v>
      </c>
      <c r="H24">
        <f>_xll.EQNXTDZ($A$1,$B24,H$1,$B$1)</f>
        <v>2756.36</v>
      </c>
      <c r="I24">
        <f>_xll.EQNXTDZ($A$1,$B24,I$1,$B$1)</f>
        <v>2828.95</v>
      </c>
      <c r="J24">
        <f>_xll.EQNXTDZ($A$1,$B24,J$1,$B$1)</f>
        <v>4008</v>
      </c>
      <c r="K24">
        <f>_xll.EQNXTDZ($A$1,$B24,K$1,$B$1)</f>
        <v>2788.05</v>
      </c>
      <c r="L24">
        <f>_xll.EQNXTDZ($A$1,$B24,L$1,$B$1)</f>
        <v>2548.81</v>
      </c>
      <c r="M24">
        <f>_xll.EQNXTDZ($A$1,$B24,M$1,$B$1)</f>
        <v>3122.54</v>
      </c>
      <c r="N24">
        <f>_xll.EQNXTDZ($A$1,$B24,N$1,$B$1)</f>
        <v>3884.91</v>
      </c>
      <c r="O24">
        <f>_xll.EQNXTDZ($A$1,$B24,O$1,$B$1)</f>
        <v>3115.41</v>
      </c>
      <c r="P24">
        <f>_xll.EQNXTDZ($A$1,$B24,P$1,$B$1)</f>
        <v>4027.68</v>
      </c>
      <c r="Q24">
        <f>_xll.EQNXTDZ($A$1,$B24,Q$1,$B$1)</f>
        <v>3579.41</v>
      </c>
      <c r="R24">
        <f>_xll.EQNXTDZ($A$1,$B24,R$1,$B$1)</f>
        <v>5981.11</v>
      </c>
      <c r="S24">
        <f>_xll.EQNXTDZ($A$1,$B24,S$1,$B$1)</f>
        <v>3529.09</v>
      </c>
      <c r="T24">
        <f>_xll.EQNXTDZ($A$1,$B24,T$1,$B$1)</f>
        <v>4121.92</v>
      </c>
      <c r="U24">
        <f>_xll.EQNXTDZ($A$1,$B24,U$1,$B$1)</f>
        <v>4111.91</v>
      </c>
      <c r="V24">
        <f>_xll.EQNXTDZ($A$1,$B24,V$1,$B$1)</f>
        <v>6074.05</v>
      </c>
      <c r="W24">
        <f>_xll.EQNXTDZ($A$1,$B24,W$1,$B$1)</f>
        <v>3835.01</v>
      </c>
      <c r="X24">
        <f>_xll.EQNXTDZ($A$1,$B24,X$1,$B$1)</f>
        <v>4882.2</v>
      </c>
      <c r="Y24">
        <f>_xll.EQNXTDZ($A$1,$B24,Y$1,$B$1)</f>
        <v>4883.8</v>
      </c>
      <c r="Z24">
        <f>_xll.EQNXTDZ($A$1,$B24,Z$1,$B$1)</f>
        <v>7402.16</v>
      </c>
      <c r="AA24">
        <f>_xll.EQNXTDZ($A$1,$B24,AA$1,$B$1)</f>
        <v>4640.72</v>
      </c>
      <c r="AB24">
        <f>_xll.EQNXTDZ($A$1,$B24,AB$1,$B$1)</f>
        <v>5737.61</v>
      </c>
      <c r="AC24">
        <f>_xll.EQNXTDZ($A$1,$B24,AC$1,$B$1)</f>
        <v>6316.71</v>
      </c>
      <c r="AD24">
        <f>_xll.EQNXTDZ($A$1,$B24,AD$1,$B$1)</f>
        <v>7856.76</v>
      </c>
      <c r="AE24">
        <f>_xll.EQNXTDZ($A$1,$B24,AE$1,$B$1)</f>
        <v>5781.96</v>
      </c>
      <c r="AF24">
        <f>_xll.EQNXTDZ($A$1,$B24,AF$1,$B$1)</f>
        <v>6641.58</v>
      </c>
      <c r="AG24">
        <f>_xll.EQNXTDZ($A$1,$B24,AG$1,$B$1)</f>
        <v>6591.08</v>
      </c>
      <c r="AH24">
        <f>_xll.EQNXTDZ($A$1,$B24,AH$1,$B$1)</f>
        <v>7717.15</v>
      </c>
      <c r="AI24">
        <f>_xll.EQNXTDZ($A$1,$B24,AI$1,$B$1)</f>
        <v>4501.76</v>
      </c>
      <c r="AJ24">
        <f>_xll.EQNXTDZ($A$1,$B24,AJ$1,$B$1)</f>
        <v>5878.54</v>
      </c>
      <c r="AK24">
        <f>_xll.EQNXTDZ($A$1,$B24,AK$1,$B$1)</f>
        <v>7130.5</v>
      </c>
      <c r="AL24">
        <f>_xll.EQNXTDZ($A$1,$B24,AL$1,$B$1)</f>
        <v>9233.69</v>
      </c>
      <c r="AM24">
        <f>_xll.EQNXTDZ($A$1,$B24,AM$1,$B$1)</f>
        <v>5385.25</v>
      </c>
      <c r="AN24">
        <f>_xll.EQNXTDZ($A$1,$B24,AN$1,$B$1)</f>
        <v>6018.41</v>
      </c>
      <c r="AO24">
        <f>_xll.EQNXTDZ($A$1,$B24,AO$1,$B$1)</f>
        <v>6553.6999999999898</v>
      </c>
      <c r="AP24">
        <f>_xll.EQNXTDZ($A$1,$B24,AP$1,$B$1)</f>
        <v>8474.0999999999894</v>
      </c>
      <c r="AQ24">
        <f>_xll.EQNXTDZ($A$1,$B24,AQ$1,$B$1)</f>
        <v>6104.54</v>
      </c>
      <c r="AR24">
        <f>_xll.EQNXTDZ($A$1,$B24,AR$1,$B$1)</f>
        <v>7100.69</v>
      </c>
      <c r="AS24">
        <f>_xll.EQNXTDZ($A$1,$B24,AS$1,$B$1)</f>
        <v>7408.5</v>
      </c>
      <c r="AT24">
        <f>_xll.EQNXTDZ($A$1,$B24,AT$1,$B$1)</f>
        <v>9095.1499999999905</v>
      </c>
      <c r="AU24">
        <f>_xll.EQNXTDZ($A$1,$B24,AU$1,$B$1)</f>
        <v>7461.92</v>
      </c>
      <c r="AV24">
        <f>_xll.EQNXTDZ($A$1,$B24,AV$1,$B$1)</f>
        <v>8173.4500000000098</v>
      </c>
      <c r="AW24">
        <f>_xll.EQNXTDZ($A$1,$B24,AW$1,$B$1)</f>
        <v>8036.3999999999896</v>
      </c>
      <c r="AX24">
        <f>_xll.EQNXTDZ($A$1,$B24,AX$1,$B$1)</f>
        <v>9694.7800000000007</v>
      </c>
      <c r="AY24">
        <f>_xll.EQNXTDZ($A$1,$B24,AY$1,$B$1)</f>
        <v>7966.45999999999</v>
      </c>
      <c r="AZ24">
        <f>_xll.EQNXTDZ($A$1,$B24,AZ$1,$B$1)</f>
        <v>9018.32</v>
      </c>
      <c r="BA24">
        <f>_xll.EQNXTDZ($A$1,$B24,BA$1,$B$1)</f>
        <v>8866.0300000000007</v>
      </c>
      <c r="BB24">
        <f>_xll.EQNXTDZ($A$1,$B24,BB$1,$B$1)</f>
        <v>11010.99</v>
      </c>
      <c r="BC24">
        <f>_xll.EQNXTDZ($A$1,$B24,BC$1,$B$1)</f>
        <v>9380.7900000000009</v>
      </c>
      <c r="BD24">
        <f>_xll.EQNXTDZ($A$1,$B24,BD$1,$B$1)</f>
        <v>9897.5199999999804</v>
      </c>
      <c r="BE24">
        <f>_xll.EQNXTDZ($A$1,$B24,BE$1,$B$1)</f>
        <v>10631.25</v>
      </c>
      <c r="BF24">
        <f>_xll.EQNXTDZ($A$1,$B24,BF$1,$B$1)</f>
        <v>11997.61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228.41</v>
      </c>
      <c r="D25">
        <f>_xll.EQNXTDZ($A$1,$B25,D$1,$B$1)</f>
        <v>235.02</v>
      </c>
      <c r="E25">
        <f>_xll.EQNXTDZ($A$1,$B25,E$1,$B$1)</f>
        <v>233.82</v>
      </c>
      <c r="F25">
        <f>_xll.EQNXTDZ($A$1,$B25,F$1,$B$1)</f>
        <v>263.37</v>
      </c>
      <c r="G25">
        <f>_xll.EQNXTDZ($A$1,$B25,G$1,$B$1)</f>
        <v>710.76</v>
      </c>
      <c r="H25">
        <f>_xll.EQNXTDZ($A$1,$B25,H$1,$B$1)</f>
        <v>773.68</v>
      </c>
      <c r="I25">
        <f>_xll.EQNXTDZ($A$1,$B25,I$1,$B$1)</f>
        <v>884.23</v>
      </c>
      <c r="J25">
        <f>_xll.EQNXTDZ($A$1,$B25,J$1,$B$1)</f>
        <v>787.51</v>
      </c>
      <c r="K25">
        <f>_xll.EQNXTDZ($A$1,$B25,K$1,$B$1)</f>
        <v>774.42</v>
      </c>
      <c r="L25">
        <f>_xll.EQNXTDZ($A$1,$B25,L$1,$B$1)</f>
        <v>690.51</v>
      </c>
      <c r="M25">
        <f>_xll.EQNXTDZ($A$1,$B25,M$1,$B$1)</f>
        <v>918.25</v>
      </c>
      <c r="N25">
        <f>_xll.EQNXTDZ($A$1,$B25,N$1,$B$1)</f>
        <v>468.62</v>
      </c>
      <c r="O25">
        <f>_xll.EQNXTDZ($A$1,$B25,O$1,$B$1)</f>
        <v>1580.36</v>
      </c>
      <c r="P25">
        <f>_xll.EQNXTDZ($A$1,$B25,P$1,$B$1)</f>
        <v>2013.84</v>
      </c>
      <c r="Q25">
        <f>_xll.EQNXTDZ($A$1,$B25,Q$1,$B$1)</f>
        <v>1616.6</v>
      </c>
      <c r="R25">
        <f>_xll.EQNXTDZ($A$1,$B25,R$1,$B$1)</f>
        <v>1780.75</v>
      </c>
      <c r="S25">
        <f>_xll.EQNXTDZ($A$1,$B25,S$1,$B$1)</f>
        <v>1659.14</v>
      </c>
      <c r="T25">
        <f>_xll.EQNXTDZ($A$1,$B25,T$1,$B$1)</f>
        <v>1694.65</v>
      </c>
      <c r="U25">
        <f>_xll.EQNXTDZ($A$1,$B25,U$1,$B$1)</f>
        <v>1711.22</v>
      </c>
      <c r="V25">
        <f>_xll.EQNXTDZ($A$1,$B25,V$1,$B$1)</f>
        <v>1636.11</v>
      </c>
      <c r="W25">
        <f>_xll.EQNXTDZ($A$1,$B25,W$1,$B$1)</f>
        <v>1758.48</v>
      </c>
      <c r="X25">
        <f>_xll.EQNXTDZ($A$1,$B25,X$1,$B$1)</f>
        <v>1913.37</v>
      </c>
      <c r="Y25">
        <f>_xll.EQNXTDZ($A$1,$B25,Y$1,$B$1)</f>
        <v>1889.38</v>
      </c>
      <c r="Z25">
        <f>_xll.EQNXTDZ($A$1,$B25,Z$1,$B$1)</f>
        <v>1997.02</v>
      </c>
      <c r="AA25">
        <f>_xll.EQNXTDZ($A$1,$B25,AA$1,$B$1)</f>
        <v>2018.75</v>
      </c>
      <c r="AB25">
        <f>_xll.EQNXTDZ($A$1,$B25,AB$1,$B$1)</f>
        <v>2186</v>
      </c>
      <c r="AC25">
        <f>_xll.EQNXTDZ($A$1,$B25,AC$1,$B$1)</f>
        <v>2510.21</v>
      </c>
      <c r="AD25">
        <f>_xll.EQNXTDZ($A$1,$B25,AD$1,$B$1)</f>
        <v>2473.23</v>
      </c>
      <c r="AE25">
        <f>_xll.EQNXTDZ($A$1,$B25,AE$1,$B$1)</f>
        <v>2665.27</v>
      </c>
      <c r="AF25">
        <f>_xll.EQNXTDZ($A$1,$B25,AF$1,$B$1)</f>
        <v>2709.18</v>
      </c>
      <c r="AG25">
        <f>_xll.EQNXTDZ($A$1,$B25,AG$1,$B$1)</f>
        <v>2707.62</v>
      </c>
      <c r="AH25">
        <f>_xll.EQNXTDZ($A$1,$B25,AH$1,$B$1)</f>
        <v>2756.47</v>
      </c>
      <c r="AI25">
        <f>_xll.EQNXTDZ($A$1,$B25,AI$1,$B$1)</f>
        <v>3159.79</v>
      </c>
      <c r="AJ25">
        <f>_xll.EQNXTDZ($A$1,$B25,AJ$1,$B$1)</f>
        <v>3027.22</v>
      </c>
      <c r="AK25">
        <f>_xll.EQNXTDZ($A$1,$B25,AK$1,$B$1)</f>
        <v>2747.9</v>
      </c>
      <c r="AL25">
        <f>_xll.EQNXTDZ($A$1,$B25,AL$1,$B$1)</f>
        <v>2669.57</v>
      </c>
      <c r="AM25">
        <f>_xll.EQNXTDZ($A$1,$B25,AM$1,$B$1)</f>
        <v>2393.25</v>
      </c>
      <c r="AN25">
        <f>_xll.EQNXTDZ($A$1,$B25,AN$1,$B$1)</f>
        <v>2270.7399999999998</v>
      </c>
      <c r="AO25">
        <f>_xll.EQNXTDZ($A$1,$B25,AO$1,$B$1)</f>
        <v>2267.3200000000002</v>
      </c>
      <c r="AP25">
        <f>_xll.EQNXTDZ($A$1,$B25,AP$1,$B$1)</f>
        <v>2146.9299999999998</v>
      </c>
      <c r="AQ25">
        <f>_xll.EQNXTDZ($A$1,$B25,AQ$1,$B$1)</f>
        <v>2212.46</v>
      </c>
      <c r="AR25">
        <f>_xll.EQNXTDZ($A$1,$B25,AR$1,$B$1)</f>
        <v>2303.9699999999998</v>
      </c>
      <c r="AS25">
        <f>_xll.EQNXTDZ($A$1,$B25,AS$1,$B$1)</f>
        <v>2382.88</v>
      </c>
      <c r="AT25">
        <f>_xll.EQNXTDZ($A$1,$B25,AT$1,$B$1)</f>
        <v>2334.29</v>
      </c>
      <c r="AU25">
        <f>_xll.EQNXTDZ($A$1,$B25,AU$1,$B$1)</f>
        <v>2299.08</v>
      </c>
      <c r="AV25">
        <f>_xll.EQNXTDZ($A$1,$B25,AV$1,$B$1)</f>
        <v>2272.4899999999998</v>
      </c>
      <c r="AW25">
        <f>_xll.EQNXTDZ($A$1,$B25,AW$1,$B$1)</f>
        <v>2343.8200000000002</v>
      </c>
      <c r="AX25">
        <f>_xll.EQNXTDZ($A$1,$B25,AX$1,$B$1)</f>
        <v>2345.35</v>
      </c>
      <c r="AY25">
        <f>_xll.EQNXTDZ($A$1,$B25,AY$1,$B$1)</f>
        <v>2291.89</v>
      </c>
      <c r="AZ25">
        <f>_xll.EQNXTDZ($A$1,$B25,AZ$1,$B$1)</f>
        <v>2439.39</v>
      </c>
      <c r="BA25">
        <f>_xll.EQNXTDZ($A$1,$B25,BA$1,$B$1)</f>
        <v>2486</v>
      </c>
      <c r="BB25">
        <f>_xll.EQNXTDZ($A$1,$B25,BB$1,$B$1)</f>
        <v>2419.33</v>
      </c>
      <c r="BC25">
        <f>_xll.EQNXTDZ($A$1,$B25,BC$1,$B$1)</f>
        <v>2487.96</v>
      </c>
      <c r="BD25">
        <f>_xll.EQNXTDZ($A$1,$B25,BD$1,$B$1)</f>
        <v>2469.64</v>
      </c>
      <c r="BE25">
        <f>_xll.EQNXTDZ($A$1,$B25,BE$1,$B$1)</f>
        <v>2398.5300000000002</v>
      </c>
      <c r="BF25">
        <f>_xll.EQNXTDZ($A$1,$B25,BF$1,$B$1)</f>
        <v>2488.0300000000002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-38.340000000000003</v>
      </c>
      <c r="D26">
        <f>_xll.EQNXTDZ($A$1,$B26,D$1,$B$1)</f>
        <v>214.29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67.06</v>
      </c>
      <c r="J26">
        <f>_xll.EQNXTDZ($A$1,$B26,J$1,$B$1)</f>
        <v>294.44</v>
      </c>
      <c r="K26">
        <f>_xll.EQNXTDZ($A$1,$B26,K$1,$B$1)</f>
        <v>249.28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98.42</v>
      </c>
      <c r="O26">
        <f>_xll.EQNXTDZ($A$1,$B26,O$1,$B$1)</f>
        <v>0</v>
      </c>
      <c r="P26">
        <f>_xll.EQNXTDZ($A$1,$B26,P$1,$B$1)</f>
        <v>45.69</v>
      </c>
      <c r="Q26">
        <f>_xll.EQNXTDZ($A$1,$B26,Q$1,$B$1)</f>
        <v>0</v>
      </c>
      <c r="R26">
        <f>_xll.EQNXTDZ($A$1,$B26,R$1,$B$1)</f>
        <v>48.52</v>
      </c>
      <c r="S26">
        <f>_xll.EQNXTDZ($A$1,$B26,S$1,$B$1)</f>
        <v>0</v>
      </c>
      <c r="T26">
        <f>_xll.EQNXTDZ($A$1,$B26,T$1,$B$1)</f>
        <v>402.43</v>
      </c>
      <c r="U26">
        <f>_xll.EQNXTDZ($A$1,$B26,U$1,$B$1)</f>
        <v>0</v>
      </c>
      <c r="V26">
        <f>_xll.EQNXTDZ($A$1,$B26,V$1,$B$1)</f>
        <v>-281</v>
      </c>
      <c r="W26">
        <f>_xll.EQNXTDZ($A$1,$B26,W$1,$B$1)</f>
        <v>0</v>
      </c>
      <c r="X26">
        <f>_xll.EQNXTDZ($A$1,$B26,X$1,$B$1)</f>
        <v>136.74</v>
      </c>
      <c r="Y26">
        <f>_xll.EQNXTDZ($A$1,$B26,Y$1,$B$1)</f>
        <v>-13.75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294.75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224.72</v>
      </c>
      <c r="AJ26">
        <f>_xll.EQNXTDZ($A$1,$B26,AJ$1,$B$1)</f>
        <v>-3732.3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96.93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135.99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93.61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474.78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-1343.76</v>
      </c>
      <c r="BF26">
        <f>_xll.EQNXTDZ($A$1,$B26,BF$1,$B$1)</f>
        <v>68.650000000000006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1426.08</v>
      </c>
      <c r="D27">
        <f>_xll.EQNXTDZ($A$1,$B27,D$1,$B$1)</f>
        <v>1714.04</v>
      </c>
      <c r="E27">
        <f>_xll.EQNXTDZ($A$1,$B27,E$1,$B$1)</f>
        <v>1583.95</v>
      </c>
      <c r="F27">
        <f>_xll.EQNXTDZ($A$1,$B27,F$1,$B$1)</f>
        <v>2255.35</v>
      </c>
      <c r="G27">
        <f>_xll.EQNXTDZ($A$1,$B27,G$1,$B$1)</f>
        <v>1425.61</v>
      </c>
      <c r="H27">
        <f>_xll.EQNXTDZ($A$1,$B27,H$1,$B$1)</f>
        <v>1982.68</v>
      </c>
      <c r="I27">
        <f>_xll.EQNXTDZ($A$1,$B27,I$1,$B$1)</f>
        <v>2011.78</v>
      </c>
      <c r="J27">
        <f>_xll.EQNXTDZ($A$1,$B27,J$1,$B$1)</f>
        <v>3514.93</v>
      </c>
      <c r="K27">
        <f>_xll.EQNXTDZ($A$1,$B27,K$1,$B$1)</f>
        <v>2262.91</v>
      </c>
      <c r="L27">
        <f>_xll.EQNXTDZ($A$1,$B27,L$1,$B$1)</f>
        <v>1858.3</v>
      </c>
      <c r="M27">
        <f>_xll.EQNXTDZ($A$1,$B27,M$1,$B$1)</f>
        <v>2204.29</v>
      </c>
      <c r="N27">
        <f>_xll.EQNXTDZ($A$1,$B27,N$1,$B$1)</f>
        <v>3514.71</v>
      </c>
      <c r="O27">
        <f>_xll.EQNXTDZ($A$1,$B27,O$1,$B$1)</f>
        <v>1535.05</v>
      </c>
      <c r="P27">
        <f>_xll.EQNXTDZ($A$1,$B27,P$1,$B$1)</f>
        <v>2059.5300000000002</v>
      </c>
      <c r="Q27">
        <f>_xll.EQNXTDZ($A$1,$B27,Q$1,$B$1)</f>
        <v>1962.81</v>
      </c>
      <c r="R27">
        <f>_xll.EQNXTDZ($A$1,$B27,R$1,$B$1)</f>
        <v>4248.88</v>
      </c>
      <c r="S27">
        <f>_xll.EQNXTDZ($A$1,$B27,S$1,$B$1)</f>
        <v>1869.95</v>
      </c>
      <c r="T27">
        <f>_xll.EQNXTDZ($A$1,$B27,T$1,$B$1)</f>
        <v>2829.7</v>
      </c>
      <c r="U27">
        <f>_xll.EQNXTDZ($A$1,$B27,U$1,$B$1)</f>
        <v>2400.69</v>
      </c>
      <c r="V27">
        <f>_xll.EQNXTDZ($A$1,$B27,V$1,$B$1)</f>
        <v>4156.9399999999996</v>
      </c>
      <c r="W27">
        <f>_xll.EQNXTDZ($A$1,$B27,W$1,$B$1)</f>
        <v>2076.5300000000002</v>
      </c>
      <c r="X27">
        <f>_xll.EQNXTDZ($A$1,$B27,X$1,$B$1)</f>
        <v>3105.57</v>
      </c>
      <c r="Y27">
        <f>_xll.EQNXTDZ($A$1,$B27,Y$1,$B$1)</f>
        <v>2980.67</v>
      </c>
      <c r="Z27">
        <f>_xll.EQNXTDZ($A$1,$B27,Z$1,$B$1)</f>
        <v>5405.14</v>
      </c>
      <c r="AA27">
        <f>_xll.EQNXTDZ($A$1,$B27,AA$1,$B$1)</f>
        <v>2621.97</v>
      </c>
      <c r="AB27">
        <f>_xll.EQNXTDZ($A$1,$B27,AB$1,$B$1)</f>
        <v>3846.36</v>
      </c>
      <c r="AC27">
        <f>_xll.EQNXTDZ($A$1,$B27,AC$1,$B$1)</f>
        <v>3806.5</v>
      </c>
      <c r="AD27">
        <f>_xll.EQNXTDZ($A$1,$B27,AD$1,$B$1)</f>
        <v>5383.53</v>
      </c>
      <c r="AE27">
        <f>_xll.EQNXTDZ($A$1,$B27,AE$1,$B$1)</f>
        <v>3116.69</v>
      </c>
      <c r="AF27">
        <f>_xll.EQNXTDZ($A$1,$B27,AF$1,$B$1)</f>
        <v>3932.4</v>
      </c>
      <c r="AG27">
        <f>_xll.EQNXTDZ($A$1,$B27,AG$1,$B$1)</f>
        <v>3883.46</v>
      </c>
      <c r="AH27">
        <f>_xll.EQNXTDZ($A$1,$B27,AH$1,$B$1)</f>
        <v>4960.68</v>
      </c>
      <c r="AI27">
        <f>_xll.EQNXTDZ($A$1,$B27,AI$1,$B$1)</f>
        <v>1566.69</v>
      </c>
      <c r="AJ27">
        <f>_xll.EQNXTDZ($A$1,$B27,AJ$1,$B$1)</f>
        <v>-880.97999999999797</v>
      </c>
      <c r="AK27">
        <f>_xll.EQNXTDZ($A$1,$B27,AK$1,$B$1)</f>
        <v>4382.6000000000004</v>
      </c>
      <c r="AL27">
        <f>_xll.EQNXTDZ($A$1,$B27,AL$1,$B$1)</f>
        <v>6564.12</v>
      </c>
      <c r="AM27">
        <f>_xll.EQNXTDZ($A$1,$B27,AM$1,$B$1)</f>
        <v>2992</v>
      </c>
      <c r="AN27">
        <f>_xll.EQNXTDZ($A$1,$B27,AN$1,$B$1)</f>
        <v>3844.6</v>
      </c>
      <c r="AO27">
        <f>_xll.EQNXTDZ($A$1,$B27,AO$1,$B$1)</f>
        <v>4286.3799999999901</v>
      </c>
      <c r="AP27">
        <f>_xll.EQNXTDZ($A$1,$B27,AP$1,$B$1)</f>
        <v>6327.1699999999901</v>
      </c>
      <c r="AQ27">
        <f>_xll.EQNXTDZ($A$1,$B27,AQ$1,$B$1)</f>
        <v>3892.08</v>
      </c>
      <c r="AR27">
        <f>_xll.EQNXTDZ($A$1,$B27,AR$1,$B$1)</f>
        <v>4796.72</v>
      </c>
      <c r="AS27">
        <f>_xll.EQNXTDZ($A$1,$B27,AS$1,$B$1)</f>
        <v>5161.6099999999997</v>
      </c>
      <c r="AT27">
        <f>_xll.EQNXTDZ($A$1,$B27,AT$1,$B$1)</f>
        <v>6760.8599999999897</v>
      </c>
      <c r="AU27">
        <f>_xll.EQNXTDZ($A$1,$B27,AU$1,$B$1)</f>
        <v>5162.84</v>
      </c>
      <c r="AV27">
        <f>_xll.EQNXTDZ($A$1,$B27,AV$1,$B$1)</f>
        <v>5900.96000000001</v>
      </c>
      <c r="AW27">
        <f>_xll.EQNXTDZ($A$1,$B27,AW$1,$B$1)</f>
        <v>5692.5799999999899</v>
      </c>
      <c r="AX27">
        <f>_xll.EQNXTDZ($A$1,$B27,AX$1,$B$1)</f>
        <v>7443.04000000001</v>
      </c>
      <c r="AY27">
        <f>_xll.EQNXTDZ($A$1,$B27,AY$1,$B$1)</f>
        <v>5674.5699999999897</v>
      </c>
      <c r="AZ27">
        <f>_xll.EQNXTDZ($A$1,$B27,AZ$1,$B$1)</f>
        <v>6578.93</v>
      </c>
      <c r="BA27">
        <f>_xll.EQNXTDZ($A$1,$B27,BA$1,$B$1)</f>
        <v>6380.03</v>
      </c>
      <c r="BB27">
        <f>_xll.EQNXTDZ($A$1,$B27,BB$1,$B$1)</f>
        <v>9066.4400000000096</v>
      </c>
      <c r="BC27">
        <f>_xll.EQNXTDZ($A$1,$B27,BC$1,$B$1)</f>
        <v>6892.83</v>
      </c>
      <c r="BD27">
        <f>_xll.EQNXTDZ($A$1,$B27,BD$1,$B$1)</f>
        <v>7427.8799999999801</v>
      </c>
      <c r="BE27">
        <f>_xll.EQNXTDZ($A$1,$B27,BE$1,$B$1)</f>
        <v>6888.96000000001</v>
      </c>
      <c r="BF27">
        <f>_xll.EQNXTDZ($A$1,$B27,BF$1,$B$1)</f>
        <v>9578.23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191.94</v>
      </c>
      <c r="D28">
        <f>_xll.EQNXTDZ($A$1,$B28,D$1,$B$1)</f>
        <v>203.96</v>
      </c>
      <c r="E28">
        <f>_xll.EQNXTDZ($A$1,$B28,E$1,$B$1)</f>
        <v>177.87</v>
      </c>
      <c r="F28">
        <f>_xll.EQNXTDZ($A$1,$B28,F$1,$B$1)</f>
        <v>196.85</v>
      </c>
      <c r="G28">
        <f>_xll.EQNXTDZ($A$1,$B28,G$1,$B$1)</f>
        <v>556.66</v>
      </c>
      <c r="H28">
        <f>_xll.EQNXTDZ($A$1,$B28,H$1,$B$1)</f>
        <v>587.29</v>
      </c>
      <c r="I28">
        <f>_xll.EQNXTDZ($A$1,$B28,I$1,$B$1)</f>
        <v>587.79</v>
      </c>
      <c r="J28">
        <f>_xll.EQNXTDZ($A$1,$B28,J$1,$B$1)</f>
        <v>-285.97000000000003</v>
      </c>
      <c r="K28">
        <f>_xll.EQNXTDZ($A$1,$B28,K$1,$B$1)</f>
        <v>807.33</v>
      </c>
      <c r="L28">
        <f>_xll.EQNXTDZ($A$1,$B28,L$1,$B$1)</f>
        <v>548.57000000000005</v>
      </c>
      <c r="M28">
        <f>_xll.EQNXTDZ($A$1,$B28,M$1,$B$1)</f>
        <v>679.07</v>
      </c>
      <c r="N28">
        <f>_xll.EQNXTDZ($A$1,$B28,N$1,$B$1)</f>
        <v>588</v>
      </c>
      <c r="O28">
        <f>_xll.EQNXTDZ($A$1,$B28,O$1,$B$1)</f>
        <v>465.83</v>
      </c>
      <c r="P28">
        <f>_xll.EQNXTDZ($A$1,$B28,P$1,$B$1)</f>
        <v>528.54999999999995</v>
      </c>
      <c r="Q28">
        <f>_xll.EQNXTDZ($A$1,$B28,Q$1,$B$1)</f>
        <v>367.97</v>
      </c>
      <c r="R28">
        <f>_xll.EQNXTDZ($A$1,$B28,R$1,$B$1)</f>
        <v>424.36</v>
      </c>
      <c r="S28">
        <f>_xll.EQNXTDZ($A$1,$B28,S$1,$B$1)</f>
        <v>464.78</v>
      </c>
      <c r="T28">
        <f>_xll.EQNXTDZ($A$1,$B28,T$1,$B$1)</f>
        <v>460.15</v>
      </c>
      <c r="U28">
        <f>_xll.EQNXTDZ($A$1,$B28,U$1,$B$1)</f>
        <v>722.29</v>
      </c>
      <c r="V28">
        <f>_xll.EQNXTDZ($A$1,$B28,V$1,$B$1)</f>
        <v>722.7</v>
      </c>
      <c r="W28">
        <f>_xll.EQNXTDZ($A$1,$B28,W$1,$B$1)</f>
        <v>551.27</v>
      </c>
      <c r="X28">
        <f>_xll.EQNXTDZ($A$1,$B28,X$1,$B$1)</f>
        <v>430.59</v>
      </c>
      <c r="Y28">
        <f>_xll.EQNXTDZ($A$1,$B28,Y$1,$B$1)</f>
        <v>454.49</v>
      </c>
      <c r="Z28">
        <f>_xll.EQNXTDZ($A$1,$B28,Z$1,$B$1)</f>
        <v>492.39</v>
      </c>
      <c r="AA28">
        <f>_xll.EQNXTDZ($A$1,$B28,AA$1,$B$1)</f>
        <v>604.72</v>
      </c>
      <c r="AB28">
        <f>_xll.EQNXTDZ($A$1,$B28,AB$1,$B$1)</f>
        <v>477.6</v>
      </c>
      <c r="AC28">
        <f>_xll.EQNXTDZ($A$1,$B28,AC$1,$B$1)</f>
        <v>405.28</v>
      </c>
      <c r="AD28">
        <f>_xll.EQNXTDZ($A$1,$B28,AD$1,$B$1)</f>
        <v>435.43</v>
      </c>
      <c r="AE28">
        <f>_xll.EQNXTDZ($A$1,$B28,AE$1,$B$1)</f>
        <v>461.46</v>
      </c>
      <c r="AF28">
        <f>_xll.EQNXTDZ($A$1,$B28,AF$1,$B$1)</f>
        <v>629.65</v>
      </c>
      <c r="AG28">
        <f>_xll.EQNXTDZ($A$1,$B28,AG$1,$B$1)</f>
        <v>660.23</v>
      </c>
      <c r="AH28">
        <f>_xll.EQNXTDZ($A$1,$B28,AH$1,$B$1)</f>
        <v>710.94</v>
      </c>
      <c r="AI28">
        <f>_xll.EQNXTDZ($A$1,$B28,AI$1,$B$1)</f>
        <v>672.23</v>
      </c>
      <c r="AJ28">
        <f>_xll.EQNXTDZ($A$1,$B28,AJ$1,$B$1)</f>
        <v>713.12</v>
      </c>
      <c r="AK28">
        <f>_xll.EQNXTDZ($A$1,$B28,AK$1,$B$1)</f>
        <v>702.1</v>
      </c>
      <c r="AL28">
        <f>_xll.EQNXTDZ($A$1,$B28,AL$1,$B$1)</f>
        <v>816.76</v>
      </c>
      <c r="AM28">
        <f>_xll.EQNXTDZ($A$1,$B28,AM$1,$B$1)</f>
        <v>717.38</v>
      </c>
      <c r="AN28">
        <f>_xll.EQNXTDZ($A$1,$B28,AN$1,$B$1)</f>
        <v>728.75</v>
      </c>
      <c r="AO28">
        <f>_xll.EQNXTDZ($A$1,$B28,AO$1,$B$1)</f>
        <v>732.46</v>
      </c>
      <c r="AP28">
        <f>_xll.EQNXTDZ($A$1,$B28,AP$1,$B$1)</f>
        <v>769.36</v>
      </c>
      <c r="AQ28">
        <f>_xll.EQNXTDZ($A$1,$B28,AQ$1,$B$1)</f>
        <v>963.4</v>
      </c>
      <c r="AR28">
        <f>_xll.EQNXTDZ($A$1,$B28,AR$1,$B$1)</f>
        <v>860.17</v>
      </c>
      <c r="AS28">
        <f>_xll.EQNXTDZ($A$1,$B28,AS$1,$B$1)</f>
        <v>825.18</v>
      </c>
      <c r="AT28">
        <f>_xll.EQNXTDZ($A$1,$B28,AT$1,$B$1)</f>
        <v>853.5</v>
      </c>
      <c r="AU28">
        <f>_xll.EQNXTDZ($A$1,$B28,AU$1,$B$1)</f>
        <v>830.47</v>
      </c>
      <c r="AV28">
        <f>_xll.EQNXTDZ($A$1,$B28,AV$1,$B$1)</f>
        <v>909.89</v>
      </c>
      <c r="AW28">
        <f>_xll.EQNXTDZ($A$1,$B28,AW$1,$B$1)</f>
        <v>920.75</v>
      </c>
      <c r="AX28">
        <f>_xll.EQNXTDZ($A$1,$B28,AX$1,$B$1)</f>
        <v>1021.2</v>
      </c>
      <c r="AY28">
        <f>_xll.EQNXTDZ($A$1,$B28,AY$1,$B$1)</f>
        <v>997.92</v>
      </c>
      <c r="AZ28">
        <f>_xll.EQNXTDZ($A$1,$B28,AZ$1,$B$1)</f>
        <v>1023.84</v>
      </c>
      <c r="BA28">
        <f>_xll.EQNXTDZ($A$1,$B28,BA$1,$B$1)</f>
        <v>1047</v>
      </c>
      <c r="BB28">
        <f>_xll.EQNXTDZ($A$1,$B28,BB$1,$B$1)</f>
        <v>1052.42</v>
      </c>
      <c r="BC28">
        <f>_xll.EQNXTDZ($A$1,$B28,BC$1,$B$1)</f>
        <v>1033.3</v>
      </c>
      <c r="BD28">
        <f>_xll.EQNXTDZ($A$1,$B28,BD$1,$B$1)</f>
        <v>1091.77</v>
      </c>
      <c r="BE28">
        <f>_xll.EQNXTDZ($A$1,$B28,BE$1,$B$1)</f>
        <v>1071.74</v>
      </c>
      <c r="BF28">
        <f>_xll.EQNXTDZ($A$1,$B28,BF$1,$B$1)</f>
        <v>1167.95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370.49</v>
      </c>
      <c r="D29">
        <f>_xll.EQNXTDZ($A$1,$B29,D$1,$B$1)</f>
        <v>425.66</v>
      </c>
      <c r="E29">
        <f>_xll.EQNXTDZ($A$1,$B29,E$1,$B$1)</f>
        <v>392.85</v>
      </c>
      <c r="F29">
        <f>_xll.EQNXTDZ($A$1,$B29,F$1,$B$1)</f>
        <v>467.31</v>
      </c>
      <c r="G29">
        <f>_xll.EQNXTDZ($A$1,$B29,G$1,$B$1)</f>
        <v>472.02</v>
      </c>
      <c r="H29">
        <f>_xll.EQNXTDZ($A$1,$B29,H$1,$B$1)</f>
        <v>598.79999999999995</v>
      </c>
      <c r="I29">
        <f>_xll.EQNXTDZ($A$1,$B29,I$1,$B$1)</f>
        <v>669.43</v>
      </c>
      <c r="J29">
        <f>_xll.EQNXTDZ($A$1,$B29,J$1,$B$1)</f>
        <v>888.14</v>
      </c>
      <c r="K29">
        <f>_xll.EQNXTDZ($A$1,$B29,K$1,$B$1)</f>
        <v>448.98</v>
      </c>
      <c r="L29">
        <f>_xll.EQNXTDZ($A$1,$B29,L$1,$B$1)</f>
        <v>469.18</v>
      </c>
      <c r="M29">
        <f>_xll.EQNXTDZ($A$1,$B29,M$1,$B$1)</f>
        <v>569.30999999999995</v>
      </c>
      <c r="N29">
        <f>_xll.EQNXTDZ($A$1,$B29,N$1,$B$1)</f>
        <v>765.77</v>
      </c>
      <c r="O29">
        <f>_xll.EQNXTDZ($A$1,$B29,O$1,$B$1)</f>
        <v>428.24</v>
      </c>
      <c r="P29">
        <f>_xll.EQNXTDZ($A$1,$B29,P$1,$B$1)</f>
        <v>534.67999999999995</v>
      </c>
      <c r="Q29">
        <f>_xll.EQNXTDZ($A$1,$B29,Q$1,$B$1)</f>
        <v>512.37</v>
      </c>
      <c r="R29">
        <f>_xll.EQNXTDZ($A$1,$B29,R$1,$B$1)</f>
        <v>1009.43</v>
      </c>
      <c r="S29">
        <f>_xll.EQNXTDZ($A$1,$B29,S$1,$B$1)</f>
        <v>548.79999999999995</v>
      </c>
      <c r="T29">
        <f>_xll.EQNXTDZ($A$1,$B29,T$1,$B$1)</f>
        <v>680.71</v>
      </c>
      <c r="U29">
        <f>_xll.EQNXTDZ($A$1,$B29,U$1,$B$1)</f>
        <v>439.85</v>
      </c>
      <c r="V29">
        <f>_xll.EQNXTDZ($A$1,$B29,V$1,$B$1)</f>
        <v>337.22</v>
      </c>
      <c r="W29">
        <f>_xll.EQNXTDZ($A$1,$B29,W$1,$B$1)</f>
        <v>459.72</v>
      </c>
      <c r="X29">
        <f>_xll.EQNXTDZ($A$1,$B29,X$1,$B$1)</f>
        <v>543.94000000000005</v>
      </c>
      <c r="Y29">
        <f>_xll.EQNXTDZ($A$1,$B29,Y$1,$B$1)</f>
        <v>737.24</v>
      </c>
      <c r="Z29">
        <f>_xll.EQNXTDZ($A$1,$B29,Z$1,$B$1)</f>
        <v>1457.98</v>
      </c>
      <c r="AA29">
        <f>_xll.EQNXTDZ($A$1,$B29,AA$1,$B$1)</f>
        <v>889.56</v>
      </c>
      <c r="AB29">
        <f>_xll.EQNXTDZ($A$1,$B29,AB$1,$B$1)</f>
        <v>817.07</v>
      </c>
      <c r="AC29">
        <f>_xll.EQNXTDZ($A$1,$B29,AC$1,$B$1)</f>
        <v>1126.07</v>
      </c>
      <c r="AD29">
        <f>_xll.EQNXTDZ($A$1,$B29,AD$1,$B$1)</f>
        <v>1234.3800000000001</v>
      </c>
      <c r="AE29">
        <f>_xll.EQNXTDZ($A$1,$B29,AE$1,$B$1)</f>
        <v>794.79</v>
      </c>
      <c r="AF29">
        <f>_xll.EQNXTDZ($A$1,$B29,AF$1,$B$1)</f>
        <v>791.12</v>
      </c>
      <c r="AG29">
        <f>_xll.EQNXTDZ($A$1,$B29,AG$1,$B$1)</f>
        <v>711</v>
      </c>
      <c r="AH29">
        <f>_xll.EQNXTDZ($A$1,$B29,AH$1,$B$1)</f>
        <v>966.29</v>
      </c>
      <c r="AI29">
        <f>_xll.EQNXTDZ($A$1,$B29,AI$1,$B$1)</f>
        <v>256.44</v>
      </c>
      <c r="AJ29">
        <f>_xll.EQNXTDZ($A$1,$B29,AJ$1,$B$1)</f>
        <v>675.36</v>
      </c>
      <c r="AK29">
        <f>_xll.EQNXTDZ($A$1,$B29,AK$1,$B$1)</f>
        <v>1040.75</v>
      </c>
      <c r="AL29">
        <f>_xll.EQNXTDZ($A$1,$B29,AL$1,$B$1)</f>
        <v>2086.71</v>
      </c>
      <c r="AM29">
        <f>_xll.EQNXTDZ($A$1,$B29,AM$1,$B$1)</f>
        <v>718.44</v>
      </c>
      <c r="AN29">
        <f>_xll.EQNXTDZ($A$1,$B29,AN$1,$B$1)</f>
        <v>884.52</v>
      </c>
      <c r="AO29">
        <f>_xll.EQNXTDZ($A$1,$B29,AO$1,$B$1)</f>
        <v>1057.06</v>
      </c>
      <c r="AP29">
        <f>_xll.EQNXTDZ($A$1,$B29,AP$1,$B$1)</f>
        <v>1551.15</v>
      </c>
      <c r="AQ29">
        <f>_xll.EQNXTDZ($A$1,$B29,AQ$1,$B$1)</f>
        <v>635.66999999999996</v>
      </c>
      <c r="AR29">
        <f>_xll.EQNXTDZ($A$1,$B29,AR$1,$B$1)</f>
        <v>1117.3499999999999</v>
      </c>
      <c r="AS29">
        <f>_xll.EQNXTDZ($A$1,$B29,AS$1,$B$1)</f>
        <v>1270.5</v>
      </c>
      <c r="AT29">
        <f>_xll.EQNXTDZ($A$1,$B29,AT$1,$B$1)</f>
        <v>1460.62</v>
      </c>
      <c r="AU29">
        <f>_xll.EQNXTDZ($A$1,$B29,AU$1,$B$1)</f>
        <v>1216.25</v>
      </c>
      <c r="AV29">
        <f>_xll.EQNXTDZ($A$1,$B29,AV$1,$B$1)</f>
        <v>1135.52</v>
      </c>
      <c r="AW29">
        <f>_xll.EQNXTDZ($A$1,$B29,AW$1,$B$1)</f>
        <v>1177.32</v>
      </c>
      <c r="AX29">
        <f>_xll.EQNXTDZ($A$1,$B29,AX$1,$B$1)</f>
        <v>1418.3</v>
      </c>
      <c r="AY29">
        <f>_xll.EQNXTDZ($A$1,$B29,AY$1,$B$1)</f>
        <v>1236.54</v>
      </c>
      <c r="AZ29">
        <f>_xll.EQNXTDZ($A$1,$B29,AZ$1,$B$1)</f>
        <v>1442.28</v>
      </c>
      <c r="BA29">
        <f>_xll.EQNXTDZ($A$1,$B29,BA$1,$B$1)</f>
        <v>1332</v>
      </c>
      <c r="BB29">
        <f>_xll.EQNXTDZ($A$1,$B29,BB$1,$B$1)</f>
        <v>1880.58</v>
      </c>
      <c r="BC29">
        <f>_xll.EQNXTDZ($A$1,$B29,BC$1,$B$1)</f>
        <v>1533.96</v>
      </c>
      <c r="BD29">
        <f>_xll.EQNXTDZ($A$1,$B29,BD$1,$B$1)</f>
        <v>1649.02</v>
      </c>
      <c r="BE29">
        <f>_xll.EQNXTDZ($A$1,$B29,BE$1,$B$1)</f>
        <v>1987.99</v>
      </c>
      <c r="BF29">
        <f>_xll.EQNXTDZ($A$1,$B29,BF$1,$B$1)</f>
        <v>2092.75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863.65</v>
      </c>
      <c r="D30">
        <f>_xll.EQNXTDZ($A$1,$B30,D$1,$B$1)</f>
        <v>1084.42</v>
      </c>
      <c r="E30">
        <f>_xll.EQNXTDZ($A$1,$B30,E$1,$B$1)</f>
        <v>1013.23</v>
      </c>
      <c r="F30">
        <f>_xll.EQNXTDZ($A$1,$B30,F$1,$B$1)</f>
        <v>1591.19</v>
      </c>
      <c r="G30">
        <f>_xll.EQNXTDZ($A$1,$B30,G$1,$B$1)</f>
        <v>396.93</v>
      </c>
      <c r="H30">
        <f>_xll.EQNXTDZ($A$1,$B30,H$1,$B$1)</f>
        <v>796.59</v>
      </c>
      <c r="I30">
        <f>_xll.EQNXTDZ($A$1,$B30,I$1,$B$1)</f>
        <v>754.56</v>
      </c>
      <c r="J30">
        <f>_xll.EQNXTDZ($A$1,$B30,J$1,$B$1)</f>
        <v>2912.76</v>
      </c>
      <c r="K30">
        <f>_xll.EQNXTDZ($A$1,$B30,K$1,$B$1)</f>
        <v>1006.6</v>
      </c>
      <c r="L30">
        <f>_xll.EQNXTDZ($A$1,$B30,L$1,$B$1)</f>
        <v>840.55</v>
      </c>
      <c r="M30">
        <f>_xll.EQNXTDZ($A$1,$B30,M$1,$B$1)</f>
        <v>955.91</v>
      </c>
      <c r="N30">
        <f>_xll.EQNXTDZ($A$1,$B30,N$1,$B$1)</f>
        <v>2160.94</v>
      </c>
      <c r="O30">
        <f>_xll.EQNXTDZ($A$1,$B30,O$1,$B$1)</f>
        <v>640.98</v>
      </c>
      <c r="P30">
        <f>_xll.EQNXTDZ($A$1,$B30,P$1,$B$1)</f>
        <v>996.3</v>
      </c>
      <c r="Q30">
        <f>_xll.EQNXTDZ($A$1,$B30,Q$1,$B$1)</f>
        <v>1082.47</v>
      </c>
      <c r="R30">
        <f>_xll.EQNXTDZ($A$1,$B30,R$1,$B$1)</f>
        <v>2815.09</v>
      </c>
      <c r="S30">
        <f>_xll.EQNXTDZ($A$1,$B30,S$1,$B$1)</f>
        <v>856.37</v>
      </c>
      <c r="T30">
        <f>_xll.EQNXTDZ($A$1,$B30,T$1,$B$1)</f>
        <v>1688.84</v>
      </c>
      <c r="U30">
        <f>_xll.EQNXTDZ($A$1,$B30,U$1,$B$1)</f>
        <v>1238.55</v>
      </c>
      <c r="V30">
        <f>_xll.EQNXTDZ($A$1,$B30,V$1,$B$1)</f>
        <v>3097.02</v>
      </c>
      <c r="W30">
        <f>_xll.EQNXTDZ($A$1,$B30,W$1,$B$1)</f>
        <v>1065.54</v>
      </c>
      <c r="X30">
        <f>_xll.EQNXTDZ($A$1,$B30,X$1,$B$1)</f>
        <v>2131.04</v>
      </c>
      <c r="Y30">
        <f>_xll.EQNXTDZ($A$1,$B30,Y$1,$B$1)</f>
        <v>1788.94</v>
      </c>
      <c r="Z30">
        <f>_xll.EQNXTDZ($A$1,$B30,Z$1,$B$1)</f>
        <v>3454.77</v>
      </c>
      <c r="AA30">
        <f>_xll.EQNXTDZ($A$1,$B30,AA$1,$B$1)</f>
        <v>1127.69</v>
      </c>
      <c r="AB30">
        <f>_xll.EQNXTDZ($A$1,$B30,AB$1,$B$1)</f>
        <v>2551.69</v>
      </c>
      <c r="AC30">
        <f>_xll.EQNXTDZ($A$1,$B30,AC$1,$B$1)</f>
        <v>2275.15</v>
      </c>
      <c r="AD30">
        <f>_xll.EQNXTDZ($A$1,$B30,AD$1,$B$1)</f>
        <v>3713.72</v>
      </c>
      <c r="AE30">
        <f>_xll.EQNXTDZ($A$1,$B30,AE$1,$B$1)</f>
        <v>1860.44</v>
      </c>
      <c r="AF30">
        <f>_xll.EQNXTDZ($A$1,$B30,AF$1,$B$1)</f>
        <v>2511.63</v>
      </c>
      <c r="AG30">
        <f>_xll.EQNXTDZ($A$1,$B30,AG$1,$B$1)</f>
        <v>2512.23</v>
      </c>
      <c r="AH30">
        <f>_xll.EQNXTDZ($A$1,$B30,AH$1,$B$1)</f>
        <v>3283.45</v>
      </c>
      <c r="AI30">
        <f>_xll.EQNXTDZ($A$1,$B30,AI$1,$B$1)</f>
        <v>638.02000000000396</v>
      </c>
      <c r="AJ30">
        <f>_xll.EQNXTDZ($A$1,$B30,AJ$1,$B$1)</f>
        <v>-2269.46</v>
      </c>
      <c r="AK30">
        <f>_xll.EQNXTDZ($A$1,$B30,AK$1,$B$1)</f>
        <v>2639.75</v>
      </c>
      <c r="AL30">
        <f>_xll.EQNXTDZ($A$1,$B30,AL$1,$B$1)</f>
        <v>3660.65</v>
      </c>
      <c r="AM30">
        <f>_xll.EQNXTDZ($A$1,$B30,AM$1,$B$1)</f>
        <v>1556.18</v>
      </c>
      <c r="AN30">
        <f>_xll.EQNXTDZ($A$1,$B30,AN$1,$B$1)</f>
        <v>2231.33</v>
      </c>
      <c r="AO30">
        <f>_xll.EQNXTDZ($A$1,$B30,AO$1,$B$1)</f>
        <v>2496.8599999999901</v>
      </c>
      <c r="AP30">
        <f>_xll.EQNXTDZ($A$1,$B30,AP$1,$B$1)</f>
        <v>4006.6599999999899</v>
      </c>
      <c r="AQ30">
        <f>_xll.EQNXTDZ($A$1,$B30,AQ$1,$B$1)</f>
        <v>2293.0100000000002</v>
      </c>
      <c r="AR30">
        <f>_xll.EQNXTDZ($A$1,$B30,AR$1,$B$1)</f>
        <v>2819.2</v>
      </c>
      <c r="AS30">
        <f>_xll.EQNXTDZ($A$1,$B30,AS$1,$B$1)</f>
        <v>3065.93</v>
      </c>
      <c r="AT30">
        <f>_xll.EQNXTDZ($A$1,$B30,AT$1,$B$1)</f>
        <v>4446.74</v>
      </c>
      <c r="AU30">
        <f>_xll.EQNXTDZ($A$1,$B30,AU$1,$B$1)</f>
        <v>3116.12</v>
      </c>
      <c r="AV30">
        <f>_xll.EQNXTDZ($A$1,$B30,AV$1,$B$1)</f>
        <v>3855.5500000000102</v>
      </c>
      <c r="AW30">
        <f>_xll.EQNXTDZ($A$1,$B30,AW$1,$B$1)</f>
        <v>3594.5099999999902</v>
      </c>
      <c r="AX30">
        <f>_xll.EQNXTDZ($A$1,$B30,AX$1,$B$1)</f>
        <v>5003.54000000001</v>
      </c>
      <c r="AY30">
        <f>_xll.EQNXTDZ($A$1,$B30,AY$1,$B$1)</f>
        <v>3440.1099999999901</v>
      </c>
      <c r="AZ30">
        <f>_xll.EQNXTDZ($A$1,$B30,AZ$1,$B$1)</f>
        <v>4112.8100000000004</v>
      </c>
      <c r="BA30">
        <f>_xll.EQNXTDZ($A$1,$B30,BA$1,$B$1)</f>
        <v>4001.03</v>
      </c>
      <c r="BB30">
        <f>_xll.EQNXTDZ($A$1,$B30,BB$1,$B$1)</f>
        <v>6133.4400000000096</v>
      </c>
      <c r="BC30">
        <f>_xll.EQNXTDZ($A$1,$B30,BC$1,$B$1)</f>
        <v>4325.57</v>
      </c>
      <c r="BD30">
        <f>_xll.EQNXTDZ($A$1,$B30,BD$1,$B$1)</f>
        <v>4687.0899999999801</v>
      </c>
      <c r="BE30">
        <f>_xll.EQNXTDZ($A$1,$B30,BE$1,$B$1)</f>
        <v>3829.23000000001</v>
      </c>
      <c r="BF30">
        <f>_xll.EQNXTDZ($A$1,$B30,BF$1,$B$1)</f>
        <v>6317.53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52.89</v>
      </c>
      <c r="E31">
        <f>_xll.EQNXTDZ($A$1,$B31,E$1,$B$1)</f>
        <v>0</v>
      </c>
      <c r="F31">
        <f>_xll.EQNXTDZ($A$1,$B31,F$1,$B$1)</f>
        <v>18.72</v>
      </c>
      <c r="G31">
        <f>_xll.EQNXTDZ($A$1,$B31,G$1,$B$1)</f>
        <v>0</v>
      </c>
      <c r="H31">
        <f>_xll.EQNXTDZ($A$1,$B31,H$1,$B$1)</f>
        <v>-6.56</v>
      </c>
      <c r="I31">
        <f>_xll.EQNXTDZ($A$1,$B31,I$1,$B$1)</f>
        <v>0</v>
      </c>
      <c r="J31">
        <f>_xll.EQNXTDZ($A$1,$B31,J$1,$B$1)</f>
        <v>0.31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178.03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59.97</v>
      </c>
      <c r="H34">
        <f>_xll.EQNXTDZ($A$1,$B34,H$1,$B$1)</f>
        <v>13.2</v>
      </c>
      <c r="I34">
        <f>_xll.EQNXTDZ($A$1,$B34,I$1,$B$1)</f>
        <v>42.98</v>
      </c>
      <c r="J34">
        <f>_xll.EQNXTDZ($A$1,$B34,J$1,$B$1)</f>
        <v>-77.989999999999995</v>
      </c>
      <c r="K34">
        <f>_xll.EQNXTDZ($A$1,$B34,K$1,$B$1)</f>
        <v>-41.27</v>
      </c>
      <c r="L34">
        <f>_xll.EQNXTDZ($A$1,$B34,L$1,$B$1)</f>
        <v>20.52</v>
      </c>
      <c r="M34">
        <f>_xll.EQNXTDZ($A$1,$B34,M$1,$B$1)</f>
        <v>-91.06</v>
      </c>
      <c r="N34">
        <f>_xll.EQNXTDZ($A$1,$B34,N$1,$B$1)</f>
        <v>-89.51</v>
      </c>
      <c r="O34">
        <f>_xll.EQNXTDZ($A$1,$B34,O$1,$B$1)</f>
        <v>-25.75</v>
      </c>
      <c r="P34">
        <f>_xll.EQNXTDZ($A$1,$B34,P$1,$B$1)</f>
        <v>-51.03</v>
      </c>
      <c r="Q34">
        <f>_xll.EQNXTDZ($A$1,$B34,Q$1,$B$1)</f>
        <v>-87.92</v>
      </c>
      <c r="R34">
        <f>_xll.EQNXTDZ($A$1,$B34,R$1,$B$1)</f>
        <v>-147.12</v>
      </c>
      <c r="S34">
        <f>_xll.EQNXTDZ($A$1,$B34,S$1,$B$1)</f>
        <v>-73.209999999999994</v>
      </c>
      <c r="T34">
        <f>_xll.EQNXTDZ($A$1,$B34,T$1,$B$1)</f>
        <v>-97.52</v>
      </c>
      <c r="U34">
        <f>_xll.EQNXTDZ($A$1,$B34,U$1,$B$1)</f>
        <v>-117.74</v>
      </c>
      <c r="V34">
        <f>_xll.EQNXTDZ($A$1,$B34,V$1,$B$1)</f>
        <v>-155.80000000000001</v>
      </c>
      <c r="W34">
        <f>_xll.EQNXTDZ($A$1,$B34,W$1,$B$1)</f>
        <v>-135.76</v>
      </c>
      <c r="X34">
        <f>_xll.EQNXTDZ($A$1,$B34,X$1,$B$1)</f>
        <v>-200.42</v>
      </c>
      <c r="Y34">
        <f>_xll.EQNXTDZ($A$1,$B34,Y$1,$B$1)</f>
        <v>-127.9</v>
      </c>
      <c r="Z34">
        <f>_xll.EQNXTDZ($A$1,$B34,Z$1,$B$1)</f>
        <v>-170.48</v>
      </c>
      <c r="AA34">
        <f>_xll.EQNXTDZ($A$1,$B34,AA$1,$B$1)</f>
        <v>-257.22000000000003</v>
      </c>
      <c r="AB34">
        <f>_xll.EQNXTDZ($A$1,$B34,AB$1,$B$1)</f>
        <v>-362.92</v>
      </c>
      <c r="AC34">
        <f>_xll.EQNXTDZ($A$1,$B34,AC$1,$B$1)</f>
        <v>-320.66000000000003</v>
      </c>
      <c r="AD34">
        <f>_xll.EQNXTDZ($A$1,$B34,AD$1,$B$1)</f>
        <v>-370.65</v>
      </c>
      <c r="AE34">
        <f>_xll.EQNXTDZ($A$1,$B34,AE$1,$B$1)</f>
        <v>-337.12</v>
      </c>
      <c r="AF34">
        <f>_xll.EQNXTDZ($A$1,$B34,AF$1,$B$1)</f>
        <v>-243.17</v>
      </c>
      <c r="AG34">
        <f>_xll.EQNXTDZ($A$1,$B34,AG$1,$B$1)</f>
        <v>-399.54</v>
      </c>
      <c r="AH34">
        <f>_xll.EQNXTDZ($A$1,$B34,AH$1,$B$1)</f>
        <v>-365.42</v>
      </c>
      <c r="AI34">
        <f>_xll.EQNXTDZ($A$1,$B34,AI$1,$B$1)</f>
        <v>-240.79</v>
      </c>
      <c r="AJ34">
        <f>_xll.EQNXTDZ($A$1,$B34,AJ$1,$B$1)</f>
        <v>-303.72000000000003</v>
      </c>
      <c r="AK34">
        <f>_xll.EQNXTDZ($A$1,$B34,AK$1,$B$1)</f>
        <v>-390.95</v>
      </c>
      <c r="AL34">
        <f>_xll.EQNXTDZ($A$1,$B34,AL$1,$B$1)</f>
        <v>-402.89</v>
      </c>
      <c r="AM34">
        <f>_xll.EQNXTDZ($A$1,$B34,AM$1,$B$1)</f>
        <v>-357.22</v>
      </c>
      <c r="AN34">
        <f>_xll.EQNXTDZ($A$1,$B34,AN$1,$B$1)</f>
        <v>-412.51</v>
      </c>
      <c r="AO34">
        <f>_xll.EQNXTDZ($A$1,$B34,AO$1,$B$1)</f>
        <v>-462.4</v>
      </c>
      <c r="AP34">
        <f>_xll.EQNXTDZ($A$1,$B34,AP$1,$B$1)</f>
        <v>-517.78</v>
      </c>
      <c r="AQ34">
        <f>_xll.EQNXTDZ($A$1,$B34,AQ$1,$B$1)</f>
        <v>-526.26</v>
      </c>
      <c r="AR34">
        <f>_xll.EQNXTDZ($A$1,$B34,AR$1,$B$1)</f>
        <v>-556.29</v>
      </c>
      <c r="AS34">
        <f>_xll.EQNXTDZ($A$1,$B34,AS$1,$B$1)</f>
        <v>-505.54</v>
      </c>
      <c r="AT34">
        <f>_xll.EQNXTDZ($A$1,$B34,AT$1,$B$1)</f>
        <v>-471.8</v>
      </c>
      <c r="AU34">
        <f>_xll.EQNXTDZ($A$1,$B34,AU$1,$B$1)</f>
        <v>-602.59</v>
      </c>
      <c r="AV34">
        <f>_xll.EQNXTDZ($A$1,$B34,AV$1,$B$1)</f>
        <v>-622.87</v>
      </c>
      <c r="AW34">
        <f>_xll.EQNXTDZ($A$1,$B34,AW$1,$B$1)</f>
        <v>-645.48</v>
      </c>
      <c r="AX34">
        <f>_xll.EQNXTDZ($A$1,$B34,AX$1,$B$1)</f>
        <v>-617.04999999999995</v>
      </c>
      <c r="AY34">
        <f>_xll.EQNXTDZ($A$1,$B34,AY$1,$B$1)</f>
        <v>-658.96</v>
      </c>
      <c r="AZ34">
        <f>_xll.EQNXTDZ($A$1,$B34,AZ$1,$B$1)</f>
        <v>-703.55</v>
      </c>
      <c r="BA34">
        <f>_xll.EQNXTDZ($A$1,$B34,BA$1,$B$1)</f>
        <v>-615.14</v>
      </c>
      <c r="BB34">
        <f>_xll.EQNXTDZ($A$1,$B34,BB$1,$B$1)</f>
        <v>-658.56</v>
      </c>
      <c r="BC34">
        <f>_xll.EQNXTDZ($A$1,$B34,BC$1,$B$1)</f>
        <v>-700.98</v>
      </c>
      <c r="BD34">
        <f>_xll.EQNXTDZ($A$1,$B34,BD$1,$B$1)</f>
        <v>-751.92</v>
      </c>
      <c r="BE34">
        <f>_xll.EQNXTDZ($A$1,$B34,BE$1,$B$1)</f>
        <v>-609.54</v>
      </c>
      <c r="BF34">
        <f>_xll.EQNXTDZ($A$1,$B34,BF$1,$B$1)</f>
        <v>-807.46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1.69</v>
      </c>
      <c r="H35">
        <f>_xll.EQNXTDZ($A$1,$B35,H$1,$B$1)</f>
        <v>3.12</v>
      </c>
      <c r="I35">
        <f>_xll.EQNXTDZ($A$1,$B35,I$1,$B$1)</f>
        <v>-0.88</v>
      </c>
      <c r="J35">
        <f>_xll.EQNXTDZ($A$1,$B35,J$1,$B$1)</f>
        <v>5.32</v>
      </c>
      <c r="K35">
        <f>_xll.EQNXTDZ($A$1,$B35,K$1,$B$1)</f>
        <v>1.56</v>
      </c>
      <c r="L35">
        <f>_xll.EQNXTDZ($A$1,$B35,L$1,$B$1)</f>
        <v>0.68</v>
      </c>
      <c r="M35">
        <f>_xll.EQNXTDZ($A$1,$B35,M$1,$B$1)</f>
        <v>1.69</v>
      </c>
      <c r="N35">
        <f>_xll.EQNXTDZ($A$1,$B35,N$1,$B$1)</f>
        <v>-1.79</v>
      </c>
      <c r="O35">
        <f>_xll.EQNXTDZ($A$1,$B35,O$1,$B$1)</f>
        <v>-196.29</v>
      </c>
      <c r="P35">
        <f>_xll.EQNXTDZ($A$1,$B35,P$1,$B$1)</f>
        <v>-166.9</v>
      </c>
      <c r="Q35">
        <f>_xll.EQNXTDZ($A$1,$B35,Q$1,$B$1)</f>
        <v>-294.20999999999998</v>
      </c>
      <c r="R35">
        <f>_xll.EQNXTDZ($A$1,$B35,R$1,$B$1)</f>
        <v>-332.77</v>
      </c>
      <c r="S35">
        <f>_xll.EQNXTDZ($A$1,$B35,S$1,$B$1)</f>
        <v>-173.56</v>
      </c>
      <c r="T35">
        <f>_xll.EQNXTDZ($A$1,$B35,T$1,$B$1)</f>
        <v>-156.69</v>
      </c>
      <c r="U35">
        <f>_xll.EQNXTDZ($A$1,$B35,U$1,$B$1)</f>
        <v>-148.41</v>
      </c>
      <c r="V35">
        <f>_xll.EQNXTDZ($A$1,$B35,V$1,$B$1)</f>
        <v>83.39</v>
      </c>
      <c r="W35">
        <f>_xll.EQNXTDZ($A$1,$B35,W$1,$B$1)</f>
        <v>-37.24</v>
      </c>
      <c r="X35">
        <f>_xll.EQNXTDZ($A$1,$B35,X$1,$B$1)</f>
        <v>-110.74</v>
      </c>
      <c r="Y35">
        <f>_xll.EQNXTDZ($A$1,$B35,Y$1,$B$1)</f>
        <v>-171.06</v>
      </c>
      <c r="Z35">
        <f>_xll.EQNXTDZ($A$1,$B35,Z$1,$B$1)</f>
        <v>-116.82</v>
      </c>
      <c r="AA35">
        <f>_xll.EQNXTDZ($A$1,$B35,AA$1,$B$1)</f>
        <v>258.93</v>
      </c>
      <c r="AB35">
        <f>_xll.EQNXTDZ($A$1,$B35,AB$1,$B$1)</f>
        <v>-96.22</v>
      </c>
      <c r="AC35">
        <f>_xll.EQNXTDZ($A$1,$B35,AC$1,$B$1)</f>
        <v>-56.47</v>
      </c>
      <c r="AD35">
        <f>_xll.EQNXTDZ($A$1,$B35,AD$1,$B$1)</f>
        <v>-127.24</v>
      </c>
      <c r="AE35">
        <f>_xll.EQNXTDZ($A$1,$B35,AE$1,$B$1)</f>
        <v>-162.82</v>
      </c>
      <c r="AF35">
        <f>_xll.EQNXTDZ($A$1,$B35,AF$1,$B$1)</f>
        <v>40.04</v>
      </c>
      <c r="AG35">
        <f>_xll.EQNXTDZ($A$1,$B35,AG$1,$B$1)</f>
        <v>48.09</v>
      </c>
      <c r="AH35">
        <f>_xll.EQNXTDZ($A$1,$B35,AH$1,$B$1)</f>
        <v>146.65</v>
      </c>
      <c r="AI35">
        <f>_xll.EQNXTDZ($A$1,$B35,AI$1,$B$1)</f>
        <v>-101.14</v>
      </c>
      <c r="AJ35">
        <f>_xll.EQNXTDZ($A$1,$B35,AJ$1,$B$1)</f>
        <v>-52.55</v>
      </c>
      <c r="AK35">
        <f>_xll.EQNXTDZ($A$1,$B35,AK$1,$B$1)</f>
        <v>8.58</v>
      </c>
      <c r="AL35">
        <f>_xll.EQNXTDZ($A$1,$B35,AL$1,$B$1)</f>
        <v>159.51</v>
      </c>
      <c r="AM35">
        <f>_xll.EQNXTDZ($A$1,$B35,AM$1,$B$1)</f>
        <v>-24.52</v>
      </c>
      <c r="AN35">
        <f>_xll.EQNXTDZ($A$1,$B35,AN$1,$B$1)</f>
        <v>0.63</v>
      </c>
      <c r="AO35">
        <f>_xll.EQNXTDZ($A$1,$B35,AO$1,$B$1)</f>
        <v>20.28</v>
      </c>
      <c r="AP35">
        <f>_xll.EQNXTDZ($A$1,$B35,AP$1,$B$1)</f>
        <v>131.81</v>
      </c>
      <c r="AQ35">
        <f>_xll.EQNXTDZ($A$1,$B35,AQ$1,$B$1)</f>
        <v>-64.680000000000007</v>
      </c>
      <c r="AR35">
        <f>_xll.EQNXTDZ($A$1,$B35,AR$1,$B$1)</f>
        <v>-33.94</v>
      </c>
      <c r="AS35">
        <f>_xll.EQNXTDZ($A$1,$B35,AS$1,$B$1)</f>
        <v>-7.47</v>
      </c>
      <c r="AT35">
        <f>_xll.EQNXTDZ($A$1,$B35,AT$1,$B$1)</f>
        <v>11.84</v>
      </c>
      <c r="AU35">
        <f>_xll.EQNXTDZ($A$1,$B35,AU$1,$B$1)</f>
        <v>-20.53</v>
      </c>
      <c r="AV35">
        <f>_xll.EQNXTDZ($A$1,$B35,AV$1,$B$1)</f>
        <v>-10.050000000000001</v>
      </c>
      <c r="AW35">
        <f>_xll.EQNXTDZ($A$1,$B35,AW$1,$B$1)</f>
        <v>-1.67</v>
      </c>
      <c r="AX35">
        <f>_xll.EQNXTDZ($A$1,$B35,AX$1,$B$1)</f>
        <v>9.6300000000000008</v>
      </c>
      <c r="AY35">
        <f>_xll.EQNXTDZ($A$1,$B35,AY$1,$B$1)</f>
        <v>4.57</v>
      </c>
      <c r="AZ35">
        <f>_xll.EQNXTDZ($A$1,$B35,AZ$1,$B$1)</f>
        <v>-13.97</v>
      </c>
      <c r="BA35">
        <f>_xll.EQNXTDZ($A$1,$B35,BA$1,$B$1)</f>
        <v>-27.05</v>
      </c>
      <c r="BB35">
        <f>_xll.EQNXTDZ($A$1,$B35,BB$1,$B$1)</f>
        <v>22.38</v>
      </c>
      <c r="BC35">
        <f>_xll.EQNXTDZ($A$1,$B35,BC$1,$B$1)</f>
        <v>-7.4</v>
      </c>
      <c r="BD35">
        <f>_xll.EQNXTDZ($A$1,$B35,BD$1,$B$1)</f>
        <v>-9.08</v>
      </c>
      <c r="BE35">
        <f>_xll.EQNXTDZ($A$1,$B35,BE$1,$B$1)</f>
        <v>-4.58</v>
      </c>
      <c r="BF35">
        <f>_xll.EQNXTDZ($A$1,$B35,BF$1,$B$1)</f>
        <v>-184.47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863.65</v>
      </c>
      <c r="D38">
        <f>_xll.EQNXTDZ($A$1,$B38,D$1,$B$1)</f>
        <v>1084.42</v>
      </c>
      <c r="E38">
        <f>_xll.EQNXTDZ($A$1,$B38,E$1,$B$1)</f>
        <v>1013.23</v>
      </c>
      <c r="F38">
        <f>_xll.EQNXTDZ($A$1,$B38,F$1,$B$1)</f>
        <v>1591.19</v>
      </c>
      <c r="G38">
        <f>_xll.EQNXTDZ($A$1,$B38,G$1,$B$1)</f>
        <v>458.59</v>
      </c>
      <c r="H38">
        <f>_xll.EQNXTDZ($A$1,$B38,H$1,$B$1)</f>
        <v>806.35</v>
      </c>
      <c r="I38">
        <f>_xll.EQNXTDZ($A$1,$B38,I$1,$B$1)</f>
        <v>796.66</v>
      </c>
      <c r="J38">
        <f>_xll.EQNXTDZ($A$1,$B38,J$1,$B$1)</f>
        <v>2840.4</v>
      </c>
      <c r="K38">
        <f>_xll.EQNXTDZ($A$1,$B38,K$1,$B$1)</f>
        <v>966.89</v>
      </c>
      <c r="L38">
        <f>_xll.EQNXTDZ($A$1,$B38,L$1,$B$1)</f>
        <v>861.75</v>
      </c>
      <c r="M38">
        <f>_xll.EQNXTDZ($A$1,$B38,M$1,$B$1)</f>
        <v>866.54</v>
      </c>
      <c r="N38">
        <f>_xll.EQNXTDZ($A$1,$B38,N$1,$B$1)</f>
        <v>2069.64</v>
      </c>
      <c r="O38">
        <f>_xll.EQNXTDZ($A$1,$B38,O$1,$B$1)</f>
        <v>418.94</v>
      </c>
      <c r="P38">
        <f>_xll.EQNXTDZ($A$1,$B38,P$1,$B$1)</f>
        <v>778.37</v>
      </c>
      <c r="Q38">
        <f>_xll.EQNXTDZ($A$1,$B38,Q$1,$B$1)</f>
        <v>700.34</v>
      </c>
      <c r="R38">
        <f>_xll.EQNXTDZ($A$1,$B38,R$1,$B$1)</f>
        <v>2335.1999999999998</v>
      </c>
      <c r="S38">
        <f>_xll.EQNXTDZ($A$1,$B38,S$1,$B$1)</f>
        <v>609.6</v>
      </c>
      <c r="T38">
        <f>_xll.EQNXTDZ($A$1,$B38,T$1,$B$1)</f>
        <v>1434.63</v>
      </c>
      <c r="U38">
        <f>_xll.EQNXTDZ($A$1,$B38,U$1,$B$1)</f>
        <v>972.4</v>
      </c>
      <c r="V38">
        <f>_xll.EQNXTDZ($A$1,$B38,V$1,$B$1)</f>
        <v>3024.61</v>
      </c>
      <c r="W38">
        <f>_xll.EQNXTDZ($A$1,$B38,W$1,$B$1)</f>
        <v>892.54</v>
      </c>
      <c r="X38">
        <f>_xll.EQNXTDZ($A$1,$B38,X$1,$B$1)</f>
        <v>1819.88</v>
      </c>
      <c r="Y38">
        <f>_xll.EQNXTDZ($A$1,$B38,Y$1,$B$1)</f>
        <v>1489.98</v>
      </c>
      <c r="Z38">
        <f>_xll.EQNXTDZ($A$1,$B38,Z$1,$B$1)</f>
        <v>3167.47</v>
      </c>
      <c r="AA38">
        <f>_xll.EQNXTDZ($A$1,$B38,AA$1,$B$1)</f>
        <v>1214.78</v>
      </c>
      <c r="AB38">
        <f>_xll.EQNXTDZ($A$1,$B38,AB$1,$B$1)</f>
        <v>2230.4899999999998</v>
      </c>
      <c r="AC38">
        <f>_xll.EQNXTDZ($A$1,$B38,AC$1,$B$1)</f>
        <v>2041.62</v>
      </c>
      <c r="AD38">
        <f>_xll.EQNXTDZ($A$1,$B38,AD$1,$B$1)</f>
        <v>3418.24</v>
      </c>
      <c r="AE38">
        <f>_xll.EQNXTDZ($A$1,$B38,AE$1,$B$1)</f>
        <v>1472.58</v>
      </c>
      <c r="AF38">
        <f>_xll.EQNXTDZ($A$1,$B38,AF$1,$B$1)</f>
        <v>2527.2600000000002</v>
      </c>
      <c r="AG38">
        <f>_xll.EQNXTDZ($A$1,$B38,AG$1,$B$1)</f>
        <v>2352.12</v>
      </c>
      <c r="AH38">
        <f>_xll.EQNXTDZ($A$1,$B38,AH$1,$B$1)</f>
        <v>3197.07</v>
      </c>
      <c r="AI38">
        <f>_xll.EQNXTDZ($A$1,$B38,AI$1,$B$1)</f>
        <v>303.14</v>
      </c>
      <c r="AJ38">
        <f>_xll.EQNXTDZ($A$1,$B38,AJ$1,$B$1)</f>
        <v>5520.27</v>
      </c>
      <c r="AK38">
        <f>_xll.EQNXTDZ($A$1,$B38,AK$1,$B$1)</f>
        <v>2466.71</v>
      </c>
      <c r="AL38">
        <f>_xll.EQNXTDZ($A$1,$B38,AL$1,$B$1)</f>
        <v>3292.81</v>
      </c>
      <c r="AM38">
        <f>_xll.EQNXTDZ($A$1,$B38,AM$1,$B$1)</f>
        <v>1174.44</v>
      </c>
      <c r="AN38">
        <f>_xll.EQNXTDZ($A$1,$B38,AN$1,$B$1)</f>
        <v>1819.45</v>
      </c>
      <c r="AO38">
        <f>_xll.EQNXTDZ($A$1,$B38,AO$1,$B$1)</f>
        <v>2054.7399999999998</v>
      </c>
      <c r="AP38">
        <f>_xll.EQNXTDZ($A$1,$B38,AP$1,$B$1)</f>
        <v>3620.69</v>
      </c>
      <c r="AQ38">
        <f>_xll.EQNXTDZ($A$1,$B38,AQ$1,$B$1)</f>
        <v>1702.07</v>
      </c>
      <c r="AR38">
        <f>_xll.EQNXTDZ($A$1,$B38,AR$1,$B$1)</f>
        <v>2228.9699999999998</v>
      </c>
      <c r="AS38">
        <f>_xll.EQNXTDZ($A$1,$B38,AS$1,$B$1)</f>
        <v>2552.92</v>
      </c>
      <c r="AT38">
        <f>_xll.EQNXTDZ($A$1,$B38,AT$1,$B$1)</f>
        <v>3986.78</v>
      </c>
      <c r="AU38">
        <f>_xll.EQNXTDZ($A$1,$B38,AU$1,$B$1)</f>
        <v>2493</v>
      </c>
      <c r="AV38">
        <f>_xll.EQNXTDZ($A$1,$B38,AV$1,$B$1)</f>
        <v>3222.63</v>
      </c>
      <c r="AW38">
        <f>_xll.EQNXTDZ($A$1,$B38,AW$1,$B$1)</f>
        <v>2947.36</v>
      </c>
      <c r="AX38">
        <f>_xll.EQNXTDZ($A$1,$B38,AX$1,$B$1)</f>
        <v>4396.12</v>
      </c>
      <c r="AY38">
        <f>_xll.EQNXTDZ($A$1,$B38,AY$1,$B$1)</f>
        <v>2785.72</v>
      </c>
      <c r="AZ38">
        <f>_xll.EQNXTDZ($A$1,$B38,AZ$1,$B$1)</f>
        <v>3395.29</v>
      </c>
      <c r="BA38">
        <f>_xll.EQNXTDZ($A$1,$B38,BA$1,$B$1)</f>
        <v>3358.84</v>
      </c>
      <c r="BB38">
        <f>_xll.EQNXTDZ($A$1,$B38,BB$1,$B$1)</f>
        <v>5497.26</v>
      </c>
      <c r="BC38">
        <f>_xll.EQNXTDZ($A$1,$B38,BC$1,$B$1)</f>
        <v>3617.19</v>
      </c>
      <c r="BD38">
        <f>_xll.EQNXTDZ($A$1,$B38,BD$1,$B$1)</f>
        <v>3926.09</v>
      </c>
      <c r="BE38">
        <f>_xll.EQNXTDZ($A$1,$B38,BE$1,$B$1)</f>
        <v>3215.11</v>
      </c>
      <c r="BF38">
        <f>_xll.EQNXTDZ($A$1,$B38,BF$1,$B$1)</f>
        <v>5325.6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85.38</v>
      </c>
      <c r="AB39">
        <f>_xll.EQNXTDZ($A$1,$B39,AB$1,$B$1)</f>
        <v>137.94</v>
      </c>
      <c r="AC39">
        <f>_xll.EQNXTDZ($A$1,$B39,AC$1,$B$1)</f>
        <v>143.6</v>
      </c>
      <c r="AD39">
        <f>_xll.EQNXTDZ($A$1,$B39,AD$1,$B$1)</f>
        <v>202.41</v>
      </c>
      <c r="AE39">
        <f>_xll.EQNXTDZ($A$1,$B39,AE$1,$B$1)</f>
        <v>112.08</v>
      </c>
      <c r="AF39">
        <f>_xll.EQNXTDZ($A$1,$B39,AF$1,$B$1)</f>
        <v>218.76</v>
      </c>
      <c r="AG39">
        <f>_xll.EQNXTDZ($A$1,$B39,AG$1,$B$1)</f>
        <v>191.34</v>
      </c>
      <c r="AH39">
        <f>_xll.EQNXTDZ($A$1,$B39,AH$1,$B$1)</f>
        <v>132.38999999999999</v>
      </c>
      <c r="AI39">
        <f>_xll.EQNXTDZ($A$1,$B39,AI$1,$B$1)</f>
        <v>7.05</v>
      </c>
      <c r="AJ39">
        <f>_xll.EQNXTDZ($A$1,$B39,AJ$1,$B$1)</f>
        <v>8146</v>
      </c>
      <c r="AK39">
        <f>_xll.EQNXTDZ($A$1,$B39,AK$1,$B$1)</f>
        <v>209.33</v>
      </c>
      <c r="AL39">
        <f>_xll.EQNXTDZ($A$1,$B39,AL$1,$B$1)</f>
        <v>-124.46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-5.99</v>
      </c>
      <c r="P40">
        <f>_xll.EQNXTDZ($A$1,$B40,P$1,$B$1)</f>
        <v>-157.6</v>
      </c>
      <c r="Q40">
        <f>_xll.EQNXTDZ($A$1,$B40,Q$1,$B$1)</f>
        <v>67.62</v>
      </c>
      <c r="R40">
        <f>_xll.EQNXTDZ($A$1,$B40,R$1,$B$1)</f>
        <v>255.01</v>
      </c>
      <c r="S40">
        <f>_xll.EQNXTDZ($A$1,$B40,S$1,$B$1)</f>
        <v>-119.56</v>
      </c>
      <c r="T40">
        <f>_xll.EQNXTDZ($A$1,$B40,T$1,$B$1)</f>
        <v>83.25</v>
      </c>
      <c r="U40">
        <f>_xll.EQNXTDZ($A$1,$B40,U$1,$B$1)</f>
        <v>-165.98</v>
      </c>
      <c r="V40">
        <f>_xll.EQNXTDZ($A$1,$B40,V$1,$B$1)</f>
        <v>380.04</v>
      </c>
      <c r="W40">
        <f>_xll.EQNXTDZ($A$1,$B40,W$1,$B$1)</f>
        <v>156.13</v>
      </c>
      <c r="X40">
        <f>_xll.EQNXTDZ($A$1,$B40,X$1,$B$1)</f>
        <v>-45.21</v>
      </c>
      <c r="Y40">
        <f>_xll.EQNXTDZ($A$1,$B40,Y$1,$B$1)</f>
        <v>107.5</v>
      </c>
      <c r="Z40">
        <f>_xll.EQNXTDZ($A$1,$B40,Z$1,$B$1)</f>
        <v>-55.17</v>
      </c>
      <c r="AA40">
        <f>_xll.EQNXTDZ($A$1,$B40,AA$1,$B$1)</f>
        <v>-516.91</v>
      </c>
      <c r="AB40">
        <f>_xll.EQNXTDZ($A$1,$B40,AB$1,$B$1)</f>
        <v>-393.65</v>
      </c>
      <c r="AC40">
        <f>_xll.EQNXTDZ($A$1,$B40,AC$1,$B$1)</f>
        <v>443.04</v>
      </c>
      <c r="AD40">
        <f>_xll.EQNXTDZ($A$1,$B40,AD$1,$B$1)</f>
        <v>237.64</v>
      </c>
      <c r="AE40">
        <f>_xll.EQNXTDZ($A$1,$B40,AE$1,$B$1)</f>
        <v>-263.86</v>
      </c>
      <c r="AF40">
        <f>_xll.EQNXTDZ($A$1,$B40,AF$1,$B$1)</f>
        <v>-305.02</v>
      </c>
      <c r="AG40">
        <f>_xll.EQNXTDZ($A$1,$B40,AG$1,$B$1)</f>
        <v>187.03</v>
      </c>
      <c r="AH40">
        <f>_xll.EQNXTDZ($A$1,$B40,AH$1,$B$1)</f>
        <v>-932.86</v>
      </c>
      <c r="AI40">
        <f>_xll.EQNXTDZ($A$1,$B40,AI$1,$B$1)</f>
        <v>508.53</v>
      </c>
      <c r="AJ40">
        <f>_xll.EQNXTDZ($A$1,$B40,AJ$1,$B$1)</f>
        <v>581.47</v>
      </c>
      <c r="AK40">
        <f>_xll.EQNXTDZ($A$1,$B40,AK$1,$B$1)</f>
        <v>778.89</v>
      </c>
      <c r="AL40">
        <f>_xll.EQNXTDZ($A$1,$B40,AL$1,$B$1)</f>
        <v>-414.53</v>
      </c>
      <c r="AM40">
        <f>_xll.EQNXTDZ($A$1,$B40,AM$1,$B$1)</f>
        <v>172.66</v>
      </c>
      <c r="AN40">
        <f>_xll.EQNXTDZ($A$1,$B40,AN$1,$B$1)</f>
        <v>87.26</v>
      </c>
      <c r="AO40">
        <f>_xll.EQNXTDZ($A$1,$B40,AO$1,$B$1)</f>
        <v>172.03</v>
      </c>
      <c r="AP40">
        <f>_xll.EQNXTDZ($A$1,$B40,AP$1,$B$1)</f>
        <v>6.37</v>
      </c>
      <c r="AQ40">
        <f>_xll.EQNXTDZ($A$1,$B40,AQ$1,$B$1)</f>
        <v>-955.95</v>
      </c>
      <c r="AR40">
        <f>_xll.EQNXTDZ($A$1,$B40,AR$1,$B$1)</f>
        <v>-867.88</v>
      </c>
      <c r="AS40">
        <f>_xll.EQNXTDZ($A$1,$B40,AS$1,$B$1)</f>
        <v>449.01</v>
      </c>
      <c r="AT40">
        <f>_xll.EQNXTDZ($A$1,$B40,AT$1,$B$1)</f>
        <v>416.28</v>
      </c>
      <c r="AU40">
        <f>_xll.EQNXTDZ($A$1,$B40,AU$1,$B$1)</f>
        <v>331.23</v>
      </c>
      <c r="AV40">
        <f>_xll.EQNXTDZ($A$1,$B40,AV$1,$B$1)</f>
        <v>-423.01</v>
      </c>
      <c r="AW40">
        <f>_xll.EQNXTDZ($A$1,$B40,AW$1,$B$1)</f>
        <v>492.56</v>
      </c>
      <c r="AX40">
        <f>_xll.EQNXTDZ($A$1,$B40,AX$1,$B$1)</f>
        <v>6.63</v>
      </c>
      <c r="AY40">
        <f>_xll.EQNXTDZ($A$1,$B40,AY$1,$B$1)</f>
        <v>196.12</v>
      </c>
      <c r="AZ40">
        <f>_xll.EQNXTDZ($A$1,$B40,AZ$1,$B$1)</f>
        <v>358.31</v>
      </c>
      <c r="BA40">
        <f>_xll.EQNXTDZ($A$1,$B40,BA$1,$B$1)</f>
        <v>-1276.06</v>
      </c>
      <c r="BB40">
        <f>_xll.EQNXTDZ($A$1,$B40,BB$1,$B$1)</f>
        <v>732.93</v>
      </c>
      <c r="BC40">
        <f>_xll.EQNXTDZ($A$1,$B40,BC$1,$B$1)</f>
        <v>1158.9100000000001</v>
      </c>
      <c r="BD40">
        <f>_xll.EQNXTDZ($A$1,$B40,BD$1,$B$1)</f>
        <v>-489.54</v>
      </c>
      <c r="BE40">
        <f>_xll.EQNXTDZ($A$1,$B40,BE$1,$B$1)</f>
        <v>647.54999999999995</v>
      </c>
      <c r="BF40">
        <f>_xll.EQNXTDZ($A$1,$B40,BF$1,$B$1)</f>
        <v>-1723.42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412.95</v>
      </c>
      <c r="P41">
        <f>_xll.EQNXTDZ($A$1,$B41,P$1,$B$1)</f>
        <v>620.77</v>
      </c>
      <c r="Q41">
        <f>_xll.EQNXTDZ($A$1,$B41,Q$1,$B$1)</f>
        <v>767.96</v>
      </c>
      <c r="R41">
        <f>_xll.EQNXTDZ($A$1,$B41,R$1,$B$1)</f>
        <v>2586.98</v>
      </c>
      <c r="S41">
        <f>_xll.EQNXTDZ($A$1,$B41,S$1,$B$1)</f>
        <v>493.97</v>
      </c>
      <c r="T41">
        <f>_xll.EQNXTDZ($A$1,$B41,T$1,$B$1)</f>
        <v>1512.83</v>
      </c>
      <c r="U41">
        <f>_xll.EQNXTDZ($A$1,$B41,U$1,$B$1)</f>
        <v>811.87</v>
      </c>
      <c r="V41">
        <f>_xll.EQNXTDZ($A$1,$B41,V$1,$B$1)</f>
        <v>3368.94</v>
      </c>
      <c r="W41">
        <f>_xll.EQNXTDZ($A$1,$B41,W$1,$B$1)</f>
        <v>1044.17</v>
      </c>
      <c r="X41">
        <f>_xll.EQNXTDZ($A$1,$B41,X$1,$B$1)</f>
        <v>1781.02</v>
      </c>
      <c r="Y41">
        <f>_xll.EQNXTDZ($A$1,$B41,Y$1,$B$1)</f>
        <v>1582.51</v>
      </c>
      <c r="Z41">
        <f>_xll.EQNXTDZ($A$1,$B41,Z$1,$B$1)</f>
        <v>3124.49</v>
      </c>
      <c r="AA41">
        <f>_xll.EQNXTDZ($A$1,$B41,AA$1,$B$1)</f>
        <v>724.42</v>
      </c>
      <c r="AB41">
        <f>_xll.EQNXTDZ($A$1,$B41,AB$1,$B$1)</f>
        <v>1899.94</v>
      </c>
      <c r="AC41">
        <f>_xll.EQNXTDZ($A$1,$B41,AC$1,$B$1)</f>
        <v>2380.64</v>
      </c>
      <c r="AD41">
        <f>_xll.EQNXTDZ($A$1,$B41,AD$1,$B$1)</f>
        <v>3626.14</v>
      </c>
      <c r="AE41">
        <f>_xll.EQNXTDZ($A$1,$B41,AE$1,$B$1)</f>
        <v>1217.1099999999999</v>
      </c>
      <c r="AF41">
        <f>_xll.EQNXTDZ($A$1,$B41,AF$1,$B$1)</f>
        <v>2271.15</v>
      </c>
      <c r="AG41">
        <f>_xll.EQNXTDZ($A$1,$B41,AG$1,$B$1)</f>
        <v>2528.6999999999998</v>
      </c>
      <c r="AH41">
        <f>_xll.EQNXTDZ($A$1,$B41,AH$1,$B$1)</f>
        <v>2499.1999999999998</v>
      </c>
      <c r="AI41">
        <f>_xll.EQNXTDZ($A$1,$B41,AI$1,$B$1)</f>
        <v>721.34</v>
      </c>
      <c r="AJ41">
        <f>_xll.EQNXTDZ($A$1,$B41,AJ$1,$B$1)</f>
        <v>5976.12</v>
      </c>
      <c r="AK41">
        <f>_xll.EQNXTDZ($A$1,$B41,AK$1,$B$1)</f>
        <v>3160.02</v>
      </c>
      <c r="AL41">
        <f>_xll.EQNXTDZ($A$1,$B41,AL$1,$B$1)</f>
        <v>2854.93</v>
      </c>
      <c r="AM41">
        <f>_xll.EQNXTDZ($A$1,$B41,AM$1,$B$1)</f>
        <v>1341.72</v>
      </c>
      <c r="AN41">
        <f>_xll.EQNXTDZ($A$1,$B41,AN$1,$B$1)</f>
        <v>1860.9</v>
      </c>
      <c r="AO41">
        <f>_xll.EQNXTDZ($A$1,$B41,AO$1,$B$1)</f>
        <v>2149.4699999999998</v>
      </c>
      <c r="AP41">
        <f>_xll.EQNXTDZ($A$1,$B41,AP$1,$B$1)</f>
        <v>3646.59</v>
      </c>
      <c r="AQ41">
        <f>_xll.EQNXTDZ($A$1,$B41,AQ$1,$B$1)</f>
        <v>877.03</v>
      </c>
      <c r="AR41">
        <f>_xll.EQNXTDZ($A$1,$B41,AR$1,$B$1)</f>
        <v>1532.46</v>
      </c>
      <c r="AS41">
        <f>_xll.EQNXTDZ($A$1,$B41,AS$1,$B$1)</f>
        <v>2967.16</v>
      </c>
      <c r="AT41">
        <f>_xll.EQNXTDZ($A$1,$B41,AT$1,$B$1)</f>
        <v>4339.3599999999997</v>
      </c>
      <c r="AU41">
        <f>_xll.EQNXTDZ($A$1,$B41,AU$1,$B$1)</f>
        <v>2669.78</v>
      </c>
      <c r="AV41">
        <f>_xll.EQNXTDZ($A$1,$B41,AV$1,$B$1)</f>
        <v>2853.95</v>
      </c>
      <c r="AW41">
        <f>_xll.EQNXTDZ($A$1,$B41,AW$1,$B$1)</f>
        <v>3416.35</v>
      </c>
      <c r="AX41">
        <f>_xll.EQNXTDZ($A$1,$B41,AX$1,$B$1)</f>
        <v>4354.74</v>
      </c>
      <c r="AY41">
        <f>_xll.EQNXTDZ($A$1,$B41,AY$1,$B$1)</f>
        <v>2933.57</v>
      </c>
      <c r="AZ41">
        <f>_xll.EQNXTDZ($A$1,$B41,AZ$1,$B$1)</f>
        <v>3818.27</v>
      </c>
      <c r="BA41">
        <f>_xll.EQNXTDZ($A$1,$B41,BA$1,$B$1)</f>
        <v>2193.5</v>
      </c>
      <c r="BB41">
        <f>_xll.EQNXTDZ($A$1,$B41,BB$1,$B$1)</f>
        <v>6129.12</v>
      </c>
      <c r="BC41">
        <f>_xll.EQNXTDZ($A$1,$B41,BC$1,$B$1)</f>
        <v>4774.49</v>
      </c>
      <c r="BD41">
        <f>_xll.EQNXTDZ($A$1,$B41,BD$1,$B$1)</f>
        <v>3658.01</v>
      </c>
      <c r="BE41">
        <f>_xll.EQNXTDZ($A$1,$B41,BE$1,$B$1)</f>
        <v>3896.03</v>
      </c>
      <c r="BF41">
        <f>_xll.EQNXTDZ($A$1,$B41,BF$1,$B$1)</f>
        <v>3941.44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863.65</v>
      </c>
      <c r="D42">
        <f>_xll.EQNXTDZ($A$1,$B42,D$1,$B$1)</f>
        <v>1137.31</v>
      </c>
      <c r="E42">
        <f>_xll.EQNXTDZ($A$1,$B42,E$1,$B$1)</f>
        <v>1013.23</v>
      </c>
      <c r="F42">
        <f>_xll.EQNXTDZ($A$1,$B42,F$1,$B$1)</f>
        <v>1787.94</v>
      </c>
      <c r="G42">
        <f>_xll.EQNXTDZ($A$1,$B42,G$1,$B$1)</f>
        <v>458.59</v>
      </c>
      <c r="H42">
        <f>_xll.EQNXTDZ($A$1,$B42,H$1,$B$1)</f>
        <v>806.35</v>
      </c>
      <c r="I42">
        <f>_xll.EQNXTDZ($A$1,$B42,I$1,$B$1)</f>
        <v>796.66</v>
      </c>
      <c r="J42">
        <f>_xll.EQNXTDZ($A$1,$B42,J$1,$B$1)</f>
        <v>2840.4</v>
      </c>
      <c r="K42">
        <f>_xll.EQNXTDZ($A$1,$B42,K$1,$B$1)</f>
        <v>966.89</v>
      </c>
      <c r="L42">
        <f>_xll.EQNXTDZ($A$1,$B42,L$1,$B$1)</f>
        <v>861.75</v>
      </c>
      <c r="M42">
        <f>_xll.EQNXTDZ($A$1,$B42,M$1,$B$1)</f>
        <v>866.54</v>
      </c>
      <c r="N42">
        <f>_xll.EQNXTDZ($A$1,$B42,N$1,$B$1)</f>
        <v>2069.64</v>
      </c>
      <c r="O42">
        <f>_xll.EQNXTDZ($A$1,$B42,O$1,$B$1)</f>
        <v>418.94</v>
      </c>
      <c r="P42">
        <f>_xll.EQNXTDZ($A$1,$B42,P$1,$B$1)</f>
        <v>778.37</v>
      </c>
      <c r="Q42">
        <f>_xll.EQNXTDZ($A$1,$B42,Q$1,$B$1)</f>
        <v>700.34</v>
      </c>
      <c r="R42">
        <f>_xll.EQNXTDZ($A$1,$B42,R$1,$B$1)</f>
        <v>2335.1999999999998</v>
      </c>
      <c r="S42">
        <f>_xll.EQNXTDZ($A$1,$B42,S$1,$B$1)</f>
        <v>609.6</v>
      </c>
      <c r="T42">
        <f>_xll.EQNXTDZ($A$1,$B42,T$1,$B$1)</f>
        <v>1434.63</v>
      </c>
      <c r="U42">
        <f>_xll.EQNXTDZ($A$1,$B42,U$1,$B$1)</f>
        <v>972.4</v>
      </c>
      <c r="V42">
        <f>_xll.EQNXTDZ($A$1,$B42,V$1,$B$1)</f>
        <v>3024.61</v>
      </c>
      <c r="W42">
        <f>_xll.EQNXTDZ($A$1,$B42,W$1,$B$1)</f>
        <v>892.54</v>
      </c>
      <c r="X42">
        <f>_xll.EQNXTDZ($A$1,$B42,X$1,$B$1)</f>
        <v>1819.88</v>
      </c>
      <c r="Y42">
        <f>_xll.EQNXTDZ($A$1,$B42,Y$1,$B$1)</f>
        <v>1489.98</v>
      </c>
      <c r="Z42">
        <f>_xll.EQNXTDZ($A$1,$B42,Z$1,$B$1)</f>
        <v>3167.47</v>
      </c>
      <c r="AA42">
        <f>_xll.EQNXTDZ($A$1,$B42,AA$1,$B$1)</f>
        <v>1214.78</v>
      </c>
      <c r="AB42">
        <f>_xll.EQNXTDZ($A$1,$B42,AB$1,$B$1)</f>
        <v>2230.4899999999998</v>
      </c>
      <c r="AC42">
        <f>_xll.EQNXTDZ($A$1,$B42,AC$1,$B$1)</f>
        <v>2041.62</v>
      </c>
      <c r="AD42">
        <f>_xll.EQNXTDZ($A$1,$B42,AD$1,$B$1)</f>
        <v>3418.24</v>
      </c>
      <c r="AE42">
        <f>_xll.EQNXTDZ($A$1,$B42,AE$1,$B$1)</f>
        <v>1472.58</v>
      </c>
      <c r="AF42">
        <f>_xll.EQNXTDZ($A$1,$B42,AF$1,$B$1)</f>
        <v>2527.2600000000002</v>
      </c>
      <c r="AG42">
        <f>_xll.EQNXTDZ($A$1,$B42,AG$1,$B$1)</f>
        <v>2352.12</v>
      </c>
      <c r="AH42">
        <f>_xll.EQNXTDZ($A$1,$B42,AH$1,$B$1)</f>
        <v>3197.07</v>
      </c>
      <c r="AI42">
        <f>_xll.EQNXTDZ($A$1,$B42,AI$1,$B$1)</f>
        <v>303.14</v>
      </c>
      <c r="AJ42">
        <f>_xll.EQNXTDZ($A$1,$B42,AJ$1,$B$1)</f>
        <v>5520.27</v>
      </c>
      <c r="AK42">
        <f>_xll.EQNXTDZ($A$1,$B42,AK$1,$B$1)</f>
        <v>2466.71</v>
      </c>
      <c r="AL42">
        <f>_xll.EQNXTDZ($A$1,$B42,AL$1,$B$1)</f>
        <v>3292.81</v>
      </c>
      <c r="AM42">
        <f>_xll.EQNXTDZ($A$1,$B42,AM$1,$B$1)</f>
        <v>1174.44</v>
      </c>
      <c r="AN42">
        <f>_xll.EQNXTDZ($A$1,$B42,AN$1,$B$1)</f>
        <v>1819.45</v>
      </c>
      <c r="AO42">
        <f>_xll.EQNXTDZ($A$1,$B42,AO$1,$B$1)</f>
        <v>2054.7399999999998</v>
      </c>
      <c r="AP42">
        <f>_xll.EQNXTDZ($A$1,$B42,AP$1,$B$1)</f>
        <v>3620.69</v>
      </c>
      <c r="AQ42">
        <f>_xll.EQNXTDZ($A$1,$B42,AQ$1,$B$1)</f>
        <v>1702.07</v>
      </c>
      <c r="AR42">
        <f>_xll.EQNXTDZ($A$1,$B42,AR$1,$B$1)</f>
        <v>2228.9699999999998</v>
      </c>
      <c r="AS42">
        <f>_xll.EQNXTDZ($A$1,$B42,AS$1,$B$1)</f>
        <v>2552.92</v>
      </c>
      <c r="AT42">
        <f>_xll.EQNXTDZ($A$1,$B42,AT$1,$B$1)</f>
        <v>3986.78</v>
      </c>
      <c r="AU42">
        <f>_xll.EQNXTDZ($A$1,$B42,AU$1,$B$1)</f>
        <v>2493</v>
      </c>
      <c r="AV42">
        <f>_xll.EQNXTDZ($A$1,$B42,AV$1,$B$1)</f>
        <v>3222.63</v>
      </c>
      <c r="AW42">
        <f>_xll.EQNXTDZ($A$1,$B42,AW$1,$B$1)</f>
        <v>2947.36</v>
      </c>
      <c r="AX42">
        <f>_xll.EQNXTDZ($A$1,$B42,AX$1,$B$1)</f>
        <v>4396.12</v>
      </c>
      <c r="AY42">
        <f>_xll.EQNXTDZ($A$1,$B42,AY$1,$B$1)</f>
        <v>2785.72</v>
      </c>
      <c r="AZ42">
        <f>_xll.EQNXTDZ($A$1,$B42,AZ$1,$B$1)</f>
        <v>3395.29</v>
      </c>
      <c r="BA42">
        <f>_xll.EQNXTDZ($A$1,$B42,BA$1,$B$1)</f>
        <v>3358.84</v>
      </c>
      <c r="BB42">
        <f>_xll.EQNXTDZ($A$1,$B42,BB$1,$B$1)</f>
        <v>5497.26</v>
      </c>
      <c r="BC42">
        <f>_xll.EQNXTDZ($A$1,$B42,BC$1,$B$1)</f>
        <v>3617.19</v>
      </c>
      <c r="BD42">
        <f>_xll.EQNXTDZ($A$1,$B42,BD$1,$B$1)</f>
        <v>3926.09</v>
      </c>
      <c r="BE42">
        <f>_xll.EQNXTDZ($A$1,$B42,BE$1,$B$1)</f>
        <v>3215.11</v>
      </c>
      <c r="BF42">
        <f>_xll.EQNXTDZ($A$1,$B42,BF$1,$B$1)</f>
        <v>5325.6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122.56</v>
      </c>
      <c r="D45">
        <f>_xll.EQNXTDZ($A$1,$B45,D$1,$B$1)</f>
        <v>122.76</v>
      </c>
      <c r="E45">
        <f>_xll.EQNXTDZ($A$1,$B45,E$1,$B$1)</f>
        <v>122.98</v>
      </c>
      <c r="F45">
        <f>_xll.EQNXTDZ($A$1,$B45,F$1,$B$1)</f>
        <v>123.08</v>
      </c>
      <c r="G45">
        <f>_xll.EQNXTDZ($A$1,$B45,G$1,$B$1)</f>
        <v>123.25</v>
      </c>
      <c r="H45">
        <f>_xll.EQNXTDZ($A$1,$B45,H$1,$B$1)</f>
        <v>185.05</v>
      </c>
      <c r="I45">
        <f>_xll.EQNXTDZ($A$1,$B45,I$1,$B$1)</f>
        <v>185.21</v>
      </c>
      <c r="J45">
        <f>_xll.EQNXTDZ($A$1,$B45,J$1,$B$1)</f>
        <v>185.38</v>
      </c>
      <c r="K45">
        <f>_xll.EQNXTDZ($A$1,$B45,K$1,$B$1)</f>
        <v>185.54</v>
      </c>
      <c r="L45">
        <f>_xll.EQNXTDZ($A$1,$B45,L$1,$B$1)</f>
        <v>185.65</v>
      </c>
      <c r="M45">
        <f>_xll.EQNXTDZ($A$1,$B45,M$1,$B$1)</f>
        <v>185.77</v>
      </c>
      <c r="N45">
        <f>_xll.EQNXTDZ($A$1,$B45,N$1,$B$1)</f>
        <v>185.91</v>
      </c>
      <c r="O45">
        <f>_xll.EQNXTDZ($A$1,$B45,O$1,$B$1)</f>
        <v>186.06</v>
      </c>
      <c r="P45">
        <f>_xll.EQNXTDZ($A$1,$B45,P$1,$B$1)</f>
        <v>186.13</v>
      </c>
      <c r="Q45">
        <f>_xll.EQNXTDZ($A$1,$B45,Q$1,$B$1)</f>
        <v>186.24</v>
      </c>
      <c r="R45">
        <f>_xll.EQNXTDZ($A$1,$B45,R$1,$B$1)</f>
        <v>186.3</v>
      </c>
      <c r="S45">
        <f>_xll.EQNXTDZ($A$1,$B45,S$1,$B$1)</f>
        <v>186.4</v>
      </c>
      <c r="T45">
        <f>_xll.EQNXTDZ($A$1,$B45,T$1,$B$1)</f>
        <v>186.47</v>
      </c>
      <c r="U45">
        <f>_xll.EQNXTDZ($A$1,$B45,U$1,$B$1)</f>
        <v>186.54</v>
      </c>
      <c r="V45">
        <f>_xll.EQNXTDZ($A$1,$B45,V$1,$B$1)</f>
        <v>186.59</v>
      </c>
      <c r="W45">
        <f>_xll.EQNXTDZ($A$1,$B45,W$1,$B$1)</f>
        <v>186.68</v>
      </c>
      <c r="X45">
        <f>_xll.EQNXTDZ($A$1,$B45,X$1,$B$1)</f>
        <v>280.11</v>
      </c>
      <c r="Y45">
        <f>_xll.EQNXTDZ($A$1,$B45,Y$1,$B$1)</f>
        <v>280.20999999999998</v>
      </c>
      <c r="Z45">
        <f>_xll.EQNXTDZ($A$1,$B45,Z$1,$B$1)</f>
        <v>280.27</v>
      </c>
      <c r="AA45">
        <f>_xll.EQNXTDZ($A$1,$B45,AA$1,$B$1)</f>
        <v>280.35000000000002</v>
      </c>
      <c r="AB45">
        <f>_xll.EQNXTDZ($A$1,$B45,AB$1,$B$1)</f>
        <v>280.44</v>
      </c>
      <c r="AC45">
        <f>_xll.EQNXTDZ($A$1,$B45,AC$1,$B$1)</f>
        <v>280.44</v>
      </c>
      <c r="AD45">
        <f>_xll.EQNXTDZ($A$1,$B45,AD$1,$B$1)</f>
        <v>280.55</v>
      </c>
      <c r="AE45">
        <f>_xll.EQNXTDZ($A$1,$B45,AE$1,$B$1)</f>
        <v>280.62</v>
      </c>
      <c r="AF45">
        <f>_xll.EQNXTDZ($A$1,$B45,AF$1,$B$1)</f>
        <v>280.64999999999998</v>
      </c>
      <c r="AG45">
        <f>_xll.EQNXTDZ($A$1,$B45,AG$1,$B$1)</f>
        <v>280.72000000000003</v>
      </c>
      <c r="AH45">
        <f>_xll.EQNXTDZ($A$1,$B45,AH$1,$B$1)</f>
        <v>280.77999999999997</v>
      </c>
      <c r="AI45">
        <f>_xll.EQNXTDZ($A$1,$B45,AI$1,$B$1)</f>
        <v>280.8</v>
      </c>
      <c r="AJ45">
        <f>_xll.EQNXTDZ($A$1,$B45,AJ$1,$B$1)</f>
        <v>280.81</v>
      </c>
      <c r="AK45">
        <f>_xll.EQNXTDZ($A$1,$B45,AK$1,$B$1)</f>
        <v>280.85000000000002</v>
      </c>
      <c r="AL45">
        <f>_xll.EQNXTDZ($A$1,$B45,AL$1,$B$1)</f>
        <v>280.91000000000003</v>
      </c>
      <c r="AM45">
        <f>_xll.EQNXTDZ($A$1,$B45,AM$1,$B$1)</f>
        <v>280.92</v>
      </c>
      <c r="AN45">
        <f>_xll.EQNXTDZ($A$1,$B45,AN$1,$B$1)</f>
        <v>280.93</v>
      </c>
      <c r="AO45">
        <f>_xll.EQNXTDZ($A$1,$B45,AO$1,$B$1)</f>
        <v>280.97000000000003</v>
      </c>
      <c r="AP45">
        <f>_xll.EQNXTDZ($A$1,$B45,AP$1,$B$1)</f>
        <v>281.01</v>
      </c>
      <c r="AQ45">
        <f>_xll.EQNXTDZ($A$1,$B45,AQ$1,$B$1)</f>
        <v>281.02999999999997</v>
      </c>
      <c r="AR45">
        <f>_xll.EQNXTDZ($A$1,$B45,AR$1,$B$1)</f>
        <v>281.04000000000002</v>
      </c>
      <c r="AS45">
        <f>_xll.EQNXTDZ($A$1,$B45,AS$1,$B$1)</f>
        <v>281.07</v>
      </c>
      <c r="AT45">
        <f>_xll.EQNXTDZ($A$1,$B45,AT$1,$B$1)</f>
        <v>281.10000000000002</v>
      </c>
      <c r="AU45">
        <f>_xll.EQNXTDZ($A$1,$B45,AU$1,$B$1)</f>
        <v>281.11</v>
      </c>
      <c r="AV45">
        <f>_xll.EQNXTDZ($A$1,$B45,AV$1,$B$1)</f>
        <v>274.88</v>
      </c>
      <c r="AW45">
        <f>_xll.EQNXTDZ($A$1,$B45,AW$1,$B$1)</f>
        <v>274.91000000000003</v>
      </c>
      <c r="AX45">
        <f>_xll.EQNXTDZ($A$1,$B45,AX$1,$B$1)</f>
        <v>274.93</v>
      </c>
      <c r="AY45">
        <f>_xll.EQNXTDZ($A$1,$B45,AY$1,$B$1)</f>
        <v>274.97000000000003</v>
      </c>
      <c r="AZ45">
        <f>_xll.EQNXTDZ($A$1,$B45,AZ$1,$B$1)</f>
        <v>275</v>
      </c>
      <c r="BA45">
        <f>_xll.EQNXTDZ($A$1,$B45,BA$1,$B$1)</f>
        <v>275.02999999999997</v>
      </c>
      <c r="BB45">
        <f>_xll.EQNXTDZ($A$1,$B45,BB$1,$B$1)</f>
        <v>275.04000000000002</v>
      </c>
      <c r="BC45">
        <f>_xll.EQNXTDZ($A$1,$B45,BC$1,$B$1)</f>
        <v>275.07</v>
      </c>
      <c r="BD45">
        <f>_xll.EQNXTDZ($A$1,$B45,BD$1,$B$1)</f>
        <v>275.11</v>
      </c>
      <c r="BE45">
        <f>_xll.EQNXTDZ($A$1,$B45,BE$1,$B$1)</f>
        <v>275.12</v>
      </c>
      <c r="BF45">
        <f>_xll.EQNXTDZ($A$1,$B45,BF$1,$B$1)</f>
        <v>275.13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621.04444444444403</v>
      </c>
      <c r="D48" s="55">
        <f>_xll.EQNXTDZ($A$1,$B48,D$5)</f>
        <v>709.66666666666697</v>
      </c>
      <c r="E48" s="55">
        <f>_xll.EQNXTDZ($A$1,$B48,E$5)</f>
        <v>713.71111111111099</v>
      </c>
      <c r="F48" s="55">
        <f>_xll.EQNXTDZ($A$1,$B48,F$5)</f>
        <v>606.62222222222204</v>
      </c>
      <c r="G48" s="55">
        <f>_xll.EQNXTDZ($A$1,$B48,G$5)</f>
        <v>624.06666666666695</v>
      </c>
      <c r="H48" s="55">
        <f>_xll.EQNXTDZ($A$1,$B48,H$5)</f>
        <v>525.73333333333301</v>
      </c>
      <c r="I48" s="55">
        <f>_xll.EQNXTDZ($A$1,$B48,I$5)</f>
        <v>713.26666666666699</v>
      </c>
      <c r="J48" s="55">
        <f>_xll.EQNXTDZ($A$1,$B48,J$5)</f>
        <v>848.43333333333305</v>
      </c>
      <c r="K48" s="55">
        <f>_xll.EQNXTDZ($A$1,$B48,K$5)</f>
        <v>1134.4000000000001</v>
      </c>
      <c r="L48" s="55">
        <f>_xll.EQNXTDZ($A$1,$B48,L$5)</f>
        <v>971.63333333333298</v>
      </c>
      <c r="M48" s="55">
        <f>_xll.EQNXTDZ($A$1,$B48,M$5)</f>
        <v>997.66666666666697</v>
      </c>
      <c r="N48" s="55">
        <f>_xll.EQNXTDZ($A$1,$B48,N$5)</f>
        <v>1146</v>
      </c>
      <c r="O48" s="55">
        <f>_xll.EQNXTDZ($A$1,$B48,O$5)</f>
        <v>1188.5</v>
      </c>
      <c r="P48" s="55">
        <f>_xll.EQNXTDZ($A$1,$B48,P$5)</f>
        <v>977.8</v>
      </c>
      <c r="Q48" s="55">
        <f>_xll.EQNXTDZ($A$1,$B48,Q$5)</f>
        <v>850.43333333333305</v>
      </c>
      <c r="R48" s="55">
        <f>_xll.EQNXTDZ($A$1,$B48,R$5)</f>
        <v>810.8</v>
      </c>
      <c r="S48" s="55">
        <f>_xll.EQNXTDZ($A$1,$B48,S$5)</f>
        <v>997.46666666666704</v>
      </c>
      <c r="T48" s="55">
        <f>_xll.EQNXTDZ($A$1,$B48,T$5)</f>
        <v>954.43333333333305</v>
      </c>
      <c r="U48" s="55">
        <f>_xll.EQNXTDZ($A$1,$B48,U$5)</f>
        <v>899.6</v>
      </c>
      <c r="V48" s="55">
        <f>_xll.EQNXTDZ($A$1,$B48,V$5)</f>
        <v>1051.7333333333299</v>
      </c>
      <c r="W48" s="55">
        <f>_xll.EQNXTDZ($A$1,$B48,W$5)</f>
        <v>1125.2</v>
      </c>
      <c r="X48" s="55">
        <f>_xll.EQNXTDZ($A$1,$B48,X$5)</f>
        <v>1141.2</v>
      </c>
      <c r="Y48" s="55">
        <f>_xll.EQNXTDZ($A$1,$B48,Y$5)</f>
        <v>1256.95</v>
      </c>
      <c r="Z48" s="55">
        <f>_xll.EQNXTDZ($A$1,$B48,Z$5)</f>
        <v>1311.9</v>
      </c>
      <c r="AA48" s="55">
        <f>_xll.EQNXTDZ($A$1,$B48,AA$5)</f>
        <v>1271.3</v>
      </c>
      <c r="AB48" s="55">
        <f>_xll.EQNXTDZ($A$1,$B48,AB$5)</f>
        <v>1266.6500000000001</v>
      </c>
      <c r="AC48" s="55">
        <f>_xll.EQNXTDZ($A$1,$B48,AC$5)</f>
        <v>1438.5</v>
      </c>
      <c r="AD48" s="55">
        <f>_xll.EQNXTDZ($A$1,$B48,AD$5)</f>
        <v>1384.05</v>
      </c>
      <c r="AE48" s="55">
        <f>_xll.EQNXTDZ($A$1,$B48,AE$5)</f>
        <v>1553.05</v>
      </c>
      <c r="AF48" s="55">
        <f>_xll.EQNXTDZ($A$1,$B48,AF$5)</f>
        <v>1476.6</v>
      </c>
      <c r="AG48" s="55">
        <f>_xll.EQNXTDZ($A$1,$B48,AG$5)</f>
        <v>1298.95</v>
      </c>
      <c r="AH48" s="55">
        <f>_xll.EQNXTDZ($A$1,$B48,AH$5)</f>
        <v>806.85</v>
      </c>
      <c r="AI48" s="55">
        <f>_xll.EQNXTDZ($A$1,$B48,AI$5)</f>
        <v>944.05</v>
      </c>
      <c r="AJ48" s="55">
        <f>_xll.EQNXTDZ($A$1,$B48,AJ$5)</f>
        <v>902.45</v>
      </c>
      <c r="AK48" s="55">
        <f>_xll.EQNXTDZ($A$1,$B48,AK$5)</f>
        <v>1287.55</v>
      </c>
      <c r="AL48" s="55">
        <f>_xll.EQNXTDZ($A$1,$B48,AL$5)</f>
        <v>1418.35</v>
      </c>
      <c r="AM48" s="55">
        <f>_xll.EQNXTDZ($A$1,$B48,AM$5)</f>
        <v>1501.25</v>
      </c>
      <c r="AN48" s="55">
        <f>_xll.EQNXTDZ($A$1,$B48,AN$5)</f>
        <v>1703.15</v>
      </c>
      <c r="AO48" s="55">
        <f>_xll.EQNXTDZ($A$1,$B48,AO$5)</f>
        <v>1895</v>
      </c>
      <c r="AP48" s="55">
        <f>_xll.EQNXTDZ($A$1,$B48,AP$5)</f>
        <v>1767.45</v>
      </c>
      <c r="AQ48" s="55">
        <f>_xll.EQNXTDZ($A$1,$B48,AQ$5)</f>
        <v>1557.05</v>
      </c>
      <c r="AR48" s="55">
        <f>_xll.EQNXTDZ($A$1,$B48,AR$5)</f>
        <v>1848.7</v>
      </c>
      <c r="AS48" s="55">
        <f>_xll.EQNXTDZ($A$1,$B48,AS$5)</f>
        <v>2086.3000000000002</v>
      </c>
      <c r="AT48" s="55">
        <f>_xll.EQNXTDZ($A$1,$B48,AT$5)</f>
        <v>2164.75</v>
      </c>
      <c r="AU48" s="55">
        <f>_xll.EQNXTDZ($A$1,$B48,AU$5)</f>
        <v>2474.5</v>
      </c>
      <c r="AV48" s="55">
        <f>_xll.EQNXTDZ($A$1,$B48,AV$5)</f>
        <v>3021.95</v>
      </c>
      <c r="AW48" s="55">
        <f>_xll.EQNXTDZ($A$1,$B48,AW$5)</f>
        <v>3527.05</v>
      </c>
      <c r="AX48" s="55">
        <f>_xll.EQNXTDZ($A$1,$B48,AX$5)</f>
        <v>3774.1</v>
      </c>
      <c r="AY48" s="55">
        <f>_xll.EQNXTDZ($A$1,$B48,AY$5)</f>
        <v>3549.4</v>
      </c>
      <c r="AZ48" s="55">
        <f>_xll.EQNXTDZ($A$1,$B48,AZ$5)</f>
        <v>3675.5</v>
      </c>
      <c r="BA48" s="55">
        <f>_xll.EQNXTDZ($A$1,$B48,BA$5)</f>
        <v>3608</v>
      </c>
      <c r="BB48" s="55">
        <f>_xll.EQNXTDZ($A$1,$B48,BB$5)</f>
        <v>3491</v>
      </c>
      <c r="BC48" s="55">
        <f>_xll.EQNXTDZ($A$1,$B48,BC$5)</f>
        <v>3668.55</v>
      </c>
      <c r="BD48" s="55">
        <f>_xll.EQNXTDZ($A$1,$B48,BD$5)</f>
        <v>3658.8</v>
      </c>
      <c r="BE48" s="55">
        <f>_xll.EQNXTDZ($A$1,$B48,BE$5)</f>
        <v>4083.1</v>
      </c>
      <c r="BF48" s="55">
        <f>_xll.EQNXTDZ($A$1,$B48,BF$5)</f>
        <v>3504.3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0</v>
      </c>
      <c r="AR49" s="55">
        <f>_xll.EQNXTDZ($A$1,$B49,AR$5)</f>
        <v>0</v>
      </c>
      <c r="AS49" s="55">
        <f>_xll.EQNXTDZ($A$1,$B49,AS$5)</f>
        <v>0</v>
      </c>
      <c r="AT49" s="55">
        <f>_xll.EQNXTDZ($A$1,$B49,AT$5)</f>
        <v>0</v>
      </c>
      <c r="AU49" s="55">
        <f>_xll.EQNXTDZ($A$1,$B49,AU$5)</f>
        <v>0</v>
      </c>
      <c r="AV49" s="55">
        <f>_xll.EQNXTDZ($A$1,$B49,AV$5)</f>
        <v>0</v>
      </c>
      <c r="AW49" s="55">
        <f>_xll.EQNXTDZ($A$1,$B49,AW$5)</f>
        <v>0</v>
      </c>
      <c r="AX49" s="55">
        <f>_xll.EQNXTDZ($A$1,$B49,AX$5)</f>
        <v>0</v>
      </c>
      <c r="AY49" s="55">
        <f>_xll.EQNXTDZ($A$1,$B49,AY$5)</f>
        <v>0</v>
      </c>
      <c r="AZ49" s="55">
        <f>_xll.EQNXTDZ($A$1,$B49,AZ$5)</f>
        <v>0</v>
      </c>
      <c r="BA49" s="55">
        <f>_xll.EQNXTDZ($A$1,$B49,BA$5)</f>
        <v>0</v>
      </c>
      <c r="BB49" s="55">
        <f>_xll.EQNXTDZ($A$1,$B49,BB$5)</f>
        <v>0</v>
      </c>
      <c r="BC49" s="55">
        <f>_xll.EQNXTDZ($A$1,$B49,BC$5)</f>
        <v>0</v>
      </c>
      <c r="BD49" s="55">
        <f>_xll.EQNXTDZ($A$1,$B49,BD$5)</f>
        <v>0</v>
      </c>
      <c r="BE49" s="55">
        <f>_xll.EQNXTDZ($A$1,$B49,BE$5)</f>
        <v>0</v>
      </c>
      <c r="BF49" s="55">
        <f>_xll.EQNXTDZ($A$1,$B49,BF$5)</f>
        <v>0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122.76</v>
      </c>
      <c r="E56" s="55">
        <f>_xll.EQNXTDZ($A$1,$B56,E$5,$B$1)</f>
        <v>0</v>
      </c>
      <c r="F56" s="55">
        <f>_xll.EQNXTDZ($A$1,$B56,F$5,$B$1)</f>
        <v>123.08</v>
      </c>
      <c r="G56" s="55">
        <f>_xll.EQNXTDZ($A$1,$B56,G$5,$B$1)</f>
        <v>0</v>
      </c>
      <c r="H56" s="55">
        <f>_xll.EQNXTDZ($A$1,$B56,H$5,$B$1)</f>
        <v>185.05</v>
      </c>
      <c r="I56" s="55">
        <f>_xll.EQNXTDZ($A$1,$B56,I$5,$B$1)</f>
        <v>0</v>
      </c>
      <c r="J56" s="55">
        <f>_xll.EQNXTDZ($A$1,$B56,J$5,$B$1)</f>
        <v>185.38</v>
      </c>
      <c r="K56" s="55">
        <f>_xll.EQNXTDZ($A$1,$B56,K$5,$B$1)</f>
        <v>0</v>
      </c>
      <c r="L56" s="55">
        <f>_xll.EQNXTDZ($A$1,$B56,L$5,$B$1)</f>
        <v>185.65</v>
      </c>
      <c r="M56" s="55">
        <f>_xll.EQNXTDZ($A$1,$B56,M$5,$B$1)</f>
        <v>0</v>
      </c>
      <c r="N56" s="55">
        <f>_xll.EQNXTDZ($A$1,$B56,N$5,$B$1)</f>
        <v>185.91</v>
      </c>
      <c r="O56" s="55">
        <f>_xll.EQNXTDZ($A$1,$B56,O$5,$B$1)</f>
        <v>0</v>
      </c>
      <c r="P56" s="55">
        <f>_xll.EQNXTDZ($A$1,$B56,P$5,$B$1)</f>
        <v>186.13</v>
      </c>
      <c r="Q56" s="55">
        <f>_xll.EQNXTDZ($A$1,$B56,Q$5,$B$1)</f>
        <v>0</v>
      </c>
      <c r="R56" s="55">
        <f>_xll.EQNXTDZ($A$1,$B56,R$5,$B$1)</f>
        <v>186.3</v>
      </c>
      <c r="S56" s="55">
        <f>_xll.EQNXTDZ($A$1,$B56,S$5,$B$1)</f>
        <v>0</v>
      </c>
      <c r="T56" s="55">
        <f>_xll.EQNXTDZ($A$1,$B56,T$5,$B$1)</f>
        <v>186.47</v>
      </c>
      <c r="U56" s="55">
        <f>_xll.EQNXTDZ($A$1,$B56,U$5,$B$1)</f>
        <v>0</v>
      </c>
      <c r="V56" s="55">
        <f>_xll.EQNXTDZ($A$1,$B56,V$5,$B$1)</f>
        <v>186.59</v>
      </c>
      <c r="W56" s="55">
        <f>_xll.EQNXTDZ($A$1,$B56,W$5,$B$1)</f>
        <v>0</v>
      </c>
      <c r="X56" s="55">
        <f>_xll.EQNXTDZ($A$1,$B56,X$5,$B$1)</f>
        <v>280.11</v>
      </c>
      <c r="Y56" s="55">
        <f>_xll.EQNXTDZ($A$1,$B56,Y$5,$B$1)</f>
        <v>0</v>
      </c>
      <c r="Z56" s="55">
        <f>_xll.EQNXTDZ($A$1,$B56,Z$5,$B$1)</f>
        <v>280.27</v>
      </c>
      <c r="AA56" s="55">
        <f>_xll.EQNXTDZ($A$1,$B56,AA$5,$B$1)</f>
        <v>0</v>
      </c>
      <c r="AB56" s="55">
        <f>_xll.EQNXTDZ($A$1,$B56,AB$5,$B$1)</f>
        <v>280.44</v>
      </c>
      <c r="AC56" s="55">
        <f>_xll.EQNXTDZ($A$1,$B56,AC$5,$B$1)</f>
        <v>0</v>
      </c>
      <c r="AD56" s="55">
        <f>_xll.EQNXTDZ($A$1,$B56,AD$5,$B$1)</f>
        <v>280.55</v>
      </c>
      <c r="AE56" s="55">
        <f>_xll.EQNXTDZ($A$1,$B56,AE$5,$B$1)</f>
        <v>0</v>
      </c>
      <c r="AF56" s="55">
        <f>_xll.EQNXTDZ($A$1,$B56,AF$5,$B$1)</f>
        <v>280.64999999999998</v>
      </c>
      <c r="AG56" s="55">
        <f>_xll.EQNXTDZ($A$1,$B56,AG$5,$B$1)</f>
        <v>0</v>
      </c>
      <c r="AH56" s="55">
        <f>_xll.EQNXTDZ($A$1,$B56,AH$5,$B$1)</f>
        <v>280.77999999999997</v>
      </c>
      <c r="AI56" s="55">
        <f>_xll.EQNXTDZ($A$1,$B56,AI$5,$B$1)</f>
        <v>0</v>
      </c>
      <c r="AJ56" s="55">
        <f>_xll.EQNXTDZ($A$1,$B56,AJ$5,$B$1)</f>
        <v>280.81</v>
      </c>
      <c r="AK56" s="55">
        <f>_xll.EQNXTDZ($A$1,$B56,AK$5,$B$1)</f>
        <v>0</v>
      </c>
      <c r="AL56" s="55">
        <f>_xll.EQNXTDZ($A$1,$B56,AL$5,$B$1)</f>
        <v>280.91000000000003</v>
      </c>
      <c r="AM56" s="55">
        <f>_xll.EQNXTDZ($A$1,$B56,AM$5,$B$1)</f>
        <v>0</v>
      </c>
      <c r="AN56" s="55">
        <f>_xll.EQNXTDZ($A$1,$B56,AN$5,$B$1)</f>
        <v>280.93</v>
      </c>
      <c r="AO56" s="55">
        <f>_xll.EQNXTDZ($A$1,$B56,AO$5,$B$1)</f>
        <v>0</v>
      </c>
      <c r="AP56" s="55">
        <f>_xll.EQNXTDZ($A$1,$B56,AP$5,$B$1)</f>
        <v>281.01</v>
      </c>
      <c r="AQ56" s="55">
        <f>_xll.EQNXTDZ($A$1,$B56,AQ$5,$B$1)</f>
        <v>0</v>
      </c>
      <c r="AR56" s="55">
        <f>_xll.EQNXTDZ($A$1,$B56,AR$5,$B$1)</f>
        <v>281.04000000000002</v>
      </c>
      <c r="AS56" s="55">
        <f>_xll.EQNXTDZ($A$1,$B56,AS$5,$B$1)</f>
        <v>0</v>
      </c>
      <c r="AT56" s="55">
        <f>_xll.EQNXTDZ($A$1,$B56,AT$5,$B$1)</f>
        <v>281.10000000000002</v>
      </c>
      <c r="AU56" s="55">
        <f>_xll.EQNXTDZ($A$1,$B56,AU$5,$B$1)</f>
        <v>0</v>
      </c>
      <c r="AV56" s="55">
        <f>_xll.EQNXTDZ($A$1,$B56,AV$5,$B$1)</f>
        <v>274.88</v>
      </c>
      <c r="AW56" s="55">
        <f>_xll.EQNXTDZ($A$1,$B56,AW$5,$B$1)</f>
        <v>0</v>
      </c>
      <c r="AX56" s="55">
        <f>_xll.EQNXTDZ($A$1,$B56,AX$5,$B$1)</f>
        <v>274.93</v>
      </c>
      <c r="AY56" s="55">
        <f>_xll.EQNXTDZ($A$1,$B56,AY$5,$B$1)</f>
        <v>0</v>
      </c>
      <c r="AZ56" s="55">
        <f>_xll.EQNXTDZ($A$1,$B56,AZ$5,$B$1)</f>
        <v>275</v>
      </c>
      <c r="BA56" s="55">
        <f>_xll.EQNXTDZ($A$1,$B56,BA$5,$B$1)</f>
        <v>0</v>
      </c>
      <c r="BB56" s="55">
        <f>_xll.EQNXTDZ($A$1,$B56,BB$5,$B$1)</f>
        <v>275.04000000000002</v>
      </c>
      <c r="BC56" s="55">
        <f>_xll.EQNXTDZ($A$1,$B56,BC$5,$B$1)</f>
        <v>0</v>
      </c>
      <c r="BD56" s="55">
        <f>_xll.EQNXTDZ($A$1,$B56,BD$5,$B$1)</f>
        <v>275.11</v>
      </c>
      <c r="BE56" s="55">
        <f>_xll.EQNXTDZ($A$1,$B56,BE$5,$B$1)</f>
        <v>0</v>
      </c>
      <c r="BF56" s="55">
        <f>_xll.EQNXTDZ($A$1,$B56,BF$5,$B$1)</f>
        <v>275.13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27269.48</v>
      </c>
      <c r="E58" s="55">
        <f>_xll.EQNXTDZ($A$1,$B58,E$5,$B$1)</f>
        <v>0</v>
      </c>
      <c r="F58" s="55">
        <f>_xll.EQNXTDZ($A$1,$B58,F$5,$B$1)</f>
        <v>33736.61</v>
      </c>
      <c r="G58" s="55">
        <f>_xll.EQNXTDZ($A$1,$B58,G$5,$B$1)</f>
        <v>0</v>
      </c>
      <c r="H58" s="55">
        <f>_xll.EQNXTDZ($A$1,$B58,H$5,$B$1)</f>
        <v>34783.800000000003</v>
      </c>
      <c r="I58" s="55">
        <f>_xll.EQNXTDZ($A$1,$B58,I$5,$B$1)</f>
        <v>0</v>
      </c>
      <c r="J58" s="55">
        <f>_xll.EQNXTDZ($A$1,$B58,J$5,$B$1)</f>
        <v>37526.230000000003</v>
      </c>
      <c r="K58" s="55">
        <f>_xll.EQNXTDZ($A$1,$B58,K$5,$B$1)</f>
        <v>0</v>
      </c>
      <c r="L58" s="55">
        <f>_xll.EQNXTDZ($A$1,$B58,L$5,$B$1)</f>
        <v>39433.230000000003</v>
      </c>
      <c r="M58" s="55">
        <f>_xll.EQNXTDZ($A$1,$B58,M$5,$B$1)</f>
        <v>0</v>
      </c>
      <c r="N58" s="55">
        <f>_xll.EQNXTDZ($A$1,$B58,N$5,$B$1)</f>
        <v>40723.160000000003</v>
      </c>
      <c r="O58" s="55">
        <f>_xll.EQNXTDZ($A$1,$B58,O$5,$B$1)</f>
        <v>0</v>
      </c>
      <c r="P58" s="55">
        <f>_xll.EQNXTDZ($A$1,$B58,P$5,$B$1)</f>
        <v>41999.16</v>
      </c>
      <c r="Q58" s="55">
        <f>_xll.EQNXTDZ($A$1,$B58,Q$5,$B$1)</f>
        <v>0</v>
      </c>
      <c r="R58" s="55">
        <f>_xll.EQNXTDZ($A$1,$B58,R$5,$B$1)</f>
        <v>43994.06</v>
      </c>
      <c r="S58" s="55">
        <f>_xll.EQNXTDZ($A$1,$B58,S$5,$B$1)</f>
        <v>0</v>
      </c>
      <c r="T58" s="55">
        <f>_xll.EQNXTDZ($A$1,$B58,T$5,$B$1)</f>
        <v>46054.19</v>
      </c>
      <c r="U58" s="55">
        <f>_xll.EQNXTDZ($A$1,$B58,U$5,$B$1)</f>
        <v>0</v>
      </c>
      <c r="V58" s="55">
        <f>_xll.EQNXTDZ($A$1,$B58,V$5,$B$1)</f>
        <v>50029.93</v>
      </c>
      <c r="W58" s="55">
        <f>_xll.EQNXTDZ($A$1,$B58,W$5,$B$1)</f>
        <v>0</v>
      </c>
      <c r="X58" s="55">
        <f>_xll.EQNXTDZ($A$1,$B58,X$5,$B$1)</f>
        <v>50541.45</v>
      </c>
      <c r="Y58" s="55">
        <f>_xll.EQNXTDZ($A$1,$B58,Y$5,$B$1)</f>
        <v>0</v>
      </c>
      <c r="Z58" s="55">
        <f>_xll.EQNXTDZ($A$1,$B58,Z$5,$B$1)</f>
        <v>54623.23</v>
      </c>
      <c r="AA58" s="55">
        <f>_xll.EQNXTDZ($A$1,$B58,AA$5,$B$1)</f>
        <v>0</v>
      </c>
      <c r="AB58" s="55">
        <f>_xll.EQNXTDZ($A$1,$B58,AB$5,$B$1)</f>
        <v>56066.22</v>
      </c>
      <c r="AC58" s="55">
        <f>_xll.EQNXTDZ($A$1,$B58,AC$5,$B$1)</f>
        <v>0</v>
      </c>
      <c r="AD58" s="55">
        <f>_xll.EQNXTDZ($A$1,$B58,AD$5,$B$1)</f>
        <v>62094.25</v>
      </c>
      <c r="AE58" s="55">
        <f>_xll.EQNXTDZ($A$1,$B58,AE$5,$B$1)</f>
        <v>0</v>
      </c>
      <c r="AF58" s="55">
        <f>_xll.EQNXTDZ($A$1,$B58,AF$5,$B$1)</f>
        <v>62980.34</v>
      </c>
      <c r="AG58" s="55">
        <f>_xll.EQNXTDZ($A$1,$B58,AG$5,$B$1)</f>
        <v>0</v>
      </c>
      <c r="AH58" s="55">
        <f>_xll.EQNXTDZ($A$1,$B58,AH$5,$B$1)</f>
        <v>66442.44</v>
      </c>
      <c r="AI58" s="55">
        <f>_xll.EQNXTDZ($A$1,$B58,AI$5,$B$1)</f>
        <v>0</v>
      </c>
      <c r="AJ58" s="55">
        <f>_xll.EQNXTDZ($A$1,$B58,AJ$5,$B$1)</f>
        <v>72046.69</v>
      </c>
      <c r="AK58" s="55">
        <f>_xll.EQNXTDZ($A$1,$B58,AK$5,$B$1)</f>
        <v>0</v>
      </c>
      <c r="AL58" s="55">
        <f>_xll.EQNXTDZ($A$1,$B58,AL$5,$B$1)</f>
        <v>75587.62</v>
      </c>
      <c r="AM58" s="55">
        <f>_xll.EQNXTDZ($A$1,$B58,AM$5,$B$1)</f>
        <v>0</v>
      </c>
      <c r="AN58" s="55">
        <f>_xll.EQNXTDZ($A$1,$B58,AN$5,$B$1)</f>
        <v>76258.16</v>
      </c>
      <c r="AO58" s="55">
        <f>_xll.EQNXTDZ($A$1,$B58,AO$5,$B$1)</f>
        <v>0</v>
      </c>
      <c r="AP58" s="55">
        <f>_xll.EQNXTDZ($A$1,$B58,AP$5,$B$1)</f>
        <v>82126.649999999994</v>
      </c>
      <c r="AQ58" s="55">
        <f>_xll.EQNXTDZ($A$1,$B58,AQ$5,$B$1)</f>
        <v>0</v>
      </c>
      <c r="AR58" s="55">
        <f>_xll.EQNXTDZ($A$1,$B58,AR$5,$B$1)</f>
        <v>81553.88</v>
      </c>
      <c r="AS58" s="55">
        <f>_xll.EQNXTDZ($A$1,$B58,AS$5,$B$1)</f>
        <v>0</v>
      </c>
      <c r="AT58" s="55">
        <f>_xll.EQNXTDZ($A$1,$B58,AT$5,$B$1)</f>
        <v>89044.85</v>
      </c>
      <c r="AU58" s="55">
        <f>_xll.EQNXTDZ($A$1,$B58,AU$5,$B$1)</f>
        <v>0</v>
      </c>
      <c r="AV58" s="55">
        <f>_xll.EQNXTDZ($A$1,$B58,AV$5,$B$1)</f>
        <v>78136.89</v>
      </c>
      <c r="AW58" s="55">
        <f>_xll.EQNXTDZ($A$1,$B58,AW$5,$B$1)</f>
        <v>0</v>
      </c>
      <c r="AX58" s="55">
        <f>_xll.EQNXTDZ($A$1,$B58,AX$5,$B$1)</f>
        <v>86084.31</v>
      </c>
      <c r="AY58" s="55">
        <f>_xll.EQNXTDZ($A$1,$B58,AY$5,$B$1)</f>
        <v>0</v>
      </c>
      <c r="AZ58" s="55">
        <f>_xll.EQNXTDZ($A$1,$B58,AZ$5,$B$1)</f>
        <v>88954.87</v>
      </c>
      <c r="BA58" s="55">
        <f>_xll.EQNXTDZ($A$1,$B58,BA$5,$B$1)</f>
        <v>0</v>
      </c>
      <c r="BB58" s="55">
        <f>_xll.EQNXTDZ($A$1,$B58,BB$5,$B$1)</f>
        <v>97380.56</v>
      </c>
      <c r="BC58" s="55">
        <f>_xll.EQNXTDZ($A$1,$B58,BC$5,$B$1)</f>
        <v>0</v>
      </c>
      <c r="BD58" s="55">
        <f>_xll.EQNXTDZ($A$1,$B58,BD$5,$B$1)</f>
        <v>101108.44</v>
      </c>
      <c r="BE58" s="55">
        <f>_xll.EQNXTDZ($A$1,$B58,BE$5,$B$1)</f>
        <v>0</v>
      </c>
      <c r="BF58" s="55">
        <f>_xll.EQNXTDZ($A$1,$B58,BF$5,$B$1)</f>
        <v>109014.67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27392.240000000002</v>
      </c>
      <c r="E59" s="55">
        <f>_xll.EQNXTDZ($A$1,$B59,E$5,$B$1)</f>
        <v>0</v>
      </c>
      <c r="F59" s="55">
        <f>_xll.EQNXTDZ($A$1,$B59,F$5,$B$1)</f>
        <v>33859.69</v>
      </c>
      <c r="G59" s="55">
        <f>_xll.EQNXTDZ($A$1,$B59,G$5,$B$1)</f>
        <v>0</v>
      </c>
      <c r="H59" s="55">
        <f>_xll.EQNXTDZ($A$1,$B59,H$5,$B$1)</f>
        <v>34968.85</v>
      </c>
      <c r="I59" s="55">
        <f>_xll.EQNXTDZ($A$1,$B59,I$5,$B$1)</f>
        <v>0</v>
      </c>
      <c r="J59" s="55">
        <f>_xll.EQNXTDZ($A$1,$B59,J$5,$B$1)</f>
        <v>37711.61</v>
      </c>
      <c r="K59" s="55">
        <f>_xll.EQNXTDZ($A$1,$B59,K$5,$B$1)</f>
        <v>0</v>
      </c>
      <c r="L59" s="55">
        <f>_xll.EQNXTDZ($A$1,$B59,L$5,$B$1)</f>
        <v>39618.879999999997</v>
      </c>
      <c r="M59" s="55">
        <f>_xll.EQNXTDZ($A$1,$B59,M$5,$B$1)</f>
        <v>0</v>
      </c>
      <c r="N59" s="55">
        <f>_xll.EQNXTDZ($A$1,$B59,N$5,$B$1)</f>
        <v>40909.07</v>
      </c>
      <c r="O59" s="55">
        <f>_xll.EQNXTDZ($A$1,$B59,O$5,$B$1)</f>
        <v>0</v>
      </c>
      <c r="P59" s="55">
        <f>_xll.EQNXTDZ($A$1,$B59,P$5,$B$1)</f>
        <v>42185.29</v>
      </c>
      <c r="Q59" s="55">
        <f>_xll.EQNXTDZ($A$1,$B59,Q$5,$B$1)</f>
        <v>0</v>
      </c>
      <c r="R59" s="55">
        <f>_xll.EQNXTDZ($A$1,$B59,R$5,$B$1)</f>
        <v>44180.36</v>
      </c>
      <c r="S59" s="55">
        <f>_xll.EQNXTDZ($A$1,$B59,S$5,$B$1)</f>
        <v>0</v>
      </c>
      <c r="T59" s="55">
        <f>_xll.EQNXTDZ($A$1,$B59,T$5,$B$1)</f>
        <v>46240.66</v>
      </c>
      <c r="U59" s="55">
        <f>_xll.EQNXTDZ($A$1,$B59,U$5,$B$1)</f>
        <v>0</v>
      </c>
      <c r="V59" s="55">
        <f>_xll.EQNXTDZ($A$1,$B59,V$5,$B$1)</f>
        <v>50216.52</v>
      </c>
      <c r="W59" s="55">
        <f>_xll.EQNXTDZ($A$1,$B59,W$5,$B$1)</f>
        <v>0</v>
      </c>
      <c r="X59" s="55">
        <f>_xll.EQNXTDZ($A$1,$B59,X$5,$B$1)</f>
        <v>50821.56</v>
      </c>
      <c r="Y59" s="55">
        <f>_xll.EQNXTDZ($A$1,$B59,Y$5,$B$1)</f>
        <v>0</v>
      </c>
      <c r="Z59" s="55">
        <f>_xll.EQNXTDZ($A$1,$B59,Z$5,$B$1)</f>
        <v>54903.5</v>
      </c>
      <c r="AA59" s="55">
        <f>_xll.EQNXTDZ($A$1,$B59,AA$5,$B$1)</f>
        <v>0</v>
      </c>
      <c r="AB59" s="55">
        <f>_xll.EQNXTDZ($A$1,$B59,AB$5,$B$1)</f>
        <v>56346.66</v>
      </c>
      <c r="AC59" s="55">
        <f>_xll.EQNXTDZ($A$1,$B59,AC$5,$B$1)</f>
        <v>0</v>
      </c>
      <c r="AD59" s="55">
        <f>_xll.EQNXTDZ($A$1,$B59,AD$5,$B$1)</f>
        <v>62374.8</v>
      </c>
      <c r="AE59" s="55">
        <f>_xll.EQNXTDZ($A$1,$B59,AE$5,$B$1)</f>
        <v>0</v>
      </c>
      <c r="AF59" s="55">
        <f>_xll.EQNXTDZ($A$1,$B59,AF$5,$B$1)</f>
        <v>63260.99</v>
      </c>
      <c r="AG59" s="55">
        <f>_xll.EQNXTDZ($A$1,$B59,AG$5,$B$1)</f>
        <v>0</v>
      </c>
      <c r="AH59" s="55">
        <f>_xll.EQNXTDZ($A$1,$B59,AH$5,$B$1)</f>
        <v>66723.22</v>
      </c>
      <c r="AI59" s="55">
        <f>_xll.EQNXTDZ($A$1,$B59,AI$5,$B$1)</f>
        <v>0</v>
      </c>
      <c r="AJ59" s="55">
        <f>_xll.EQNXTDZ($A$1,$B59,AJ$5,$B$1)</f>
        <v>72327.5</v>
      </c>
      <c r="AK59" s="55">
        <f>_xll.EQNXTDZ($A$1,$B59,AK$5,$B$1)</f>
        <v>0</v>
      </c>
      <c r="AL59" s="55">
        <f>_xll.EQNXTDZ($A$1,$B59,AL$5,$B$1)</f>
        <v>75868.53</v>
      </c>
      <c r="AM59" s="55">
        <f>_xll.EQNXTDZ($A$1,$B59,AM$5,$B$1)</f>
        <v>0</v>
      </c>
      <c r="AN59" s="55">
        <f>_xll.EQNXTDZ($A$1,$B59,AN$5,$B$1)</f>
        <v>76539.09</v>
      </c>
      <c r="AO59" s="55">
        <f>_xll.EQNXTDZ($A$1,$B59,AO$5,$B$1)</f>
        <v>0</v>
      </c>
      <c r="AP59" s="55">
        <f>_xll.EQNXTDZ($A$1,$B59,AP$5,$B$1)</f>
        <v>82407.66</v>
      </c>
      <c r="AQ59" s="55">
        <f>_xll.EQNXTDZ($A$1,$B59,AQ$5,$B$1)</f>
        <v>0</v>
      </c>
      <c r="AR59" s="55">
        <f>_xll.EQNXTDZ($A$1,$B59,AR$5,$B$1)</f>
        <v>81834.92</v>
      </c>
      <c r="AS59" s="55">
        <f>_xll.EQNXTDZ($A$1,$B59,AS$5,$B$1)</f>
        <v>0</v>
      </c>
      <c r="AT59" s="55">
        <f>_xll.EQNXTDZ($A$1,$B59,AT$5,$B$1)</f>
        <v>89325.95</v>
      </c>
      <c r="AU59" s="55">
        <f>_xll.EQNXTDZ($A$1,$B59,AU$5,$B$1)</f>
        <v>0</v>
      </c>
      <c r="AV59" s="55">
        <f>_xll.EQNXTDZ($A$1,$B59,AV$5,$B$1)</f>
        <v>78411.77</v>
      </c>
      <c r="AW59" s="55">
        <f>_xll.EQNXTDZ($A$1,$B59,AW$5,$B$1)</f>
        <v>0</v>
      </c>
      <c r="AX59" s="55">
        <f>_xll.EQNXTDZ($A$1,$B59,AX$5,$B$1)</f>
        <v>86359.24</v>
      </c>
      <c r="AY59" s="55">
        <f>_xll.EQNXTDZ($A$1,$B59,AY$5,$B$1)</f>
        <v>0</v>
      </c>
      <c r="AZ59" s="55">
        <f>_xll.EQNXTDZ($A$1,$B59,AZ$5,$B$1)</f>
        <v>89229.87</v>
      </c>
      <c r="BA59" s="55">
        <f>_xll.EQNXTDZ($A$1,$B59,BA$5,$B$1)</f>
        <v>0</v>
      </c>
      <c r="BB59" s="55">
        <f>_xll.EQNXTDZ($A$1,$B59,BB$5,$B$1)</f>
        <v>97655.6</v>
      </c>
      <c r="BC59" s="55">
        <f>_xll.EQNXTDZ($A$1,$B59,BC$5,$B$1)</f>
        <v>0</v>
      </c>
      <c r="BD59" s="55">
        <f>_xll.EQNXTDZ($A$1,$B59,BD$5,$B$1)</f>
        <v>101383.55</v>
      </c>
      <c r="BE59" s="55">
        <f>_xll.EQNXTDZ($A$1,$B59,BE$5,$B$1)</f>
        <v>0</v>
      </c>
      <c r="BF59" s="55">
        <f>_xll.EQNXTDZ($A$1,$B59,BF$5,$B$1)</f>
        <v>109289.8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2652.87</v>
      </c>
      <c r="G60" s="55">
        <f>_xll.EQNXTDZ($A$1,$B60,G$5,$B$1)</f>
        <v>0</v>
      </c>
      <c r="H60" s="55">
        <f>_xll.EQNXTDZ($A$1,$B60,H$5,$B$1)</f>
        <v>2645.02</v>
      </c>
      <c r="I60" s="55">
        <f>_xll.EQNXTDZ($A$1,$B60,I$5,$B$1)</f>
        <v>0</v>
      </c>
      <c r="J60" s="55">
        <f>_xll.EQNXTDZ($A$1,$B60,J$5,$B$1)</f>
        <v>3179.18</v>
      </c>
      <c r="K60" s="55">
        <f>_xll.EQNXTDZ($A$1,$B60,K$5,$B$1)</f>
        <v>0</v>
      </c>
      <c r="L60" s="55">
        <f>_xll.EQNXTDZ($A$1,$B60,L$5,$B$1)</f>
        <v>3684.56</v>
      </c>
      <c r="M60" s="55">
        <f>_xll.EQNXTDZ($A$1,$B60,M$5,$B$1)</f>
        <v>0</v>
      </c>
      <c r="N60" s="55">
        <f>_xll.EQNXTDZ($A$1,$B60,N$5,$B$1)</f>
        <v>4998.62</v>
      </c>
      <c r="O60" s="55">
        <f>_xll.EQNXTDZ($A$1,$B60,O$5,$B$1)</f>
        <v>0</v>
      </c>
      <c r="P60" s="55">
        <f>_xll.EQNXTDZ($A$1,$B60,P$5,$B$1)</f>
        <v>6047.98</v>
      </c>
      <c r="Q60" s="55">
        <f>_xll.EQNXTDZ($A$1,$B60,Q$5,$B$1)</f>
        <v>0</v>
      </c>
      <c r="R60" s="55">
        <f>_xll.EQNXTDZ($A$1,$B60,R$5,$B$1)</f>
        <v>2892.84</v>
      </c>
      <c r="S60" s="55">
        <f>_xll.EQNXTDZ($A$1,$B60,S$5,$B$1)</f>
        <v>0</v>
      </c>
      <c r="T60" s="55">
        <f>_xll.EQNXTDZ($A$1,$B60,T$5,$B$1)</f>
        <v>3174.87</v>
      </c>
      <c r="U60" s="55">
        <f>_xll.EQNXTDZ($A$1,$B60,U$5,$B$1)</f>
        <v>0</v>
      </c>
      <c r="V60" s="55">
        <f>_xll.EQNXTDZ($A$1,$B60,V$5,$B$1)</f>
        <v>3563.6</v>
      </c>
      <c r="W60" s="55">
        <f>_xll.EQNXTDZ($A$1,$B60,W$5,$B$1)</f>
        <v>0</v>
      </c>
      <c r="X60" s="55">
        <f>_xll.EQNXTDZ($A$1,$B60,X$5,$B$1)</f>
        <v>4155.01</v>
      </c>
      <c r="Y60" s="55">
        <f>_xll.EQNXTDZ($A$1,$B60,Y$5,$B$1)</f>
        <v>0</v>
      </c>
      <c r="Z60" s="55">
        <f>_xll.EQNXTDZ($A$1,$B60,Z$5,$B$1)</f>
        <v>5201.43</v>
      </c>
      <c r="AA60" s="55">
        <f>_xll.EQNXTDZ($A$1,$B60,AA$5,$B$1)</f>
        <v>0</v>
      </c>
      <c r="AB60" s="55">
        <f>_xll.EQNXTDZ($A$1,$B60,AB$5,$B$1)</f>
        <v>6077.09</v>
      </c>
      <c r="AC60" s="55">
        <f>_xll.EQNXTDZ($A$1,$B60,AC$5,$B$1)</f>
        <v>0</v>
      </c>
      <c r="AD60" s="55">
        <f>_xll.EQNXTDZ($A$1,$B60,AD$5,$B$1)</f>
        <v>6826.11</v>
      </c>
      <c r="AE60" s="55">
        <f>_xll.EQNXTDZ($A$1,$B60,AE$5,$B$1)</f>
        <v>0</v>
      </c>
      <c r="AF60" s="55">
        <f>_xll.EQNXTDZ($A$1,$B60,AF$5,$B$1)</f>
        <v>9139.57</v>
      </c>
      <c r="AG60" s="55">
        <f>_xll.EQNXTDZ($A$1,$B60,AG$5,$B$1)</f>
        <v>0</v>
      </c>
      <c r="AH60" s="55">
        <f>_xll.EQNXTDZ($A$1,$B60,AH$5,$B$1)</f>
        <v>9520.83</v>
      </c>
      <c r="AI60" s="55">
        <f>_xll.EQNXTDZ($A$1,$B60,AI$5,$B$1)</f>
        <v>0</v>
      </c>
      <c r="AJ60" s="55">
        <f>_xll.EQNXTDZ($A$1,$B60,AJ$5,$B$1)</f>
        <v>10173.44</v>
      </c>
      <c r="AK60" s="55">
        <f>_xll.EQNXTDZ($A$1,$B60,AK$5,$B$1)</f>
        <v>0</v>
      </c>
      <c r="AL60" s="55">
        <f>_xll.EQNXTDZ($A$1,$B60,AL$5,$B$1)</f>
        <v>12051.53</v>
      </c>
      <c r="AM60" s="55">
        <f>_xll.EQNXTDZ($A$1,$B60,AM$5,$B$1)</f>
        <v>0</v>
      </c>
      <c r="AN60" s="55">
        <f>_xll.EQNXTDZ($A$1,$B60,AN$5,$B$1)</f>
        <v>12634.88</v>
      </c>
      <c r="AO60" s="55">
        <f>_xll.EQNXTDZ($A$1,$B60,AO$5,$B$1)</f>
        <v>0</v>
      </c>
      <c r="AP60" s="55">
        <f>_xll.EQNXTDZ($A$1,$B60,AP$5,$B$1)</f>
        <v>12966.07</v>
      </c>
      <c r="AQ60" s="55">
        <f>_xll.EQNXTDZ($A$1,$B60,AQ$5,$B$1)</f>
        <v>0</v>
      </c>
      <c r="AR60" s="55">
        <f>_xll.EQNXTDZ($A$1,$B60,AR$5,$B$1)</f>
        <v>13398.96</v>
      </c>
      <c r="AS60" s="55">
        <f>_xll.EQNXTDZ($A$1,$B60,AS$5,$B$1)</f>
        <v>0</v>
      </c>
      <c r="AT60" s="55">
        <f>_xll.EQNXTDZ($A$1,$B60,AT$5,$B$1)</f>
        <v>14241.27</v>
      </c>
      <c r="AU60" s="55">
        <f>_xll.EQNXTDZ($A$1,$B60,AU$5,$B$1)</f>
        <v>0</v>
      </c>
      <c r="AV60" s="55">
        <f>_xll.EQNXTDZ($A$1,$B60,AV$5,$B$1)</f>
        <v>15038.14</v>
      </c>
      <c r="AW60" s="55">
        <f>_xll.EQNXTDZ($A$1,$B60,AW$5,$B$1)</f>
        <v>0</v>
      </c>
      <c r="AX60" s="55">
        <f>_xll.EQNXTDZ($A$1,$B60,AX$5,$B$1)</f>
        <v>16190.42</v>
      </c>
      <c r="AY60" s="55">
        <f>_xll.EQNXTDZ($A$1,$B60,AY$5,$B$1)</f>
        <v>0</v>
      </c>
      <c r="AZ60" s="55">
        <f>_xll.EQNXTDZ($A$1,$B60,AZ$5,$B$1)</f>
        <v>16751.12</v>
      </c>
      <c r="BA60" s="55">
        <f>_xll.EQNXTDZ($A$1,$B60,BA$5,$B$1)</f>
        <v>0</v>
      </c>
      <c r="BB60" s="55">
        <f>_xll.EQNXTDZ($A$1,$B60,BB$5,$B$1)</f>
        <v>17748.080000000002</v>
      </c>
      <c r="BC60" s="55">
        <f>_xll.EQNXTDZ($A$1,$B60,BC$5,$B$1)</f>
        <v>0</v>
      </c>
      <c r="BD60" s="55">
        <f>_xll.EQNXTDZ($A$1,$B60,BD$5,$B$1)</f>
        <v>18423.580000000002</v>
      </c>
      <c r="BE60" s="55">
        <f>_xll.EQNXTDZ($A$1,$B60,BE$5,$B$1)</f>
        <v>0</v>
      </c>
      <c r="BF60" s="55">
        <f>_xll.EQNXTDZ($A$1,$B60,BF$5,$B$1)</f>
        <v>19240.66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5749.96</v>
      </c>
      <c r="E61" s="55">
        <f>_xll.EQNXTDZ($A$1,$B61,E$5,$B$1)</f>
        <v>0</v>
      </c>
      <c r="F61" s="55">
        <f>_xll.EQNXTDZ($A$1,$B61,F$5,$B$1)</f>
        <v>47392.14</v>
      </c>
      <c r="G61" s="55">
        <f>_xll.EQNXTDZ($A$1,$B61,G$5,$B$1)</f>
        <v>0</v>
      </c>
      <c r="H61" s="55">
        <f>_xll.EQNXTDZ($A$1,$B61,H$5,$B$1)</f>
        <v>53702.39</v>
      </c>
      <c r="I61" s="55">
        <f>_xll.EQNXTDZ($A$1,$B61,I$5,$B$1)</f>
        <v>0</v>
      </c>
      <c r="J61" s="55">
        <f>_xll.EQNXTDZ($A$1,$B61,J$5,$B$1)</f>
        <v>55444.89</v>
      </c>
      <c r="K61" s="55">
        <f>_xll.EQNXTDZ($A$1,$B61,K$5,$B$1)</f>
        <v>0</v>
      </c>
      <c r="L61" s="55">
        <f>_xll.EQNXTDZ($A$1,$B61,L$5,$B$1)</f>
        <v>57733.63</v>
      </c>
      <c r="M61" s="55">
        <f>_xll.EQNXTDZ($A$1,$B61,M$5,$B$1)</f>
        <v>0</v>
      </c>
      <c r="N61" s="55">
        <f>_xll.EQNXTDZ($A$1,$B61,N$5,$B$1)</f>
        <v>65537.179999999993</v>
      </c>
      <c r="O61" s="55">
        <f>_xll.EQNXTDZ($A$1,$B61,O$5,$B$1)</f>
        <v>0</v>
      </c>
      <c r="P61" s="55">
        <f>_xll.EQNXTDZ($A$1,$B61,P$5,$B$1)</f>
        <v>68234.240000000005</v>
      </c>
      <c r="Q61" s="55">
        <f>_xll.EQNXTDZ($A$1,$B61,Q$5,$B$1)</f>
        <v>0</v>
      </c>
      <c r="R61" s="55">
        <f>_xll.EQNXTDZ($A$1,$B61,R$5,$B$1)</f>
        <v>61223.839999999997</v>
      </c>
      <c r="S61" s="55">
        <f>_xll.EQNXTDZ($A$1,$B61,S$5,$B$1)</f>
        <v>0</v>
      </c>
      <c r="T61" s="55">
        <f>_xll.EQNXTDZ($A$1,$B61,T$5,$B$1)</f>
        <v>61504.35</v>
      </c>
      <c r="U61" s="55">
        <f>_xll.EQNXTDZ($A$1,$B61,U$5,$B$1)</f>
        <v>0</v>
      </c>
      <c r="V61" s="55">
        <f>_xll.EQNXTDZ($A$1,$B61,V$5,$B$1)</f>
        <v>67340.58</v>
      </c>
      <c r="W61" s="55">
        <f>_xll.EQNXTDZ($A$1,$B61,W$5,$B$1)</f>
        <v>0</v>
      </c>
      <c r="X61" s="55">
        <f>_xll.EQNXTDZ($A$1,$B61,X$5,$B$1)</f>
        <v>67626.539999999994</v>
      </c>
      <c r="Y61" s="55">
        <f>_xll.EQNXTDZ($A$1,$B61,Y$5,$B$1)</f>
        <v>0</v>
      </c>
      <c r="Z61" s="55">
        <f>_xll.EQNXTDZ($A$1,$B61,Z$5,$B$1)</f>
        <v>72914.759999999995</v>
      </c>
      <c r="AA61" s="55">
        <f>_xll.EQNXTDZ($A$1,$B61,AA$5,$B$1)</f>
        <v>0</v>
      </c>
      <c r="AB61" s="55">
        <f>_xll.EQNXTDZ($A$1,$B61,AB$5,$B$1)</f>
        <v>75526.899999999994</v>
      </c>
      <c r="AC61" s="55">
        <f>_xll.EQNXTDZ($A$1,$B61,AC$5,$B$1)</f>
        <v>0</v>
      </c>
      <c r="AD61" s="55">
        <f>_xll.EQNXTDZ($A$1,$B61,AD$5,$B$1)</f>
        <v>74120.789999999994</v>
      </c>
      <c r="AE61" s="55">
        <f>_xll.EQNXTDZ($A$1,$B61,AE$5,$B$1)</f>
        <v>0</v>
      </c>
      <c r="AF61" s="55">
        <f>_xll.EQNXTDZ($A$1,$B61,AF$5,$B$1)</f>
        <v>68828.67</v>
      </c>
      <c r="AG61" s="55">
        <f>_xll.EQNXTDZ($A$1,$B61,AG$5,$B$1)</f>
        <v>0</v>
      </c>
      <c r="AH61" s="55">
        <f>_xll.EQNXTDZ($A$1,$B61,AH$5,$B$1)</f>
        <v>82331.33</v>
      </c>
      <c r="AI61" s="55">
        <f>_xll.EQNXTDZ($A$1,$B61,AI$5,$B$1)</f>
        <v>0</v>
      </c>
      <c r="AJ61" s="55">
        <f>_xll.EQNXTDZ($A$1,$B61,AJ$5,$B$1)</f>
        <v>88944.06</v>
      </c>
      <c r="AK61" s="55">
        <f>_xll.EQNXTDZ($A$1,$B61,AK$5,$B$1)</f>
        <v>0</v>
      </c>
      <c r="AL61" s="55">
        <f>_xll.EQNXTDZ($A$1,$B61,AL$5,$B$1)</f>
        <v>82120.039999999994</v>
      </c>
      <c r="AM61" s="55">
        <f>_xll.EQNXTDZ($A$1,$B61,AM$5,$B$1)</f>
        <v>0</v>
      </c>
      <c r="AN61" s="55">
        <f>_xll.EQNXTDZ($A$1,$B61,AN$5,$B$1)</f>
        <v>72509.88</v>
      </c>
      <c r="AO61" s="55">
        <f>_xll.EQNXTDZ($A$1,$B61,AO$5,$B$1)</f>
        <v>0</v>
      </c>
      <c r="AP61" s="55">
        <f>_xll.EQNXTDZ($A$1,$B61,AP$5,$B$1)</f>
        <v>61618.31</v>
      </c>
      <c r="AQ61" s="55">
        <f>_xll.EQNXTDZ($A$1,$B61,AQ$5,$B$1)</f>
        <v>0</v>
      </c>
      <c r="AR61" s="55">
        <f>_xll.EQNXTDZ($A$1,$B61,AR$5,$B$1)</f>
        <v>56780.53</v>
      </c>
      <c r="AS61" s="55">
        <f>_xll.EQNXTDZ($A$1,$B61,AS$5,$B$1)</f>
        <v>0</v>
      </c>
      <c r="AT61" s="55">
        <f>_xll.EQNXTDZ($A$1,$B61,AT$5,$B$1)</f>
        <v>61217.68</v>
      </c>
      <c r="AU61" s="55">
        <f>_xll.EQNXTDZ($A$1,$B61,AU$5,$B$1)</f>
        <v>0</v>
      </c>
      <c r="AV61" s="55">
        <f>_xll.EQNXTDZ($A$1,$B61,AV$5,$B$1)</f>
        <v>58393.38</v>
      </c>
      <c r="AW61" s="55">
        <f>_xll.EQNXTDZ($A$1,$B61,AW$5,$B$1)</f>
        <v>0</v>
      </c>
      <c r="AX61" s="55">
        <f>_xll.EQNXTDZ($A$1,$B61,AX$5,$B$1)</f>
        <v>56506.97</v>
      </c>
      <c r="AY61" s="55">
        <f>_xll.EQNXTDZ($A$1,$B61,AY$5,$B$1)</f>
        <v>0</v>
      </c>
      <c r="AZ61" s="55">
        <f>_xll.EQNXTDZ($A$1,$B61,AZ$5,$B$1)</f>
        <v>50958.39</v>
      </c>
      <c r="BA61" s="55">
        <f>_xll.EQNXTDZ($A$1,$B61,BA$5,$B$1)</f>
        <v>0</v>
      </c>
      <c r="BB61" s="55">
        <f>_xll.EQNXTDZ($A$1,$B61,BB$5,$B$1)</f>
        <v>57503.34</v>
      </c>
      <c r="BC61" s="55">
        <f>_xll.EQNXTDZ($A$1,$B61,BC$5,$B$1)</f>
        <v>0</v>
      </c>
      <c r="BD61" s="55">
        <f>_xll.EQNXTDZ($A$1,$B61,BD$5,$B$1)</f>
        <v>66942.55</v>
      </c>
      <c r="BE61" s="55">
        <f>_xll.EQNXTDZ($A$1,$B61,BE$5,$B$1)</f>
        <v>0</v>
      </c>
      <c r="BF61" s="55">
        <f>_xll.EQNXTDZ($A$1,$B61,BF$5,$B$1)</f>
        <v>63738.59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5749.96</v>
      </c>
      <c r="E63" s="55">
        <f>_xll.EQNXTDZ($A$1,$B63,E$5,$B$1)</f>
        <v>0</v>
      </c>
      <c r="F63" s="55">
        <f>_xll.EQNXTDZ($A$1,$B63,F$5,$B$1)</f>
        <v>47392.14</v>
      </c>
      <c r="G63" s="55">
        <f>_xll.EQNXTDZ($A$1,$B63,G$5,$B$1)</f>
        <v>0</v>
      </c>
      <c r="H63" s="55">
        <f>_xll.EQNXTDZ($A$1,$B63,H$5,$B$1)</f>
        <v>53702.39</v>
      </c>
      <c r="I63" s="55">
        <f>_xll.EQNXTDZ($A$1,$B63,I$5,$B$1)</f>
        <v>0</v>
      </c>
      <c r="J63" s="55">
        <f>_xll.EQNXTDZ($A$1,$B63,J$5,$B$1)</f>
        <v>55444.89</v>
      </c>
      <c r="K63" s="55">
        <f>_xll.EQNXTDZ($A$1,$B63,K$5,$B$1)</f>
        <v>0</v>
      </c>
      <c r="L63" s="55">
        <f>_xll.EQNXTDZ($A$1,$B63,L$5,$B$1)</f>
        <v>57733.63</v>
      </c>
      <c r="M63" s="55">
        <f>_xll.EQNXTDZ($A$1,$B63,M$5,$B$1)</f>
        <v>0</v>
      </c>
      <c r="N63" s="55">
        <f>_xll.EQNXTDZ($A$1,$B63,N$5,$B$1)</f>
        <v>65537.179999999993</v>
      </c>
      <c r="O63" s="55">
        <f>_xll.EQNXTDZ($A$1,$B63,O$5,$B$1)</f>
        <v>0</v>
      </c>
      <c r="P63" s="55">
        <f>_xll.EQNXTDZ($A$1,$B63,P$5,$B$1)</f>
        <v>68234.240000000005</v>
      </c>
      <c r="Q63" s="55">
        <f>_xll.EQNXTDZ($A$1,$B63,Q$5,$B$1)</f>
        <v>0</v>
      </c>
      <c r="R63" s="55">
        <f>_xll.EQNXTDZ($A$1,$B63,R$5,$B$1)</f>
        <v>61223.839999999997</v>
      </c>
      <c r="S63" s="55">
        <f>_xll.EQNXTDZ($A$1,$B63,S$5,$B$1)</f>
        <v>0</v>
      </c>
      <c r="T63" s="55">
        <f>_xll.EQNXTDZ($A$1,$B63,T$5,$B$1)</f>
        <v>61504.35</v>
      </c>
      <c r="U63" s="55">
        <f>_xll.EQNXTDZ($A$1,$B63,U$5,$B$1)</f>
        <v>0</v>
      </c>
      <c r="V63" s="55">
        <f>_xll.EQNXTDZ($A$1,$B63,V$5,$B$1)</f>
        <v>67340.58</v>
      </c>
      <c r="W63" s="55">
        <f>_xll.EQNXTDZ($A$1,$B63,W$5,$B$1)</f>
        <v>0</v>
      </c>
      <c r="X63" s="55">
        <f>_xll.EQNXTDZ($A$1,$B63,X$5,$B$1)</f>
        <v>67626.539999999994</v>
      </c>
      <c r="Y63" s="55">
        <f>_xll.EQNXTDZ($A$1,$B63,Y$5,$B$1)</f>
        <v>0</v>
      </c>
      <c r="Z63" s="55">
        <f>_xll.EQNXTDZ($A$1,$B63,Z$5,$B$1)</f>
        <v>72914.759999999995</v>
      </c>
      <c r="AA63" s="55">
        <f>_xll.EQNXTDZ($A$1,$B63,AA$5,$B$1)</f>
        <v>0</v>
      </c>
      <c r="AB63" s="55">
        <f>_xll.EQNXTDZ($A$1,$B63,AB$5,$B$1)</f>
        <v>75526.899999999994</v>
      </c>
      <c r="AC63" s="55">
        <f>_xll.EQNXTDZ($A$1,$B63,AC$5,$B$1)</f>
        <v>0</v>
      </c>
      <c r="AD63" s="55">
        <f>_xll.EQNXTDZ($A$1,$B63,AD$5,$B$1)</f>
        <v>74120.789999999994</v>
      </c>
      <c r="AE63" s="55">
        <f>_xll.EQNXTDZ($A$1,$B63,AE$5,$B$1)</f>
        <v>0</v>
      </c>
      <c r="AF63" s="55">
        <f>_xll.EQNXTDZ($A$1,$B63,AF$5,$B$1)</f>
        <v>68828.67</v>
      </c>
      <c r="AG63" s="55">
        <f>_xll.EQNXTDZ($A$1,$B63,AG$5,$B$1)</f>
        <v>0</v>
      </c>
      <c r="AH63" s="55">
        <f>_xll.EQNXTDZ($A$1,$B63,AH$5,$B$1)</f>
        <v>82331.33</v>
      </c>
      <c r="AI63" s="55">
        <f>_xll.EQNXTDZ($A$1,$B63,AI$5,$B$1)</f>
        <v>0</v>
      </c>
      <c r="AJ63" s="55">
        <f>_xll.EQNXTDZ($A$1,$B63,AJ$5,$B$1)</f>
        <v>88944.06</v>
      </c>
      <c r="AK63" s="55">
        <f>_xll.EQNXTDZ($A$1,$B63,AK$5,$B$1)</f>
        <v>0</v>
      </c>
      <c r="AL63" s="55">
        <f>_xll.EQNXTDZ($A$1,$B63,AL$5,$B$1)</f>
        <v>82120.039999999994</v>
      </c>
      <c r="AM63" s="55">
        <f>_xll.EQNXTDZ($A$1,$B63,AM$5,$B$1)</f>
        <v>0</v>
      </c>
      <c r="AN63" s="55">
        <f>_xll.EQNXTDZ($A$1,$B63,AN$5,$B$1)</f>
        <v>72509.88</v>
      </c>
      <c r="AO63" s="55">
        <f>_xll.EQNXTDZ($A$1,$B63,AO$5,$B$1)</f>
        <v>0</v>
      </c>
      <c r="AP63" s="55">
        <f>_xll.EQNXTDZ($A$1,$B63,AP$5,$B$1)</f>
        <v>61618.31</v>
      </c>
      <c r="AQ63" s="55">
        <f>_xll.EQNXTDZ($A$1,$B63,AQ$5,$B$1)</f>
        <v>0</v>
      </c>
      <c r="AR63" s="55">
        <f>_xll.EQNXTDZ($A$1,$B63,AR$5,$B$1)</f>
        <v>56780.53</v>
      </c>
      <c r="AS63" s="55">
        <f>_xll.EQNXTDZ($A$1,$B63,AS$5,$B$1)</f>
        <v>0</v>
      </c>
      <c r="AT63" s="55">
        <f>_xll.EQNXTDZ($A$1,$B63,AT$5,$B$1)</f>
        <v>61217.68</v>
      </c>
      <c r="AU63" s="55">
        <f>_xll.EQNXTDZ($A$1,$B63,AU$5,$B$1)</f>
        <v>0</v>
      </c>
      <c r="AV63" s="55">
        <f>_xll.EQNXTDZ($A$1,$B63,AV$5,$B$1)</f>
        <v>58393.38</v>
      </c>
      <c r="AW63" s="55">
        <f>_xll.EQNXTDZ($A$1,$B63,AW$5,$B$1)</f>
        <v>0</v>
      </c>
      <c r="AX63" s="55">
        <f>_xll.EQNXTDZ($A$1,$B63,AX$5,$B$1)</f>
        <v>56506.97</v>
      </c>
      <c r="AY63" s="55">
        <f>_xll.EQNXTDZ($A$1,$B63,AY$5,$B$1)</f>
        <v>0</v>
      </c>
      <c r="AZ63" s="55">
        <f>_xll.EQNXTDZ($A$1,$B63,AZ$5,$B$1)</f>
        <v>50958.39</v>
      </c>
      <c r="BA63" s="55">
        <f>_xll.EQNXTDZ($A$1,$B63,BA$5,$B$1)</f>
        <v>0</v>
      </c>
      <c r="BB63" s="55">
        <f>_xll.EQNXTDZ($A$1,$B63,BB$5,$B$1)</f>
        <v>57503.34</v>
      </c>
      <c r="BC63" s="55">
        <f>_xll.EQNXTDZ($A$1,$B63,BC$5,$B$1)</f>
        <v>0</v>
      </c>
      <c r="BD63" s="55">
        <f>_xll.EQNXTDZ($A$1,$B63,BD$5,$B$1)</f>
        <v>66942.55</v>
      </c>
      <c r="BE63" s="55">
        <f>_xll.EQNXTDZ($A$1,$B63,BE$5,$B$1)</f>
        <v>0</v>
      </c>
      <c r="BF63" s="55">
        <f>_xll.EQNXTDZ($A$1,$B63,BF$5,$B$1)</f>
        <v>63738.59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632.87</v>
      </c>
      <c r="E64" s="55">
        <f>_xll.EQNXTDZ($A$1,$B64,E$5,$B$1)</f>
        <v>0</v>
      </c>
      <c r="F64" s="55">
        <f>_xll.EQNXTDZ($A$1,$B64,F$5,$B$1)</f>
        <v>4642.3</v>
      </c>
      <c r="G64" s="55">
        <f>_xll.EQNXTDZ($A$1,$B64,G$5,$B$1)</f>
        <v>0</v>
      </c>
      <c r="H64" s="55">
        <f>_xll.EQNXTDZ($A$1,$B64,H$5,$B$1)</f>
        <v>4416.6099999999997</v>
      </c>
      <c r="I64" s="55">
        <f>_xll.EQNXTDZ($A$1,$B64,I$5,$B$1)</f>
        <v>0</v>
      </c>
      <c r="J64" s="55">
        <f>_xll.EQNXTDZ($A$1,$B64,J$5,$B$1)</f>
        <v>3990.86</v>
      </c>
      <c r="K64" s="55">
        <f>_xll.EQNXTDZ($A$1,$B64,K$5,$B$1)</f>
        <v>0</v>
      </c>
      <c r="L64" s="55">
        <f>_xll.EQNXTDZ($A$1,$B64,L$5,$B$1)</f>
        <v>4193.6899999999996</v>
      </c>
      <c r="M64" s="55">
        <f>_xll.EQNXTDZ($A$1,$B64,M$5,$B$1)</f>
        <v>0</v>
      </c>
      <c r="N64" s="55">
        <f>_xll.EQNXTDZ($A$1,$B64,N$5,$B$1)</f>
        <v>4207.6899999999996</v>
      </c>
      <c r="O64" s="55">
        <f>_xll.EQNXTDZ($A$1,$B64,O$5,$B$1)</f>
        <v>0</v>
      </c>
      <c r="P64" s="55">
        <f>_xll.EQNXTDZ($A$1,$B64,P$5,$B$1)</f>
        <v>12466.35</v>
      </c>
      <c r="Q64" s="55">
        <f>_xll.EQNXTDZ($A$1,$B64,Q$5,$B$1)</f>
        <v>0</v>
      </c>
      <c r="R64" s="55">
        <f>_xll.EQNXTDZ($A$1,$B64,R$5,$B$1)</f>
        <v>322.54000000000002</v>
      </c>
      <c r="S64" s="55">
        <f>_xll.EQNXTDZ($A$1,$B64,S$5,$B$1)</f>
        <v>0</v>
      </c>
      <c r="T64" s="55">
        <f>_xll.EQNXTDZ($A$1,$B64,T$5,$B$1)</f>
        <v>362.93</v>
      </c>
      <c r="U64" s="55">
        <f>_xll.EQNXTDZ($A$1,$B64,U$5,$B$1)</f>
        <v>0</v>
      </c>
      <c r="V64" s="55">
        <f>_xll.EQNXTDZ($A$1,$B64,V$5,$B$1)</f>
        <v>398.23</v>
      </c>
      <c r="W64" s="55">
        <f>_xll.EQNXTDZ($A$1,$B64,W$5,$B$1)</f>
        <v>0</v>
      </c>
      <c r="X64" s="55">
        <f>_xll.EQNXTDZ($A$1,$B64,X$5,$B$1)</f>
        <v>412.49</v>
      </c>
      <c r="Y64" s="55">
        <f>_xll.EQNXTDZ($A$1,$B64,Y$5,$B$1)</f>
        <v>0</v>
      </c>
      <c r="Z64" s="55">
        <f>_xll.EQNXTDZ($A$1,$B64,Z$5,$B$1)</f>
        <v>421.92</v>
      </c>
      <c r="AA64" s="55">
        <f>_xll.EQNXTDZ($A$1,$B64,AA$5,$B$1)</f>
        <v>0</v>
      </c>
      <c r="AB64" s="55">
        <f>_xll.EQNXTDZ($A$1,$B64,AB$5,$B$1)</f>
        <v>723.15</v>
      </c>
      <c r="AC64" s="55">
        <f>_xll.EQNXTDZ($A$1,$B64,AC$5,$B$1)</f>
        <v>0</v>
      </c>
      <c r="AD64" s="55">
        <f>_xll.EQNXTDZ($A$1,$B64,AD$5,$B$1)</f>
        <v>355.38</v>
      </c>
      <c r="AE64" s="55">
        <f>_xll.EQNXTDZ($A$1,$B64,AE$5,$B$1)</f>
        <v>0</v>
      </c>
      <c r="AF64" s="55">
        <f>_xll.EQNXTDZ($A$1,$B64,AF$5,$B$1)</f>
        <v>2032.45</v>
      </c>
      <c r="AG64" s="55">
        <f>_xll.EQNXTDZ($A$1,$B64,AG$5,$B$1)</f>
        <v>0</v>
      </c>
      <c r="AH64" s="55">
        <f>_xll.EQNXTDZ($A$1,$B64,AH$5,$B$1)</f>
        <v>2673.83</v>
      </c>
      <c r="AI64" s="55">
        <f>_xll.EQNXTDZ($A$1,$B64,AI$5,$B$1)</f>
        <v>0</v>
      </c>
      <c r="AJ64" s="55">
        <f>_xll.EQNXTDZ($A$1,$B64,AJ$5,$B$1)</f>
        <v>2117.0700000000002</v>
      </c>
      <c r="AK64" s="55">
        <f>_xll.EQNXTDZ($A$1,$B64,AK$5,$B$1)</f>
        <v>0</v>
      </c>
      <c r="AL64" s="55">
        <f>_xll.EQNXTDZ($A$1,$B64,AL$5,$B$1)</f>
        <v>1873.16</v>
      </c>
      <c r="AM64" s="55">
        <f>_xll.EQNXTDZ($A$1,$B64,AM$5,$B$1)</f>
        <v>0</v>
      </c>
      <c r="AN64" s="55">
        <f>_xll.EQNXTDZ($A$1,$B64,AN$5,$B$1)</f>
        <v>1858.83</v>
      </c>
      <c r="AO64" s="55">
        <f>_xll.EQNXTDZ($A$1,$B64,AO$5,$B$1)</f>
        <v>0</v>
      </c>
      <c r="AP64" s="55">
        <f>_xll.EQNXTDZ($A$1,$B64,AP$5,$B$1)</f>
        <v>1857.25</v>
      </c>
      <c r="AQ64" s="55">
        <f>_xll.EQNXTDZ($A$1,$B64,AQ$5,$B$1)</f>
        <v>0</v>
      </c>
      <c r="AR64" s="55">
        <f>_xll.EQNXTDZ($A$1,$B64,AR$5,$B$1)</f>
        <v>2117.71</v>
      </c>
      <c r="AS64" s="55">
        <f>_xll.EQNXTDZ($A$1,$B64,AS$5,$B$1)</f>
        <v>0</v>
      </c>
      <c r="AT64" s="55">
        <f>_xll.EQNXTDZ($A$1,$B64,AT$5,$B$1)</f>
        <v>2001</v>
      </c>
      <c r="AU64" s="55">
        <f>_xll.EQNXTDZ($A$1,$B64,AU$5,$B$1)</f>
        <v>0</v>
      </c>
      <c r="AV64" s="55">
        <f>_xll.EQNXTDZ($A$1,$B64,AV$5,$B$1)</f>
        <v>2543.4</v>
      </c>
      <c r="AW64" s="55">
        <f>_xll.EQNXTDZ($A$1,$B64,AW$5,$B$1)</f>
        <v>0</v>
      </c>
      <c r="AX64" s="55">
        <f>_xll.EQNXTDZ($A$1,$B64,AX$5,$B$1)</f>
        <v>2448.87</v>
      </c>
      <c r="AY64" s="55">
        <f>_xll.EQNXTDZ($A$1,$B64,AY$5,$B$1)</f>
        <v>0</v>
      </c>
      <c r="AZ64" s="55">
        <f>_xll.EQNXTDZ($A$1,$B64,AZ$5,$B$1)</f>
        <v>2851</v>
      </c>
      <c r="BA64" s="55">
        <f>_xll.EQNXTDZ($A$1,$B64,BA$5,$B$1)</f>
        <v>0</v>
      </c>
      <c r="BB64" s="55">
        <f>_xll.EQNXTDZ($A$1,$B64,BB$5,$B$1)</f>
        <v>3112.16</v>
      </c>
      <c r="BC64" s="55">
        <f>_xll.EQNXTDZ($A$1,$B64,BC$5,$B$1)</f>
        <v>0</v>
      </c>
      <c r="BD64" s="55">
        <f>_xll.EQNXTDZ($A$1,$B64,BD$5,$B$1)</f>
        <v>3987.3</v>
      </c>
      <c r="BE64" s="55">
        <f>_xll.EQNXTDZ($A$1,$B64,BE$5,$B$1)</f>
        <v>0</v>
      </c>
      <c r="BF64" s="55">
        <f>_xll.EQNXTDZ($A$1,$B64,BF$5,$B$1)</f>
        <v>25749.77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286.73</v>
      </c>
      <c r="E66" s="55">
        <f>_xll.EQNXTDZ($A$1,$B66,E$5,$B$1)</f>
        <v>0</v>
      </c>
      <c r="F66" s="55">
        <f>_xll.EQNXTDZ($A$1,$B66,F$5,$B$1)</f>
        <v>346.67</v>
      </c>
      <c r="G66" s="55">
        <f>_xll.EQNXTDZ($A$1,$B66,G$5,$B$1)</f>
        <v>0</v>
      </c>
      <c r="H66" s="55">
        <f>_xll.EQNXTDZ($A$1,$B66,H$5,$B$1)</f>
        <v>312</v>
      </c>
      <c r="I66" s="55">
        <f>_xll.EQNXTDZ($A$1,$B66,I$5,$B$1)</f>
        <v>0</v>
      </c>
      <c r="J66" s="55">
        <f>_xll.EQNXTDZ($A$1,$B66,J$5,$B$1)</f>
        <v>374.24</v>
      </c>
      <c r="K66" s="55">
        <f>_xll.EQNXTDZ($A$1,$B66,K$5,$B$1)</f>
        <v>0</v>
      </c>
      <c r="L66" s="55">
        <f>_xll.EQNXTDZ($A$1,$B66,L$5,$B$1)</f>
        <v>411.5</v>
      </c>
      <c r="M66" s="55">
        <f>_xll.EQNXTDZ($A$1,$B66,M$5,$B$1)</f>
        <v>0</v>
      </c>
      <c r="N66" s="55">
        <f>_xll.EQNXTDZ($A$1,$B66,N$5,$B$1)</f>
        <v>574.38</v>
      </c>
      <c r="O66" s="55">
        <f>_xll.EQNXTDZ($A$1,$B66,O$5,$B$1)</f>
        <v>0</v>
      </c>
      <c r="P66" s="55">
        <f>_xll.EQNXTDZ($A$1,$B66,P$5,$B$1)</f>
        <v>685.8</v>
      </c>
      <c r="Q66" s="55">
        <f>_xll.EQNXTDZ($A$1,$B66,Q$5,$B$1)</f>
        <v>0</v>
      </c>
      <c r="R66" s="55">
        <f>_xll.EQNXTDZ($A$1,$B66,R$5,$B$1)</f>
        <v>424.66</v>
      </c>
      <c r="S66" s="55">
        <f>_xll.EQNXTDZ($A$1,$B66,S$5,$B$1)</f>
        <v>0</v>
      </c>
      <c r="T66" s="55">
        <f>_xll.EQNXTDZ($A$1,$B66,T$5,$B$1)</f>
        <v>565.72</v>
      </c>
      <c r="U66" s="55">
        <f>_xll.EQNXTDZ($A$1,$B66,U$5,$B$1)</f>
        <v>0</v>
      </c>
      <c r="V66" s="55">
        <f>_xll.EQNXTDZ($A$1,$B66,V$5,$B$1)</f>
        <v>526.6</v>
      </c>
      <c r="W66" s="55">
        <f>_xll.EQNXTDZ($A$1,$B66,W$5,$B$1)</f>
        <v>0</v>
      </c>
      <c r="X66" s="55">
        <f>_xll.EQNXTDZ($A$1,$B66,X$5,$B$1)</f>
        <v>583</v>
      </c>
      <c r="Y66" s="55">
        <f>_xll.EQNXTDZ($A$1,$B66,Y$5,$B$1)</f>
        <v>0</v>
      </c>
      <c r="Z66" s="55">
        <f>_xll.EQNXTDZ($A$1,$B66,Z$5,$B$1)</f>
        <v>523.54</v>
      </c>
      <c r="AA66" s="55">
        <f>_xll.EQNXTDZ($A$1,$B66,AA$5,$B$1)</f>
        <v>0</v>
      </c>
      <c r="AB66" s="55">
        <f>_xll.EQNXTDZ($A$1,$B66,AB$5,$B$1)</f>
        <v>530.41</v>
      </c>
      <c r="AC66" s="55">
        <f>_xll.EQNXTDZ($A$1,$B66,AC$5,$B$1)</f>
        <v>0</v>
      </c>
      <c r="AD66" s="55">
        <f>_xll.EQNXTDZ($A$1,$B66,AD$5,$B$1)</f>
        <v>556.84</v>
      </c>
      <c r="AE66" s="55">
        <f>_xll.EQNXTDZ($A$1,$B66,AE$5,$B$1)</f>
        <v>0</v>
      </c>
      <c r="AF66" s="55">
        <f>_xll.EQNXTDZ($A$1,$B66,AF$5,$B$1)</f>
        <v>644.24</v>
      </c>
      <c r="AG66" s="55">
        <f>_xll.EQNXTDZ($A$1,$B66,AG$5,$B$1)</f>
        <v>0</v>
      </c>
      <c r="AH66" s="55">
        <f>_xll.EQNXTDZ($A$1,$B66,AH$5,$B$1)</f>
        <v>708.67</v>
      </c>
      <c r="AI66" s="55">
        <f>_xll.EQNXTDZ($A$1,$B66,AI$5,$B$1)</f>
        <v>0</v>
      </c>
      <c r="AJ66" s="55">
        <f>_xll.EQNXTDZ($A$1,$B66,AJ$5,$B$1)</f>
        <v>756.86</v>
      </c>
      <c r="AK66" s="55">
        <f>_xll.EQNXTDZ($A$1,$B66,AK$5,$B$1)</f>
        <v>0</v>
      </c>
      <c r="AL66" s="55">
        <f>_xll.EQNXTDZ($A$1,$B66,AL$5,$B$1)</f>
        <v>773.78</v>
      </c>
      <c r="AM66" s="55">
        <f>_xll.EQNXTDZ($A$1,$B66,AM$5,$B$1)</f>
        <v>0</v>
      </c>
      <c r="AN66" s="55">
        <f>_xll.EQNXTDZ($A$1,$B66,AN$5,$B$1)</f>
        <v>825.44</v>
      </c>
      <c r="AO66" s="55">
        <f>_xll.EQNXTDZ($A$1,$B66,AO$5,$B$1)</f>
        <v>0</v>
      </c>
      <c r="AP66" s="55">
        <f>_xll.EQNXTDZ($A$1,$B66,AP$5,$B$1)</f>
        <v>817.77</v>
      </c>
      <c r="AQ66" s="55">
        <f>_xll.EQNXTDZ($A$1,$B66,AQ$5,$B$1)</f>
        <v>0</v>
      </c>
      <c r="AR66" s="55">
        <f>_xll.EQNXTDZ($A$1,$B66,AR$5,$B$1)</f>
        <v>825.31</v>
      </c>
      <c r="AS66" s="55">
        <f>_xll.EQNXTDZ($A$1,$B66,AS$5,$B$1)</f>
        <v>0</v>
      </c>
      <c r="AT66" s="55">
        <f>_xll.EQNXTDZ($A$1,$B66,AT$5,$B$1)</f>
        <v>869.99</v>
      </c>
      <c r="AU66" s="55">
        <f>_xll.EQNXTDZ($A$1,$B66,AU$5,$B$1)</f>
        <v>0</v>
      </c>
      <c r="AV66" s="55">
        <f>_xll.EQNXTDZ($A$1,$B66,AV$5,$B$1)</f>
        <v>939.43</v>
      </c>
      <c r="AW66" s="55">
        <f>_xll.EQNXTDZ($A$1,$B66,AW$5,$B$1)</f>
        <v>0</v>
      </c>
      <c r="AX66" s="55">
        <f>_xll.EQNXTDZ($A$1,$B66,AX$5,$B$1)</f>
        <v>987.38</v>
      </c>
      <c r="AY66" s="55">
        <f>_xll.EQNXTDZ($A$1,$B66,AY$5,$B$1)</f>
        <v>0</v>
      </c>
      <c r="AZ66" s="55">
        <f>_xll.EQNXTDZ($A$1,$B66,AZ$5,$B$1)</f>
        <v>1054.0899999999999</v>
      </c>
      <c r="BA66" s="55">
        <f>_xll.EQNXTDZ($A$1,$B66,BA$5,$B$1)</f>
        <v>0</v>
      </c>
      <c r="BB66" s="55">
        <f>_xll.EQNXTDZ($A$1,$B66,BB$5,$B$1)</f>
        <v>1124.01</v>
      </c>
      <c r="BC66" s="55">
        <f>_xll.EQNXTDZ($A$1,$B66,BC$5,$B$1)</f>
        <v>0</v>
      </c>
      <c r="BD66" s="55">
        <f>_xll.EQNXTDZ($A$1,$B66,BD$5,$B$1)</f>
        <v>1168.4000000000001</v>
      </c>
      <c r="BE66" s="55">
        <f>_xll.EQNXTDZ($A$1,$B66,BE$5,$B$1)</f>
        <v>0</v>
      </c>
      <c r="BF66" s="55">
        <f>_xll.EQNXTDZ($A$1,$B66,BF$5,$B$1)</f>
        <v>832.48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34061.800000000003</v>
      </c>
      <c r="E67" s="55">
        <f>_xll.EQNXTDZ($A$1,$B67,E$5,$B$1)</f>
        <v>0</v>
      </c>
      <c r="F67" s="55">
        <f>_xll.EQNXTDZ($A$1,$B67,F$5,$B$1)</f>
        <v>88893.67</v>
      </c>
      <c r="G67" s="55">
        <f>_xll.EQNXTDZ($A$1,$B67,G$5,$B$1)</f>
        <v>0</v>
      </c>
      <c r="H67" s="55">
        <f>_xll.EQNXTDZ($A$1,$B67,H$5,$B$1)</f>
        <v>96044.87</v>
      </c>
      <c r="I67" s="55">
        <f>_xll.EQNXTDZ($A$1,$B67,I$5,$B$1)</f>
        <v>0</v>
      </c>
      <c r="J67" s="55">
        <f>_xll.EQNXTDZ($A$1,$B67,J$5,$B$1)</f>
        <v>100700.78</v>
      </c>
      <c r="K67" s="55">
        <f>_xll.EQNXTDZ($A$1,$B67,K$5,$B$1)</f>
        <v>0</v>
      </c>
      <c r="L67" s="55">
        <f>_xll.EQNXTDZ($A$1,$B67,L$5,$B$1)</f>
        <v>105642.26</v>
      </c>
      <c r="M67" s="55">
        <f>_xll.EQNXTDZ($A$1,$B67,M$5,$B$1)</f>
        <v>0</v>
      </c>
      <c r="N67" s="55">
        <f>_xll.EQNXTDZ($A$1,$B67,N$5,$B$1)</f>
        <v>116226.94</v>
      </c>
      <c r="O67" s="55">
        <f>_xll.EQNXTDZ($A$1,$B67,O$5,$B$1)</f>
        <v>0</v>
      </c>
      <c r="P67" s="55">
        <f>_xll.EQNXTDZ($A$1,$B67,P$5,$B$1)</f>
        <v>129619.66</v>
      </c>
      <c r="Q67" s="55">
        <f>_xll.EQNXTDZ($A$1,$B67,Q$5,$B$1)</f>
        <v>0</v>
      </c>
      <c r="R67" s="55">
        <f>_xll.EQNXTDZ($A$1,$B67,R$5,$B$1)</f>
        <v>109044.24</v>
      </c>
      <c r="S67" s="55">
        <f>_xll.EQNXTDZ($A$1,$B67,S$5,$B$1)</f>
        <v>0</v>
      </c>
      <c r="T67" s="55">
        <f>_xll.EQNXTDZ($A$1,$B67,T$5,$B$1)</f>
        <v>111848.53</v>
      </c>
      <c r="U67" s="55">
        <f>_xll.EQNXTDZ($A$1,$B67,U$5,$B$1)</f>
        <v>0</v>
      </c>
      <c r="V67" s="55">
        <f>_xll.EQNXTDZ($A$1,$B67,V$5,$B$1)</f>
        <v>122045.53</v>
      </c>
      <c r="W67" s="55">
        <f>_xll.EQNXTDZ($A$1,$B67,W$5,$B$1)</f>
        <v>0</v>
      </c>
      <c r="X67" s="55">
        <f>_xll.EQNXTDZ($A$1,$B67,X$5,$B$1)</f>
        <v>123598.6</v>
      </c>
      <c r="Y67" s="55">
        <f>_xll.EQNXTDZ($A$1,$B67,Y$5,$B$1)</f>
        <v>0</v>
      </c>
      <c r="Z67" s="55">
        <f>_xll.EQNXTDZ($A$1,$B67,Z$5,$B$1)</f>
        <v>133965.15</v>
      </c>
      <c r="AA67" s="55">
        <f>_xll.EQNXTDZ($A$1,$B67,AA$5,$B$1)</f>
        <v>0</v>
      </c>
      <c r="AB67" s="55">
        <f>_xll.EQNXTDZ($A$1,$B67,AB$5,$B$1)</f>
        <v>139204.21</v>
      </c>
      <c r="AC67" s="55">
        <f>_xll.EQNXTDZ($A$1,$B67,AC$5,$B$1)</f>
        <v>0</v>
      </c>
      <c r="AD67" s="55">
        <f>_xll.EQNXTDZ($A$1,$B67,AD$5,$B$1)</f>
        <v>144233.92000000001</v>
      </c>
      <c r="AE67" s="55">
        <f>_xll.EQNXTDZ($A$1,$B67,AE$5,$B$1)</f>
        <v>0</v>
      </c>
      <c r="AF67" s="55">
        <f>_xll.EQNXTDZ($A$1,$B67,AF$5,$B$1)</f>
        <v>143905.92000000001</v>
      </c>
      <c r="AG67" s="55">
        <f>_xll.EQNXTDZ($A$1,$B67,AG$5,$B$1)</f>
        <v>0</v>
      </c>
      <c r="AH67" s="55">
        <f>_xll.EQNXTDZ($A$1,$B67,AH$5,$B$1)</f>
        <v>161957.88</v>
      </c>
      <c r="AI67" s="55">
        <f>_xll.EQNXTDZ($A$1,$B67,AI$5,$B$1)</f>
        <v>0</v>
      </c>
      <c r="AJ67" s="55">
        <f>_xll.EQNXTDZ($A$1,$B67,AJ$5,$B$1)</f>
        <v>174318.93</v>
      </c>
      <c r="AK67" s="55">
        <f>_xll.EQNXTDZ($A$1,$B67,AK$5,$B$1)</f>
        <v>0</v>
      </c>
      <c r="AL67" s="55">
        <f>_xll.EQNXTDZ($A$1,$B67,AL$5,$B$1)</f>
        <v>172687.04</v>
      </c>
      <c r="AM67" s="55">
        <f>_xll.EQNXTDZ($A$1,$B67,AM$5,$B$1)</f>
        <v>0</v>
      </c>
      <c r="AN67" s="55">
        <f>_xll.EQNXTDZ($A$1,$B67,AN$5,$B$1)</f>
        <v>164368.12</v>
      </c>
      <c r="AO67" s="55">
        <f>_xll.EQNXTDZ($A$1,$B67,AO$5,$B$1)</f>
        <v>0</v>
      </c>
      <c r="AP67" s="55">
        <f>_xll.EQNXTDZ($A$1,$B67,AP$5,$B$1)</f>
        <v>159667.06</v>
      </c>
      <c r="AQ67" s="55">
        <f>_xll.EQNXTDZ($A$1,$B67,AQ$5,$B$1)</f>
        <v>0</v>
      </c>
      <c r="AR67" s="55">
        <f>_xll.EQNXTDZ($A$1,$B67,AR$5,$B$1)</f>
        <v>154957.43</v>
      </c>
      <c r="AS67" s="55">
        <f>_xll.EQNXTDZ($A$1,$B67,AS$5,$B$1)</f>
        <v>0</v>
      </c>
      <c r="AT67" s="55">
        <f>_xll.EQNXTDZ($A$1,$B67,AT$5,$B$1)</f>
        <v>167655.89000000001</v>
      </c>
      <c r="AU67" s="55">
        <f>_xll.EQNXTDZ($A$1,$B67,AU$5,$B$1)</f>
        <v>0</v>
      </c>
      <c r="AV67" s="55">
        <f>_xll.EQNXTDZ($A$1,$B67,AV$5,$B$1)</f>
        <v>155326.12</v>
      </c>
      <c r="AW67" s="55">
        <f>_xll.EQNXTDZ($A$1,$B67,AW$5,$B$1)</f>
        <v>0</v>
      </c>
      <c r="AX67" s="55">
        <f>_xll.EQNXTDZ($A$1,$B67,AX$5,$B$1)</f>
        <v>162492.88</v>
      </c>
      <c r="AY67" s="55">
        <f>_xll.EQNXTDZ($A$1,$B67,AY$5,$B$1)</f>
        <v>0</v>
      </c>
      <c r="AZ67" s="55">
        <f>_xll.EQNXTDZ($A$1,$B67,AZ$5,$B$1)</f>
        <v>160844.47</v>
      </c>
      <c r="BA67" s="55">
        <f>_xll.EQNXTDZ($A$1,$B67,BA$5,$B$1)</f>
        <v>0</v>
      </c>
      <c r="BB67" s="55">
        <f>_xll.EQNXTDZ($A$1,$B67,BB$5,$B$1)</f>
        <v>177143.19</v>
      </c>
      <c r="BC67" s="55">
        <f>_xll.EQNXTDZ($A$1,$B67,BC$5,$B$1)</f>
        <v>0</v>
      </c>
      <c r="BD67" s="55">
        <f>_xll.EQNXTDZ($A$1,$B67,BD$5,$B$1)</f>
        <v>191905.38</v>
      </c>
      <c r="BE67" s="55">
        <f>_xll.EQNXTDZ($A$1,$B67,BE$5,$B$1)</f>
        <v>0</v>
      </c>
      <c r="BF67" s="55">
        <f>_xll.EQNXTDZ($A$1,$B67,BF$5,$B$1)</f>
        <v>218851.3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8739.0400000000009</v>
      </c>
      <c r="E68" s="55">
        <f>_xll.EQNXTDZ($A$1,$B68,E$5,$B$1)</f>
        <v>0</v>
      </c>
      <c r="F68" s="55">
        <f>_xll.EQNXTDZ($A$1,$B68,F$5,$B$1)</f>
        <v>39619.99</v>
      </c>
      <c r="G68" s="55">
        <f>_xll.EQNXTDZ($A$1,$B68,G$5,$B$1)</f>
        <v>0</v>
      </c>
      <c r="H68" s="55">
        <f>_xll.EQNXTDZ($A$1,$B68,H$5,$B$1)</f>
        <v>41805.67</v>
      </c>
      <c r="I68" s="55">
        <f>_xll.EQNXTDZ($A$1,$B68,I$5,$B$1)</f>
        <v>0</v>
      </c>
      <c r="J68" s="55">
        <f>_xll.EQNXTDZ($A$1,$B68,J$5,$B$1)</f>
        <v>44439.81</v>
      </c>
      <c r="K68" s="55">
        <f>_xll.EQNXTDZ($A$1,$B68,K$5,$B$1)</f>
        <v>0</v>
      </c>
      <c r="L68" s="55">
        <f>_xll.EQNXTDZ($A$1,$B68,L$5,$B$1)</f>
        <v>44677.22</v>
      </c>
      <c r="M68" s="55">
        <f>_xll.EQNXTDZ($A$1,$B68,M$5,$B$1)</f>
        <v>0</v>
      </c>
      <c r="N68" s="55">
        <f>_xll.EQNXTDZ($A$1,$B68,N$5,$B$1)</f>
        <v>47515.839999999997</v>
      </c>
      <c r="O68" s="55">
        <f>_xll.EQNXTDZ($A$1,$B68,O$5,$B$1)</f>
        <v>0</v>
      </c>
      <c r="P68" s="55">
        <f>_xll.EQNXTDZ($A$1,$B68,P$5,$B$1)</f>
        <v>58755.12</v>
      </c>
      <c r="Q68" s="55">
        <f>_xll.EQNXTDZ($A$1,$B68,Q$5,$B$1)</f>
        <v>0</v>
      </c>
      <c r="R68" s="55">
        <f>_xll.EQNXTDZ($A$1,$B68,R$5,$B$1)</f>
        <v>21912.66</v>
      </c>
      <c r="S68" s="55">
        <f>_xll.EQNXTDZ($A$1,$B68,S$5,$B$1)</f>
        <v>0</v>
      </c>
      <c r="T68" s="55">
        <f>_xll.EQNXTDZ($A$1,$B68,T$5,$B$1)</f>
        <v>22886.080000000002</v>
      </c>
      <c r="U68" s="55">
        <f>_xll.EQNXTDZ($A$1,$B68,U$5,$B$1)</f>
        <v>0</v>
      </c>
      <c r="V68" s="55">
        <f>_xll.EQNXTDZ($A$1,$B68,V$5,$B$1)</f>
        <v>23018.42</v>
      </c>
      <c r="W68" s="55">
        <f>_xll.EQNXTDZ($A$1,$B68,W$5,$B$1)</f>
        <v>0</v>
      </c>
      <c r="X68" s="55">
        <f>_xll.EQNXTDZ($A$1,$B68,X$5,$B$1)</f>
        <v>24005.06</v>
      </c>
      <c r="Y68" s="55">
        <f>_xll.EQNXTDZ($A$1,$B68,Y$5,$B$1)</f>
        <v>0</v>
      </c>
      <c r="Z68" s="55">
        <f>_xll.EQNXTDZ($A$1,$B68,Z$5,$B$1)</f>
        <v>23972.91</v>
      </c>
      <c r="AA68" s="55">
        <f>_xll.EQNXTDZ($A$1,$B68,AA$5,$B$1)</f>
        <v>0</v>
      </c>
      <c r="AB68" s="55">
        <f>_xll.EQNXTDZ($A$1,$B68,AB$5,$B$1)</f>
        <v>24808.71</v>
      </c>
      <c r="AC68" s="55">
        <f>_xll.EQNXTDZ($A$1,$B68,AC$5,$B$1)</f>
        <v>0</v>
      </c>
      <c r="AD68" s="55">
        <f>_xll.EQNXTDZ($A$1,$B68,AD$5,$B$1)</f>
        <v>26548.400000000001</v>
      </c>
      <c r="AE68" s="55">
        <f>_xll.EQNXTDZ($A$1,$B68,AE$5,$B$1)</f>
        <v>0</v>
      </c>
      <c r="AF68" s="55">
        <f>_xll.EQNXTDZ($A$1,$B68,AF$5,$B$1)</f>
        <v>29667.17</v>
      </c>
      <c r="AG68" s="55">
        <f>_xll.EQNXTDZ($A$1,$B68,AG$5,$B$1)</f>
        <v>0</v>
      </c>
      <c r="AH68" s="55">
        <f>_xll.EQNXTDZ($A$1,$B68,AH$5,$B$1)</f>
        <v>29786.95</v>
      </c>
      <c r="AI68" s="55">
        <f>_xll.EQNXTDZ($A$1,$B68,AI$5,$B$1)</f>
        <v>0</v>
      </c>
      <c r="AJ68" s="55">
        <f>_xll.EQNXTDZ($A$1,$B68,AJ$5,$B$1)</f>
        <v>29295.3</v>
      </c>
      <c r="AK68" s="55">
        <f>_xll.EQNXTDZ($A$1,$B68,AK$5,$B$1)</f>
        <v>0</v>
      </c>
      <c r="AL68" s="55">
        <f>_xll.EQNXTDZ($A$1,$B68,AL$5,$B$1)</f>
        <v>30696.07</v>
      </c>
      <c r="AM68" s="55">
        <f>_xll.EQNXTDZ($A$1,$B68,AM$5,$B$1)</f>
        <v>0</v>
      </c>
      <c r="AN68" s="55">
        <f>_xll.EQNXTDZ($A$1,$B68,AN$5,$B$1)</f>
        <v>29293.85</v>
      </c>
      <c r="AO68" s="55">
        <f>_xll.EQNXTDZ($A$1,$B68,AO$5,$B$1)</f>
        <v>0</v>
      </c>
      <c r="AP68" s="55">
        <f>_xll.EQNXTDZ($A$1,$B68,AP$5,$B$1)</f>
        <v>29386.58</v>
      </c>
      <c r="AQ68" s="55">
        <f>_xll.EQNXTDZ($A$1,$B68,AQ$5,$B$1)</f>
        <v>0</v>
      </c>
      <c r="AR68" s="55">
        <f>_xll.EQNXTDZ($A$1,$B68,AR$5,$B$1)</f>
        <v>29229.34</v>
      </c>
      <c r="AS68" s="55">
        <f>_xll.EQNXTDZ($A$1,$B68,AS$5,$B$1)</f>
        <v>0</v>
      </c>
      <c r="AT68" s="55">
        <f>_xll.EQNXTDZ($A$1,$B68,AT$5,$B$1)</f>
        <v>29460.74</v>
      </c>
      <c r="AU68" s="55">
        <f>_xll.EQNXTDZ($A$1,$B68,AU$5,$B$1)</f>
        <v>0</v>
      </c>
      <c r="AV68" s="55">
        <f>_xll.EQNXTDZ($A$1,$B68,AV$5,$B$1)</f>
        <v>30391.58</v>
      </c>
      <c r="AW68" s="55">
        <f>_xll.EQNXTDZ($A$1,$B68,AW$5,$B$1)</f>
        <v>0</v>
      </c>
      <c r="AX68" s="55">
        <f>_xll.EQNXTDZ($A$1,$B68,AX$5,$B$1)</f>
        <v>30830.13</v>
      </c>
      <c r="AY68" s="55">
        <f>_xll.EQNXTDZ($A$1,$B68,AY$5,$B$1)</f>
        <v>0</v>
      </c>
      <c r="AZ68" s="55">
        <f>_xll.EQNXTDZ($A$1,$B68,AZ$5,$B$1)</f>
        <v>30904.22</v>
      </c>
      <c r="BA68" s="55">
        <f>_xll.EQNXTDZ($A$1,$B68,BA$5,$B$1)</f>
        <v>0</v>
      </c>
      <c r="BB68" s="55">
        <f>_xll.EQNXTDZ($A$1,$B68,BB$5,$B$1)</f>
        <v>31377.14</v>
      </c>
      <c r="BC68" s="55">
        <f>_xll.EQNXTDZ($A$1,$B68,BC$5,$B$1)</f>
        <v>0</v>
      </c>
      <c r="BD68" s="55">
        <f>_xll.EQNXTDZ($A$1,$B68,BD$5,$B$1)</f>
        <v>31588.12</v>
      </c>
      <c r="BE68" s="55">
        <f>_xll.EQNXTDZ($A$1,$B68,BE$5,$B$1)</f>
        <v>0</v>
      </c>
      <c r="BF68" s="55">
        <f>_xll.EQNXTDZ($A$1,$B68,BF$5,$B$1)</f>
        <v>17765.93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8739.0400000000009</v>
      </c>
      <c r="E71" s="55">
        <f>_xll.EQNXTDZ($A$1,$B71,E$5,$B$1)</f>
        <v>0</v>
      </c>
      <c r="F71" s="55">
        <f>_xll.EQNXTDZ($A$1,$B71,F$5,$B$1)</f>
        <v>39619.99</v>
      </c>
      <c r="G71" s="55">
        <f>_xll.EQNXTDZ($A$1,$B71,G$5,$B$1)</f>
        <v>0</v>
      </c>
      <c r="H71" s="55">
        <f>_xll.EQNXTDZ($A$1,$B71,H$5,$B$1)</f>
        <v>41805.67</v>
      </c>
      <c r="I71" s="55">
        <f>_xll.EQNXTDZ($A$1,$B71,I$5,$B$1)</f>
        <v>0</v>
      </c>
      <c r="J71" s="55">
        <f>_xll.EQNXTDZ($A$1,$B71,J$5,$B$1)</f>
        <v>44439.81</v>
      </c>
      <c r="K71" s="55">
        <f>_xll.EQNXTDZ($A$1,$B71,K$5,$B$1)</f>
        <v>0</v>
      </c>
      <c r="L71" s="55">
        <f>_xll.EQNXTDZ($A$1,$B71,L$5,$B$1)</f>
        <v>44677.22</v>
      </c>
      <c r="M71" s="55">
        <f>_xll.EQNXTDZ($A$1,$B71,M$5,$B$1)</f>
        <v>0</v>
      </c>
      <c r="N71" s="55">
        <f>_xll.EQNXTDZ($A$1,$B71,N$5,$B$1)</f>
        <v>47515.839999999997</v>
      </c>
      <c r="O71" s="55">
        <f>_xll.EQNXTDZ($A$1,$B71,O$5,$B$1)</f>
        <v>0</v>
      </c>
      <c r="P71" s="55">
        <f>_xll.EQNXTDZ($A$1,$B71,P$5,$B$1)</f>
        <v>58755.12</v>
      </c>
      <c r="Q71" s="55">
        <f>_xll.EQNXTDZ($A$1,$B71,Q$5,$B$1)</f>
        <v>0</v>
      </c>
      <c r="R71" s="55">
        <f>_xll.EQNXTDZ($A$1,$B71,R$5,$B$1)</f>
        <v>21912.66</v>
      </c>
      <c r="S71" s="55">
        <f>_xll.EQNXTDZ($A$1,$B71,S$5,$B$1)</f>
        <v>0</v>
      </c>
      <c r="T71" s="55">
        <f>_xll.EQNXTDZ($A$1,$B71,T$5,$B$1)</f>
        <v>22886.080000000002</v>
      </c>
      <c r="U71" s="55">
        <f>_xll.EQNXTDZ($A$1,$B71,U$5,$B$1)</f>
        <v>0</v>
      </c>
      <c r="V71" s="55">
        <f>_xll.EQNXTDZ($A$1,$B71,V$5,$B$1)</f>
        <v>23018.42</v>
      </c>
      <c r="W71" s="55">
        <f>_xll.EQNXTDZ($A$1,$B71,W$5,$B$1)</f>
        <v>0</v>
      </c>
      <c r="X71" s="55">
        <f>_xll.EQNXTDZ($A$1,$B71,X$5,$B$1)</f>
        <v>24005.06</v>
      </c>
      <c r="Y71" s="55">
        <f>_xll.EQNXTDZ($A$1,$B71,Y$5,$B$1)</f>
        <v>0</v>
      </c>
      <c r="Z71" s="55">
        <f>_xll.EQNXTDZ($A$1,$B71,Z$5,$B$1)</f>
        <v>23972.91</v>
      </c>
      <c r="AA71" s="55">
        <f>_xll.EQNXTDZ($A$1,$B71,AA$5,$B$1)</f>
        <v>0</v>
      </c>
      <c r="AB71" s="55">
        <f>_xll.EQNXTDZ($A$1,$B71,AB$5,$B$1)</f>
        <v>24808.71</v>
      </c>
      <c r="AC71" s="55">
        <f>_xll.EQNXTDZ($A$1,$B71,AC$5,$B$1)</f>
        <v>0</v>
      </c>
      <c r="AD71" s="55">
        <f>_xll.EQNXTDZ($A$1,$B71,AD$5,$B$1)</f>
        <v>26548.400000000001</v>
      </c>
      <c r="AE71" s="55">
        <f>_xll.EQNXTDZ($A$1,$B71,AE$5,$B$1)</f>
        <v>0</v>
      </c>
      <c r="AF71" s="55">
        <f>_xll.EQNXTDZ($A$1,$B71,AF$5,$B$1)</f>
        <v>29667.17</v>
      </c>
      <c r="AG71" s="55">
        <f>_xll.EQNXTDZ($A$1,$B71,AG$5,$B$1)</f>
        <v>0</v>
      </c>
      <c r="AH71" s="55">
        <f>_xll.EQNXTDZ($A$1,$B71,AH$5,$B$1)</f>
        <v>29786.95</v>
      </c>
      <c r="AI71" s="55">
        <f>_xll.EQNXTDZ($A$1,$B71,AI$5,$B$1)</f>
        <v>0</v>
      </c>
      <c r="AJ71" s="55">
        <f>_xll.EQNXTDZ($A$1,$B71,AJ$5,$B$1)</f>
        <v>29295.3</v>
      </c>
      <c r="AK71" s="55">
        <f>_xll.EQNXTDZ($A$1,$B71,AK$5,$B$1)</f>
        <v>0</v>
      </c>
      <c r="AL71" s="55">
        <f>_xll.EQNXTDZ($A$1,$B71,AL$5,$B$1)</f>
        <v>30696.07</v>
      </c>
      <c r="AM71" s="55">
        <f>_xll.EQNXTDZ($A$1,$B71,AM$5,$B$1)</f>
        <v>0</v>
      </c>
      <c r="AN71" s="55">
        <f>_xll.EQNXTDZ($A$1,$B71,AN$5,$B$1)</f>
        <v>29293.85</v>
      </c>
      <c r="AO71" s="55">
        <f>_xll.EQNXTDZ($A$1,$B71,AO$5,$B$1)</f>
        <v>0</v>
      </c>
      <c r="AP71" s="55">
        <f>_xll.EQNXTDZ($A$1,$B71,AP$5,$B$1)</f>
        <v>29386.58</v>
      </c>
      <c r="AQ71" s="55">
        <f>_xll.EQNXTDZ($A$1,$B71,AQ$5,$B$1)</f>
        <v>0</v>
      </c>
      <c r="AR71" s="55">
        <f>_xll.EQNXTDZ($A$1,$B71,AR$5,$B$1)</f>
        <v>29229.34</v>
      </c>
      <c r="AS71" s="55">
        <f>_xll.EQNXTDZ($A$1,$B71,AS$5,$B$1)</f>
        <v>0</v>
      </c>
      <c r="AT71" s="55">
        <f>_xll.EQNXTDZ($A$1,$B71,AT$5,$B$1)</f>
        <v>29460.74</v>
      </c>
      <c r="AU71" s="55">
        <f>_xll.EQNXTDZ($A$1,$B71,AU$5,$B$1)</f>
        <v>0</v>
      </c>
      <c r="AV71" s="55">
        <f>_xll.EQNXTDZ($A$1,$B71,AV$5,$B$1)</f>
        <v>30391.58</v>
      </c>
      <c r="AW71" s="55">
        <f>_xll.EQNXTDZ($A$1,$B71,AW$5,$B$1)</f>
        <v>0</v>
      </c>
      <c r="AX71" s="55">
        <f>_xll.EQNXTDZ($A$1,$B71,AX$5,$B$1)</f>
        <v>30830.13</v>
      </c>
      <c r="AY71" s="55">
        <f>_xll.EQNXTDZ($A$1,$B71,AY$5,$B$1)</f>
        <v>0</v>
      </c>
      <c r="AZ71" s="55">
        <f>_xll.EQNXTDZ($A$1,$B71,AZ$5,$B$1)</f>
        <v>30904.22</v>
      </c>
      <c r="BA71" s="55">
        <f>_xll.EQNXTDZ($A$1,$B71,BA$5,$B$1)</f>
        <v>0</v>
      </c>
      <c r="BB71" s="55">
        <f>_xll.EQNXTDZ($A$1,$B71,BB$5,$B$1)</f>
        <v>31377.14</v>
      </c>
      <c r="BC71" s="55">
        <f>_xll.EQNXTDZ($A$1,$B71,BC$5,$B$1)</f>
        <v>0</v>
      </c>
      <c r="BD71" s="55">
        <f>_xll.EQNXTDZ($A$1,$B71,BD$5,$B$1)</f>
        <v>31588.12</v>
      </c>
      <c r="BE71" s="55">
        <f>_xll.EQNXTDZ($A$1,$B71,BE$5,$B$1)</f>
        <v>0</v>
      </c>
      <c r="BF71" s="55">
        <f>_xll.EQNXTDZ($A$1,$B71,BF$5,$B$1)</f>
        <v>17765.93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2119.75</v>
      </c>
      <c r="G72" s="55">
        <f>_xll.EQNXTDZ($A$1,$B72,G$5,$B$1)</f>
        <v>0</v>
      </c>
      <c r="H72" s="55">
        <f>_xll.EQNXTDZ($A$1,$B72,H$5,$B$1)</f>
        <v>2156.73</v>
      </c>
      <c r="I72" s="55">
        <f>_xll.EQNXTDZ($A$1,$B72,I$5,$B$1)</f>
        <v>0</v>
      </c>
      <c r="J72" s="55">
        <f>_xll.EQNXTDZ($A$1,$B72,J$5,$B$1)</f>
        <v>2136.17</v>
      </c>
      <c r="K72" s="55">
        <f>_xll.EQNXTDZ($A$1,$B72,K$5,$B$1)</f>
        <v>0</v>
      </c>
      <c r="L72" s="55">
        <f>_xll.EQNXTDZ($A$1,$B72,L$5,$B$1)</f>
        <v>2178.77</v>
      </c>
      <c r="M72" s="55">
        <f>_xll.EQNXTDZ($A$1,$B72,M$5,$B$1)</f>
        <v>0</v>
      </c>
      <c r="N72" s="55">
        <f>_xll.EQNXTDZ($A$1,$B72,N$5,$B$1)</f>
        <v>2215</v>
      </c>
      <c r="O72" s="55">
        <f>_xll.EQNXTDZ($A$1,$B72,O$5,$B$1)</f>
        <v>0</v>
      </c>
      <c r="P72" s="55">
        <f>_xll.EQNXTDZ($A$1,$B72,P$5,$B$1)</f>
        <v>2184.6</v>
      </c>
      <c r="Q72" s="55">
        <f>_xll.EQNXTDZ($A$1,$B72,Q$5,$B$1)</f>
        <v>0</v>
      </c>
      <c r="R72" s="55">
        <f>_xll.EQNXTDZ($A$1,$B72,R$5,$B$1)</f>
        <v>1446.96</v>
      </c>
      <c r="S72" s="55">
        <f>_xll.EQNXTDZ($A$1,$B72,S$5,$B$1)</f>
        <v>0</v>
      </c>
      <c r="T72" s="55">
        <f>_xll.EQNXTDZ($A$1,$B72,T$5,$B$1)</f>
        <v>1430.79</v>
      </c>
      <c r="U72" s="55">
        <f>_xll.EQNXTDZ($A$1,$B72,U$5,$B$1)</f>
        <v>0</v>
      </c>
      <c r="V72" s="55">
        <f>_xll.EQNXTDZ($A$1,$B72,V$5,$B$1)</f>
        <v>1398.66</v>
      </c>
      <c r="W72" s="55">
        <f>_xll.EQNXTDZ($A$1,$B72,W$5,$B$1)</f>
        <v>0</v>
      </c>
      <c r="X72" s="55">
        <f>_xll.EQNXTDZ($A$1,$B72,X$5,$B$1)</f>
        <v>1526.46</v>
      </c>
      <c r="Y72" s="55">
        <f>_xll.EQNXTDZ($A$1,$B72,Y$5,$B$1)</f>
        <v>0</v>
      </c>
      <c r="Z72" s="55">
        <f>_xll.EQNXTDZ($A$1,$B72,Z$5,$B$1)</f>
        <v>1561.78</v>
      </c>
      <c r="AA72" s="55">
        <f>_xll.EQNXTDZ($A$1,$B72,AA$5,$B$1)</f>
        <v>0</v>
      </c>
      <c r="AB72" s="55">
        <f>_xll.EQNXTDZ($A$1,$B72,AB$5,$B$1)</f>
        <v>1606.53</v>
      </c>
      <c r="AC72" s="55">
        <f>_xll.EQNXTDZ($A$1,$B72,AC$5,$B$1)</f>
        <v>0</v>
      </c>
      <c r="AD72" s="55">
        <f>_xll.EQNXTDZ($A$1,$B72,AD$5,$B$1)</f>
        <v>1826.91</v>
      </c>
      <c r="AE72" s="55">
        <f>_xll.EQNXTDZ($A$1,$B72,AE$5,$B$1)</f>
        <v>0</v>
      </c>
      <c r="AF72" s="55">
        <f>_xll.EQNXTDZ($A$1,$B72,AF$5,$B$1)</f>
        <v>7865.23</v>
      </c>
      <c r="AG72" s="55">
        <f>_xll.EQNXTDZ($A$1,$B72,AG$5,$B$1)</f>
        <v>0</v>
      </c>
      <c r="AH72" s="55">
        <f>_xll.EQNXTDZ($A$1,$B72,AH$5,$B$1)</f>
        <v>8011.4</v>
      </c>
      <c r="AI72" s="55">
        <f>_xll.EQNXTDZ($A$1,$B72,AI$5,$B$1)</f>
        <v>0</v>
      </c>
      <c r="AJ72" s="55">
        <f>_xll.EQNXTDZ($A$1,$B72,AJ$5,$B$1)</f>
        <v>8027.45</v>
      </c>
      <c r="AK72" s="55">
        <f>_xll.EQNXTDZ($A$1,$B72,AK$5,$B$1)</f>
        <v>0</v>
      </c>
      <c r="AL72" s="55">
        <f>_xll.EQNXTDZ($A$1,$B72,AL$5,$B$1)</f>
        <v>8066.96</v>
      </c>
      <c r="AM72" s="55">
        <f>_xll.EQNXTDZ($A$1,$B72,AM$5,$B$1)</f>
        <v>0</v>
      </c>
      <c r="AN72" s="55">
        <f>_xll.EQNXTDZ($A$1,$B72,AN$5,$B$1)</f>
        <v>8108.73</v>
      </c>
      <c r="AO72" s="55">
        <f>_xll.EQNXTDZ($A$1,$B72,AO$5,$B$1)</f>
        <v>0</v>
      </c>
      <c r="AP72" s="55">
        <f>_xll.EQNXTDZ($A$1,$B72,AP$5,$B$1)</f>
        <v>7685.17</v>
      </c>
      <c r="AQ72" s="55">
        <f>_xll.EQNXTDZ($A$1,$B72,AQ$5,$B$1)</f>
        <v>0</v>
      </c>
      <c r="AR72" s="55">
        <f>_xll.EQNXTDZ($A$1,$B72,AR$5,$B$1)</f>
        <v>7466.3</v>
      </c>
      <c r="AS72" s="55">
        <f>_xll.EQNXTDZ($A$1,$B72,AS$5,$B$1)</f>
        <v>0</v>
      </c>
      <c r="AT72" s="55">
        <f>_xll.EQNXTDZ($A$1,$B72,AT$5,$B$1)</f>
        <v>7798.65</v>
      </c>
      <c r="AU72" s="55">
        <f>_xll.EQNXTDZ($A$1,$B72,AU$5,$B$1)</f>
        <v>0</v>
      </c>
      <c r="AV72" s="55">
        <f>_xll.EQNXTDZ($A$1,$B72,AV$5,$B$1)</f>
        <v>7795.59</v>
      </c>
      <c r="AW72" s="55">
        <f>_xll.EQNXTDZ($A$1,$B72,AW$5,$B$1)</f>
        <v>0</v>
      </c>
      <c r="AX72" s="55">
        <f>_xll.EQNXTDZ($A$1,$B72,AX$5,$B$1)</f>
        <v>7800.88</v>
      </c>
      <c r="AY72" s="55">
        <f>_xll.EQNXTDZ($A$1,$B72,AY$5,$B$1)</f>
        <v>0</v>
      </c>
      <c r="AZ72" s="55">
        <f>_xll.EQNXTDZ($A$1,$B72,AZ$5,$B$1)</f>
        <v>7830.92</v>
      </c>
      <c r="BA72" s="55">
        <f>_xll.EQNXTDZ($A$1,$B72,BA$5,$B$1)</f>
        <v>0</v>
      </c>
      <c r="BB72" s="55">
        <f>_xll.EQNXTDZ($A$1,$B72,BB$5,$B$1)</f>
        <v>8348.48</v>
      </c>
      <c r="BC72" s="55">
        <f>_xll.EQNXTDZ($A$1,$B72,BC$5,$B$1)</f>
        <v>0</v>
      </c>
      <c r="BD72" s="55">
        <f>_xll.EQNXTDZ($A$1,$B72,BD$5,$B$1)</f>
        <v>8615.23</v>
      </c>
      <c r="BE72" s="55">
        <f>_xll.EQNXTDZ($A$1,$B72,BE$5,$B$1)</f>
        <v>0</v>
      </c>
      <c r="BF72" s="55">
        <f>_xll.EQNXTDZ($A$1,$B72,BF$5,$B$1)</f>
        <v>8481.5400000000009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1790.53</v>
      </c>
      <c r="S74" s="55">
        <f>_xll.EQNXTDZ($A$1,$B74,S$5,$B$1)</f>
        <v>0</v>
      </c>
      <c r="T74" s="55">
        <f>_xll.EQNXTDZ($A$1,$B74,T$5,$B$1)</f>
        <v>1866.58</v>
      </c>
      <c r="U74" s="55">
        <f>_xll.EQNXTDZ($A$1,$B74,U$5,$B$1)</f>
        <v>0</v>
      </c>
      <c r="V74" s="55">
        <f>_xll.EQNXTDZ($A$1,$B74,V$5,$B$1)</f>
        <v>1944.71</v>
      </c>
      <c r="W74" s="55">
        <f>_xll.EQNXTDZ($A$1,$B74,W$5,$B$1)</f>
        <v>0</v>
      </c>
      <c r="X74" s="55">
        <f>_xll.EQNXTDZ($A$1,$B74,X$5,$B$1)</f>
        <v>1907.27</v>
      </c>
      <c r="Y74" s="55">
        <f>_xll.EQNXTDZ($A$1,$B74,Y$5,$B$1)</f>
        <v>0</v>
      </c>
      <c r="Z74" s="55">
        <f>_xll.EQNXTDZ($A$1,$B74,Z$5,$B$1)</f>
        <v>2143.0700000000002</v>
      </c>
      <c r="AA74" s="55">
        <f>_xll.EQNXTDZ($A$1,$B74,AA$5,$B$1)</f>
        <v>0</v>
      </c>
      <c r="AB74" s="55">
        <f>_xll.EQNXTDZ($A$1,$B74,AB$5,$B$1)</f>
        <v>2238.11</v>
      </c>
      <c r="AC74" s="55">
        <f>_xll.EQNXTDZ($A$1,$B74,AC$5,$B$1)</f>
        <v>0</v>
      </c>
      <c r="AD74" s="55">
        <f>_xll.EQNXTDZ($A$1,$B74,AD$5,$B$1)</f>
        <v>2483.56</v>
      </c>
      <c r="AE74" s="55">
        <f>_xll.EQNXTDZ($A$1,$B74,AE$5,$B$1)</f>
        <v>0</v>
      </c>
      <c r="AF74" s="55">
        <f>_xll.EQNXTDZ($A$1,$B74,AF$5,$B$1)</f>
        <v>2648.76</v>
      </c>
      <c r="AG74" s="55">
        <f>_xll.EQNXTDZ($A$1,$B74,AG$5,$B$1)</f>
        <v>0</v>
      </c>
      <c r="AH74" s="55">
        <f>_xll.EQNXTDZ($A$1,$B74,AH$5,$B$1)</f>
        <v>3224.91</v>
      </c>
      <c r="AI74" s="55">
        <f>_xll.EQNXTDZ($A$1,$B74,AI$5,$B$1)</f>
        <v>0</v>
      </c>
      <c r="AJ74" s="55">
        <f>_xll.EQNXTDZ($A$1,$B74,AJ$5,$B$1)</f>
        <v>1944.98</v>
      </c>
      <c r="AK74" s="55">
        <f>_xll.EQNXTDZ($A$1,$B74,AK$5,$B$1)</f>
        <v>0</v>
      </c>
      <c r="AL74" s="55">
        <f>_xll.EQNXTDZ($A$1,$B74,AL$5,$B$1)</f>
        <v>388.37</v>
      </c>
      <c r="AM74" s="55">
        <f>_xll.EQNXTDZ($A$1,$B74,AM$5,$B$1)</f>
        <v>0</v>
      </c>
      <c r="AN74" s="55">
        <f>_xll.EQNXTDZ($A$1,$B74,AN$5,$B$1)</f>
        <v>755.75</v>
      </c>
      <c r="AO74" s="55">
        <f>_xll.EQNXTDZ($A$1,$B74,AO$5,$B$1)</f>
        <v>0</v>
      </c>
      <c r="AP74" s="55">
        <f>_xll.EQNXTDZ($A$1,$B74,AP$5,$B$1)</f>
        <v>1170.32</v>
      </c>
      <c r="AQ74" s="55">
        <f>_xll.EQNXTDZ($A$1,$B74,AQ$5,$B$1)</f>
        <v>0</v>
      </c>
      <c r="AR74" s="55">
        <f>_xll.EQNXTDZ($A$1,$B74,AR$5,$B$1)</f>
        <v>2212.42</v>
      </c>
      <c r="AS74" s="55">
        <f>_xll.EQNXTDZ($A$1,$B74,AS$5,$B$1)</f>
        <v>0</v>
      </c>
      <c r="AT74" s="55">
        <f>_xll.EQNXTDZ($A$1,$B74,AT$5,$B$1)</f>
        <v>2949.09</v>
      </c>
      <c r="AU74" s="55">
        <f>_xll.EQNXTDZ($A$1,$B74,AU$5,$B$1)</f>
        <v>0</v>
      </c>
      <c r="AV74" s="55">
        <f>_xll.EQNXTDZ($A$1,$B74,AV$5,$B$1)</f>
        <v>2739.11</v>
      </c>
      <c r="AW74" s="55">
        <f>_xll.EQNXTDZ($A$1,$B74,AW$5,$B$1)</f>
        <v>0</v>
      </c>
      <c r="AX74" s="55">
        <f>_xll.EQNXTDZ($A$1,$B74,AX$5,$B$1)</f>
        <v>2897.04</v>
      </c>
      <c r="AY74" s="55">
        <f>_xll.EQNXTDZ($A$1,$B74,AY$5,$B$1)</f>
        <v>0</v>
      </c>
      <c r="AZ74" s="55">
        <f>_xll.EQNXTDZ($A$1,$B74,AZ$5,$B$1)</f>
        <v>2560.64</v>
      </c>
      <c r="BA74" s="55">
        <f>_xll.EQNXTDZ($A$1,$B74,BA$5,$B$1)</f>
        <v>0</v>
      </c>
      <c r="BB74" s="55">
        <f>_xll.EQNXTDZ($A$1,$B74,BB$5,$B$1)</f>
        <v>2390.86</v>
      </c>
      <c r="BC74" s="55">
        <f>_xll.EQNXTDZ($A$1,$B74,BC$5,$B$1)</f>
        <v>0</v>
      </c>
      <c r="BD74" s="55">
        <f>_xll.EQNXTDZ($A$1,$B74,BD$5,$B$1)</f>
        <v>3255.5</v>
      </c>
      <c r="BE74" s="55">
        <f>_xll.EQNXTDZ($A$1,$B74,BE$5,$B$1)</f>
        <v>0</v>
      </c>
      <c r="BF74" s="55">
        <f>_xll.EQNXTDZ($A$1,$B74,BF$5,$B$1)</f>
        <v>3036.25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9820.24</v>
      </c>
      <c r="E77" s="55">
        <f>_xll.EQNXTDZ($A$1,$B77,E$5,$B$1)</f>
        <v>0</v>
      </c>
      <c r="F77" s="55">
        <f>_xll.EQNXTDZ($A$1,$B77,F$5,$B$1)</f>
        <v>1224.19</v>
      </c>
      <c r="G77" s="55">
        <f>_xll.EQNXTDZ($A$1,$B77,G$5,$B$1)</f>
        <v>0</v>
      </c>
      <c r="H77" s="55">
        <f>_xll.EQNXTDZ($A$1,$B77,H$5,$B$1)</f>
        <v>1217.3800000000001</v>
      </c>
      <c r="I77" s="55">
        <f>_xll.EQNXTDZ($A$1,$B77,I$5,$B$1)</f>
        <v>0</v>
      </c>
      <c r="J77" s="55">
        <f>_xll.EQNXTDZ($A$1,$B77,J$5,$B$1)</f>
        <v>1432.79</v>
      </c>
      <c r="K77" s="55">
        <f>_xll.EQNXTDZ($A$1,$B77,K$5,$B$1)</f>
        <v>0</v>
      </c>
      <c r="L77" s="55">
        <f>_xll.EQNXTDZ($A$1,$B77,L$5,$B$1)</f>
        <v>1745.43</v>
      </c>
      <c r="M77" s="55">
        <f>_xll.EQNXTDZ($A$1,$B77,M$5,$B$1)</f>
        <v>0</v>
      </c>
      <c r="N77" s="55">
        <f>_xll.EQNXTDZ($A$1,$B77,N$5,$B$1)</f>
        <v>1646.8</v>
      </c>
      <c r="O77" s="55">
        <f>_xll.EQNXTDZ($A$1,$B77,O$5,$B$1)</f>
        <v>0</v>
      </c>
      <c r="P77" s="55">
        <f>_xll.EQNXTDZ($A$1,$B77,P$5,$B$1)</f>
        <v>1715.62</v>
      </c>
      <c r="Q77" s="55">
        <f>_xll.EQNXTDZ($A$1,$B77,Q$5,$B$1)</f>
        <v>0</v>
      </c>
      <c r="R77" s="55">
        <f>_xll.EQNXTDZ($A$1,$B77,R$5,$B$1)</f>
        <v>7970.89</v>
      </c>
      <c r="S77" s="55">
        <f>_xll.EQNXTDZ($A$1,$B77,S$5,$B$1)</f>
        <v>0</v>
      </c>
      <c r="T77" s="55">
        <f>_xll.EQNXTDZ($A$1,$B77,T$5,$B$1)</f>
        <v>6883.57</v>
      </c>
      <c r="U77" s="55">
        <f>_xll.EQNXTDZ($A$1,$B77,U$5,$B$1)</f>
        <v>0</v>
      </c>
      <c r="V77" s="55">
        <f>_xll.EQNXTDZ($A$1,$B77,V$5,$B$1)</f>
        <v>9066.06</v>
      </c>
      <c r="W77" s="55">
        <f>_xll.EQNXTDZ($A$1,$B77,W$5,$B$1)</f>
        <v>0</v>
      </c>
      <c r="X77" s="55">
        <f>_xll.EQNXTDZ($A$1,$B77,X$5,$B$1)</f>
        <v>9550.0499999999993</v>
      </c>
      <c r="Y77" s="55">
        <f>_xll.EQNXTDZ($A$1,$B77,Y$5,$B$1)</f>
        <v>0</v>
      </c>
      <c r="Z77" s="55">
        <f>_xll.EQNXTDZ($A$1,$B77,Z$5,$B$1)</f>
        <v>10192.92</v>
      </c>
      <c r="AA77" s="55">
        <f>_xll.EQNXTDZ($A$1,$B77,AA$5,$B$1)</f>
        <v>0</v>
      </c>
      <c r="AB77" s="55">
        <f>_xll.EQNXTDZ($A$1,$B77,AB$5,$B$1)</f>
        <v>11114.4</v>
      </c>
      <c r="AC77" s="55">
        <f>_xll.EQNXTDZ($A$1,$B77,AC$5,$B$1)</f>
        <v>0</v>
      </c>
      <c r="AD77" s="55">
        <f>_xll.EQNXTDZ($A$1,$B77,AD$5,$B$1)</f>
        <v>11215.49</v>
      </c>
      <c r="AE77" s="55">
        <f>_xll.EQNXTDZ($A$1,$B77,AE$5,$B$1)</f>
        <v>0</v>
      </c>
      <c r="AF77" s="55">
        <f>_xll.EQNXTDZ($A$1,$B77,AF$5,$B$1)</f>
        <v>8931.65</v>
      </c>
      <c r="AG77" s="55">
        <f>_xll.EQNXTDZ($A$1,$B77,AG$5,$B$1)</f>
        <v>0</v>
      </c>
      <c r="AH77" s="55">
        <f>_xll.EQNXTDZ($A$1,$B77,AH$5,$B$1)</f>
        <v>11062.45</v>
      </c>
      <c r="AI77" s="55">
        <f>_xll.EQNXTDZ($A$1,$B77,AI$5,$B$1)</f>
        <v>0</v>
      </c>
      <c r="AJ77" s="55">
        <f>_xll.EQNXTDZ($A$1,$B77,AJ$5,$B$1)</f>
        <v>10759.87</v>
      </c>
      <c r="AK77" s="55">
        <f>_xll.EQNXTDZ($A$1,$B77,AK$5,$B$1)</f>
        <v>0</v>
      </c>
      <c r="AL77" s="55">
        <f>_xll.EQNXTDZ($A$1,$B77,AL$5,$B$1)</f>
        <v>12262.18</v>
      </c>
      <c r="AM77" s="55">
        <f>_xll.EQNXTDZ($A$1,$B77,AM$5,$B$1)</f>
        <v>0</v>
      </c>
      <c r="AN77" s="55">
        <f>_xll.EQNXTDZ($A$1,$B77,AN$5,$B$1)</f>
        <v>12728.28</v>
      </c>
      <c r="AO77" s="55">
        <f>_xll.EQNXTDZ($A$1,$B77,AO$5,$B$1)</f>
        <v>0</v>
      </c>
      <c r="AP77" s="55">
        <f>_xll.EQNXTDZ($A$1,$B77,AP$5,$B$1)</f>
        <v>13558.58</v>
      </c>
      <c r="AQ77" s="55">
        <f>_xll.EQNXTDZ($A$1,$B77,AQ$5,$B$1)</f>
        <v>0</v>
      </c>
      <c r="AR77" s="55">
        <f>_xll.EQNXTDZ($A$1,$B77,AR$5,$B$1)</f>
        <v>13952.83</v>
      </c>
      <c r="AS77" s="55">
        <f>_xll.EQNXTDZ($A$1,$B77,AS$5,$B$1)</f>
        <v>0</v>
      </c>
      <c r="AT77" s="55">
        <f>_xll.EQNXTDZ($A$1,$B77,AT$5,$B$1)</f>
        <v>12585.11</v>
      </c>
      <c r="AU77" s="55">
        <f>_xll.EQNXTDZ($A$1,$B77,AU$5,$B$1)</f>
        <v>0</v>
      </c>
      <c r="AV77" s="55">
        <f>_xll.EQNXTDZ($A$1,$B77,AV$5,$B$1)</f>
        <v>14109.93</v>
      </c>
      <c r="AW77" s="55">
        <f>_xll.EQNXTDZ($A$1,$B77,AW$5,$B$1)</f>
        <v>0</v>
      </c>
      <c r="AX77" s="55">
        <f>_xll.EQNXTDZ($A$1,$B77,AX$5,$B$1)</f>
        <v>12881.56</v>
      </c>
      <c r="AY77" s="55">
        <f>_xll.EQNXTDZ($A$1,$B77,AY$5,$B$1)</f>
        <v>0</v>
      </c>
      <c r="AZ77" s="55">
        <f>_xll.EQNXTDZ($A$1,$B77,AZ$5,$B$1)</f>
        <v>12477.6</v>
      </c>
      <c r="BA77" s="55">
        <f>_xll.EQNXTDZ($A$1,$B77,BA$5,$B$1)</f>
        <v>0</v>
      </c>
      <c r="BB77" s="55">
        <f>_xll.EQNXTDZ($A$1,$B77,BB$5,$B$1)</f>
        <v>13103.28</v>
      </c>
      <c r="BC77" s="55">
        <f>_xll.EQNXTDZ($A$1,$B77,BC$5,$B$1)</f>
        <v>0</v>
      </c>
      <c r="BD77" s="55">
        <f>_xll.EQNXTDZ($A$1,$B77,BD$5,$B$1)</f>
        <v>12546.86</v>
      </c>
      <c r="BE77" s="55">
        <f>_xll.EQNXTDZ($A$1,$B77,BE$5,$B$1)</f>
        <v>0</v>
      </c>
      <c r="BF77" s="55">
        <f>_xll.EQNXTDZ($A$1,$B77,BF$5,$B$1)</f>
        <v>9972.27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4029.75</v>
      </c>
      <c r="E78" s="55">
        <f>_xll.EQNXTDZ($A$1,$B78,E$5,$B$1)</f>
        <v>0</v>
      </c>
      <c r="F78" s="55">
        <f>_xll.EQNXTDZ($A$1,$B78,F$5,$B$1)</f>
        <v>24099.37</v>
      </c>
      <c r="G78" s="55">
        <f>_xll.EQNXTDZ($A$1,$B78,G$5,$B$1)</f>
        <v>0</v>
      </c>
      <c r="H78" s="55">
        <f>_xll.EQNXTDZ($A$1,$B78,H$5,$B$1)</f>
        <v>26236.87</v>
      </c>
      <c r="I78" s="55">
        <f>_xll.EQNXTDZ($A$1,$B78,I$5,$B$1)</f>
        <v>0</v>
      </c>
      <c r="J78" s="55">
        <f>_xll.EQNXTDZ($A$1,$B78,J$5,$B$1)</f>
        <v>35401.15</v>
      </c>
      <c r="K78" s="55">
        <f>_xll.EQNXTDZ($A$1,$B78,K$5,$B$1)</f>
        <v>0</v>
      </c>
      <c r="L78" s="55">
        <f>_xll.EQNXTDZ($A$1,$B78,L$5,$B$1)</f>
        <v>43358.2</v>
      </c>
      <c r="M78" s="55">
        <f>_xll.EQNXTDZ($A$1,$B78,M$5,$B$1)</f>
        <v>0</v>
      </c>
      <c r="N78" s="55">
        <f>_xll.EQNXTDZ($A$1,$B78,N$5,$B$1)</f>
        <v>47457.8</v>
      </c>
      <c r="O78" s="55">
        <f>_xll.EQNXTDZ($A$1,$B78,O$5,$B$1)</f>
        <v>0</v>
      </c>
      <c r="P78" s="55">
        <f>_xll.EQNXTDZ($A$1,$B78,P$5,$B$1)</f>
        <v>50311.22</v>
      </c>
      <c r="Q78" s="55">
        <f>_xll.EQNXTDZ($A$1,$B78,Q$5,$B$1)</f>
        <v>0</v>
      </c>
      <c r="R78" s="55">
        <f>_xll.EQNXTDZ($A$1,$B78,R$5,$B$1)</f>
        <v>48925.919999999998</v>
      </c>
      <c r="S78" s="55">
        <f>_xll.EQNXTDZ($A$1,$B78,S$5,$B$1)</f>
        <v>0</v>
      </c>
      <c r="T78" s="55">
        <f>_xll.EQNXTDZ($A$1,$B78,T$5,$B$1)</f>
        <v>54245.89</v>
      </c>
      <c r="U78" s="55">
        <f>_xll.EQNXTDZ($A$1,$B78,U$5,$B$1)</f>
        <v>0</v>
      </c>
      <c r="V78" s="55">
        <f>_xll.EQNXTDZ($A$1,$B78,V$5,$B$1)</f>
        <v>48621.24</v>
      </c>
      <c r="W78" s="55">
        <f>_xll.EQNXTDZ($A$1,$B78,W$5,$B$1)</f>
        <v>0</v>
      </c>
      <c r="X78" s="55">
        <f>_xll.EQNXTDZ($A$1,$B78,X$5,$B$1)</f>
        <v>57394.54</v>
      </c>
      <c r="Y78" s="55">
        <f>_xll.EQNXTDZ($A$1,$B78,Y$5,$B$1)</f>
        <v>0</v>
      </c>
      <c r="Z78" s="55">
        <f>_xll.EQNXTDZ($A$1,$B78,Z$5,$B$1)</f>
        <v>56253.3</v>
      </c>
      <c r="AA78" s="55">
        <f>_xll.EQNXTDZ($A$1,$B78,AA$5,$B$1)</f>
        <v>0</v>
      </c>
      <c r="AB78" s="55">
        <f>_xll.EQNXTDZ($A$1,$B78,AB$5,$B$1)</f>
        <v>1823.7</v>
      </c>
      <c r="AC78" s="55">
        <f>_xll.EQNXTDZ($A$1,$B78,AC$5,$B$1)</f>
        <v>0</v>
      </c>
      <c r="AD78" s="55">
        <f>_xll.EQNXTDZ($A$1,$B78,AD$5,$B$1)</f>
        <v>59269.96</v>
      </c>
      <c r="AE78" s="55">
        <f>_xll.EQNXTDZ($A$1,$B78,AE$5,$B$1)</f>
        <v>0</v>
      </c>
      <c r="AF78" s="55">
        <f>_xll.EQNXTDZ($A$1,$B78,AF$5,$B$1)</f>
        <v>58278.43</v>
      </c>
      <c r="AG78" s="55">
        <f>_xll.EQNXTDZ($A$1,$B78,AG$5,$B$1)</f>
        <v>0</v>
      </c>
      <c r="AH78" s="55">
        <f>_xll.EQNXTDZ($A$1,$B78,AH$5,$B$1)</f>
        <v>60111.69</v>
      </c>
      <c r="AI78" s="55">
        <f>_xll.EQNXTDZ($A$1,$B78,AI$5,$B$1)</f>
        <v>0</v>
      </c>
      <c r="AJ78" s="55">
        <f>_xll.EQNXTDZ($A$1,$B78,AJ$5,$B$1)</f>
        <v>54897.69</v>
      </c>
      <c r="AK78" s="55">
        <f>_xll.EQNXTDZ($A$1,$B78,AK$5,$B$1)</f>
        <v>0</v>
      </c>
      <c r="AL78" s="55">
        <f>_xll.EQNXTDZ($A$1,$B78,AL$5,$B$1)</f>
        <v>52804.91</v>
      </c>
      <c r="AM78" s="55">
        <f>_xll.EQNXTDZ($A$1,$B78,AM$5,$B$1)</f>
        <v>0</v>
      </c>
      <c r="AN78" s="55">
        <f>_xll.EQNXTDZ($A$1,$B78,AN$5,$B$1)</f>
        <v>47892.65</v>
      </c>
      <c r="AO78" s="55">
        <f>_xll.EQNXTDZ($A$1,$B78,AO$5,$B$1)</f>
        <v>0</v>
      </c>
      <c r="AP78" s="55">
        <f>_xll.EQNXTDZ($A$1,$B78,AP$5,$B$1)</f>
        <v>47021.38</v>
      </c>
      <c r="AQ78" s="55">
        <f>_xll.EQNXTDZ($A$1,$B78,AQ$5,$B$1)</f>
        <v>0</v>
      </c>
      <c r="AR78" s="55">
        <f>_xll.EQNXTDZ($A$1,$B78,AR$5,$B$1)</f>
        <v>51839.360000000001</v>
      </c>
      <c r="AS78" s="55">
        <f>_xll.EQNXTDZ($A$1,$B78,AS$5,$B$1)</f>
        <v>0</v>
      </c>
      <c r="AT78" s="55">
        <f>_xll.EQNXTDZ($A$1,$B78,AT$5,$B$1)</f>
        <v>41276.92</v>
      </c>
      <c r="AU78" s="55">
        <f>_xll.EQNXTDZ($A$1,$B78,AU$5,$B$1)</f>
        <v>0</v>
      </c>
      <c r="AV78" s="55">
        <f>_xll.EQNXTDZ($A$1,$B78,AV$5,$B$1)</f>
        <v>45687.68</v>
      </c>
      <c r="AW78" s="55">
        <f>_xll.EQNXTDZ($A$1,$B78,AW$5,$B$1)</f>
        <v>0</v>
      </c>
      <c r="AX78" s="55">
        <f>_xll.EQNXTDZ($A$1,$B78,AX$5,$B$1)</f>
        <v>52630.22</v>
      </c>
      <c r="AY78" s="55">
        <f>_xll.EQNXTDZ($A$1,$B78,AY$5,$B$1)</f>
        <v>0</v>
      </c>
      <c r="AZ78" s="55">
        <f>_xll.EQNXTDZ($A$1,$B78,AZ$5,$B$1)</f>
        <v>59002.69</v>
      </c>
      <c r="BA78" s="55">
        <f>_xll.EQNXTDZ($A$1,$B78,BA$5,$B$1)</f>
        <v>0</v>
      </c>
      <c r="BB78" s="55">
        <f>_xll.EQNXTDZ($A$1,$B78,BB$5,$B$1)</f>
        <v>63196.31</v>
      </c>
      <c r="BC78" s="55">
        <f>_xll.EQNXTDZ($A$1,$B78,BC$5,$B$1)</f>
        <v>0</v>
      </c>
      <c r="BD78" s="55">
        <f>_xll.EQNXTDZ($A$1,$B78,BD$5,$B$1)</f>
        <v>70134.69</v>
      </c>
      <c r="BE78" s="55">
        <f>_xll.EQNXTDZ($A$1,$B78,BE$5,$B$1)</f>
        <v>0</v>
      </c>
      <c r="BF78" s="55">
        <f>_xll.EQNXTDZ($A$1,$B78,BF$5,$B$1)</f>
        <v>75582.53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147.69</v>
      </c>
      <c r="E79" s="55">
        <f>_xll.EQNXTDZ($A$1,$B79,E$5,$B$1)</f>
        <v>0</v>
      </c>
      <c r="F79" s="55">
        <f>_xll.EQNXTDZ($A$1,$B79,F$5,$B$1)</f>
        <v>213.24</v>
      </c>
      <c r="G79" s="55">
        <f>_xll.EQNXTDZ($A$1,$B79,G$5,$B$1)</f>
        <v>0</v>
      </c>
      <c r="H79" s="55">
        <f>_xll.EQNXTDZ($A$1,$B79,H$5,$B$1)</f>
        <v>283.69</v>
      </c>
      <c r="I79" s="55">
        <f>_xll.EQNXTDZ($A$1,$B79,I$5,$B$1)</f>
        <v>0</v>
      </c>
      <c r="J79" s="55">
        <f>_xll.EQNXTDZ($A$1,$B79,J$5,$B$1)</f>
        <v>223.61</v>
      </c>
      <c r="K79" s="55">
        <f>_xll.EQNXTDZ($A$1,$B79,K$5,$B$1)</f>
        <v>0</v>
      </c>
      <c r="L79" s="55">
        <f>_xll.EQNXTDZ($A$1,$B79,L$5,$B$1)</f>
        <v>347.59</v>
      </c>
      <c r="M79" s="55">
        <f>_xll.EQNXTDZ($A$1,$B79,M$5,$B$1)</f>
        <v>0</v>
      </c>
      <c r="N79" s="55">
        <f>_xll.EQNXTDZ($A$1,$B79,N$5,$B$1)</f>
        <v>468.72</v>
      </c>
      <c r="O79" s="55">
        <f>_xll.EQNXTDZ($A$1,$B79,O$5,$B$1)</f>
        <v>0</v>
      </c>
      <c r="P79" s="55">
        <f>_xll.EQNXTDZ($A$1,$B79,P$5,$B$1)</f>
        <v>499.12</v>
      </c>
      <c r="Q79" s="55">
        <f>_xll.EQNXTDZ($A$1,$B79,Q$5,$B$1)</f>
        <v>0</v>
      </c>
      <c r="R79" s="55">
        <f>_xll.EQNXTDZ($A$1,$B79,R$5,$B$1)</f>
        <v>3854.73</v>
      </c>
      <c r="S79" s="55">
        <f>_xll.EQNXTDZ($A$1,$B79,S$5,$B$1)</f>
        <v>0</v>
      </c>
      <c r="T79" s="55">
        <f>_xll.EQNXTDZ($A$1,$B79,T$5,$B$1)</f>
        <v>4142.3100000000004</v>
      </c>
      <c r="U79" s="55">
        <f>_xll.EQNXTDZ($A$1,$B79,U$5,$B$1)</f>
        <v>0</v>
      </c>
      <c r="V79" s="55">
        <f>_xll.EQNXTDZ($A$1,$B79,V$5,$B$1)</f>
        <v>4555.1099999999997</v>
      </c>
      <c r="W79" s="55">
        <f>_xll.EQNXTDZ($A$1,$B79,W$5,$B$1)</f>
        <v>0</v>
      </c>
      <c r="X79" s="55">
        <f>_xll.EQNXTDZ($A$1,$B79,X$5,$B$1)</f>
        <v>5080.17</v>
      </c>
      <c r="Y79" s="55">
        <f>_xll.EQNXTDZ($A$1,$B79,Y$5,$B$1)</f>
        <v>0</v>
      </c>
      <c r="Z79" s="55">
        <f>_xll.EQNXTDZ($A$1,$B79,Z$5,$B$1)</f>
        <v>5368.1</v>
      </c>
      <c r="AA79" s="55">
        <f>_xll.EQNXTDZ($A$1,$B79,AA$5,$B$1)</f>
        <v>0</v>
      </c>
      <c r="AB79" s="55">
        <f>_xll.EQNXTDZ($A$1,$B79,AB$5,$B$1)</f>
        <v>60825.29</v>
      </c>
      <c r="AC79" s="55">
        <f>_xll.EQNXTDZ($A$1,$B79,AC$5,$B$1)</f>
        <v>0</v>
      </c>
      <c r="AD79" s="55">
        <f>_xll.EQNXTDZ($A$1,$B79,AD$5,$B$1)</f>
        <v>6792.67</v>
      </c>
      <c r="AE79" s="55">
        <f>_xll.EQNXTDZ($A$1,$B79,AE$5,$B$1)</f>
        <v>0</v>
      </c>
      <c r="AF79" s="55">
        <f>_xll.EQNXTDZ($A$1,$B79,AF$5,$B$1)</f>
        <v>9465.6</v>
      </c>
      <c r="AG79" s="55">
        <f>_xll.EQNXTDZ($A$1,$B79,AG$5,$B$1)</f>
        <v>0</v>
      </c>
      <c r="AH79" s="55">
        <f>_xll.EQNXTDZ($A$1,$B79,AH$5,$B$1)</f>
        <v>9406.26</v>
      </c>
      <c r="AI79" s="55">
        <f>_xll.EQNXTDZ($A$1,$B79,AI$5,$B$1)</f>
        <v>0</v>
      </c>
      <c r="AJ79" s="55">
        <f>_xll.EQNXTDZ($A$1,$B79,AJ$5,$B$1)</f>
        <v>8799.26</v>
      </c>
      <c r="AK79" s="55">
        <f>_xll.EQNXTDZ($A$1,$B79,AK$5,$B$1)</f>
        <v>0</v>
      </c>
      <c r="AL79" s="55">
        <f>_xll.EQNXTDZ($A$1,$B79,AL$5,$B$1)</f>
        <v>9391.39</v>
      </c>
      <c r="AM79" s="55">
        <f>_xll.EQNXTDZ($A$1,$B79,AM$5,$B$1)</f>
        <v>0</v>
      </c>
      <c r="AN79" s="55">
        <f>_xll.EQNXTDZ($A$1,$B79,AN$5,$B$1)</f>
        <v>10534.42</v>
      </c>
      <c r="AO79" s="55">
        <f>_xll.EQNXTDZ($A$1,$B79,AO$5,$B$1)</f>
        <v>0</v>
      </c>
      <c r="AP79" s="55">
        <f>_xll.EQNXTDZ($A$1,$B79,AP$5,$B$1)</f>
        <v>11032.81</v>
      </c>
      <c r="AQ79" s="55">
        <f>_xll.EQNXTDZ($A$1,$B79,AQ$5,$B$1)</f>
        <v>0</v>
      </c>
      <c r="AR79" s="55">
        <f>_xll.EQNXTDZ($A$1,$B79,AR$5,$B$1)</f>
        <v>11261.04</v>
      </c>
      <c r="AS79" s="55">
        <f>_xll.EQNXTDZ($A$1,$B79,AS$5,$B$1)</f>
        <v>0</v>
      </c>
      <c r="AT79" s="55">
        <f>_xll.EQNXTDZ($A$1,$B79,AT$5,$B$1)</f>
        <v>11081.49</v>
      </c>
      <c r="AU79" s="55">
        <f>_xll.EQNXTDZ($A$1,$B79,AU$5,$B$1)</f>
        <v>0</v>
      </c>
      <c r="AV79" s="55">
        <f>_xll.EQNXTDZ($A$1,$B79,AV$5,$B$1)</f>
        <v>10551.59</v>
      </c>
      <c r="AW79" s="55">
        <f>_xll.EQNXTDZ($A$1,$B79,AW$5,$B$1)</f>
        <v>0</v>
      </c>
      <c r="AX79" s="55">
        <f>_xll.EQNXTDZ($A$1,$B79,AX$5,$B$1)</f>
        <v>11649.18</v>
      </c>
      <c r="AY79" s="55">
        <f>_xll.EQNXTDZ($A$1,$B79,AY$5,$B$1)</f>
        <v>0</v>
      </c>
      <c r="AZ79" s="55">
        <f>_xll.EQNXTDZ($A$1,$B79,AZ$5,$B$1)</f>
        <v>10957.38</v>
      </c>
      <c r="BA79" s="55">
        <f>_xll.EQNXTDZ($A$1,$B79,BA$5,$B$1)</f>
        <v>0</v>
      </c>
      <c r="BB79" s="55">
        <f>_xll.EQNXTDZ($A$1,$B79,BB$5,$B$1)</f>
        <v>12130.88</v>
      </c>
      <c r="BC79" s="55">
        <f>_xll.EQNXTDZ($A$1,$B79,BC$5,$B$1)</f>
        <v>0</v>
      </c>
      <c r="BD79" s="55">
        <f>_xll.EQNXTDZ($A$1,$B79,BD$5,$B$1)</f>
        <v>12253.65</v>
      </c>
      <c r="BE79" s="55">
        <f>_xll.EQNXTDZ($A$1,$B79,BE$5,$B$1)</f>
        <v>0</v>
      </c>
      <c r="BF79" s="55">
        <f>_xll.EQNXTDZ($A$1,$B79,BF$5,$B$1)</f>
        <v>40617.47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5362.04</v>
      </c>
      <c r="E80" s="55">
        <f>_xll.EQNXTDZ($A$1,$B80,E$5,$B$1)</f>
        <v>0</v>
      </c>
      <c r="F80" s="55">
        <f>_xll.EQNXTDZ($A$1,$B80,F$5,$B$1)</f>
        <v>7543.31</v>
      </c>
      <c r="G80" s="55">
        <f>_xll.EQNXTDZ($A$1,$B80,G$5,$B$1)</f>
        <v>0</v>
      </c>
      <c r="H80" s="55">
        <f>_xll.EQNXTDZ($A$1,$B80,H$5,$B$1)</f>
        <v>7441.22</v>
      </c>
      <c r="I80" s="55">
        <f>_xll.EQNXTDZ($A$1,$B80,I$5,$B$1)</f>
        <v>0</v>
      </c>
      <c r="J80" s="55">
        <f>_xll.EQNXTDZ($A$1,$B80,J$5,$B$1)</f>
        <v>6676.16</v>
      </c>
      <c r="K80" s="55">
        <f>_xll.EQNXTDZ($A$1,$B80,K$5,$B$1)</f>
        <v>0</v>
      </c>
      <c r="L80" s="55">
        <f>_xll.EQNXTDZ($A$1,$B80,L$5,$B$1)</f>
        <v>7175.23</v>
      </c>
      <c r="M80" s="55">
        <f>_xll.EQNXTDZ($A$1,$B80,M$5,$B$1)</f>
        <v>0</v>
      </c>
      <c r="N80" s="55">
        <f>_xll.EQNXTDZ($A$1,$B80,N$5,$B$1)</f>
        <v>7965.32</v>
      </c>
      <c r="O80" s="55">
        <f>_xll.EQNXTDZ($A$1,$B80,O$5,$B$1)</f>
        <v>0</v>
      </c>
      <c r="P80" s="55">
        <f>_xll.EQNXTDZ($A$1,$B80,P$5,$B$1)</f>
        <v>9900.76</v>
      </c>
      <c r="Q80" s="55">
        <f>_xll.EQNXTDZ($A$1,$B80,Q$5,$B$1)</f>
        <v>0</v>
      </c>
      <c r="R80" s="55">
        <f>_xll.EQNXTDZ($A$1,$B80,R$5,$B$1)</f>
        <v>7494.19</v>
      </c>
      <c r="S80" s="55">
        <f>_xll.EQNXTDZ($A$1,$B80,S$5,$B$1)</f>
        <v>0</v>
      </c>
      <c r="T80" s="55">
        <f>_xll.EQNXTDZ($A$1,$B80,T$5,$B$1)</f>
        <v>9758.0300000000007</v>
      </c>
      <c r="U80" s="55">
        <f>_xll.EQNXTDZ($A$1,$B80,U$5,$B$1)</f>
        <v>0</v>
      </c>
      <c r="V80" s="55">
        <f>_xll.EQNXTDZ($A$1,$B80,V$5,$B$1)</f>
        <v>14300.22</v>
      </c>
      <c r="W80" s="55">
        <f>_xll.EQNXTDZ($A$1,$B80,W$5,$B$1)</f>
        <v>0</v>
      </c>
      <c r="X80" s="55">
        <f>_xll.EQNXTDZ($A$1,$B80,X$5,$B$1)</f>
        <v>14412.88</v>
      </c>
      <c r="Y80" s="55">
        <f>_xll.EQNXTDZ($A$1,$B80,Y$5,$B$1)</f>
        <v>0</v>
      </c>
      <c r="Z80" s="55">
        <f>_xll.EQNXTDZ($A$1,$B80,Z$5,$B$1)</f>
        <v>9464.25</v>
      </c>
      <c r="AA80" s="55">
        <f>_xll.EQNXTDZ($A$1,$B80,AA$5,$B$1)</f>
        <v>0</v>
      </c>
      <c r="AB80" s="55">
        <f>_xll.EQNXTDZ($A$1,$B80,AB$5,$B$1)</f>
        <v>14061.86</v>
      </c>
      <c r="AC80" s="55">
        <f>_xll.EQNXTDZ($A$1,$B80,AC$5,$B$1)</f>
        <v>0</v>
      </c>
      <c r="AD80" s="55">
        <f>_xll.EQNXTDZ($A$1,$B80,AD$5,$B$1)</f>
        <v>13946.17</v>
      </c>
      <c r="AE80" s="55">
        <f>_xll.EQNXTDZ($A$1,$B80,AE$5,$B$1)</f>
        <v>0</v>
      </c>
      <c r="AF80" s="55">
        <f>_xll.EQNXTDZ($A$1,$B80,AF$5,$B$1)</f>
        <v>7556.17</v>
      </c>
      <c r="AG80" s="55">
        <f>_xll.EQNXTDZ($A$1,$B80,AG$5,$B$1)</f>
        <v>0</v>
      </c>
      <c r="AH80" s="55">
        <f>_xll.EQNXTDZ($A$1,$B80,AH$5,$B$1)</f>
        <v>12699.75</v>
      </c>
      <c r="AI80" s="55">
        <f>_xll.EQNXTDZ($A$1,$B80,AI$5,$B$1)</f>
        <v>0</v>
      </c>
      <c r="AJ80" s="55">
        <f>_xll.EQNXTDZ($A$1,$B80,AJ$5,$B$1)</f>
        <v>34745.360000000001</v>
      </c>
      <c r="AK80" s="55">
        <f>_xll.EQNXTDZ($A$1,$B80,AK$5,$B$1)</f>
        <v>0</v>
      </c>
      <c r="AL80" s="55">
        <f>_xll.EQNXTDZ($A$1,$B80,AL$5,$B$1)</f>
        <v>31011.23</v>
      </c>
      <c r="AM80" s="55">
        <f>_xll.EQNXTDZ($A$1,$B80,AM$5,$B$1)</f>
        <v>0</v>
      </c>
      <c r="AN80" s="55">
        <f>_xll.EQNXTDZ($A$1,$B80,AN$5,$B$1)</f>
        <v>28022.28</v>
      </c>
      <c r="AO80" s="55">
        <f>_xll.EQNXTDZ($A$1,$B80,AO$5,$B$1)</f>
        <v>0</v>
      </c>
      <c r="AP80" s="55">
        <f>_xll.EQNXTDZ($A$1,$B80,AP$5,$B$1)</f>
        <v>29799.58</v>
      </c>
      <c r="AQ80" s="55">
        <f>_xll.EQNXTDZ($A$1,$B80,AQ$5,$B$1)</f>
        <v>0</v>
      </c>
      <c r="AR80" s="55">
        <f>_xll.EQNXTDZ($A$1,$B80,AR$5,$B$1)</f>
        <v>28558.74</v>
      </c>
      <c r="AS80" s="55">
        <f>_xll.EQNXTDZ($A$1,$B80,AS$5,$B$1)</f>
        <v>0</v>
      </c>
      <c r="AT80" s="55">
        <f>_xll.EQNXTDZ($A$1,$B80,AT$5,$B$1)</f>
        <v>35573.42</v>
      </c>
      <c r="AU80" s="55">
        <f>_xll.EQNXTDZ($A$1,$B80,AU$5,$B$1)</f>
        <v>0</v>
      </c>
      <c r="AV80" s="55">
        <f>_xll.EQNXTDZ($A$1,$B80,AV$5,$B$1)</f>
        <v>29331.919999999998</v>
      </c>
      <c r="AW80" s="55">
        <f>_xll.EQNXTDZ($A$1,$B80,AW$5,$B$1)</f>
        <v>0</v>
      </c>
      <c r="AX80" s="55">
        <f>_xll.EQNXTDZ($A$1,$B80,AX$5,$B$1)</f>
        <v>34957.629999999997</v>
      </c>
      <c r="AY80" s="55">
        <f>_xll.EQNXTDZ($A$1,$B80,AY$5,$B$1)</f>
        <v>0</v>
      </c>
      <c r="AZ80" s="55">
        <f>_xll.EQNXTDZ($A$1,$B80,AZ$5,$B$1)</f>
        <v>38142.080000000002</v>
      </c>
      <c r="BA80" s="55">
        <f>_xll.EQNXTDZ($A$1,$B80,BA$5,$B$1)</f>
        <v>0</v>
      </c>
      <c r="BB80" s="55">
        <f>_xll.EQNXTDZ($A$1,$B80,BB$5,$B$1)</f>
        <v>43360.62</v>
      </c>
      <c r="BC80" s="55">
        <f>_xll.EQNXTDZ($A$1,$B80,BC$5,$B$1)</f>
        <v>0</v>
      </c>
      <c r="BD80" s="55">
        <f>_xll.EQNXTDZ($A$1,$B80,BD$5,$B$1)</f>
        <v>44428.33</v>
      </c>
      <c r="BE80" s="55">
        <f>_xll.EQNXTDZ($A$1,$B80,BE$5,$B$1)</f>
        <v>0</v>
      </c>
      <c r="BF80" s="55">
        <f>_xll.EQNXTDZ($A$1,$B80,BF$5,$B$1)</f>
        <v>59524.86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2039.78</v>
      </c>
      <c r="E81" s="55">
        <f>_xll.EQNXTDZ($A$1,$B81,E$5,$B$1)</f>
        <v>0</v>
      </c>
      <c r="F81" s="55">
        <f>_xll.EQNXTDZ($A$1,$B81,F$5,$B$1)</f>
        <v>5169.4799999999996</v>
      </c>
      <c r="G81" s="55">
        <f>_xll.EQNXTDZ($A$1,$B81,G$5,$B$1)</f>
        <v>0</v>
      </c>
      <c r="H81" s="55">
        <f>_xll.EQNXTDZ($A$1,$B81,H$5,$B$1)</f>
        <v>5384.43</v>
      </c>
      <c r="I81" s="55">
        <f>_xll.EQNXTDZ($A$1,$B81,I$5,$B$1)</f>
        <v>0</v>
      </c>
      <c r="J81" s="55">
        <f>_xll.EQNXTDZ($A$1,$B81,J$5,$B$1)</f>
        <v>5527.47</v>
      </c>
      <c r="K81" s="55">
        <f>_xll.EQNXTDZ($A$1,$B81,K$5,$B$1)</f>
        <v>0</v>
      </c>
      <c r="L81" s="55">
        <f>_xll.EQNXTDZ($A$1,$B81,L$5,$B$1)</f>
        <v>6169.66</v>
      </c>
      <c r="M81" s="55">
        <f>_xll.EQNXTDZ($A$1,$B81,M$5,$B$1)</f>
        <v>0</v>
      </c>
      <c r="N81" s="55">
        <f>_xll.EQNXTDZ($A$1,$B81,N$5,$B$1)</f>
        <v>6508.4</v>
      </c>
      <c r="O81" s="55">
        <f>_xll.EQNXTDZ($A$1,$B81,O$5,$B$1)</f>
        <v>0</v>
      </c>
      <c r="P81" s="55">
        <f>_xll.EQNXTDZ($A$1,$B81,P$5,$B$1)</f>
        <v>5976.94</v>
      </c>
      <c r="Q81" s="55">
        <f>_xll.EQNXTDZ($A$1,$B81,Q$5,$B$1)</f>
        <v>0</v>
      </c>
      <c r="R81" s="55">
        <f>_xll.EQNXTDZ($A$1,$B81,R$5,$B$1)</f>
        <v>4854.21</v>
      </c>
      <c r="S81" s="55">
        <f>_xll.EQNXTDZ($A$1,$B81,S$5,$B$1)</f>
        <v>0</v>
      </c>
      <c r="T81" s="55">
        <f>_xll.EQNXTDZ($A$1,$B81,T$5,$B$1)</f>
        <v>4394.03</v>
      </c>
      <c r="U81" s="55">
        <f>_xll.EQNXTDZ($A$1,$B81,U$5,$B$1)</f>
        <v>0</v>
      </c>
      <c r="V81" s="55">
        <f>_xll.EQNXTDZ($A$1,$B81,V$5,$B$1)</f>
        <v>4139.74</v>
      </c>
      <c r="W81" s="55">
        <f>_xll.EQNXTDZ($A$1,$B81,W$5,$B$1)</f>
        <v>0</v>
      </c>
      <c r="X81" s="55">
        <f>_xll.EQNXTDZ($A$1,$B81,X$5,$B$1)</f>
        <v>4776.16</v>
      </c>
      <c r="Y81" s="55">
        <f>_xll.EQNXTDZ($A$1,$B81,Y$5,$B$1)</f>
        <v>0</v>
      </c>
      <c r="Z81" s="55">
        <f>_xll.EQNXTDZ($A$1,$B81,Z$5,$B$1)</f>
        <v>4847.8</v>
      </c>
      <c r="AA81" s="55">
        <f>_xll.EQNXTDZ($A$1,$B81,AA$5,$B$1)</f>
        <v>0</v>
      </c>
      <c r="AB81" s="55">
        <f>_xll.EQNXTDZ($A$1,$B81,AB$5,$B$1)</f>
        <v>6193.53</v>
      </c>
      <c r="AC81" s="55">
        <f>_xll.EQNXTDZ($A$1,$B81,AC$5,$B$1)</f>
        <v>0</v>
      </c>
      <c r="AD81" s="55">
        <f>_xll.EQNXTDZ($A$1,$B81,AD$5,$B$1)</f>
        <v>6413.93</v>
      </c>
      <c r="AE81" s="55">
        <f>_xll.EQNXTDZ($A$1,$B81,AE$5,$B$1)</f>
        <v>0</v>
      </c>
      <c r="AF81" s="55">
        <f>_xll.EQNXTDZ($A$1,$B81,AF$5,$B$1)</f>
        <v>5980.93</v>
      </c>
      <c r="AG81" s="55">
        <f>_xll.EQNXTDZ($A$1,$B81,AG$5,$B$1)</f>
        <v>0</v>
      </c>
      <c r="AH81" s="55">
        <f>_xll.EQNXTDZ($A$1,$B81,AH$5,$B$1)</f>
        <v>5746.65</v>
      </c>
      <c r="AI81" s="55">
        <f>_xll.EQNXTDZ($A$1,$B81,AI$5,$B$1)</f>
        <v>0</v>
      </c>
      <c r="AJ81" s="55">
        <f>_xll.EQNXTDZ($A$1,$B81,AJ$5,$B$1)</f>
        <v>5362</v>
      </c>
      <c r="AK81" s="55">
        <f>_xll.EQNXTDZ($A$1,$B81,AK$5,$B$1)</f>
        <v>0</v>
      </c>
      <c r="AL81" s="55">
        <f>_xll.EQNXTDZ($A$1,$B81,AL$5,$B$1)</f>
        <v>5820.54</v>
      </c>
      <c r="AM81" s="55">
        <f>_xll.EQNXTDZ($A$1,$B81,AM$5,$B$1)</f>
        <v>0</v>
      </c>
      <c r="AN81" s="55">
        <f>_xll.EQNXTDZ($A$1,$B81,AN$5,$B$1)</f>
        <v>5800.36</v>
      </c>
      <c r="AO81" s="55">
        <f>_xll.EQNXTDZ($A$1,$B81,AO$5,$B$1)</f>
        <v>0</v>
      </c>
      <c r="AP81" s="55">
        <f>_xll.EQNXTDZ($A$1,$B81,AP$5,$B$1)</f>
        <v>5943.32</v>
      </c>
      <c r="AQ81" s="55">
        <f>_xll.EQNXTDZ($A$1,$B81,AQ$5,$B$1)</f>
        <v>0</v>
      </c>
      <c r="AR81" s="55">
        <f>_xll.EQNXTDZ($A$1,$B81,AR$5,$B$1)</f>
        <v>6371.44</v>
      </c>
      <c r="AS81" s="55">
        <f>_xll.EQNXTDZ($A$1,$B81,AS$5,$B$1)</f>
        <v>0</v>
      </c>
      <c r="AT81" s="55">
        <f>_xll.EQNXTDZ($A$1,$B81,AT$5,$B$1)</f>
        <v>6828.78</v>
      </c>
      <c r="AU81" s="55">
        <f>_xll.EQNXTDZ($A$1,$B81,AU$5,$B$1)</f>
        <v>0</v>
      </c>
      <c r="AV81" s="55">
        <f>_xll.EQNXTDZ($A$1,$B81,AV$5,$B$1)</f>
        <v>6623.86</v>
      </c>
      <c r="AW81" s="55">
        <f>_xll.EQNXTDZ($A$1,$B81,AW$5,$B$1)</f>
        <v>0</v>
      </c>
      <c r="AX81" s="55">
        <f>_xll.EQNXTDZ($A$1,$B81,AX$5,$B$1)</f>
        <v>6620.19</v>
      </c>
      <c r="AY81" s="55">
        <f>_xll.EQNXTDZ($A$1,$B81,AY$5,$B$1)</f>
        <v>0</v>
      </c>
      <c r="AZ81" s="55">
        <f>_xll.EQNXTDZ($A$1,$B81,AZ$5,$B$1)</f>
        <v>7274.9</v>
      </c>
      <c r="BA81" s="55">
        <f>_xll.EQNXTDZ($A$1,$B81,BA$5,$B$1)</f>
        <v>0</v>
      </c>
      <c r="BB81" s="55">
        <f>_xll.EQNXTDZ($A$1,$B81,BB$5,$B$1)</f>
        <v>7670.55</v>
      </c>
      <c r="BC81" s="55">
        <f>_xll.EQNXTDZ($A$1,$B81,BC$5,$B$1)</f>
        <v>0</v>
      </c>
      <c r="BD81" s="55">
        <f>_xll.EQNXTDZ($A$1,$B81,BD$5,$B$1)</f>
        <v>8313.65</v>
      </c>
      <c r="BE81" s="55">
        <f>_xll.EQNXTDZ($A$1,$B81,BE$5,$B$1)</f>
        <v>0</v>
      </c>
      <c r="BF81" s="55">
        <f>_xll.EQNXTDZ($A$1,$B81,BF$5,$B$1)</f>
        <v>9530.93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18774.310000000001</v>
      </c>
      <c r="E82" s="55">
        <f>_xll.EQNXTDZ($A$1,$B82,E$5,$B$1)</f>
        <v>0</v>
      </c>
      <c r="F82" s="55">
        <f>_xll.EQNXTDZ($A$1,$B82,F$5,$B$1)</f>
        <v>23011.32</v>
      </c>
      <c r="G82" s="55">
        <f>_xll.EQNXTDZ($A$1,$B82,G$5,$B$1)</f>
        <v>0</v>
      </c>
      <c r="H82" s="55">
        <f>_xll.EQNXTDZ($A$1,$B82,H$5,$B$1)</f>
        <v>23713.42</v>
      </c>
      <c r="I82" s="55">
        <f>_xll.EQNXTDZ($A$1,$B82,I$5,$B$1)</f>
        <v>0</v>
      </c>
      <c r="J82" s="55">
        <f>_xll.EQNXTDZ($A$1,$B82,J$5,$B$1)</f>
        <v>26384.55</v>
      </c>
      <c r="K82" s="55">
        <f>_xll.EQNXTDZ($A$1,$B82,K$5,$B$1)</f>
        <v>0</v>
      </c>
      <c r="L82" s="55">
        <f>_xll.EQNXTDZ($A$1,$B82,L$5,$B$1)</f>
        <v>26004.22</v>
      </c>
      <c r="M82" s="55">
        <f>_xll.EQNXTDZ($A$1,$B82,M$5,$B$1)</f>
        <v>0</v>
      </c>
      <c r="N82" s="55">
        <f>_xll.EQNXTDZ($A$1,$B82,N$5,$B$1)</f>
        <v>30089.37</v>
      </c>
      <c r="O82" s="55">
        <f>_xll.EQNXTDZ($A$1,$B82,O$5,$B$1)</f>
        <v>0</v>
      </c>
      <c r="P82" s="55">
        <f>_xll.EQNXTDZ($A$1,$B82,P$5,$B$1)</f>
        <v>30971</v>
      </c>
      <c r="Q82" s="55">
        <f>_xll.EQNXTDZ($A$1,$B82,Q$5,$B$1)</f>
        <v>0</v>
      </c>
      <c r="R82" s="55">
        <f>_xll.EQNXTDZ($A$1,$B82,R$5,$B$1)</f>
        <v>26024.98</v>
      </c>
      <c r="S82" s="55">
        <f>_xll.EQNXTDZ($A$1,$B82,S$5,$B$1)</f>
        <v>0</v>
      </c>
      <c r="T82" s="55">
        <f>_xll.EQNXTDZ($A$1,$B82,T$5,$B$1)</f>
        <v>25721.08</v>
      </c>
      <c r="U82" s="55">
        <f>_xll.EQNXTDZ($A$1,$B82,U$5,$B$1)</f>
        <v>0</v>
      </c>
      <c r="V82" s="55">
        <f>_xll.EQNXTDZ($A$1,$B82,V$5,$B$1)</f>
        <v>28688.97</v>
      </c>
      <c r="W82" s="55">
        <f>_xll.EQNXTDZ($A$1,$B82,W$5,$B$1)</f>
        <v>0</v>
      </c>
      <c r="X82" s="55">
        <f>_xll.EQNXTDZ($A$1,$B82,X$5,$B$1)</f>
        <v>29229.83</v>
      </c>
      <c r="Y82" s="55">
        <f>_xll.EQNXTDZ($A$1,$B82,Y$5,$B$1)</f>
        <v>0</v>
      </c>
      <c r="Z82" s="55">
        <f>_xll.EQNXTDZ($A$1,$B82,Z$5,$B$1)</f>
        <v>33116.980000000003</v>
      </c>
      <c r="AA82" s="55">
        <f>_xll.EQNXTDZ($A$1,$B82,AA$5,$B$1)</f>
        <v>0</v>
      </c>
      <c r="AB82" s="55">
        <f>_xll.EQNXTDZ($A$1,$B82,AB$5,$B$1)</f>
        <v>33224.58</v>
      </c>
      <c r="AC82" s="55">
        <f>_xll.EQNXTDZ($A$1,$B82,AC$5,$B$1)</f>
        <v>0</v>
      </c>
      <c r="AD82" s="55">
        <f>_xll.EQNXTDZ($A$1,$B82,AD$5,$B$1)</f>
        <v>36845.870000000003</v>
      </c>
      <c r="AE82" s="55">
        <f>_xll.EQNXTDZ($A$1,$B82,AE$5,$B$1)</f>
        <v>0</v>
      </c>
      <c r="AF82" s="55">
        <f>_xll.EQNXTDZ($A$1,$B82,AF$5,$B$1)</f>
        <v>34352.9</v>
      </c>
      <c r="AG82" s="55">
        <f>_xll.EQNXTDZ($A$1,$B82,AG$5,$B$1)</f>
        <v>0</v>
      </c>
      <c r="AH82" s="55">
        <f>_xll.EQNXTDZ($A$1,$B82,AH$5,$B$1)</f>
        <v>40731.519999999997</v>
      </c>
      <c r="AI82" s="55">
        <f>_xll.EQNXTDZ($A$1,$B82,AI$5,$B$1)</f>
        <v>0</v>
      </c>
      <c r="AJ82" s="55">
        <f>_xll.EQNXTDZ($A$1,$B82,AJ$5,$B$1)</f>
        <v>36088.269999999997</v>
      </c>
      <c r="AK82" s="55">
        <f>_xll.EQNXTDZ($A$1,$B82,AK$5,$B$1)</f>
        <v>0</v>
      </c>
      <c r="AL82" s="55">
        <f>_xll.EQNXTDZ($A$1,$B82,AL$5,$B$1)</f>
        <v>42229.78</v>
      </c>
      <c r="AM82" s="55">
        <f>_xll.EQNXTDZ($A$1,$B82,AM$5,$B$1)</f>
        <v>0</v>
      </c>
      <c r="AN82" s="55">
        <f>_xll.EQNXTDZ($A$1,$B82,AN$5,$B$1)</f>
        <v>39293.11</v>
      </c>
      <c r="AO82" s="55">
        <f>_xll.EQNXTDZ($A$1,$B82,AO$5,$B$1)</f>
        <v>0</v>
      </c>
      <c r="AP82" s="55">
        <f>_xll.EQNXTDZ($A$1,$B82,AP$5,$B$1)</f>
        <v>46139.32</v>
      </c>
      <c r="AQ82" s="55">
        <f>_xll.EQNXTDZ($A$1,$B82,AQ$5,$B$1)</f>
        <v>0</v>
      </c>
      <c r="AR82" s="55">
        <f>_xll.EQNXTDZ($A$1,$B82,AR$5,$B$1)</f>
        <v>44011.34</v>
      </c>
      <c r="AS82" s="55">
        <f>_xll.EQNXTDZ($A$1,$B82,AS$5,$B$1)</f>
        <v>0</v>
      </c>
      <c r="AT82" s="55">
        <f>_xll.EQNXTDZ($A$1,$B82,AT$5,$B$1)</f>
        <v>44731.53</v>
      </c>
      <c r="AU82" s="55">
        <f>_xll.EQNXTDZ($A$1,$B82,AU$5,$B$1)</f>
        <v>0</v>
      </c>
      <c r="AV82" s="55">
        <f>_xll.EQNXTDZ($A$1,$B82,AV$5,$B$1)</f>
        <v>47977.25</v>
      </c>
      <c r="AW82" s="55">
        <f>_xll.EQNXTDZ($A$1,$B82,AW$5,$B$1)</f>
        <v>0</v>
      </c>
      <c r="AX82" s="55">
        <f>_xll.EQNXTDZ($A$1,$B82,AX$5,$B$1)</f>
        <v>48770.95</v>
      </c>
      <c r="AY82" s="55">
        <f>_xll.EQNXTDZ($A$1,$B82,AY$5,$B$1)</f>
        <v>0</v>
      </c>
      <c r="AZ82" s="55">
        <f>_xll.EQNXTDZ($A$1,$B82,AZ$5,$B$1)</f>
        <v>51143.23</v>
      </c>
      <c r="BA82" s="55">
        <f>_xll.EQNXTDZ($A$1,$B82,BA$5,$B$1)</f>
        <v>0</v>
      </c>
      <c r="BB82" s="55">
        <f>_xll.EQNXTDZ($A$1,$B82,BB$5,$B$1)</f>
        <v>53713.68</v>
      </c>
      <c r="BC82" s="55">
        <f>_xll.EQNXTDZ($A$1,$B82,BC$5,$B$1)</f>
        <v>0</v>
      </c>
      <c r="BD82" s="55">
        <f>_xll.EQNXTDZ($A$1,$B82,BD$5,$B$1)</f>
        <v>53654.94</v>
      </c>
      <c r="BE82" s="55">
        <f>_xll.EQNXTDZ($A$1,$B82,BE$5,$B$1)</f>
        <v>0</v>
      </c>
      <c r="BF82" s="55">
        <f>_xll.EQNXTDZ($A$1,$B82,BF$5,$B$1)</f>
        <v>60461.26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1737.3</v>
      </c>
      <c r="E83" s="55">
        <f>_xll.EQNXTDZ($A$1,$B83,E$5,$B$1)</f>
        <v>0</v>
      </c>
      <c r="F83" s="55">
        <f>_xll.EQNXTDZ($A$1,$B83,F$5,$B$1)</f>
        <v>3566.14</v>
      </c>
      <c r="G83" s="55">
        <f>_xll.EQNXTDZ($A$1,$B83,G$5,$B$1)</f>
        <v>0</v>
      </c>
      <c r="H83" s="55">
        <f>_xll.EQNXTDZ($A$1,$B83,H$5,$B$1)</f>
        <v>3612.77</v>
      </c>
      <c r="I83" s="55">
        <f>_xll.EQNXTDZ($A$1,$B83,I$5,$B$1)</f>
        <v>0</v>
      </c>
      <c r="J83" s="55">
        <f>_xll.EQNXTDZ($A$1,$B83,J$5,$B$1)</f>
        <v>4096.57</v>
      </c>
      <c r="K83" s="55">
        <f>_xll.EQNXTDZ($A$1,$B83,K$5,$B$1)</f>
        <v>0</v>
      </c>
      <c r="L83" s="55">
        <f>_xll.EQNXTDZ($A$1,$B83,L$5,$B$1)</f>
        <v>4024.91</v>
      </c>
      <c r="M83" s="55">
        <f>_xll.EQNXTDZ($A$1,$B83,M$5,$B$1)</f>
        <v>0</v>
      </c>
      <c r="N83" s="55">
        <f>_xll.EQNXTDZ($A$1,$B83,N$5,$B$1)</f>
        <v>5756.21</v>
      </c>
      <c r="O83" s="55">
        <f>_xll.EQNXTDZ($A$1,$B83,O$5,$B$1)</f>
        <v>0</v>
      </c>
      <c r="P83" s="55">
        <f>_xll.EQNXTDZ($A$1,$B83,P$5,$B$1)</f>
        <v>5043.53</v>
      </c>
      <c r="Q83" s="55">
        <f>_xll.EQNXTDZ($A$1,$B83,Q$5,$B$1)</f>
        <v>0</v>
      </c>
      <c r="R83" s="55">
        <f>_xll.EQNXTDZ($A$1,$B83,R$5,$B$1)</f>
        <v>5389.91</v>
      </c>
      <c r="S83" s="55">
        <f>_xll.EQNXTDZ($A$1,$B83,S$5,$B$1)</f>
        <v>0</v>
      </c>
      <c r="T83" s="55">
        <f>_xll.EQNXTDZ($A$1,$B83,T$5,$B$1)</f>
        <v>5380.83</v>
      </c>
      <c r="U83" s="55">
        <f>_xll.EQNXTDZ($A$1,$B83,U$5,$B$1)</f>
        <v>0</v>
      </c>
      <c r="V83" s="55">
        <f>_xll.EQNXTDZ($A$1,$B83,V$5,$B$1)</f>
        <v>5305.96</v>
      </c>
      <c r="W83" s="55">
        <f>_xll.EQNXTDZ($A$1,$B83,W$5,$B$1)</f>
        <v>0</v>
      </c>
      <c r="X83" s="55">
        <f>_xll.EQNXTDZ($A$1,$B83,X$5,$B$1)</f>
        <v>5351.76</v>
      </c>
      <c r="Y83" s="55">
        <f>_xll.EQNXTDZ($A$1,$B83,Y$5,$B$1)</f>
        <v>0</v>
      </c>
      <c r="Z83" s="55">
        <f>_xll.EQNXTDZ($A$1,$B83,Z$5,$B$1)</f>
        <v>8032.73</v>
      </c>
      <c r="AA83" s="55">
        <f>_xll.EQNXTDZ($A$1,$B83,AA$5,$B$1)</f>
        <v>0</v>
      </c>
      <c r="AB83" s="55">
        <f>_xll.EQNXTDZ($A$1,$B83,AB$5,$B$1)</f>
        <v>7512.73</v>
      </c>
      <c r="AC83" s="55">
        <f>_xll.EQNXTDZ($A$1,$B83,AC$5,$B$1)</f>
        <v>0</v>
      </c>
      <c r="AD83" s="55">
        <f>_xll.EQNXTDZ($A$1,$B83,AD$5,$B$1)</f>
        <v>11726.24</v>
      </c>
      <c r="AE83" s="55">
        <f>_xll.EQNXTDZ($A$1,$B83,AE$5,$B$1)</f>
        <v>0</v>
      </c>
      <c r="AF83" s="55">
        <f>_xll.EQNXTDZ($A$1,$B83,AF$5,$B$1)</f>
        <v>8718.08</v>
      </c>
      <c r="AG83" s="55">
        <f>_xll.EQNXTDZ($A$1,$B83,AG$5,$B$1)</f>
        <v>0</v>
      </c>
      <c r="AH83" s="55">
        <f>_xll.EQNXTDZ($A$1,$B83,AH$5,$B$1)</f>
        <v>15117.78</v>
      </c>
      <c r="AI83" s="55">
        <f>_xll.EQNXTDZ($A$1,$B83,AI$5,$B$1)</f>
        <v>0</v>
      </c>
      <c r="AJ83" s="55">
        <f>_xll.EQNXTDZ($A$1,$B83,AJ$5,$B$1)</f>
        <v>12049.37</v>
      </c>
      <c r="AK83" s="55">
        <f>_xll.EQNXTDZ($A$1,$B83,AK$5,$B$1)</f>
        <v>0</v>
      </c>
      <c r="AL83" s="55">
        <f>_xll.EQNXTDZ($A$1,$B83,AL$5,$B$1)</f>
        <v>16241.5</v>
      </c>
      <c r="AM83" s="55">
        <f>_xll.EQNXTDZ($A$1,$B83,AM$5,$B$1)</f>
        <v>0</v>
      </c>
      <c r="AN83" s="55">
        <f>_xll.EQNXTDZ($A$1,$B83,AN$5,$B$1)</f>
        <v>17446.400000000001</v>
      </c>
      <c r="AO83" s="55">
        <f>_xll.EQNXTDZ($A$1,$B83,AO$5,$B$1)</f>
        <v>0</v>
      </c>
      <c r="AP83" s="55">
        <f>_xll.EQNXTDZ($A$1,$B83,AP$5,$B$1)</f>
        <v>18953.169999999998</v>
      </c>
      <c r="AQ83" s="55">
        <f>_xll.EQNXTDZ($A$1,$B83,AQ$5,$B$1)</f>
        <v>0</v>
      </c>
      <c r="AR83" s="55">
        <f>_xll.EQNXTDZ($A$1,$B83,AR$5,$B$1)</f>
        <v>17577.82</v>
      </c>
      <c r="AS83" s="55">
        <f>_xll.EQNXTDZ($A$1,$B83,AS$5,$B$1)</f>
        <v>0</v>
      </c>
      <c r="AT83" s="55">
        <f>_xll.EQNXTDZ($A$1,$B83,AT$5,$B$1)</f>
        <v>22519.599999999999</v>
      </c>
      <c r="AU83" s="55">
        <f>_xll.EQNXTDZ($A$1,$B83,AU$5,$B$1)</f>
        <v>0</v>
      </c>
      <c r="AV83" s="55">
        <f>_xll.EQNXTDZ($A$1,$B83,AV$5,$B$1)</f>
        <v>18020.09</v>
      </c>
      <c r="AW83" s="55">
        <f>_xll.EQNXTDZ($A$1,$B83,AW$5,$B$1)</f>
        <v>0</v>
      </c>
      <c r="AX83" s="55">
        <f>_xll.EQNXTDZ($A$1,$B83,AX$5,$B$1)</f>
        <v>15358.39</v>
      </c>
      <c r="AY83" s="55">
        <f>_xll.EQNXTDZ($A$1,$B83,AY$5,$B$1)</f>
        <v>0</v>
      </c>
      <c r="AZ83" s="55">
        <f>_xll.EQNXTDZ($A$1,$B83,AZ$5,$B$1)</f>
        <v>17297.02</v>
      </c>
      <c r="BA83" s="55">
        <f>_xll.EQNXTDZ($A$1,$B83,BA$5,$B$1)</f>
        <v>0</v>
      </c>
      <c r="BB83" s="55">
        <f>_xll.EQNXTDZ($A$1,$B83,BB$5,$B$1)</f>
        <v>22965.34</v>
      </c>
      <c r="BC83" s="55">
        <f>_xll.EQNXTDZ($A$1,$B83,BC$5,$B$1)</f>
        <v>0</v>
      </c>
      <c r="BD83" s="55">
        <f>_xll.EQNXTDZ($A$1,$B83,BD$5,$B$1)</f>
        <v>18695.27</v>
      </c>
      <c r="BE83" s="55">
        <f>_xll.EQNXTDZ($A$1,$B83,BE$5,$B$1)</f>
        <v>0</v>
      </c>
      <c r="BF83" s="55">
        <f>_xll.EQNXTDZ($A$1,$B83,BF$5,$B$1)</f>
        <v>20847.669999999998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12029.26</v>
      </c>
      <c r="E84" s="55">
        <f>_xll.EQNXTDZ($A$1,$B84,E$5,$B$1)</f>
        <v>0</v>
      </c>
      <c r="F84" s="55">
        <f>_xll.EQNXTDZ($A$1,$B84,F$5,$B$1)</f>
        <v>20029.7</v>
      </c>
      <c r="G84" s="55">
        <f>_xll.EQNXTDZ($A$1,$B84,G$5,$B$1)</f>
        <v>0</v>
      </c>
      <c r="H84" s="55">
        <f>_xll.EQNXTDZ($A$1,$B84,H$5,$B$1)</f>
        <v>24531.89</v>
      </c>
      <c r="I84" s="55">
        <f>_xll.EQNXTDZ($A$1,$B84,I$5,$B$1)</f>
        <v>0</v>
      </c>
      <c r="J84" s="55">
        <f>_xll.EQNXTDZ($A$1,$B84,J$5,$B$1)</f>
        <v>24464.32</v>
      </c>
      <c r="K84" s="55">
        <f>_xll.EQNXTDZ($A$1,$B84,K$5,$B$1)</f>
        <v>0</v>
      </c>
      <c r="L84" s="55">
        <f>_xll.EQNXTDZ($A$1,$B84,L$5,$B$1)</f>
        <v>22665.57</v>
      </c>
      <c r="M84" s="55">
        <f>_xll.EQNXTDZ($A$1,$B84,M$5,$B$1)</f>
        <v>0</v>
      </c>
      <c r="N84" s="55">
        <f>_xll.EQNXTDZ($A$1,$B84,N$5,$B$1)</f>
        <v>24343.9</v>
      </c>
      <c r="O84" s="55">
        <f>_xll.EQNXTDZ($A$1,$B84,O$5,$B$1)</f>
        <v>0</v>
      </c>
      <c r="P84" s="55">
        <f>_xll.EQNXTDZ($A$1,$B84,P$5,$B$1)</f>
        <v>26773.24</v>
      </c>
      <c r="Q84" s="55">
        <f>_xll.EQNXTDZ($A$1,$B84,Q$5,$B$1)</f>
        <v>0</v>
      </c>
      <c r="R84" s="55">
        <f>_xll.EQNXTDZ($A$1,$B84,R$5,$B$1)</f>
        <v>44331.78</v>
      </c>
      <c r="S84" s="55">
        <f>_xll.EQNXTDZ($A$1,$B84,S$5,$B$1)</f>
        <v>0</v>
      </c>
      <c r="T84" s="55">
        <f>_xll.EQNXTDZ($A$1,$B84,T$5,$B$1)</f>
        <v>42918.03</v>
      </c>
      <c r="U84" s="55">
        <f>_xll.EQNXTDZ($A$1,$B84,U$5,$B$1)</f>
        <v>0</v>
      </c>
      <c r="V84" s="55">
        <f>_xll.EQNXTDZ($A$1,$B84,V$5,$B$1)</f>
        <v>43992.53</v>
      </c>
      <c r="W84" s="55">
        <f>_xll.EQNXTDZ($A$1,$B84,W$5,$B$1)</f>
        <v>0</v>
      </c>
      <c r="X84" s="55">
        <f>_xll.EQNXTDZ($A$1,$B84,X$5,$B$1)</f>
        <v>47791.29</v>
      </c>
      <c r="Y84" s="55">
        <f>_xll.EQNXTDZ($A$1,$B84,Y$5,$B$1)</f>
        <v>0</v>
      </c>
      <c r="Z84" s="55">
        <f>_xll.EQNXTDZ($A$1,$B84,Z$5,$B$1)</f>
        <v>53603.86</v>
      </c>
      <c r="AA84" s="55">
        <f>_xll.EQNXTDZ($A$1,$B84,AA$5,$B$1)</f>
        <v>0</v>
      </c>
      <c r="AB84" s="55">
        <f>_xll.EQNXTDZ($A$1,$B84,AB$5,$B$1)</f>
        <v>94267.61</v>
      </c>
      <c r="AC84" s="55">
        <f>_xll.EQNXTDZ($A$1,$B84,AC$5,$B$1)</f>
        <v>0</v>
      </c>
      <c r="AD84" s="55">
        <f>_xll.EQNXTDZ($A$1,$B84,AD$5,$B$1)</f>
        <v>54701.72</v>
      </c>
      <c r="AE84" s="55">
        <f>_xll.EQNXTDZ($A$1,$B84,AE$5,$B$1)</f>
        <v>0</v>
      </c>
      <c r="AF84" s="55">
        <f>_xll.EQNXTDZ($A$1,$B84,AF$5,$B$1)</f>
        <v>63325.91</v>
      </c>
      <c r="AG84" s="55">
        <f>_xll.EQNXTDZ($A$1,$B84,AG$5,$B$1)</f>
        <v>0</v>
      </c>
      <c r="AH84" s="55">
        <f>_xll.EQNXTDZ($A$1,$B84,AH$5,$B$1)</f>
        <v>65954.77</v>
      </c>
      <c r="AI84" s="55">
        <f>_xll.EQNXTDZ($A$1,$B84,AI$5,$B$1)</f>
        <v>0</v>
      </c>
      <c r="AJ84" s="55">
        <f>_xll.EQNXTDZ($A$1,$B84,AJ$5,$B$1)</f>
        <v>61060.67</v>
      </c>
      <c r="AK84" s="55">
        <f>_xll.EQNXTDZ($A$1,$B84,AK$5,$B$1)</f>
        <v>0</v>
      </c>
      <c r="AL84" s="55">
        <f>_xll.EQNXTDZ($A$1,$B84,AL$5,$B$1)</f>
        <v>58049.4</v>
      </c>
      <c r="AM84" s="55">
        <f>_xll.EQNXTDZ($A$1,$B84,AM$5,$B$1)</f>
        <v>0</v>
      </c>
      <c r="AN84" s="55">
        <f>_xll.EQNXTDZ($A$1,$B84,AN$5,$B$1)</f>
        <v>61153.21</v>
      </c>
      <c r="AO84" s="55">
        <f>_xll.EQNXTDZ($A$1,$B84,AO$5,$B$1)</f>
        <v>0</v>
      </c>
      <c r="AP84" s="55">
        <f>_xll.EQNXTDZ($A$1,$B84,AP$5,$B$1)</f>
        <v>63987.37</v>
      </c>
      <c r="AQ84" s="55">
        <f>_xll.EQNXTDZ($A$1,$B84,AQ$5,$B$1)</f>
        <v>0</v>
      </c>
      <c r="AR84" s="55">
        <f>_xll.EQNXTDZ($A$1,$B84,AR$5,$B$1)</f>
        <v>66664.960000000006</v>
      </c>
      <c r="AS84" s="55">
        <f>_xll.EQNXTDZ($A$1,$B84,AS$5,$B$1)</f>
        <v>0</v>
      </c>
      <c r="AT84" s="55">
        <f>_xll.EQNXTDZ($A$1,$B84,AT$5,$B$1)</f>
        <v>70850.490000000005</v>
      </c>
      <c r="AU84" s="55">
        <f>_xll.EQNXTDZ($A$1,$B84,AU$5,$B$1)</f>
        <v>0</v>
      </c>
      <c r="AV84" s="55">
        <f>_xll.EQNXTDZ($A$1,$B84,AV$5,$B$1)</f>
        <v>71107.91</v>
      </c>
      <c r="AW84" s="55">
        <f>_xll.EQNXTDZ($A$1,$B84,AW$5,$B$1)</f>
        <v>0</v>
      </c>
      <c r="AX84" s="55">
        <f>_xll.EQNXTDZ($A$1,$B84,AX$5,$B$1)</f>
        <v>76954.95</v>
      </c>
      <c r="AY84" s="55">
        <f>_xll.EQNXTDZ($A$1,$B84,AY$5,$B$1)</f>
        <v>0</v>
      </c>
      <c r="AZ84" s="55">
        <f>_xll.EQNXTDZ($A$1,$B84,AZ$5,$B$1)</f>
        <v>79261.42</v>
      </c>
      <c r="BA84" s="55">
        <f>_xll.EQNXTDZ($A$1,$B84,BA$5,$B$1)</f>
        <v>0</v>
      </c>
      <c r="BB84" s="55">
        <f>_xll.EQNXTDZ($A$1,$B84,BB$5,$B$1)</f>
        <v>80979.72</v>
      </c>
      <c r="BC84" s="55">
        <f>_xll.EQNXTDZ($A$1,$B84,BC$5,$B$1)</f>
        <v>0</v>
      </c>
      <c r="BD84" s="55">
        <f>_xll.EQNXTDZ($A$1,$B84,BD$5,$B$1)</f>
        <v>84704.53</v>
      </c>
      <c r="BE84" s="55">
        <f>_xll.EQNXTDZ($A$1,$B84,BE$5,$B$1)</f>
        <v>0</v>
      </c>
      <c r="BF84" s="55">
        <f>_xll.EQNXTDZ($A$1,$B84,BF$5,$B$1)</f>
        <v>99016.47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6726.83</v>
      </c>
      <c r="E85" s="55">
        <f>_xll.EQNXTDZ($A$1,$B85,E$5,$B$1)</f>
        <v>0</v>
      </c>
      <c r="F85" s="55">
        <f>_xll.EQNXTDZ($A$1,$B85,F$5,$B$1)</f>
        <v>16331.54</v>
      </c>
      <c r="G85" s="55">
        <f>_xll.EQNXTDZ($A$1,$B85,G$5,$B$1)</f>
        <v>0</v>
      </c>
      <c r="H85" s="55">
        <f>_xll.EQNXTDZ($A$1,$B85,H$5,$B$1)</f>
        <v>18242.14</v>
      </c>
      <c r="I85" s="55">
        <f>_xll.EQNXTDZ($A$1,$B85,I$5,$B$1)</f>
        <v>0</v>
      </c>
      <c r="J85" s="55">
        <f>_xll.EQNXTDZ($A$1,$B85,J$5,$B$1)</f>
        <v>18098.89</v>
      </c>
      <c r="K85" s="55">
        <f>_xll.EQNXTDZ($A$1,$B85,K$5,$B$1)</f>
        <v>0</v>
      </c>
      <c r="L85" s="55">
        <f>_xll.EQNXTDZ($A$1,$B85,L$5,$B$1)</f>
        <v>17860.34</v>
      </c>
      <c r="M85" s="55">
        <f>_xll.EQNXTDZ($A$1,$B85,M$5,$B$1)</f>
        <v>0</v>
      </c>
      <c r="N85" s="55">
        <f>_xll.EQNXTDZ($A$1,$B85,N$5,$B$1)</f>
        <v>19114.07</v>
      </c>
      <c r="O85" s="55">
        <f>_xll.EQNXTDZ($A$1,$B85,O$5,$B$1)</f>
        <v>0</v>
      </c>
      <c r="P85" s="55">
        <f>_xll.EQNXTDZ($A$1,$B85,P$5,$B$1)</f>
        <v>21450.48</v>
      </c>
      <c r="Q85" s="55">
        <f>_xll.EQNXTDZ($A$1,$B85,Q$5,$B$1)</f>
        <v>0</v>
      </c>
      <c r="R85" s="55">
        <f>_xll.EQNXTDZ($A$1,$B85,R$5,$B$1)</f>
        <v>19357.48</v>
      </c>
      <c r="S85" s="55">
        <f>_xll.EQNXTDZ($A$1,$B85,S$5,$B$1)</f>
        <v>0</v>
      </c>
      <c r="T85" s="55">
        <f>_xll.EQNXTDZ($A$1,$B85,T$5,$B$1)</f>
        <v>15646.03</v>
      </c>
      <c r="U85" s="55">
        <f>_xll.EQNXTDZ($A$1,$B85,U$5,$B$1)</f>
        <v>0</v>
      </c>
      <c r="V85" s="55">
        <f>_xll.EQNXTDZ($A$1,$B85,V$5,$B$1)</f>
        <v>25413.83</v>
      </c>
      <c r="W85" s="55">
        <f>_xll.EQNXTDZ($A$1,$B85,W$5,$B$1)</f>
        <v>0</v>
      </c>
      <c r="X85" s="55">
        <f>_xll.EQNXTDZ($A$1,$B85,X$5,$B$1)</f>
        <v>21802.47</v>
      </c>
      <c r="Y85" s="55">
        <f>_xll.EQNXTDZ($A$1,$B85,Y$5,$B$1)</f>
        <v>0</v>
      </c>
      <c r="Z85" s="55">
        <f>_xll.EQNXTDZ($A$1,$B85,Z$5,$B$1)</f>
        <v>32564.83</v>
      </c>
      <c r="AA85" s="55">
        <f>_xll.EQNXTDZ($A$1,$B85,AA$5,$B$1)</f>
        <v>0</v>
      </c>
      <c r="AB85" s="55">
        <f>_xll.EQNXTDZ($A$1,$B85,AB$5,$B$1)</f>
        <v>613.46</v>
      </c>
      <c r="AC85" s="55">
        <f>_xll.EQNXTDZ($A$1,$B85,AC$5,$B$1)</f>
        <v>0</v>
      </c>
      <c r="AD85" s="55">
        <f>_xll.EQNXTDZ($A$1,$B85,AD$5,$B$1)</f>
        <v>43157.51</v>
      </c>
      <c r="AE85" s="55">
        <f>_xll.EQNXTDZ($A$1,$B85,AE$5,$B$1)</f>
        <v>0</v>
      </c>
      <c r="AF85" s="55">
        <f>_xll.EQNXTDZ($A$1,$B85,AF$5,$B$1)</f>
        <v>46179.46</v>
      </c>
      <c r="AG85" s="55">
        <f>_xll.EQNXTDZ($A$1,$B85,AG$5,$B$1)</f>
        <v>0</v>
      </c>
      <c r="AH85" s="55">
        <f>_xll.EQNXTDZ($A$1,$B85,AH$5,$B$1)</f>
        <v>42439.42</v>
      </c>
      <c r="AI85" s="55">
        <f>_xll.EQNXTDZ($A$1,$B85,AI$5,$B$1)</f>
        <v>0</v>
      </c>
      <c r="AJ85" s="55">
        <f>_xll.EQNXTDZ($A$1,$B85,AJ$5,$B$1)</f>
        <v>43775.88</v>
      </c>
      <c r="AK85" s="55">
        <f>_xll.EQNXTDZ($A$1,$B85,AK$5,$B$1)</f>
        <v>0</v>
      </c>
      <c r="AL85" s="55">
        <f>_xll.EQNXTDZ($A$1,$B85,AL$5,$B$1)</f>
        <v>41614.379999999997</v>
      </c>
      <c r="AM85" s="55">
        <f>_xll.EQNXTDZ($A$1,$B85,AM$5,$B$1)</f>
        <v>0</v>
      </c>
      <c r="AN85" s="55">
        <f>_xll.EQNXTDZ($A$1,$B85,AN$5,$B$1)</f>
        <v>39346.519999999997</v>
      </c>
      <c r="AO85" s="55">
        <f>_xll.EQNXTDZ($A$1,$B85,AO$5,$B$1)</f>
        <v>0</v>
      </c>
      <c r="AP85" s="55">
        <f>_xll.EQNXTDZ($A$1,$B85,AP$5,$B$1)</f>
        <v>42549.54</v>
      </c>
      <c r="AQ85" s="55">
        <f>_xll.EQNXTDZ($A$1,$B85,AQ$5,$B$1)</f>
        <v>0</v>
      </c>
      <c r="AR85" s="55">
        <f>_xll.EQNXTDZ($A$1,$B85,AR$5,$B$1)</f>
        <v>40215.230000000003</v>
      </c>
      <c r="AS85" s="55">
        <f>_xll.EQNXTDZ($A$1,$B85,AS$5,$B$1)</f>
        <v>0</v>
      </c>
      <c r="AT85" s="55">
        <f>_xll.EQNXTDZ($A$1,$B85,AT$5,$B$1)</f>
        <v>40711.699999999997</v>
      </c>
      <c r="AU85" s="55">
        <f>_xll.EQNXTDZ($A$1,$B85,AU$5,$B$1)</f>
        <v>0</v>
      </c>
      <c r="AV85" s="55">
        <f>_xll.EQNXTDZ($A$1,$B85,AV$5,$B$1)</f>
        <v>34898.589999999997</v>
      </c>
      <c r="AW85" s="55">
        <f>_xll.EQNXTDZ($A$1,$B85,AW$5,$B$1)</f>
        <v>0</v>
      </c>
      <c r="AX85" s="55">
        <f>_xll.EQNXTDZ($A$1,$B85,AX$5,$B$1)</f>
        <v>34921.129999999997</v>
      </c>
      <c r="AY85" s="55">
        <f>_xll.EQNXTDZ($A$1,$B85,AY$5,$B$1)</f>
        <v>0</v>
      </c>
      <c r="AZ85" s="55">
        <f>_xll.EQNXTDZ($A$1,$B85,AZ$5,$B$1)</f>
        <v>35951.64</v>
      </c>
      <c r="BA85" s="55">
        <f>_xll.EQNXTDZ($A$1,$B85,BA$5,$B$1)</f>
        <v>0</v>
      </c>
      <c r="BB85" s="55">
        <f>_xll.EQNXTDZ($A$1,$B85,BB$5,$B$1)</f>
        <v>36494.36</v>
      </c>
      <c r="BC85" s="55">
        <f>_xll.EQNXTDZ($A$1,$B85,BC$5,$B$1)</f>
        <v>0</v>
      </c>
      <c r="BD85" s="55">
        <f>_xll.EQNXTDZ($A$1,$B85,BD$5,$B$1)</f>
        <v>39165.129999999997</v>
      </c>
      <c r="BE85" s="55">
        <f>_xll.EQNXTDZ($A$1,$B85,BE$5,$B$1)</f>
        <v>0</v>
      </c>
      <c r="BF85" s="55">
        <f>_xll.EQNXTDZ($A$1,$B85,BF$5,$B$1)</f>
        <v>43459.94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46669.52</v>
      </c>
      <c r="E86" s="55">
        <f>_xll.EQNXTDZ($A$1,$B86,E$5,$B$1)</f>
        <v>0</v>
      </c>
      <c r="F86" s="55">
        <f>_xll.EQNXTDZ($A$1,$B86,F$5,$B$1)</f>
        <v>75651.490000000005</v>
      </c>
      <c r="G86" s="55">
        <f>_xll.EQNXTDZ($A$1,$B86,G$5,$B$1)</f>
        <v>0</v>
      </c>
      <c r="H86" s="55">
        <f>_xll.EQNXTDZ($A$1,$B86,H$5,$B$1)</f>
        <v>82925.87</v>
      </c>
      <c r="I86" s="55">
        <f>_xll.EQNXTDZ($A$1,$B86,I$5,$B$1)</f>
        <v>0</v>
      </c>
      <c r="J86" s="55">
        <f>_xll.EQNXTDZ($A$1,$B86,J$5,$B$1)</f>
        <v>85247.96</v>
      </c>
      <c r="K86" s="55">
        <f>_xll.EQNXTDZ($A$1,$B86,K$5,$B$1)</f>
        <v>0</v>
      </c>
      <c r="L86" s="55">
        <f>_xll.EQNXTDZ($A$1,$B86,L$5,$B$1)</f>
        <v>83899.93</v>
      </c>
      <c r="M86" s="55">
        <f>_xll.EQNXTDZ($A$1,$B86,M$5,$B$1)</f>
        <v>0</v>
      </c>
      <c r="N86" s="55">
        <f>_xll.EQNXTDZ($A$1,$B86,N$5,$B$1)</f>
        <v>93777.27</v>
      </c>
      <c r="O86" s="55">
        <f>_xll.EQNXTDZ($A$1,$B86,O$5,$B$1)</f>
        <v>0</v>
      </c>
      <c r="P86" s="55">
        <f>_xll.EQNXTDZ($A$1,$B86,P$5,$B$1)</f>
        <v>100115.95</v>
      </c>
      <c r="Q86" s="55">
        <f>_xll.EQNXTDZ($A$1,$B86,Q$5,$B$1)</f>
        <v>0</v>
      </c>
      <c r="R86" s="55">
        <f>_xll.EQNXTDZ($A$1,$B86,R$5,$B$1)</f>
        <v>107452.55</v>
      </c>
      <c r="S86" s="55">
        <f>_xll.EQNXTDZ($A$1,$B86,S$5,$B$1)</f>
        <v>0</v>
      </c>
      <c r="T86" s="55">
        <f>_xll.EQNXTDZ($A$1,$B86,T$5,$B$1)</f>
        <v>103818.03</v>
      </c>
      <c r="U86" s="55">
        <f>_xll.EQNXTDZ($A$1,$B86,U$5,$B$1)</f>
        <v>0</v>
      </c>
      <c r="V86" s="55">
        <f>_xll.EQNXTDZ($A$1,$B86,V$5,$B$1)</f>
        <v>121841.25</v>
      </c>
      <c r="W86" s="55">
        <f>_xll.EQNXTDZ($A$1,$B86,W$5,$B$1)</f>
        <v>0</v>
      </c>
      <c r="X86" s="55">
        <f>_xll.EQNXTDZ($A$1,$B86,X$5,$B$1)</f>
        <v>123364.39</v>
      </c>
      <c r="Y86" s="55">
        <f>_xll.EQNXTDZ($A$1,$B86,Y$5,$B$1)</f>
        <v>0</v>
      </c>
      <c r="Z86" s="55">
        <f>_xll.EQNXTDZ($A$1,$B86,Z$5,$B$1)</f>
        <v>141630.45000000001</v>
      </c>
      <c r="AA86" s="55">
        <f>_xll.EQNXTDZ($A$1,$B86,AA$5,$B$1)</f>
        <v>0</v>
      </c>
      <c r="AB86" s="55">
        <f>_xll.EQNXTDZ($A$1,$B86,AB$5,$B$1)</f>
        <v>155873.76999999999</v>
      </c>
      <c r="AC86" s="55">
        <f>_xll.EQNXTDZ($A$1,$B86,AC$5,$B$1)</f>
        <v>0</v>
      </c>
      <c r="AD86" s="55">
        <f>_xll.EQNXTDZ($A$1,$B86,AD$5,$B$1)</f>
        <v>166791.44</v>
      </c>
      <c r="AE86" s="55">
        <f>_xll.EQNXTDZ($A$1,$B86,AE$5,$B$1)</f>
        <v>0</v>
      </c>
      <c r="AF86" s="55">
        <f>_xll.EQNXTDZ($A$1,$B86,AF$5,$B$1)</f>
        <v>166113.45000000001</v>
      </c>
      <c r="AG86" s="55">
        <f>_xll.EQNXTDZ($A$1,$B86,AG$5,$B$1)</f>
        <v>0</v>
      </c>
      <c r="AH86" s="55">
        <f>_xll.EQNXTDZ($A$1,$B86,AH$5,$B$1)</f>
        <v>182689.89</v>
      </c>
      <c r="AI86" s="55">
        <f>_xll.EQNXTDZ($A$1,$B86,AI$5,$B$1)</f>
        <v>0</v>
      </c>
      <c r="AJ86" s="55">
        <f>_xll.EQNXTDZ($A$1,$B86,AJ$5,$B$1)</f>
        <v>193081.55</v>
      </c>
      <c r="AK86" s="55">
        <f>_xll.EQNXTDZ($A$1,$B86,AK$5,$B$1)</f>
        <v>0</v>
      </c>
      <c r="AL86" s="55">
        <f>_xll.EQNXTDZ($A$1,$B86,AL$5,$B$1)</f>
        <v>194966.83</v>
      </c>
      <c r="AM86" s="55">
        <f>_xll.EQNXTDZ($A$1,$B86,AM$5,$B$1)</f>
        <v>0</v>
      </c>
      <c r="AN86" s="55">
        <f>_xll.EQNXTDZ($A$1,$B86,AN$5,$B$1)</f>
        <v>191061.88</v>
      </c>
      <c r="AO86" s="55">
        <f>_xll.EQNXTDZ($A$1,$B86,AO$5,$B$1)</f>
        <v>0</v>
      </c>
      <c r="AP86" s="55">
        <f>_xll.EQNXTDZ($A$1,$B86,AP$5,$B$1)</f>
        <v>207372.3</v>
      </c>
      <c r="AQ86" s="55">
        <f>_xll.EQNXTDZ($A$1,$B86,AQ$5,$B$1)</f>
        <v>0</v>
      </c>
      <c r="AR86" s="55">
        <f>_xll.EQNXTDZ($A$1,$B86,AR$5,$B$1)</f>
        <v>203399.53</v>
      </c>
      <c r="AS86" s="55">
        <f>_xll.EQNXTDZ($A$1,$B86,AS$5,$B$1)</f>
        <v>0</v>
      </c>
      <c r="AT86" s="55">
        <f>_xll.EQNXTDZ($A$1,$B86,AT$5,$B$1)</f>
        <v>221215.52</v>
      </c>
      <c r="AU86" s="55">
        <f>_xll.EQNXTDZ($A$1,$B86,AU$5,$B$1)</f>
        <v>0</v>
      </c>
      <c r="AV86" s="55">
        <f>_xll.EQNXTDZ($A$1,$B86,AV$5,$B$1)</f>
        <v>207959.62</v>
      </c>
      <c r="AW86" s="55">
        <f>_xll.EQNXTDZ($A$1,$B86,AW$5,$B$1)</f>
        <v>0</v>
      </c>
      <c r="AX86" s="55">
        <f>_xll.EQNXTDZ($A$1,$B86,AX$5,$B$1)</f>
        <v>217583.24</v>
      </c>
      <c r="AY86" s="55">
        <f>_xll.EQNXTDZ($A$1,$B86,AY$5,$B$1)</f>
        <v>0</v>
      </c>
      <c r="AZ86" s="55">
        <f>_xll.EQNXTDZ($A$1,$B86,AZ$5,$B$1)</f>
        <v>229070.29</v>
      </c>
      <c r="BA86" s="55">
        <f>_xll.EQNXTDZ($A$1,$B86,BA$5,$B$1)</f>
        <v>0</v>
      </c>
      <c r="BB86" s="55">
        <f>_xll.EQNXTDZ($A$1,$B86,BB$5,$B$1)</f>
        <v>245184.27</v>
      </c>
      <c r="BC86" s="55">
        <f>_xll.EQNXTDZ($A$1,$B86,BC$5,$B$1)</f>
        <v>0</v>
      </c>
      <c r="BD86" s="55">
        <f>_xll.EQNXTDZ($A$1,$B86,BD$5,$B$1)</f>
        <v>248961.85</v>
      </c>
      <c r="BE86" s="55">
        <f>_xll.EQNXTDZ($A$1,$B86,BE$5,$B$1)</f>
        <v>0</v>
      </c>
      <c r="BF86" s="55">
        <f>_xll.EQNXTDZ($A$1,$B86,BF$5,$B$1)</f>
        <v>292841.13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3806.26</v>
      </c>
      <c r="E88" s="55">
        <f>_xll.EQNXTDZ($A$1,$B88,E$5,$B$1)</f>
        <v>0</v>
      </c>
      <c r="F88" s="55">
        <f>_xll.EQNXTDZ($A$1,$B88,F$5,$B$1)</f>
        <v>7965.76</v>
      </c>
      <c r="G88" s="55">
        <f>_xll.EQNXTDZ($A$1,$B88,G$5,$B$1)</f>
        <v>0</v>
      </c>
      <c r="H88" s="55">
        <f>_xll.EQNXTDZ($A$1,$B88,H$5,$B$1)</f>
        <v>11944.73</v>
      </c>
      <c r="I88" s="55">
        <f>_xll.EQNXTDZ($A$1,$B88,I$5,$B$1)</f>
        <v>0</v>
      </c>
      <c r="J88" s="55">
        <f>_xll.EQNXTDZ($A$1,$B88,J$5,$B$1)</f>
        <v>13858.52</v>
      </c>
      <c r="K88" s="55">
        <f>_xll.EQNXTDZ($A$1,$B88,K$5,$B$1)</f>
        <v>0</v>
      </c>
      <c r="L88" s="55">
        <f>_xll.EQNXTDZ($A$1,$B88,L$5,$B$1)</f>
        <v>18606.62</v>
      </c>
      <c r="M88" s="55">
        <f>_xll.EQNXTDZ($A$1,$B88,M$5,$B$1)</f>
        <v>0</v>
      </c>
      <c r="N88" s="55">
        <f>_xll.EQNXTDZ($A$1,$B88,N$5,$B$1)</f>
        <v>16729.39</v>
      </c>
      <c r="O88" s="55">
        <f>_xll.EQNXTDZ($A$1,$B88,O$5,$B$1)</f>
        <v>0</v>
      </c>
      <c r="P88" s="55">
        <f>_xll.EQNXTDZ($A$1,$B88,P$5,$B$1)</f>
        <v>20033.52</v>
      </c>
      <c r="Q88" s="55">
        <f>_xll.EQNXTDZ($A$1,$B88,Q$5,$B$1)</f>
        <v>0</v>
      </c>
      <c r="R88" s="55">
        <f>_xll.EQNXTDZ($A$1,$B88,R$5,$B$1)</f>
        <v>14896.75</v>
      </c>
      <c r="S88" s="55">
        <f>_xll.EQNXTDZ($A$1,$B88,S$5,$B$1)</f>
        <v>0</v>
      </c>
      <c r="T88" s="55">
        <f>_xll.EQNXTDZ($A$1,$B88,T$5,$B$1)</f>
        <v>18175.38</v>
      </c>
      <c r="U88" s="55">
        <f>_xll.EQNXTDZ($A$1,$B88,U$5,$B$1)</f>
        <v>0</v>
      </c>
      <c r="V88" s="55">
        <f>_xll.EQNXTDZ($A$1,$B88,V$5,$B$1)</f>
        <v>16534.47</v>
      </c>
      <c r="W88" s="55">
        <f>_xll.EQNXTDZ($A$1,$B88,W$5,$B$1)</f>
        <v>0</v>
      </c>
      <c r="X88" s="55">
        <f>_xll.EQNXTDZ($A$1,$B88,X$5,$B$1)</f>
        <v>23834.240000000002</v>
      </c>
      <c r="Y88" s="55">
        <f>_xll.EQNXTDZ($A$1,$B88,Y$5,$B$1)</f>
        <v>0</v>
      </c>
      <c r="Z88" s="55">
        <f>_xll.EQNXTDZ($A$1,$B88,Z$5,$B$1)</f>
        <v>19331.849999999999</v>
      </c>
      <c r="AA88" s="55">
        <f>_xll.EQNXTDZ($A$1,$B88,AA$5,$B$1)</f>
        <v>0</v>
      </c>
      <c r="AB88" s="55">
        <f>_xll.EQNXTDZ($A$1,$B88,AB$5,$B$1)</f>
        <v>34734.83</v>
      </c>
      <c r="AC88" s="55">
        <f>_xll.EQNXTDZ($A$1,$B88,AC$5,$B$1)</f>
        <v>0</v>
      </c>
      <c r="AD88" s="55">
        <f>_xll.EQNXTDZ($A$1,$B88,AD$5,$B$1)</f>
        <v>29223.84</v>
      </c>
      <c r="AE88" s="55">
        <f>_xll.EQNXTDZ($A$1,$B88,AE$5,$B$1)</f>
        <v>0</v>
      </c>
      <c r="AF88" s="55">
        <f>_xll.EQNXTDZ($A$1,$B88,AF$5,$B$1)</f>
        <v>34870.68</v>
      </c>
      <c r="AG88" s="55">
        <f>_xll.EQNXTDZ($A$1,$B88,AG$5,$B$1)</f>
        <v>0</v>
      </c>
      <c r="AH88" s="55">
        <f>_xll.EQNXTDZ($A$1,$B88,AH$5,$B$1)</f>
        <v>35021.019999999997</v>
      </c>
      <c r="AI88" s="55">
        <f>_xll.EQNXTDZ($A$1,$B88,AI$5,$B$1)</f>
        <v>0</v>
      </c>
      <c r="AJ88" s="55">
        <f>_xll.EQNXTDZ($A$1,$B88,AJ$5,$B$1)</f>
        <v>39176.230000000003</v>
      </c>
      <c r="AK88" s="55">
        <f>_xll.EQNXTDZ($A$1,$B88,AK$5,$B$1)</f>
        <v>0</v>
      </c>
      <c r="AL88" s="55">
        <f>_xll.EQNXTDZ($A$1,$B88,AL$5,$B$1)</f>
        <v>27765.83</v>
      </c>
      <c r="AM88" s="55">
        <f>_xll.EQNXTDZ($A$1,$B88,AM$5,$B$1)</f>
        <v>0</v>
      </c>
      <c r="AN88" s="55">
        <f>_xll.EQNXTDZ($A$1,$B88,AN$5,$B$1)</f>
        <v>25689.5</v>
      </c>
      <c r="AO88" s="55">
        <f>_xll.EQNXTDZ($A$1,$B88,AO$5,$B$1)</f>
        <v>0</v>
      </c>
      <c r="AP88" s="55">
        <f>_xll.EQNXTDZ($A$1,$B88,AP$5,$B$1)</f>
        <v>30476.959999999999</v>
      </c>
      <c r="AQ88" s="55">
        <f>_xll.EQNXTDZ($A$1,$B88,AQ$5,$B$1)</f>
        <v>0</v>
      </c>
      <c r="AR88" s="55">
        <f>_xll.EQNXTDZ($A$1,$B88,AR$5,$B$1)</f>
        <v>37031.56</v>
      </c>
      <c r="AS88" s="55">
        <f>_xll.EQNXTDZ($A$1,$B88,AS$5,$B$1)</f>
        <v>0</v>
      </c>
      <c r="AT88" s="55">
        <f>_xll.EQNXTDZ($A$1,$B88,AT$5,$B$1)</f>
        <v>30896.32</v>
      </c>
      <c r="AU88" s="55">
        <f>_xll.EQNXTDZ($A$1,$B88,AU$5,$B$1)</f>
        <v>0</v>
      </c>
      <c r="AV88" s="55">
        <f>_xll.EQNXTDZ($A$1,$B88,AV$5,$B$1)</f>
        <v>36147.51</v>
      </c>
      <c r="AW88" s="55">
        <f>_xll.EQNXTDZ($A$1,$B88,AW$5,$B$1)</f>
        <v>0</v>
      </c>
      <c r="AX88" s="55">
        <f>_xll.EQNXTDZ($A$1,$B88,AX$5,$B$1)</f>
        <v>27834.27</v>
      </c>
      <c r="AY88" s="55">
        <f>_xll.EQNXTDZ($A$1,$B88,AY$5,$B$1)</f>
        <v>0</v>
      </c>
      <c r="AZ88" s="55">
        <f>_xll.EQNXTDZ($A$1,$B88,AZ$5,$B$1)</f>
        <v>38434</v>
      </c>
      <c r="BA88" s="55">
        <f>_xll.EQNXTDZ($A$1,$B88,BA$5,$B$1)</f>
        <v>0</v>
      </c>
      <c r="BB88" s="55">
        <f>_xll.EQNXTDZ($A$1,$B88,BB$5,$B$1)</f>
        <v>35861.300000000003</v>
      </c>
      <c r="BC88" s="55">
        <f>_xll.EQNXTDZ($A$1,$B88,BC$5,$B$1)</f>
        <v>0</v>
      </c>
      <c r="BD88" s="55">
        <f>_xll.EQNXTDZ($A$1,$B88,BD$5,$B$1)</f>
        <v>33655.71</v>
      </c>
      <c r="BE88" s="55">
        <f>_xll.EQNXTDZ($A$1,$B88,BE$5,$B$1)</f>
        <v>0</v>
      </c>
      <c r="BF88" s="55">
        <f>_xll.EQNXTDZ($A$1,$B88,BF$5,$B$1)</f>
        <v>34778.53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12816.3</v>
      </c>
      <c r="E89" s="55">
        <f>_xll.EQNXTDZ($A$1,$B89,E$5,$B$1)</f>
        <v>0</v>
      </c>
      <c r="F89" s="55">
        <f>_xll.EQNXTDZ($A$1,$B89,F$5,$B$1)</f>
        <v>18053.650000000001</v>
      </c>
      <c r="G89" s="55">
        <f>_xll.EQNXTDZ($A$1,$B89,G$5,$B$1)</f>
        <v>0</v>
      </c>
      <c r="H89" s="55">
        <f>_xll.EQNXTDZ($A$1,$B89,H$5,$B$1)</f>
        <v>16676.669999999998</v>
      </c>
      <c r="I89" s="55">
        <f>_xll.EQNXTDZ($A$1,$B89,I$5,$B$1)</f>
        <v>0</v>
      </c>
      <c r="J89" s="55">
        <f>_xll.EQNXTDZ($A$1,$B89,J$5,$B$1)</f>
        <v>20849.88</v>
      </c>
      <c r="K89" s="55">
        <f>_xll.EQNXTDZ($A$1,$B89,K$5,$B$1)</f>
        <v>0</v>
      </c>
      <c r="L89" s="55">
        <f>_xll.EQNXTDZ($A$1,$B89,L$5,$B$1)</f>
        <v>19695.740000000002</v>
      </c>
      <c r="M89" s="55">
        <f>_xll.EQNXTDZ($A$1,$B89,M$5,$B$1)</f>
        <v>0</v>
      </c>
      <c r="N89" s="55">
        <f>_xll.EQNXTDZ($A$1,$B89,N$5,$B$1)</f>
        <v>24649.64</v>
      </c>
      <c r="O89" s="55">
        <f>_xll.EQNXTDZ($A$1,$B89,O$5,$B$1)</f>
        <v>0</v>
      </c>
      <c r="P89" s="55">
        <f>_xll.EQNXTDZ($A$1,$B89,P$5,$B$1)</f>
        <v>23918.61</v>
      </c>
      <c r="Q89" s="55">
        <f>_xll.EQNXTDZ($A$1,$B89,Q$5,$B$1)</f>
        <v>0</v>
      </c>
      <c r="R89" s="55">
        <f>_xll.EQNXTDZ($A$1,$B89,R$5,$B$1)</f>
        <v>27003.56</v>
      </c>
      <c r="S89" s="55">
        <f>_xll.EQNXTDZ($A$1,$B89,S$5,$B$1)</f>
        <v>0</v>
      </c>
      <c r="T89" s="55">
        <f>_xll.EQNXTDZ($A$1,$B89,T$5,$B$1)</f>
        <v>23788.13</v>
      </c>
      <c r="U89" s="55">
        <f>_xll.EQNXTDZ($A$1,$B89,U$5,$B$1)</f>
        <v>0</v>
      </c>
      <c r="V89" s="55">
        <f>_xll.EQNXTDZ($A$1,$B89,V$5,$B$1)</f>
        <v>30294.86</v>
      </c>
      <c r="W89" s="55">
        <f>_xll.EQNXTDZ($A$1,$B89,W$5,$B$1)</f>
        <v>0</v>
      </c>
      <c r="X89" s="55">
        <f>_xll.EQNXTDZ($A$1,$B89,X$5,$B$1)</f>
        <v>28369.57</v>
      </c>
      <c r="Y89" s="55">
        <f>_xll.EQNXTDZ($A$1,$B89,Y$5,$B$1)</f>
        <v>0</v>
      </c>
      <c r="Z89" s="55">
        <f>_xll.EQNXTDZ($A$1,$B89,Z$5,$B$1)</f>
        <v>37797.379999999997</v>
      </c>
      <c r="AA89" s="55">
        <f>_xll.EQNXTDZ($A$1,$B89,AA$5,$B$1)</f>
        <v>0</v>
      </c>
      <c r="AB89" s="55">
        <f>_xll.EQNXTDZ($A$1,$B89,AB$5,$B$1)</f>
        <v>35110.480000000003</v>
      </c>
      <c r="AC89" s="55">
        <f>_xll.EQNXTDZ($A$1,$B89,AC$5,$B$1)</f>
        <v>0</v>
      </c>
      <c r="AD89" s="55">
        <f>_xll.EQNXTDZ($A$1,$B89,AD$5,$B$1)</f>
        <v>42994.81</v>
      </c>
      <c r="AE89" s="55">
        <f>_xll.EQNXTDZ($A$1,$B89,AE$5,$B$1)</f>
        <v>0</v>
      </c>
      <c r="AF89" s="55">
        <f>_xll.EQNXTDZ($A$1,$B89,AF$5,$B$1)</f>
        <v>35208.17</v>
      </c>
      <c r="AG89" s="55">
        <f>_xll.EQNXTDZ($A$1,$B89,AG$5,$B$1)</f>
        <v>0</v>
      </c>
      <c r="AH89" s="55">
        <f>_xll.EQNXTDZ($A$1,$B89,AH$5,$B$1)</f>
        <v>43643.93</v>
      </c>
      <c r="AI89" s="55">
        <f>_xll.EQNXTDZ($A$1,$B89,AI$5,$B$1)</f>
        <v>0</v>
      </c>
      <c r="AJ89" s="55">
        <f>_xll.EQNXTDZ($A$1,$B89,AJ$5,$B$1)</f>
        <v>37000.5</v>
      </c>
      <c r="AK89" s="55">
        <f>_xll.EQNXTDZ($A$1,$B89,AK$5,$B$1)</f>
        <v>0</v>
      </c>
      <c r="AL89" s="55">
        <f>_xll.EQNXTDZ($A$1,$B89,AL$5,$B$1)</f>
        <v>45745.23</v>
      </c>
      <c r="AM89" s="55">
        <f>_xll.EQNXTDZ($A$1,$B89,AM$5,$B$1)</f>
        <v>0</v>
      </c>
      <c r="AN89" s="55">
        <f>_xll.EQNXTDZ($A$1,$B89,AN$5,$B$1)</f>
        <v>39899.99</v>
      </c>
      <c r="AO89" s="55">
        <f>_xll.EQNXTDZ($A$1,$B89,AO$5,$B$1)</f>
        <v>0</v>
      </c>
      <c r="AP89" s="55">
        <f>_xll.EQNXTDZ($A$1,$B89,AP$5,$B$1)</f>
        <v>51365.62</v>
      </c>
      <c r="AQ89" s="55">
        <f>_xll.EQNXTDZ($A$1,$B89,AQ$5,$B$1)</f>
        <v>0</v>
      </c>
      <c r="AR89" s="55">
        <f>_xll.EQNXTDZ($A$1,$B89,AR$5,$B$1)</f>
        <v>43757.86</v>
      </c>
      <c r="AS89" s="55">
        <f>_xll.EQNXTDZ($A$1,$B89,AS$5,$B$1)</f>
        <v>0</v>
      </c>
      <c r="AT89" s="55">
        <f>_xll.EQNXTDZ($A$1,$B89,AT$5,$B$1)</f>
        <v>49784.12</v>
      </c>
      <c r="AU89" s="55">
        <f>_xll.EQNXTDZ($A$1,$B89,AU$5,$B$1)</f>
        <v>0</v>
      </c>
      <c r="AV89" s="55">
        <f>_xll.EQNXTDZ($A$1,$B89,AV$5,$B$1)</f>
        <v>44520.639999999999</v>
      </c>
      <c r="AW89" s="55">
        <f>_xll.EQNXTDZ($A$1,$B89,AW$5,$B$1)</f>
        <v>0</v>
      </c>
      <c r="AX89" s="55">
        <f>_xll.EQNXTDZ($A$1,$B89,AX$5,$B$1)</f>
        <v>53292.88</v>
      </c>
      <c r="AY89" s="55">
        <f>_xll.EQNXTDZ($A$1,$B89,AY$5,$B$1)</f>
        <v>0</v>
      </c>
      <c r="AZ89" s="55">
        <f>_xll.EQNXTDZ($A$1,$B89,AZ$5,$B$1)</f>
        <v>51563.55</v>
      </c>
      <c r="BA89" s="55">
        <f>_xll.EQNXTDZ($A$1,$B89,BA$5,$B$1)</f>
        <v>0</v>
      </c>
      <c r="BB89" s="55">
        <f>_xll.EQNXTDZ($A$1,$B89,BB$5,$B$1)</f>
        <v>52459.34</v>
      </c>
      <c r="BC89" s="55">
        <f>_xll.EQNXTDZ($A$1,$B89,BC$5,$B$1)</f>
        <v>0</v>
      </c>
      <c r="BD89" s="55">
        <f>_xll.EQNXTDZ($A$1,$B89,BD$5,$B$1)</f>
        <v>52869.21</v>
      </c>
      <c r="BE89" s="55">
        <f>_xll.EQNXTDZ($A$1,$B89,BE$5,$B$1)</f>
        <v>0</v>
      </c>
      <c r="BF89" s="55">
        <f>_xll.EQNXTDZ($A$1,$B89,BF$5,$B$1)</f>
        <v>69455.63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2483.42</v>
      </c>
      <c r="E90" s="55">
        <f>_xll.EQNXTDZ($A$1,$B90,E$5,$B$1)</f>
        <v>0</v>
      </c>
      <c r="F90" s="55">
        <f>_xll.EQNXTDZ($A$1,$B90,F$5,$B$1)</f>
        <v>7313.73</v>
      </c>
      <c r="G90" s="55">
        <f>_xll.EQNXTDZ($A$1,$B90,G$5,$B$1)</f>
        <v>0</v>
      </c>
      <c r="H90" s="55">
        <f>_xll.EQNXTDZ($A$1,$B90,H$5,$B$1)</f>
        <v>8514.2000000000007</v>
      </c>
      <c r="I90" s="55">
        <f>_xll.EQNXTDZ($A$1,$B90,I$5,$B$1)</f>
        <v>0</v>
      </c>
      <c r="J90" s="55">
        <f>_xll.EQNXTDZ($A$1,$B90,J$5,$B$1)</f>
        <v>11026.98</v>
      </c>
      <c r="K90" s="55">
        <f>_xll.EQNXTDZ($A$1,$B90,K$5,$B$1)</f>
        <v>0</v>
      </c>
      <c r="L90" s="55">
        <f>_xll.EQNXTDZ($A$1,$B90,L$5,$B$1)</f>
        <v>8893.15</v>
      </c>
      <c r="M90" s="55">
        <f>_xll.EQNXTDZ($A$1,$B90,M$5,$B$1)</f>
        <v>0</v>
      </c>
      <c r="N90" s="55">
        <f>_xll.EQNXTDZ($A$1,$B90,N$5,$B$1)</f>
        <v>8304.16</v>
      </c>
      <c r="O90" s="55">
        <f>_xll.EQNXTDZ($A$1,$B90,O$5,$B$1)</f>
        <v>0</v>
      </c>
      <c r="P90" s="55">
        <f>_xll.EQNXTDZ($A$1,$B90,P$5,$B$1)</f>
        <v>9997.2099999999991</v>
      </c>
      <c r="Q90" s="55">
        <f>_xll.EQNXTDZ($A$1,$B90,Q$5,$B$1)</f>
        <v>0</v>
      </c>
      <c r="R90" s="55">
        <f>_xll.EQNXTDZ($A$1,$B90,R$5,$B$1)</f>
        <v>12014.9</v>
      </c>
      <c r="S90" s="55">
        <f>_xll.EQNXTDZ($A$1,$B90,S$5,$B$1)</f>
        <v>0</v>
      </c>
      <c r="T90" s="55">
        <f>_xll.EQNXTDZ($A$1,$B90,T$5,$B$1)</f>
        <v>11116.72</v>
      </c>
      <c r="U90" s="55">
        <f>_xll.EQNXTDZ($A$1,$B90,U$5,$B$1)</f>
        <v>0</v>
      </c>
      <c r="V90" s="55">
        <f>_xll.EQNXTDZ($A$1,$B90,V$5,$B$1)</f>
        <v>10078.9</v>
      </c>
      <c r="W90" s="55">
        <f>_xll.EQNXTDZ($A$1,$B90,W$5,$B$1)</f>
        <v>0</v>
      </c>
      <c r="X90" s="55">
        <f>_xll.EQNXTDZ($A$1,$B90,X$5,$B$1)</f>
        <v>11344.35</v>
      </c>
      <c r="Y90" s="55">
        <f>_xll.EQNXTDZ($A$1,$B90,Y$5,$B$1)</f>
        <v>0</v>
      </c>
      <c r="Z90" s="55">
        <f>_xll.EQNXTDZ($A$1,$B90,Z$5,$B$1)</f>
        <v>15277.47</v>
      </c>
      <c r="AA90" s="55">
        <f>_xll.EQNXTDZ($A$1,$B90,AA$5,$B$1)</f>
        <v>0</v>
      </c>
      <c r="AB90" s="55">
        <f>_xll.EQNXTDZ($A$1,$B90,AB$5,$B$1)</f>
        <v>13291.48</v>
      </c>
      <c r="AC90" s="55">
        <f>_xll.EQNXTDZ($A$1,$B90,AC$5,$B$1)</f>
        <v>0</v>
      </c>
      <c r="AD90" s="55">
        <f>_xll.EQNXTDZ($A$1,$B90,AD$5,$B$1)</f>
        <v>22210.54</v>
      </c>
      <c r="AE90" s="55">
        <f>_xll.EQNXTDZ($A$1,$B90,AE$5,$B$1)</f>
        <v>0</v>
      </c>
      <c r="AF90" s="55">
        <f>_xll.EQNXTDZ($A$1,$B90,AF$5,$B$1)</f>
        <v>29317.48</v>
      </c>
      <c r="AG90" s="55">
        <f>_xll.EQNXTDZ($A$1,$B90,AG$5,$B$1)</f>
        <v>0</v>
      </c>
      <c r="AH90" s="55">
        <f>_xll.EQNXTDZ($A$1,$B90,AH$5,$B$1)</f>
        <v>23654.77</v>
      </c>
      <c r="AI90" s="55">
        <f>_xll.EQNXTDZ($A$1,$B90,AI$5,$B$1)</f>
        <v>0</v>
      </c>
      <c r="AJ90" s="55">
        <f>_xll.EQNXTDZ($A$1,$B90,AJ$5,$B$1)</f>
        <v>18501.060000000001</v>
      </c>
      <c r="AK90" s="55">
        <f>_xll.EQNXTDZ($A$1,$B90,AK$5,$B$1)</f>
        <v>0</v>
      </c>
      <c r="AL90" s="55">
        <f>_xll.EQNXTDZ($A$1,$B90,AL$5,$B$1)</f>
        <v>22719.39</v>
      </c>
      <c r="AM90" s="55">
        <f>_xll.EQNXTDZ($A$1,$B90,AM$5,$B$1)</f>
        <v>0</v>
      </c>
      <c r="AN90" s="55">
        <f>_xll.EQNXTDZ($A$1,$B90,AN$5,$B$1)</f>
        <v>26826.959999999999</v>
      </c>
      <c r="AO90" s="55">
        <f>_xll.EQNXTDZ($A$1,$B90,AO$5,$B$1)</f>
        <v>0</v>
      </c>
      <c r="AP90" s="55">
        <f>_xll.EQNXTDZ($A$1,$B90,AP$5,$B$1)</f>
        <v>31372.959999999999</v>
      </c>
      <c r="AQ90" s="55">
        <f>_xll.EQNXTDZ($A$1,$B90,AQ$5,$B$1)</f>
        <v>0</v>
      </c>
      <c r="AR90" s="55">
        <f>_xll.EQNXTDZ($A$1,$B90,AR$5,$B$1)</f>
        <v>33234.67</v>
      </c>
      <c r="AS90" s="55">
        <f>_xll.EQNXTDZ($A$1,$B90,AS$5,$B$1)</f>
        <v>0</v>
      </c>
      <c r="AT90" s="55">
        <f>_xll.EQNXTDZ($A$1,$B90,AT$5,$B$1)</f>
        <v>26399.38</v>
      </c>
      <c r="AU90" s="55">
        <f>_xll.EQNXTDZ($A$1,$B90,AU$5,$B$1)</f>
        <v>0</v>
      </c>
      <c r="AV90" s="55">
        <f>_xll.EQNXTDZ($A$1,$B90,AV$5,$B$1)</f>
        <v>25195.35</v>
      </c>
      <c r="AW90" s="55">
        <f>_xll.EQNXTDZ($A$1,$B90,AW$5,$B$1)</f>
        <v>0</v>
      </c>
      <c r="AX90" s="55">
        <f>_xll.EQNXTDZ($A$1,$B90,AX$5,$B$1)</f>
        <v>29698.53</v>
      </c>
      <c r="AY90" s="55">
        <f>_xll.EQNXTDZ($A$1,$B90,AY$5,$B$1)</f>
        <v>0</v>
      </c>
      <c r="AZ90" s="55">
        <f>_xll.EQNXTDZ($A$1,$B90,AZ$5,$B$1)</f>
        <v>34179.199999999997</v>
      </c>
      <c r="BA90" s="55">
        <f>_xll.EQNXTDZ($A$1,$B90,BA$5,$B$1)</f>
        <v>0</v>
      </c>
      <c r="BB90" s="55">
        <f>_xll.EQNXTDZ($A$1,$B90,BB$5,$B$1)</f>
        <v>36194.699999999997</v>
      </c>
      <c r="BC90" s="55">
        <f>_xll.EQNXTDZ($A$1,$B90,BC$5,$B$1)</f>
        <v>0</v>
      </c>
      <c r="BD90" s="55">
        <f>_xll.EQNXTDZ($A$1,$B90,BD$5,$B$1)</f>
        <v>30023.51</v>
      </c>
      <c r="BE90" s="55">
        <f>_xll.EQNXTDZ($A$1,$B90,BE$5,$B$1)</f>
        <v>0</v>
      </c>
      <c r="BF90" s="55">
        <f>_xll.EQNXTDZ($A$1,$B90,BF$5,$B$1)</f>
        <v>23165.9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15139.25</v>
      </c>
      <c r="E91" s="55">
        <f>_xll.EQNXTDZ($A$1,$B91,E$5,$B$1)</f>
        <v>0</v>
      </c>
      <c r="F91" s="55">
        <f>_xll.EQNXTDZ($A$1,$B91,F$5,$B$1)</f>
        <v>17978.13</v>
      </c>
      <c r="G91" s="55">
        <f>_xll.EQNXTDZ($A$1,$B91,G$5,$B$1)</f>
        <v>0</v>
      </c>
      <c r="H91" s="55">
        <f>_xll.EQNXTDZ($A$1,$B91,H$5,$B$1)</f>
        <v>19708.400000000001</v>
      </c>
      <c r="I91" s="55">
        <f>_xll.EQNXTDZ($A$1,$B91,I$5,$B$1)</f>
        <v>0</v>
      </c>
      <c r="J91" s="55">
        <f>_xll.EQNXTDZ($A$1,$B91,J$5,$B$1)</f>
        <v>19180.96</v>
      </c>
      <c r="K91" s="55">
        <f>_xll.EQNXTDZ($A$1,$B91,K$5,$B$1)</f>
        <v>0</v>
      </c>
      <c r="L91" s="55">
        <f>_xll.EQNXTDZ($A$1,$B91,L$5,$B$1)</f>
        <v>21789.8</v>
      </c>
      <c r="M91" s="55">
        <f>_xll.EQNXTDZ($A$1,$B91,M$5,$B$1)</f>
        <v>0</v>
      </c>
      <c r="N91" s="55">
        <f>_xll.EQNXTDZ($A$1,$B91,N$5,$B$1)</f>
        <v>23812.12</v>
      </c>
      <c r="O91" s="55">
        <f>_xll.EQNXTDZ($A$1,$B91,O$5,$B$1)</f>
        <v>0</v>
      </c>
      <c r="P91" s="55">
        <f>_xll.EQNXTDZ($A$1,$B91,P$5,$B$1)</f>
        <v>28242.83</v>
      </c>
      <c r="Q91" s="55">
        <f>_xll.EQNXTDZ($A$1,$B91,Q$5,$B$1)</f>
        <v>0</v>
      </c>
      <c r="R91" s="55">
        <f>_xll.EQNXTDZ($A$1,$B91,R$5,$B$1)</f>
        <v>28827.7</v>
      </c>
      <c r="S91" s="55">
        <f>_xll.EQNXTDZ($A$1,$B91,S$5,$B$1)</f>
        <v>0</v>
      </c>
      <c r="T91" s="55">
        <f>_xll.EQNXTDZ($A$1,$B91,T$5,$B$1)</f>
        <v>30985.94</v>
      </c>
      <c r="U91" s="55">
        <f>_xll.EQNXTDZ($A$1,$B91,U$5,$B$1)</f>
        <v>0</v>
      </c>
      <c r="V91" s="55">
        <f>_xll.EQNXTDZ($A$1,$B91,V$5,$B$1)</f>
        <v>29949.08</v>
      </c>
      <c r="W91" s="55">
        <f>_xll.EQNXTDZ($A$1,$B91,W$5,$B$1)</f>
        <v>0</v>
      </c>
      <c r="X91" s="55">
        <f>_xll.EQNXTDZ($A$1,$B91,X$5,$B$1)</f>
        <v>34205.300000000003</v>
      </c>
      <c r="Y91" s="55">
        <f>_xll.EQNXTDZ($A$1,$B91,Y$5,$B$1)</f>
        <v>0</v>
      </c>
      <c r="Z91" s="55">
        <f>_xll.EQNXTDZ($A$1,$B91,Z$5,$B$1)</f>
        <v>34342.629999999997</v>
      </c>
      <c r="AA91" s="55">
        <f>_xll.EQNXTDZ($A$1,$B91,AA$5,$B$1)</f>
        <v>0</v>
      </c>
      <c r="AB91" s="55">
        <f>_xll.EQNXTDZ($A$1,$B91,AB$5,$B$1)</f>
        <v>36092.58</v>
      </c>
      <c r="AC91" s="55">
        <f>_xll.EQNXTDZ($A$1,$B91,AC$5,$B$1)</f>
        <v>0</v>
      </c>
      <c r="AD91" s="55">
        <f>_xll.EQNXTDZ($A$1,$B91,AD$5,$B$1)</f>
        <v>36929.69</v>
      </c>
      <c r="AE91" s="55">
        <f>_xll.EQNXTDZ($A$1,$B91,AE$5,$B$1)</f>
        <v>0</v>
      </c>
      <c r="AF91" s="55">
        <f>_xll.EQNXTDZ($A$1,$B91,AF$5,$B$1)</f>
        <v>39053.79</v>
      </c>
      <c r="AG91" s="55">
        <f>_xll.EQNXTDZ($A$1,$B91,AG$5,$B$1)</f>
        <v>0</v>
      </c>
      <c r="AH91" s="55">
        <f>_xll.EQNXTDZ($A$1,$B91,AH$5,$B$1)</f>
        <v>39658.639999999999</v>
      </c>
      <c r="AI91" s="55">
        <f>_xll.EQNXTDZ($A$1,$B91,AI$5,$B$1)</f>
        <v>0</v>
      </c>
      <c r="AJ91" s="55">
        <f>_xll.EQNXTDZ($A$1,$B91,AJ$5,$B$1)</f>
        <v>37042.46</v>
      </c>
      <c r="AK91" s="55">
        <f>_xll.EQNXTDZ($A$1,$B91,AK$5,$B$1)</f>
        <v>0</v>
      </c>
      <c r="AL91" s="55">
        <f>_xll.EQNXTDZ($A$1,$B91,AL$5,$B$1)</f>
        <v>38178.879999999997</v>
      </c>
      <c r="AM91" s="55">
        <f>_xll.EQNXTDZ($A$1,$B91,AM$5,$B$1)</f>
        <v>0</v>
      </c>
      <c r="AN91" s="55">
        <f>_xll.EQNXTDZ($A$1,$B91,AN$5,$B$1)</f>
        <v>41829.769999999997</v>
      </c>
      <c r="AO91" s="55">
        <f>_xll.EQNXTDZ($A$1,$B91,AO$5,$B$1)</f>
        <v>0</v>
      </c>
      <c r="AP91" s="55">
        <f>_xll.EQNXTDZ($A$1,$B91,AP$5,$B$1)</f>
        <v>42789.45</v>
      </c>
      <c r="AQ91" s="55">
        <f>_xll.EQNXTDZ($A$1,$B91,AQ$5,$B$1)</f>
        <v>0</v>
      </c>
      <c r="AR91" s="55">
        <f>_xll.EQNXTDZ($A$1,$B91,AR$5,$B$1)</f>
        <v>49757.53</v>
      </c>
      <c r="AS91" s="55">
        <f>_xll.EQNXTDZ($A$1,$B91,AS$5,$B$1)</f>
        <v>0</v>
      </c>
      <c r="AT91" s="55">
        <f>_xll.EQNXTDZ($A$1,$B91,AT$5,$B$1)</f>
        <v>51492.7</v>
      </c>
      <c r="AU91" s="55">
        <f>_xll.EQNXTDZ($A$1,$B91,AU$5,$B$1)</f>
        <v>0</v>
      </c>
      <c r="AV91" s="55">
        <f>_xll.EQNXTDZ($A$1,$B91,AV$5,$B$1)</f>
        <v>57701.11</v>
      </c>
      <c r="AW91" s="55">
        <f>_xll.EQNXTDZ($A$1,$B91,AW$5,$B$1)</f>
        <v>0</v>
      </c>
      <c r="AX91" s="55">
        <f>_xll.EQNXTDZ($A$1,$B91,AX$5,$B$1)</f>
        <v>62167.89</v>
      </c>
      <c r="AY91" s="55">
        <f>_xll.EQNXTDZ($A$1,$B91,AY$5,$B$1)</f>
        <v>0</v>
      </c>
      <c r="AZ91" s="55">
        <f>_xll.EQNXTDZ($A$1,$B91,AZ$5,$B$1)</f>
        <v>67405.759999999995</v>
      </c>
      <c r="BA91" s="55">
        <f>_xll.EQNXTDZ($A$1,$B91,BA$5,$B$1)</f>
        <v>0</v>
      </c>
      <c r="BB91" s="55">
        <f>_xll.EQNXTDZ($A$1,$B91,BB$5,$B$1)</f>
        <v>72763.89</v>
      </c>
      <c r="BC91" s="55">
        <f>_xll.EQNXTDZ($A$1,$B91,BC$5,$B$1)</f>
        <v>0</v>
      </c>
      <c r="BD91" s="55">
        <f>_xll.EQNXTDZ($A$1,$B91,BD$5,$B$1)</f>
        <v>77187.94</v>
      </c>
      <c r="BE91" s="55">
        <f>_xll.EQNXTDZ($A$1,$B91,BE$5,$B$1)</f>
        <v>0</v>
      </c>
      <c r="BF91" s="55">
        <f>_xll.EQNXTDZ($A$1,$B91,BF$5,$B$1)</f>
        <v>101122.38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951.14</v>
      </c>
      <c r="E92" s="55">
        <f>_xll.EQNXTDZ($A$1,$B92,E$5,$B$1)</f>
        <v>0</v>
      </c>
      <c r="F92" s="55">
        <f>_xll.EQNXTDZ($A$1,$B92,F$5,$B$1)</f>
        <v>2539.42</v>
      </c>
      <c r="G92" s="55">
        <f>_xll.EQNXTDZ($A$1,$B92,G$5,$B$1)</f>
        <v>0</v>
      </c>
      <c r="H92" s="55">
        <f>_xll.EQNXTDZ($A$1,$B92,H$5,$B$1)</f>
        <v>1657.17</v>
      </c>
      <c r="I92" s="55">
        <f>_xll.EQNXTDZ($A$1,$B92,I$5,$B$1)</f>
        <v>0</v>
      </c>
      <c r="J92" s="55">
        <f>_xll.EQNXTDZ($A$1,$B92,J$5,$B$1)</f>
        <v>2926.91</v>
      </c>
      <c r="K92" s="55">
        <f>_xll.EQNXTDZ($A$1,$B92,K$5,$B$1)</f>
        <v>0</v>
      </c>
      <c r="L92" s="55">
        <f>_xll.EQNXTDZ($A$1,$B92,L$5,$B$1)</f>
        <v>1603.31</v>
      </c>
      <c r="M92" s="55">
        <f>_xll.EQNXTDZ($A$1,$B92,M$5,$B$1)</f>
        <v>0</v>
      </c>
      <c r="N92" s="55">
        <f>_xll.EQNXTDZ($A$1,$B92,N$5,$B$1)</f>
        <v>3543.81</v>
      </c>
      <c r="O92" s="55">
        <f>_xll.EQNXTDZ($A$1,$B92,O$5,$B$1)</f>
        <v>0</v>
      </c>
      <c r="P92" s="55">
        <f>_xll.EQNXTDZ($A$1,$B92,P$5,$B$1)</f>
        <v>1929.42</v>
      </c>
      <c r="Q92" s="55">
        <f>_xll.EQNXTDZ($A$1,$B92,Q$5,$B$1)</f>
        <v>0</v>
      </c>
      <c r="R92" s="55">
        <f>_xll.EQNXTDZ($A$1,$B92,R$5,$B$1)</f>
        <v>2303.52</v>
      </c>
      <c r="S92" s="55">
        <f>_xll.EQNXTDZ($A$1,$B92,S$5,$B$1)</f>
        <v>0</v>
      </c>
      <c r="T92" s="55">
        <f>_xll.EQNXTDZ($A$1,$B92,T$5,$B$1)</f>
        <v>1631.46</v>
      </c>
      <c r="U92" s="55">
        <f>_xll.EQNXTDZ($A$1,$B92,U$5,$B$1)</f>
        <v>0</v>
      </c>
      <c r="V92" s="55">
        <f>_xll.EQNXTDZ($A$1,$B92,V$5,$B$1)</f>
        <v>2667.81</v>
      </c>
      <c r="W92" s="55">
        <f>_xll.EQNXTDZ($A$1,$B92,W$5,$B$1)</f>
        <v>0</v>
      </c>
      <c r="X92" s="55">
        <f>_xll.EQNXTDZ($A$1,$B92,X$5,$B$1)</f>
        <v>2625.37</v>
      </c>
      <c r="Y92" s="55">
        <f>_xll.EQNXTDZ($A$1,$B92,Y$5,$B$1)</f>
        <v>0</v>
      </c>
      <c r="Z92" s="55">
        <f>_xll.EQNXTDZ($A$1,$B92,Z$5,$B$1)</f>
        <v>2525.0500000000002</v>
      </c>
      <c r="AA92" s="55">
        <f>_xll.EQNXTDZ($A$1,$B92,AA$5,$B$1)</f>
        <v>0</v>
      </c>
      <c r="AB92" s="55">
        <f>_xll.EQNXTDZ($A$1,$B92,AB$5,$B$1)</f>
        <v>2726.74</v>
      </c>
      <c r="AC92" s="55">
        <f>_xll.EQNXTDZ($A$1,$B92,AC$5,$B$1)</f>
        <v>0</v>
      </c>
      <c r="AD92" s="55">
        <f>_xll.EQNXTDZ($A$1,$B92,AD$5,$B$1)</f>
        <v>2443.4299999999998</v>
      </c>
      <c r="AE92" s="55">
        <f>_xll.EQNXTDZ($A$1,$B92,AE$5,$B$1)</f>
        <v>0</v>
      </c>
      <c r="AF92" s="55">
        <f>_xll.EQNXTDZ($A$1,$B92,AF$5,$B$1)</f>
        <v>2583.7800000000002</v>
      </c>
      <c r="AG92" s="55">
        <f>_xll.EQNXTDZ($A$1,$B92,AG$5,$B$1)</f>
        <v>0</v>
      </c>
      <c r="AH92" s="55">
        <f>_xll.EQNXTDZ($A$1,$B92,AH$5,$B$1)</f>
        <v>2750.85</v>
      </c>
      <c r="AI92" s="55">
        <f>_xll.EQNXTDZ($A$1,$B92,AI$5,$B$1)</f>
        <v>0</v>
      </c>
      <c r="AJ92" s="55">
        <f>_xll.EQNXTDZ($A$1,$B92,AJ$5,$B$1)</f>
        <v>2838.78</v>
      </c>
      <c r="AK92" s="55">
        <f>_xll.EQNXTDZ($A$1,$B92,AK$5,$B$1)</f>
        <v>0</v>
      </c>
      <c r="AL92" s="55">
        <f>_xll.EQNXTDZ($A$1,$B92,AL$5,$B$1)</f>
        <v>2998.68</v>
      </c>
      <c r="AM92" s="55">
        <f>_xll.EQNXTDZ($A$1,$B92,AM$5,$B$1)</f>
        <v>0</v>
      </c>
      <c r="AN92" s="55">
        <f>_xll.EQNXTDZ($A$1,$B92,AN$5,$B$1)</f>
        <v>3266.73</v>
      </c>
      <c r="AO92" s="55">
        <f>_xll.EQNXTDZ($A$1,$B92,AO$5,$B$1)</f>
        <v>0</v>
      </c>
      <c r="AP92" s="55">
        <f>_xll.EQNXTDZ($A$1,$B92,AP$5,$B$1)</f>
        <v>3355.86</v>
      </c>
      <c r="AQ92" s="55">
        <f>_xll.EQNXTDZ($A$1,$B92,AQ$5,$B$1)</f>
        <v>0</v>
      </c>
      <c r="AR92" s="55">
        <f>_xll.EQNXTDZ($A$1,$B92,AR$5,$B$1)</f>
        <v>3379.6</v>
      </c>
      <c r="AS92" s="55">
        <f>_xll.EQNXTDZ($A$1,$B92,AS$5,$B$1)</f>
        <v>0</v>
      </c>
      <c r="AT92" s="55">
        <f>_xll.EQNXTDZ($A$1,$B92,AT$5,$B$1)</f>
        <v>3493.47</v>
      </c>
      <c r="AU92" s="55">
        <f>_xll.EQNXTDZ($A$1,$B92,AU$5,$B$1)</f>
        <v>0</v>
      </c>
      <c r="AV92" s="55">
        <f>_xll.EQNXTDZ($A$1,$B92,AV$5,$B$1)</f>
        <v>3690.09</v>
      </c>
      <c r="AW92" s="55">
        <f>_xll.EQNXTDZ($A$1,$B92,AW$5,$B$1)</f>
        <v>0</v>
      </c>
      <c r="AX92" s="55">
        <f>_xll.EQNXTDZ($A$1,$B92,AX$5,$B$1)</f>
        <v>4115.8900000000003</v>
      </c>
      <c r="AY92" s="55">
        <f>_xll.EQNXTDZ($A$1,$B92,AY$5,$B$1)</f>
        <v>0</v>
      </c>
      <c r="AZ92" s="55">
        <f>_xll.EQNXTDZ($A$1,$B92,AZ$5,$B$1)</f>
        <v>3743.79</v>
      </c>
      <c r="BA92" s="55">
        <f>_xll.EQNXTDZ($A$1,$B92,BA$5,$B$1)</f>
        <v>0</v>
      </c>
      <c r="BB92" s="55">
        <f>_xll.EQNXTDZ($A$1,$B92,BB$5,$B$1)</f>
        <v>4691.67</v>
      </c>
      <c r="BC92" s="55">
        <f>_xll.EQNXTDZ($A$1,$B92,BC$5,$B$1)</f>
        <v>0</v>
      </c>
      <c r="BD92" s="55">
        <f>_xll.EQNXTDZ($A$1,$B92,BD$5,$B$1)</f>
        <v>5050.16</v>
      </c>
      <c r="BE92" s="55">
        <f>_xll.EQNXTDZ($A$1,$B92,BE$5,$B$1)</f>
        <v>0</v>
      </c>
      <c r="BF92" s="55">
        <f>_xll.EQNXTDZ($A$1,$B92,BF$5,$B$1)</f>
        <v>5009.03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35196.370000000003</v>
      </c>
      <c r="E93" s="55">
        <f>_xll.EQNXTDZ($A$1,$B93,E$5,$B$1)</f>
        <v>0</v>
      </c>
      <c r="F93" s="55">
        <f>_xll.EQNXTDZ($A$1,$B93,F$5,$B$1)</f>
        <v>53850.69</v>
      </c>
      <c r="G93" s="55">
        <f>_xll.EQNXTDZ($A$1,$B93,G$5,$B$1)</f>
        <v>0</v>
      </c>
      <c r="H93" s="55">
        <f>_xll.EQNXTDZ($A$1,$B93,H$5,$B$1)</f>
        <v>58501.17</v>
      </c>
      <c r="I93" s="55">
        <f>_xll.EQNXTDZ($A$1,$B93,I$5,$B$1)</f>
        <v>0</v>
      </c>
      <c r="J93" s="55">
        <f>_xll.EQNXTDZ($A$1,$B93,J$5,$B$1)</f>
        <v>67843.25</v>
      </c>
      <c r="K93" s="55">
        <f>_xll.EQNXTDZ($A$1,$B93,K$5,$B$1)</f>
        <v>0</v>
      </c>
      <c r="L93" s="55">
        <f>_xll.EQNXTDZ($A$1,$B93,L$5,$B$1)</f>
        <v>70588.62</v>
      </c>
      <c r="M93" s="55">
        <f>_xll.EQNXTDZ($A$1,$B93,M$5,$B$1)</f>
        <v>0</v>
      </c>
      <c r="N93" s="55">
        <f>_xll.EQNXTDZ($A$1,$B93,N$5,$B$1)</f>
        <v>77039.12</v>
      </c>
      <c r="O93" s="55">
        <f>_xll.EQNXTDZ($A$1,$B93,O$5,$B$1)</f>
        <v>0</v>
      </c>
      <c r="P93" s="55">
        <f>_xll.EQNXTDZ($A$1,$B93,P$5,$B$1)</f>
        <v>84121.59</v>
      </c>
      <c r="Q93" s="55">
        <f>_xll.EQNXTDZ($A$1,$B93,Q$5,$B$1)</f>
        <v>0</v>
      </c>
      <c r="R93" s="55">
        <f>_xll.EQNXTDZ($A$1,$B93,R$5,$B$1)</f>
        <v>85046.43</v>
      </c>
      <c r="S93" s="55">
        <f>_xll.EQNXTDZ($A$1,$B93,S$5,$B$1)</f>
        <v>0</v>
      </c>
      <c r="T93" s="55">
        <f>_xll.EQNXTDZ($A$1,$B93,T$5,$B$1)</f>
        <v>85697.63</v>
      </c>
      <c r="U93" s="55">
        <f>_xll.EQNXTDZ($A$1,$B93,U$5,$B$1)</f>
        <v>0</v>
      </c>
      <c r="V93" s="55">
        <f>_xll.EQNXTDZ($A$1,$B93,V$5,$B$1)</f>
        <v>89525.119999999995</v>
      </c>
      <c r="W93" s="55">
        <f>_xll.EQNXTDZ($A$1,$B93,W$5,$B$1)</f>
        <v>0</v>
      </c>
      <c r="X93" s="55">
        <f>_xll.EQNXTDZ($A$1,$B93,X$5,$B$1)</f>
        <v>100378.83</v>
      </c>
      <c r="Y93" s="55">
        <f>_xll.EQNXTDZ($A$1,$B93,Y$5,$B$1)</f>
        <v>0</v>
      </c>
      <c r="Z93" s="55">
        <f>_xll.EQNXTDZ($A$1,$B93,Z$5,$B$1)</f>
        <v>109274.38</v>
      </c>
      <c r="AA93" s="55">
        <f>_xll.EQNXTDZ($A$1,$B93,AA$5,$B$1)</f>
        <v>0</v>
      </c>
      <c r="AB93" s="55">
        <f>_xll.EQNXTDZ($A$1,$B93,AB$5,$B$1)</f>
        <v>121956.11</v>
      </c>
      <c r="AC93" s="55">
        <f>_xll.EQNXTDZ($A$1,$B93,AC$5,$B$1)</f>
        <v>0</v>
      </c>
      <c r="AD93" s="55">
        <f>_xll.EQNXTDZ($A$1,$B93,AD$5,$B$1)</f>
        <v>133802.31</v>
      </c>
      <c r="AE93" s="55">
        <f>_xll.EQNXTDZ($A$1,$B93,AE$5,$B$1)</f>
        <v>0</v>
      </c>
      <c r="AF93" s="55">
        <f>_xll.EQNXTDZ($A$1,$B93,AF$5,$B$1)</f>
        <v>141033.9</v>
      </c>
      <c r="AG93" s="55">
        <f>_xll.EQNXTDZ($A$1,$B93,AG$5,$B$1)</f>
        <v>0</v>
      </c>
      <c r="AH93" s="55">
        <f>_xll.EQNXTDZ($A$1,$B93,AH$5,$B$1)</f>
        <v>144729.21</v>
      </c>
      <c r="AI93" s="55">
        <f>_xll.EQNXTDZ($A$1,$B93,AI$5,$B$1)</f>
        <v>0</v>
      </c>
      <c r="AJ93" s="55">
        <f>_xll.EQNXTDZ($A$1,$B93,AJ$5,$B$1)</f>
        <v>134559.03</v>
      </c>
      <c r="AK93" s="55">
        <f>_xll.EQNXTDZ($A$1,$B93,AK$5,$B$1)</f>
        <v>0</v>
      </c>
      <c r="AL93" s="55">
        <f>_xll.EQNXTDZ($A$1,$B93,AL$5,$B$1)</f>
        <v>137408.01</v>
      </c>
      <c r="AM93" s="55">
        <f>_xll.EQNXTDZ($A$1,$B93,AM$5,$B$1)</f>
        <v>0</v>
      </c>
      <c r="AN93" s="55">
        <f>_xll.EQNXTDZ($A$1,$B93,AN$5,$B$1)</f>
        <v>137512.95000000001</v>
      </c>
      <c r="AO93" s="55">
        <f>_xll.EQNXTDZ($A$1,$B93,AO$5,$B$1)</f>
        <v>0</v>
      </c>
      <c r="AP93" s="55">
        <f>_xll.EQNXTDZ($A$1,$B93,AP$5,$B$1)</f>
        <v>159360.85</v>
      </c>
      <c r="AQ93" s="55">
        <f>_xll.EQNXTDZ($A$1,$B93,AQ$5,$B$1)</f>
        <v>0</v>
      </c>
      <c r="AR93" s="55">
        <f>_xll.EQNXTDZ($A$1,$B93,AR$5,$B$1)</f>
        <v>167161.22</v>
      </c>
      <c r="AS93" s="55">
        <f>_xll.EQNXTDZ($A$1,$B93,AS$5,$B$1)</f>
        <v>0</v>
      </c>
      <c r="AT93" s="55">
        <f>_xll.EQNXTDZ($A$1,$B93,AT$5,$B$1)</f>
        <v>162065.99</v>
      </c>
      <c r="AU93" s="55">
        <f>_xll.EQNXTDZ($A$1,$B93,AU$5,$B$1)</f>
        <v>0</v>
      </c>
      <c r="AV93" s="55">
        <f>_xll.EQNXTDZ($A$1,$B93,AV$5,$B$1)</f>
        <v>167254.70000000001</v>
      </c>
      <c r="AW93" s="55">
        <f>_xll.EQNXTDZ($A$1,$B93,AW$5,$B$1)</f>
        <v>0</v>
      </c>
      <c r="AX93" s="55">
        <f>_xll.EQNXTDZ($A$1,$B93,AX$5,$B$1)</f>
        <v>177109.46</v>
      </c>
      <c r="AY93" s="55">
        <f>_xll.EQNXTDZ($A$1,$B93,AY$5,$B$1)</f>
        <v>0</v>
      </c>
      <c r="AZ93" s="55">
        <f>_xll.EQNXTDZ($A$1,$B93,AZ$5,$B$1)</f>
        <v>195326.3</v>
      </c>
      <c r="BA93" s="55">
        <f>_xll.EQNXTDZ($A$1,$B93,BA$5,$B$1)</f>
        <v>0</v>
      </c>
      <c r="BB93" s="55">
        <f>_xll.EQNXTDZ($A$1,$B93,BB$5,$B$1)</f>
        <v>201970.9</v>
      </c>
      <c r="BC93" s="55">
        <f>_xll.EQNXTDZ($A$1,$B93,BC$5,$B$1)</f>
        <v>0</v>
      </c>
      <c r="BD93" s="55">
        <f>_xll.EQNXTDZ($A$1,$B93,BD$5,$B$1)</f>
        <v>198786.53</v>
      </c>
      <c r="BE93" s="55">
        <f>_xll.EQNXTDZ($A$1,$B93,BE$5,$B$1)</f>
        <v>0</v>
      </c>
      <c r="BF93" s="55">
        <f>_xll.EQNXTDZ($A$1,$B93,BF$5,$B$1)</f>
        <v>233531.47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11473.15</v>
      </c>
      <c r="E94" s="55">
        <f>_xll.EQNXTDZ($A$1,$B94,E$5,$B$1)</f>
        <v>0</v>
      </c>
      <c r="F94" s="55">
        <f>_xll.EQNXTDZ($A$1,$B94,F$5,$B$1)</f>
        <v>21800.799999999999</v>
      </c>
      <c r="G94" s="55">
        <f>_xll.EQNXTDZ($A$1,$B94,G$5,$B$1)</f>
        <v>0</v>
      </c>
      <c r="H94" s="55">
        <f>_xll.EQNXTDZ($A$1,$B94,H$5,$B$1)</f>
        <v>24424.7</v>
      </c>
      <c r="I94" s="55">
        <f>_xll.EQNXTDZ($A$1,$B94,I$5,$B$1)</f>
        <v>0</v>
      </c>
      <c r="J94" s="55">
        <f>_xll.EQNXTDZ($A$1,$B94,J$5,$B$1)</f>
        <v>17404.71</v>
      </c>
      <c r="K94" s="55">
        <f>_xll.EQNXTDZ($A$1,$B94,K$5,$B$1)</f>
        <v>0</v>
      </c>
      <c r="L94" s="55">
        <f>_xll.EQNXTDZ($A$1,$B94,L$5,$B$1)</f>
        <v>13311.31</v>
      </c>
      <c r="M94" s="55">
        <f>_xll.EQNXTDZ($A$1,$B94,M$5,$B$1)</f>
        <v>0</v>
      </c>
      <c r="N94" s="55">
        <f>_xll.EQNXTDZ($A$1,$B94,N$5,$B$1)</f>
        <v>16738.150000000001</v>
      </c>
      <c r="O94" s="55">
        <f>_xll.EQNXTDZ($A$1,$B94,O$5,$B$1)</f>
        <v>0</v>
      </c>
      <c r="P94" s="55">
        <f>_xll.EQNXTDZ($A$1,$B94,P$5,$B$1)</f>
        <v>15994.36</v>
      </c>
      <c r="Q94" s="55">
        <f>_xll.EQNXTDZ($A$1,$B94,Q$5,$B$1)</f>
        <v>0</v>
      </c>
      <c r="R94" s="55">
        <f>_xll.EQNXTDZ($A$1,$B94,R$5,$B$1)</f>
        <v>22406.12</v>
      </c>
      <c r="S94" s="55">
        <f>_xll.EQNXTDZ($A$1,$B94,S$5,$B$1)</f>
        <v>0</v>
      </c>
      <c r="T94" s="55">
        <f>_xll.EQNXTDZ($A$1,$B94,T$5,$B$1)</f>
        <v>18120.400000000001</v>
      </c>
      <c r="U94" s="55">
        <f>_xll.EQNXTDZ($A$1,$B94,U$5,$B$1)</f>
        <v>0</v>
      </c>
      <c r="V94" s="55">
        <f>_xll.EQNXTDZ($A$1,$B94,V$5,$B$1)</f>
        <v>32316.13</v>
      </c>
      <c r="W94" s="55">
        <f>_xll.EQNXTDZ($A$1,$B94,W$5,$B$1)</f>
        <v>0</v>
      </c>
      <c r="X94" s="55">
        <f>_xll.EQNXTDZ($A$1,$B94,X$5,$B$1)</f>
        <v>22985.56</v>
      </c>
      <c r="Y94" s="55">
        <f>_xll.EQNXTDZ($A$1,$B94,Y$5,$B$1)</f>
        <v>0</v>
      </c>
      <c r="Z94" s="55">
        <f>_xll.EQNXTDZ($A$1,$B94,Z$5,$B$1)</f>
        <v>32356.07</v>
      </c>
      <c r="AA94" s="55">
        <f>_xll.EQNXTDZ($A$1,$B94,AA$5,$B$1)</f>
        <v>0</v>
      </c>
      <c r="AB94" s="55">
        <f>_xll.EQNXTDZ($A$1,$B94,AB$5,$B$1)</f>
        <v>33917.660000000003</v>
      </c>
      <c r="AC94" s="55">
        <f>_xll.EQNXTDZ($A$1,$B94,AC$5,$B$1)</f>
        <v>0</v>
      </c>
      <c r="AD94" s="55">
        <f>_xll.EQNXTDZ($A$1,$B94,AD$5,$B$1)</f>
        <v>32989.129999999997</v>
      </c>
      <c r="AE94" s="55">
        <f>_xll.EQNXTDZ($A$1,$B94,AE$5,$B$1)</f>
        <v>0</v>
      </c>
      <c r="AF94" s="55">
        <f>_xll.EQNXTDZ($A$1,$B94,AF$5,$B$1)</f>
        <v>25079.55</v>
      </c>
      <c r="AG94" s="55">
        <f>_xll.EQNXTDZ($A$1,$B94,AG$5,$B$1)</f>
        <v>0</v>
      </c>
      <c r="AH94" s="55">
        <f>_xll.EQNXTDZ($A$1,$B94,AH$5,$B$1)</f>
        <v>37960.68</v>
      </c>
      <c r="AI94" s="55">
        <f>_xll.EQNXTDZ($A$1,$B94,AI$5,$B$1)</f>
        <v>0</v>
      </c>
      <c r="AJ94" s="55">
        <f>_xll.EQNXTDZ($A$1,$B94,AJ$5,$B$1)</f>
        <v>58522.52</v>
      </c>
      <c r="AK94" s="55">
        <f>_xll.EQNXTDZ($A$1,$B94,AK$5,$B$1)</f>
        <v>0</v>
      </c>
      <c r="AL94" s="55">
        <f>_xll.EQNXTDZ($A$1,$B94,AL$5,$B$1)</f>
        <v>57558.82</v>
      </c>
      <c r="AM94" s="55">
        <f>_xll.EQNXTDZ($A$1,$B94,AM$5,$B$1)</f>
        <v>0</v>
      </c>
      <c r="AN94" s="55">
        <f>_xll.EQNXTDZ($A$1,$B94,AN$5,$B$1)</f>
        <v>53548.93</v>
      </c>
      <c r="AO94" s="55">
        <f>_xll.EQNXTDZ($A$1,$B94,AO$5,$B$1)</f>
        <v>0</v>
      </c>
      <c r="AP94" s="55">
        <f>_xll.EQNXTDZ($A$1,$B94,AP$5,$B$1)</f>
        <v>48011.45</v>
      </c>
      <c r="AQ94" s="55">
        <f>_xll.EQNXTDZ($A$1,$B94,AQ$5,$B$1)</f>
        <v>0</v>
      </c>
      <c r="AR94" s="55">
        <f>_xll.EQNXTDZ($A$1,$B94,AR$5,$B$1)</f>
        <v>36238.31</v>
      </c>
      <c r="AS94" s="55">
        <f>_xll.EQNXTDZ($A$1,$B94,AS$5,$B$1)</f>
        <v>0</v>
      </c>
      <c r="AT94" s="55">
        <f>_xll.EQNXTDZ($A$1,$B94,AT$5,$B$1)</f>
        <v>59149.53</v>
      </c>
      <c r="AU94" s="55">
        <f>_xll.EQNXTDZ($A$1,$B94,AU$5,$B$1)</f>
        <v>0</v>
      </c>
      <c r="AV94" s="55">
        <f>_xll.EQNXTDZ($A$1,$B94,AV$5,$B$1)</f>
        <v>40704.92</v>
      </c>
      <c r="AW94" s="55">
        <f>_xll.EQNXTDZ($A$1,$B94,AW$5,$B$1)</f>
        <v>0</v>
      </c>
      <c r="AX94" s="55">
        <f>_xll.EQNXTDZ($A$1,$B94,AX$5,$B$1)</f>
        <v>40473.78</v>
      </c>
      <c r="AY94" s="55">
        <f>_xll.EQNXTDZ($A$1,$B94,AY$5,$B$1)</f>
        <v>0</v>
      </c>
      <c r="AZ94" s="55">
        <f>_xll.EQNXTDZ($A$1,$B94,AZ$5,$B$1)</f>
        <v>33743.99</v>
      </c>
      <c r="BA94" s="55">
        <f>_xll.EQNXTDZ($A$1,$B94,BA$5,$B$1)</f>
        <v>0</v>
      </c>
      <c r="BB94" s="55">
        <f>_xll.EQNXTDZ($A$1,$B94,BB$5,$B$1)</f>
        <v>43213.37</v>
      </c>
      <c r="BC94" s="55">
        <f>_xll.EQNXTDZ($A$1,$B94,BC$5,$B$1)</f>
        <v>0</v>
      </c>
      <c r="BD94" s="55">
        <f>_xll.EQNXTDZ($A$1,$B94,BD$5,$B$1)</f>
        <v>50175.32</v>
      </c>
      <c r="BE94" s="55">
        <f>_xll.EQNXTDZ($A$1,$B94,BE$5,$B$1)</f>
        <v>0</v>
      </c>
      <c r="BF94" s="55">
        <f>_xll.EQNXTDZ($A$1,$B94,BF$5,$B$1)</f>
        <v>59309.660000000098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1573.27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-148.07</v>
      </c>
      <c r="E96" s="55">
        <f>_xll.EQNXTDZ($A$1,$B96,E$5,$B$1)</f>
        <v>0</v>
      </c>
      <c r="F96" s="55">
        <f>_xll.EQNXTDZ($A$1,$B96,F$5,$B$1)</f>
        <v>-183.67</v>
      </c>
      <c r="G96" s="55">
        <f>_xll.EQNXTDZ($A$1,$B96,G$5,$B$1)</f>
        <v>0</v>
      </c>
      <c r="H96" s="55">
        <f>_xll.EQNXTDZ($A$1,$B96,H$5,$B$1)</f>
        <v>-80.17</v>
      </c>
      <c r="I96" s="55">
        <f>_xll.EQNXTDZ($A$1,$B96,I$5,$B$1)</f>
        <v>0</v>
      </c>
      <c r="J96" s="55">
        <f>_xll.EQNXTDZ($A$1,$B96,J$5,$B$1)</f>
        <v>-337.46</v>
      </c>
      <c r="K96" s="55">
        <f>_xll.EQNXTDZ($A$1,$B96,K$5,$B$1)</f>
        <v>0</v>
      </c>
      <c r="L96" s="55">
        <f>_xll.EQNXTDZ($A$1,$B96,L$5,$B$1)</f>
        <v>23.74</v>
      </c>
      <c r="M96" s="55">
        <f>_xll.EQNXTDZ($A$1,$B96,M$5,$B$1)</f>
        <v>0</v>
      </c>
      <c r="N96" s="55">
        <f>_xll.EQNXTDZ($A$1,$B96,N$5,$B$1)</f>
        <v>184.64</v>
      </c>
      <c r="O96" s="55">
        <f>_xll.EQNXTDZ($A$1,$B96,O$5,$B$1)</f>
        <v>0</v>
      </c>
      <c r="P96" s="55">
        <f>_xll.EQNXTDZ($A$1,$B96,P$5,$B$1)</f>
        <v>159.62</v>
      </c>
      <c r="Q96" s="55">
        <f>_xll.EQNXTDZ($A$1,$B96,Q$5,$B$1)</f>
        <v>0</v>
      </c>
      <c r="R96" s="55">
        <f>_xll.EQNXTDZ($A$1,$B96,R$5,$B$1)</f>
        <v>736.43</v>
      </c>
      <c r="S96" s="55">
        <f>_xll.EQNXTDZ($A$1,$B96,S$5,$B$1)</f>
        <v>0</v>
      </c>
      <c r="T96" s="55">
        <f>_xll.EQNXTDZ($A$1,$B96,T$5,$B$1)</f>
        <v>699.64</v>
      </c>
      <c r="U96" s="55">
        <f>_xll.EQNXTDZ($A$1,$B96,U$5,$B$1)</f>
        <v>0</v>
      </c>
      <c r="V96" s="55">
        <f>_xll.EQNXTDZ($A$1,$B96,V$5,$B$1)</f>
        <v>1125.2</v>
      </c>
      <c r="W96" s="55">
        <f>_xll.EQNXTDZ($A$1,$B96,W$5,$B$1)</f>
        <v>0</v>
      </c>
      <c r="X96" s="55">
        <f>_xll.EQNXTDZ($A$1,$B96,X$5,$B$1)</f>
        <v>1149.49</v>
      </c>
      <c r="Y96" s="55">
        <f>_xll.EQNXTDZ($A$1,$B96,Y$5,$B$1)</f>
        <v>0</v>
      </c>
      <c r="Z96" s="55">
        <f>_xll.EQNXTDZ($A$1,$B96,Z$5,$B$1)</f>
        <v>2117</v>
      </c>
      <c r="AA96" s="55">
        <f>_xll.EQNXTDZ($A$1,$B96,AA$5,$B$1)</f>
        <v>0</v>
      </c>
      <c r="AB96" s="55">
        <f>_xll.EQNXTDZ($A$1,$B96,AB$5,$B$1)</f>
        <v>2869.81</v>
      </c>
      <c r="AC96" s="55">
        <f>_xll.EQNXTDZ($A$1,$B96,AC$5,$B$1)</f>
        <v>0</v>
      </c>
      <c r="AD96" s="55">
        <f>_xll.EQNXTDZ($A$1,$B96,AD$5,$B$1)</f>
        <v>3107.8</v>
      </c>
      <c r="AE96" s="55">
        <f>_xll.EQNXTDZ($A$1,$B96,AE$5,$B$1)</f>
        <v>0</v>
      </c>
      <c r="AF96" s="55">
        <f>_xll.EQNXTDZ($A$1,$B96,AF$5,$B$1)</f>
        <v>1969.53</v>
      </c>
      <c r="AG96" s="55">
        <f>_xll.EQNXTDZ($A$1,$B96,AG$5,$B$1)</f>
        <v>0</v>
      </c>
      <c r="AH96" s="55">
        <f>_xll.EQNXTDZ($A$1,$B96,AH$5,$B$1)</f>
        <v>2393.54</v>
      </c>
      <c r="AI96" s="55">
        <f>_xll.EQNXTDZ($A$1,$B96,AI$5,$B$1)</f>
        <v>0</v>
      </c>
      <c r="AJ96" s="55">
        <f>_xll.EQNXTDZ($A$1,$B96,AJ$5,$B$1)</f>
        <v>2071.86</v>
      </c>
      <c r="AK96" s="55">
        <f>_xll.EQNXTDZ($A$1,$B96,AK$5,$B$1)</f>
        <v>0</v>
      </c>
      <c r="AL96" s="55">
        <f>_xll.EQNXTDZ($A$1,$B96,AL$5,$B$1)</f>
        <v>1518.34</v>
      </c>
      <c r="AM96" s="55">
        <f>_xll.EQNXTDZ($A$1,$B96,AM$5,$B$1)</f>
        <v>0</v>
      </c>
      <c r="AN96" s="55">
        <f>_xll.EQNXTDZ($A$1,$B96,AN$5,$B$1)</f>
        <v>1505.51</v>
      </c>
      <c r="AO96" s="55">
        <f>_xll.EQNXTDZ($A$1,$B96,AO$5,$B$1)</f>
        <v>0</v>
      </c>
      <c r="AP96" s="55">
        <f>_xll.EQNXTDZ($A$1,$B96,AP$5,$B$1)</f>
        <v>1800.77</v>
      </c>
      <c r="AQ96" s="55">
        <f>_xll.EQNXTDZ($A$1,$B96,AQ$5,$B$1)</f>
        <v>0</v>
      </c>
      <c r="AR96" s="55">
        <f>_xll.EQNXTDZ($A$1,$B96,AR$5,$B$1)</f>
        <v>2757.83</v>
      </c>
      <c r="AS96" s="55">
        <f>_xll.EQNXTDZ($A$1,$B96,AS$5,$B$1)</f>
        <v>0</v>
      </c>
      <c r="AT96" s="55">
        <f>_xll.EQNXTDZ($A$1,$B96,AT$5,$B$1)</f>
        <v>3354.36</v>
      </c>
      <c r="AU96" s="55">
        <f>_xll.EQNXTDZ($A$1,$B96,AU$5,$B$1)</f>
        <v>0</v>
      </c>
      <c r="AV96" s="55">
        <f>_xll.EQNXTDZ($A$1,$B96,AV$5,$B$1)</f>
        <v>3345.72</v>
      </c>
      <c r="AW96" s="55">
        <f>_xll.EQNXTDZ($A$1,$B96,AW$5,$B$1)</f>
        <v>0</v>
      </c>
      <c r="AX96" s="55">
        <f>_xll.EQNXTDZ($A$1,$B96,AX$5,$B$1)</f>
        <v>3330.09</v>
      </c>
      <c r="AY96" s="55">
        <f>_xll.EQNXTDZ($A$1,$B96,AY$5,$B$1)</f>
        <v>0</v>
      </c>
      <c r="AZ96" s="55">
        <f>_xll.EQNXTDZ($A$1,$B96,AZ$5,$B$1)</f>
        <v>3367.03</v>
      </c>
      <c r="BA96" s="55">
        <f>_xll.EQNXTDZ($A$1,$B96,BA$5,$B$1)</f>
        <v>0</v>
      </c>
      <c r="BB96" s="55">
        <f>_xll.EQNXTDZ($A$1,$B96,BB$5,$B$1)</f>
        <v>3382.87</v>
      </c>
      <c r="BC96" s="55">
        <f>_xll.EQNXTDZ($A$1,$B96,BC$5,$B$1)</f>
        <v>0</v>
      </c>
      <c r="BD96" s="55">
        <f>_xll.EQNXTDZ($A$1,$B96,BD$5,$B$1)</f>
        <v>3336.01</v>
      </c>
      <c r="BE96" s="55">
        <f>_xll.EQNXTDZ($A$1,$B96,BE$5,$B$1)</f>
        <v>0</v>
      </c>
      <c r="BF96" s="55">
        <f>_xll.EQNXTDZ($A$1,$B96,BF$5,$B$1)</f>
        <v>4085.65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34061.800000000003</v>
      </c>
      <c r="E97" s="55">
        <f>_xll.EQNXTDZ($A$1,$B97,E$5,$B$1)</f>
        <v>0</v>
      </c>
      <c r="F97" s="55">
        <f>_xll.EQNXTDZ($A$1,$B97,F$5,$B$1)</f>
        <v>88893.67</v>
      </c>
      <c r="G97" s="55">
        <f>_xll.EQNXTDZ($A$1,$B97,G$5,$B$1)</f>
        <v>0</v>
      </c>
      <c r="H97" s="55">
        <f>_xll.EQNXTDZ($A$1,$B97,H$5,$B$1)</f>
        <v>96044.87</v>
      </c>
      <c r="I97" s="55">
        <f>_xll.EQNXTDZ($A$1,$B97,I$5,$B$1)</f>
        <v>0</v>
      </c>
      <c r="J97" s="55">
        <f>_xll.EQNXTDZ($A$1,$B97,J$5,$B$1)</f>
        <v>100700.78</v>
      </c>
      <c r="K97" s="55">
        <f>_xll.EQNXTDZ($A$1,$B97,K$5,$B$1)</f>
        <v>0</v>
      </c>
      <c r="L97" s="55">
        <f>_xll.EQNXTDZ($A$1,$B97,L$5,$B$1)</f>
        <v>105642.26</v>
      </c>
      <c r="M97" s="55">
        <f>_xll.EQNXTDZ($A$1,$B97,M$5,$B$1)</f>
        <v>0</v>
      </c>
      <c r="N97" s="55">
        <f>_xll.EQNXTDZ($A$1,$B97,N$5,$B$1)</f>
        <v>116226.95</v>
      </c>
      <c r="O97" s="55">
        <f>_xll.EQNXTDZ($A$1,$B97,O$5,$B$1)</f>
        <v>0</v>
      </c>
      <c r="P97" s="55">
        <f>_xll.EQNXTDZ($A$1,$B97,P$5,$B$1)</f>
        <v>129619.66</v>
      </c>
      <c r="Q97" s="55">
        <f>_xll.EQNXTDZ($A$1,$B97,Q$5,$B$1)</f>
        <v>0</v>
      </c>
      <c r="R97" s="55">
        <f>_xll.EQNXTDZ($A$1,$B97,R$5,$B$1)</f>
        <v>109044.24</v>
      </c>
      <c r="S97" s="55">
        <f>_xll.EQNXTDZ($A$1,$B97,S$5,$B$1)</f>
        <v>0</v>
      </c>
      <c r="T97" s="55">
        <f>_xll.EQNXTDZ($A$1,$B97,T$5,$B$1)</f>
        <v>111848.53</v>
      </c>
      <c r="U97" s="55">
        <f>_xll.EQNXTDZ($A$1,$B97,U$5,$B$1)</f>
        <v>0</v>
      </c>
      <c r="V97" s="55">
        <f>_xll.EQNXTDZ($A$1,$B97,V$5,$B$1)</f>
        <v>122045.53</v>
      </c>
      <c r="W97" s="55">
        <f>_xll.EQNXTDZ($A$1,$B97,W$5,$B$1)</f>
        <v>0</v>
      </c>
      <c r="X97" s="55">
        <f>_xll.EQNXTDZ($A$1,$B97,X$5,$B$1)</f>
        <v>123598.6</v>
      </c>
      <c r="Y97" s="55">
        <f>_xll.EQNXTDZ($A$1,$B97,Y$5,$B$1)</f>
        <v>0</v>
      </c>
      <c r="Z97" s="55">
        <f>_xll.EQNXTDZ($A$1,$B97,Z$5,$B$1)</f>
        <v>133965.15</v>
      </c>
      <c r="AA97" s="55">
        <f>_xll.EQNXTDZ($A$1,$B97,AA$5,$B$1)</f>
        <v>0</v>
      </c>
      <c r="AB97" s="55">
        <f>_xll.EQNXTDZ($A$1,$B97,AB$5,$B$1)</f>
        <v>139204.21</v>
      </c>
      <c r="AC97" s="55">
        <f>_xll.EQNXTDZ($A$1,$B97,AC$5,$B$1)</f>
        <v>0</v>
      </c>
      <c r="AD97" s="55">
        <f>_xll.EQNXTDZ($A$1,$B97,AD$5,$B$1)</f>
        <v>144233.92000000001</v>
      </c>
      <c r="AE97" s="55">
        <f>_xll.EQNXTDZ($A$1,$B97,AE$5,$B$1)</f>
        <v>0</v>
      </c>
      <c r="AF97" s="55">
        <f>_xll.EQNXTDZ($A$1,$B97,AF$5,$B$1)</f>
        <v>143905.92000000001</v>
      </c>
      <c r="AG97" s="55">
        <f>_xll.EQNXTDZ($A$1,$B97,AG$5,$B$1)</f>
        <v>0</v>
      </c>
      <c r="AH97" s="55">
        <f>_xll.EQNXTDZ($A$1,$B97,AH$5,$B$1)</f>
        <v>161957.88</v>
      </c>
      <c r="AI97" s="55">
        <f>_xll.EQNXTDZ($A$1,$B97,AI$5,$B$1)</f>
        <v>0</v>
      </c>
      <c r="AJ97" s="55">
        <f>_xll.EQNXTDZ($A$1,$B97,AJ$5,$B$1)</f>
        <v>174318.93</v>
      </c>
      <c r="AK97" s="55">
        <f>_xll.EQNXTDZ($A$1,$B97,AK$5,$B$1)</f>
        <v>0</v>
      </c>
      <c r="AL97" s="55">
        <f>_xll.EQNXTDZ($A$1,$B97,AL$5,$B$1)</f>
        <v>172687.04</v>
      </c>
      <c r="AM97" s="55">
        <f>_xll.EQNXTDZ($A$1,$B97,AM$5,$B$1)</f>
        <v>0</v>
      </c>
      <c r="AN97" s="55">
        <f>_xll.EQNXTDZ($A$1,$B97,AN$5,$B$1)</f>
        <v>164368.12</v>
      </c>
      <c r="AO97" s="55">
        <f>_xll.EQNXTDZ($A$1,$B97,AO$5,$B$1)</f>
        <v>0</v>
      </c>
      <c r="AP97" s="55">
        <f>_xll.EQNXTDZ($A$1,$B97,AP$5,$B$1)</f>
        <v>159667.06</v>
      </c>
      <c r="AQ97" s="55">
        <f>_xll.EQNXTDZ($A$1,$B97,AQ$5,$B$1)</f>
        <v>0</v>
      </c>
      <c r="AR97" s="55">
        <f>_xll.EQNXTDZ($A$1,$B97,AR$5,$B$1)</f>
        <v>154957.43</v>
      </c>
      <c r="AS97" s="55">
        <f>_xll.EQNXTDZ($A$1,$B97,AS$5,$B$1)</f>
        <v>0</v>
      </c>
      <c r="AT97" s="55">
        <f>_xll.EQNXTDZ($A$1,$B97,AT$5,$B$1)</f>
        <v>167655.89000000001</v>
      </c>
      <c r="AU97" s="55">
        <f>_xll.EQNXTDZ($A$1,$B97,AU$5,$B$1)</f>
        <v>0</v>
      </c>
      <c r="AV97" s="55">
        <f>_xll.EQNXTDZ($A$1,$B97,AV$5,$B$1)</f>
        <v>155326.12</v>
      </c>
      <c r="AW97" s="55">
        <f>_xll.EQNXTDZ($A$1,$B97,AW$5,$B$1)</f>
        <v>0</v>
      </c>
      <c r="AX97" s="55">
        <f>_xll.EQNXTDZ($A$1,$B97,AX$5,$B$1)</f>
        <v>162492.88</v>
      </c>
      <c r="AY97" s="55">
        <f>_xll.EQNXTDZ($A$1,$B97,AY$5,$B$1)</f>
        <v>0</v>
      </c>
      <c r="AZ97" s="55">
        <f>_xll.EQNXTDZ($A$1,$B97,AZ$5,$B$1)</f>
        <v>160844.47</v>
      </c>
      <c r="BA97" s="55">
        <f>_xll.EQNXTDZ($A$1,$B97,BA$5,$B$1)</f>
        <v>0</v>
      </c>
      <c r="BB97" s="55">
        <f>_xll.EQNXTDZ($A$1,$B97,BB$5,$B$1)</f>
        <v>177143.19</v>
      </c>
      <c r="BC97" s="55">
        <f>_xll.EQNXTDZ($A$1,$B97,BC$5,$B$1)</f>
        <v>0</v>
      </c>
      <c r="BD97" s="55">
        <f>_xll.EQNXTDZ($A$1,$B97,BD$5,$B$1)</f>
        <v>191905.38</v>
      </c>
      <c r="BE97" s="55">
        <f>_xll.EQNXTDZ($A$1,$B97,BE$5,$B$1)</f>
        <v>0</v>
      </c>
      <c r="BF97" s="55">
        <f>_xll.EQNXTDZ($A$1,$B97,BF$5,$B$1)</f>
        <v>218851.3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100510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Larsen &amp; Toubro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7825.43</v>
      </c>
      <c r="D6" s="100">
        <f>_xll.EQNXTDZ($A$1,$B6,D$1,$B$1)</f>
        <v>9170.02</v>
      </c>
      <c r="E6" s="100">
        <f>_xll.EQNXTDZ($A$1,$B6,E$1,$B$1)</f>
        <v>10813.13</v>
      </c>
      <c r="F6" s="100">
        <f>_xll.EQNXTDZ($A$1,$B6,F$1,$B$1)</f>
        <v>11232.34</v>
      </c>
      <c r="G6" s="100">
        <f>_xll.EQNXTDZ($A$1,$B6,G$1,$B$1)</f>
        <v>14716.9</v>
      </c>
      <c r="H6" s="100">
        <f>_xll.EQNXTDZ($A$1,$B6,H$1,$B$1)</f>
        <v>16808.509999999998</v>
      </c>
      <c r="I6" s="100">
        <f>_xll.EQNXTDZ($A$1,$B6,I$1,$B$1)</f>
        <v>20877.32</v>
      </c>
      <c r="J6" s="100">
        <f>_xll.EQNXTDZ($A$1,$B6,J$1,$B$1)</f>
        <v>29819.46</v>
      </c>
      <c r="K6" s="100">
        <f>_xll.EQNXTDZ($A$1,$B6,K$1,$B$1)</f>
        <v>40931.93</v>
      </c>
      <c r="L6" s="100">
        <f>_xll.EQNXTDZ($A$1,$B6,L$1,$B$1)</f>
        <v>44310.46</v>
      </c>
      <c r="M6" s="100">
        <f>_xll.EQNXTDZ($A$1,$B6,M$1,$B$1)</f>
        <v>52470.22</v>
      </c>
      <c r="N6" s="100">
        <f>_xll.EQNXTDZ($A$1,$B6,N$1,$B$1)</f>
        <v>64960.08</v>
      </c>
      <c r="O6" s="100">
        <f>_xll.EQNXTDZ($A$1,$B6,O$1,$B$1)</f>
        <v>75195.31</v>
      </c>
      <c r="P6" s="100">
        <f>_xll.EQNXTDZ($A$1,$B6,P$1,$B$1)</f>
        <v>85889.04</v>
      </c>
      <c r="Q6" s="100">
        <f>_xll.EQNXTDZ($A$1,$B6,Q$1,$B$1)</f>
        <v>92761.66</v>
      </c>
      <c r="R6" s="100">
        <f>_xll.EQNXTDZ($A$1,$B6,R$1,$B$1)</f>
        <v>101975.34</v>
      </c>
      <c r="S6" s="100">
        <f>_xll.EQNXTDZ($A$1,$B6,S$1,$B$1)</f>
        <v>110011</v>
      </c>
      <c r="T6" s="100">
        <f>_xll.EQNXTDZ($A$1,$B6,T$1,$B$1)</f>
        <v>119862.1</v>
      </c>
      <c r="U6" s="100">
        <f>_xll.EQNXTDZ($A$1,$B6,U$1,$B$1)</f>
        <v>135220.29</v>
      </c>
      <c r="V6" s="100">
        <f>_xll.EQNXTDZ($A$1,$B6,V$1,$B$1)</f>
        <v>145452.35999999999</v>
      </c>
      <c r="W6" s="100">
        <f>_xll.EQNXTDZ($A$1,$B6,W$1,$B$1)</f>
        <v>135979.03</v>
      </c>
      <c r="X6" s="100">
        <f>_xll.EQNXTDZ($A$1,$B6,X$1,$B$1)</f>
        <v>156521.23000000001</v>
      </c>
      <c r="Y6" s="100">
        <f>_xll.EQNXTDZ($A$1,$B6,Y$1,$B$1)</f>
        <v>183340.7</v>
      </c>
      <c r="Z6" s="100">
        <f>_xll.EQNXTDZ($A$1,$B6,Z$1,$B$1)</f>
        <v>221112.91</v>
      </c>
      <c r="AA6" s="100">
        <f>_xll.EQNXTDZ($A$1,$B6,AA$1,$B$1)</f>
        <v>255734.45</v>
      </c>
      <c r="AB6" s="100">
        <f>_xll.EQNXTDZ($A$1,$B6,AB$1,$B$1)</f>
        <v>285874.36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446.78</v>
      </c>
      <c r="D9" s="100">
        <f>_xll.EQNXTDZ($A$1,$B9,D$1,$B$1)</f>
        <v>480.66</v>
      </c>
      <c r="E9" s="100">
        <f>_xll.EQNXTDZ($A$1,$B9,E$1,$B$1)</f>
        <v>530.05999999999995</v>
      </c>
      <c r="F9" s="100">
        <f>_xll.EQNXTDZ($A$1,$B9,F$1,$B$1)</f>
        <v>258.56</v>
      </c>
      <c r="G9" s="100">
        <f>_xll.EQNXTDZ($A$1,$B9,G$1,$B$1)</f>
        <v>220.01</v>
      </c>
      <c r="H9" s="100">
        <f>_xll.EQNXTDZ($A$1,$B9,H$1,$B$1)</f>
        <v>247.2</v>
      </c>
      <c r="I9" s="100">
        <f>_xll.EQNXTDZ($A$1,$B9,I$1,$B$1)</f>
        <v>364.46</v>
      </c>
      <c r="J9" s="100">
        <f>_xll.EQNXTDZ($A$1,$B9,J$1,$B$1)</f>
        <v>362.61</v>
      </c>
      <c r="K9" s="100">
        <f>_xll.EQNXTDZ($A$1,$B9,K$1,$B$1)</f>
        <v>420.87</v>
      </c>
      <c r="L9" s="100">
        <f>_xll.EQNXTDZ($A$1,$B9,L$1,$B$1)</f>
        <v>340.66</v>
      </c>
      <c r="M9" s="100">
        <f>_xll.EQNXTDZ($A$1,$B9,M$1,$B$1)</f>
        <v>426.44</v>
      </c>
      <c r="N9" s="100">
        <f>_xll.EQNXTDZ($A$1,$B9,N$1,$B$1)</f>
        <v>646.97</v>
      </c>
      <c r="O9" s="100">
        <f>_xll.EQNXTDZ($A$1,$B9,O$1,$B$1)</f>
        <v>697.31</v>
      </c>
      <c r="P9" s="100">
        <f>_xll.EQNXTDZ($A$1,$B9,P$1,$B$1)</f>
        <v>760.64</v>
      </c>
      <c r="Q9" s="100">
        <f>_xll.EQNXTDZ($A$1,$B9,Q$1,$B$1)</f>
        <v>757.08</v>
      </c>
      <c r="R9" s="100">
        <f>_xll.EQNXTDZ($A$1,$B9,R$1,$B$1)</f>
        <v>852.86</v>
      </c>
      <c r="S9" s="100">
        <f>_xll.EQNXTDZ($A$1,$B9,S$1,$B$1)</f>
        <v>699.19</v>
      </c>
      <c r="T9" s="100">
        <f>_xll.EQNXTDZ($A$1,$B9,T$1,$B$1)</f>
        <v>178.94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7378.65</v>
      </c>
      <c r="D10" s="100">
        <f>_xll.EQNXTDZ($A$1,$B10,D$1,$B$1)</f>
        <v>8689.36</v>
      </c>
      <c r="E10" s="100">
        <f>_xll.EQNXTDZ($A$1,$B10,E$1,$B$1)</f>
        <v>10283.07</v>
      </c>
      <c r="F10" s="100">
        <f>_xll.EQNXTDZ($A$1,$B10,F$1,$B$1)</f>
        <v>10973.78</v>
      </c>
      <c r="G10" s="100">
        <f>_xll.EQNXTDZ($A$1,$B10,G$1,$B$1)</f>
        <v>14496.89</v>
      </c>
      <c r="H10" s="100">
        <f>_xll.EQNXTDZ($A$1,$B10,H$1,$B$1)</f>
        <v>16561.310000000001</v>
      </c>
      <c r="I10" s="100">
        <f>_xll.EQNXTDZ($A$1,$B10,I$1,$B$1)</f>
        <v>20512.86</v>
      </c>
      <c r="J10" s="100">
        <f>_xll.EQNXTDZ($A$1,$B10,J$1,$B$1)</f>
        <v>29456.85</v>
      </c>
      <c r="K10" s="100">
        <f>_xll.EQNXTDZ($A$1,$B10,K$1,$B$1)</f>
        <v>40511.06</v>
      </c>
      <c r="L10" s="100">
        <f>_xll.EQNXTDZ($A$1,$B10,L$1,$B$1)</f>
        <v>43969.8</v>
      </c>
      <c r="M10" s="100">
        <f>_xll.EQNXTDZ($A$1,$B10,M$1,$B$1)</f>
        <v>52043.78</v>
      </c>
      <c r="N10" s="100">
        <f>_xll.EQNXTDZ($A$1,$B10,N$1,$B$1)</f>
        <v>64313.11</v>
      </c>
      <c r="O10" s="100">
        <f>_xll.EQNXTDZ($A$1,$B10,O$1,$B$1)</f>
        <v>74498</v>
      </c>
      <c r="P10" s="100">
        <f>_xll.EQNXTDZ($A$1,$B10,P$1,$B$1)</f>
        <v>85128.4</v>
      </c>
      <c r="Q10" s="100">
        <f>_xll.EQNXTDZ($A$1,$B10,Q$1,$B$1)</f>
        <v>92004.58</v>
      </c>
      <c r="R10" s="100">
        <f>_xll.EQNXTDZ($A$1,$B10,R$1,$B$1)</f>
        <v>101122.48</v>
      </c>
      <c r="S10" s="100">
        <f>_xll.EQNXTDZ($A$1,$B10,S$1,$B$1)</f>
        <v>109311.81</v>
      </c>
      <c r="T10" s="100">
        <f>_xll.EQNXTDZ($A$1,$B10,T$1,$B$1)</f>
        <v>119683.16</v>
      </c>
      <c r="U10" s="100">
        <f>_xll.EQNXTDZ($A$1,$B10,U$1,$B$1)</f>
        <v>135220.29</v>
      </c>
      <c r="V10" s="100">
        <f>_xll.EQNXTDZ($A$1,$B10,V$1,$B$1)</f>
        <v>145452.35999999999</v>
      </c>
      <c r="W10" s="100">
        <f>_xll.EQNXTDZ($A$1,$B10,W$1,$B$1)</f>
        <v>135979.03</v>
      </c>
      <c r="X10" s="100">
        <f>_xll.EQNXTDZ($A$1,$B10,X$1,$B$1)</f>
        <v>156521.23000000001</v>
      </c>
      <c r="Y10" s="100">
        <f>_xll.EQNXTDZ($A$1,$B10,Y$1,$B$1)</f>
        <v>183340.7</v>
      </c>
      <c r="Z10" s="100">
        <f>_xll.EQNXTDZ($A$1,$B10,Z$1,$B$1)</f>
        <v>221112.91</v>
      </c>
      <c r="AA10" s="100">
        <f>_xll.EQNXTDZ($A$1,$B10,AA$1,$B$1)</f>
        <v>255734.45</v>
      </c>
      <c r="AB10" s="100">
        <f>_xll.EQNXTDZ($A$1,$B10,AB$1,$B$1)</f>
        <v>285874.36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1.25</v>
      </c>
      <c r="D11" s="100">
        <f>_xll.EQNXTDZ($A$1,$B11,D$1,$B$1)</f>
        <v>33.06</v>
      </c>
      <c r="E11" s="100">
        <f>_xll.EQNXTDZ($A$1,$B11,E$1,$B$1)</f>
        <v>20.66</v>
      </c>
      <c r="F11" s="100">
        <f>_xll.EQNXTDZ($A$1,$B11,F$1,$B$1)</f>
        <v>-404.83</v>
      </c>
      <c r="G11" s="100">
        <f>_xll.EQNXTDZ($A$1,$B11,G$1,$B$1)</f>
        <v>-81.459999999999994</v>
      </c>
      <c r="H11" s="100">
        <f>_xll.EQNXTDZ($A$1,$B11,H$1,$B$1)</f>
        <v>137.63</v>
      </c>
      <c r="I11" s="100">
        <f>_xll.EQNXTDZ($A$1,$B11,I$1,$B$1)</f>
        <v>-111.28</v>
      </c>
      <c r="J11" s="100">
        <f>_xll.EQNXTDZ($A$1,$B11,J$1,$B$1)</f>
        <v>-681.89</v>
      </c>
      <c r="K11" s="100">
        <f>_xll.EQNXTDZ($A$1,$B11,K$1,$B$1)</f>
        <v>-7.56</v>
      </c>
      <c r="L11" s="100">
        <f>_xll.EQNXTDZ($A$1,$B11,L$1,$B$1)</f>
        <v>555.45000000000005</v>
      </c>
      <c r="M11" s="100">
        <f>_xll.EQNXTDZ($A$1,$B11,M$1,$B$1)</f>
        <v>-364.86</v>
      </c>
      <c r="N11" s="100">
        <f>_xll.EQNXTDZ($A$1,$B11,N$1,$B$1)</f>
        <v>-661.16</v>
      </c>
      <c r="O11" s="100">
        <f>_xll.EQNXTDZ($A$1,$B11,O$1,$B$1)</f>
        <v>-2018.64</v>
      </c>
      <c r="P11" s="100">
        <f>_xll.EQNXTDZ($A$1,$B11,P$1,$B$1)</f>
        <v>-537.53</v>
      </c>
      <c r="Q11" s="100">
        <f>_xll.EQNXTDZ($A$1,$B11,Q$1,$B$1)</f>
        <v>-693.96</v>
      </c>
      <c r="R11" s="100">
        <f>_xll.EQNXTDZ($A$1,$B11,R$1,$B$1)</f>
        <v>-516.26</v>
      </c>
      <c r="S11" s="100">
        <f>_xll.EQNXTDZ($A$1,$B11,S$1,$B$1)</f>
        <v>103.28</v>
      </c>
      <c r="T11" s="100">
        <f>_xll.EQNXTDZ($A$1,$B11,T$1,$B$1)</f>
        <v>-1363.95</v>
      </c>
      <c r="U11" s="100">
        <f>_xll.EQNXTDZ($A$1,$B11,U$1,$B$1)</f>
        <v>-731.11</v>
      </c>
      <c r="V11" s="100">
        <f>_xll.EQNXTDZ($A$1,$B11,V$1,$B$1)</f>
        <v>647.70000000000005</v>
      </c>
      <c r="W11" s="100">
        <f>_xll.EQNXTDZ($A$1,$B11,W$1,$B$1)</f>
        <v>343.37</v>
      </c>
      <c r="X11" s="100">
        <f>_xll.EQNXTDZ($A$1,$B11,X$1,$B$1)</f>
        <v>-2076.6</v>
      </c>
      <c r="Y11" s="100">
        <f>_xll.EQNXTDZ($A$1,$B11,Y$1,$B$1)</f>
        <v>-3156.64</v>
      </c>
      <c r="Z11" s="100">
        <f>_xll.EQNXTDZ($A$1,$B11,Z$1,$B$1)</f>
        <v>1021.07</v>
      </c>
      <c r="AA11" s="100">
        <f>_xll.EQNXTDZ($A$1,$B11,AA$1,$B$1)</f>
        <v>-410.79</v>
      </c>
      <c r="AB11" s="100">
        <f>_xll.EQNXTDZ($A$1,$B11,AB$1,$B$1)</f>
        <v>-1963.12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2198.87</v>
      </c>
      <c r="D12" s="100">
        <f>_xll.EQNXTDZ($A$1,$B12,D$1,$B$1)</f>
        <v>2322.62</v>
      </c>
      <c r="E12" s="100">
        <f>_xll.EQNXTDZ($A$1,$B12,E$1,$B$1)</f>
        <v>3305.69</v>
      </c>
      <c r="F12" s="100">
        <f>_xll.EQNXTDZ($A$1,$B12,F$1,$B$1)</f>
        <v>4499.3999999999996</v>
      </c>
      <c r="G12" s="100">
        <f>_xll.EQNXTDZ($A$1,$B12,G$1,$B$1)</f>
        <v>6521.43</v>
      </c>
      <c r="H12" s="100">
        <f>_xll.EQNXTDZ($A$1,$B12,H$1,$B$1)</f>
        <v>7227.44</v>
      </c>
      <c r="I12" s="100">
        <f>_xll.EQNXTDZ($A$1,$B12,I$1,$B$1)</f>
        <v>8765.17</v>
      </c>
      <c r="J12" s="100">
        <f>_xll.EQNXTDZ($A$1,$B12,J$1,$B$1)</f>
        <v>13900.13</v>
      </c>
      <c r="K12" s="100">
        <f>_xll.EQNXTDZ($A$1,$B12,K$1,$B$1)</f>
        <v>17154</v>
      </c>
      <c r="L12" s="100">
        <f>_xll.EQNXTDZ($A$1,$B12,L$1,$B$1)</f>
        <v>16567.810000000001</v>
      </c>
      <c r="M12" s="100">
        <f>_xll.EQNXTDZ($A$1,$B12,M$1,$B$1)</f>
        <v>21359.25</v>
      </c>
      <c r="N12" s="100">
        <f>_xll.EQNXTDZ($A$1,$B12,N$1,$B$1)</f>
        <v>26356.98</v>
      </c>
      <c r="O12" s="100">
        <f>_xll.EQNXTDZ($A$1,$B12,O$1,$B$1)</f>
        <v>28248.57</v>
      </c>
      <c r="P12" s="100">
        <f>_xll.EQNXTDZ($A$1,$B12,P$1,$B$1)</f>
        <v>29748.92</v>
      </c>
      <c r="Q12" s="100">
        <f>_xll.EQNXTDZ($A$1,$B12,Q$1,$B$1)</f>
        <v>31969.24</v>
      </c>
      <c r="R12" s="100">
        <f>_xll.EQNXTDZ($A$1,$B12,R$1,$B$1)</f>
        <v>35320.19</v>
      </c>
      <c r="S12" s="100">
        <f>_xll.EQNXTDZ($A$1,$B12,S$1,$B$1)</f>
        <v>36648.54</v>
      </c>
      <c r="T12" s="100">
        <f>_xll.EQNXTDZ($A$1,$B12,T$1,$B$1)</f>
        <v>40991.51</v>
      </c>
      <c r="U12" s="100">
        <f>_xll.EQNXTDZ($A$1,$B12,U$1,$B$1)</f>
        <v>47005.73</v>
      </c>
      <c r="V12" s="100">
        <f>_xll.EQNXTDZ($A$1,$B12,V$1,$B$1)</f>
        <v>46789.22</v>
      </c>
      <c r="W12" s="100">
        <f>_xll.EQNXTDZ($A$1,$B12,W$1,$B$1)</f>
        <v>41333.86</v>
      </c>
      <c r="X12" s="100">
        <f>_xll.EQNXTDZ($A$1,$B12,X$1,$B$1)</f>
        <v>51676.55</v>
      </c>
      <c r="Y12" s="100">
        <f>_xll.EQNXTDZ($A$1,$B12,Y$1,$B$1)</f>
        <v>63285.32</v>
      </c>
      <c r="Z12" s="100">
        <f>_xll.EQNXTDZ($A$1,$B12,Z$1,$B$1)</f>
        <v>75319.990000000005</v>
      </c>
      <c r="AA12" s="100">
        <f>_xll.EQNXTDZ($A$1,$B12,AA$1,$B$1)</f>
        <v>92583.6</v>
      </c>
      <c r="AB12" s="100">
        <f>_xll.EQNXTDZ($A$1,$B12,AB$1,$B$1)</f>
        <v>97682.71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622.03</v>
      </c>
      <c r="D13" s="100">
        <f>_xll.EQNXTDZ($A$1,$B13,D$1,$B$1)</f>
        <v>725.55</v>
      </c>
      <c r="E13" s="100">
        <f>_xll.EQNXTDZ($A$1,$B13,E$1,$B$1)</f>
        <v>747.86</v>
      </c>
      <c r="F13" s="100">
        <f>_xll.EQNXTDZ($A$1,$B13,F$1,$B$1)</f>
        <v>92.89</v>
      </c>
      <c r="G13" s="100">
        <f>_xll.EQNXTDZ($A$1,$B13,G$1,$B$1)</f>
        <v>215.49</v>
      </c>
      <c r="H13" s="100">
        <f>_xll.EQNXTDZ($A$1,$B13,H$1,$B$1)</f>
        <v>249.86</v>
      </c>
      <c r="I13" s="100">
        <f>_xll.EQNXTDZ($A$1,$B13,I$1,$B$1)</f>
        <v>339.3</v>
      </c>
      <c r="J13" s="100">
        <f>_xll.EQNXTDZ($A$1,$B13,J$1,$B$1)</f>
        <v>447.6</v>
      </c>
      <c r="K13" s="100">
        <f>_xll.EQNXTDZ($A$1,$B13,K$1,$B$1)</f>
        <v>589.54999999999995</v>
      </c>
      <c r="L13" s="100">
        <f>_xll.EQNXTDZ($A$1,$B13,L$1,$B$1)</f>
        <v>430.81</v>
      </c>
      <c r="M13" s="100">
        <f>_xll.EQNXTDZ($A$1,$B13,M$1,$B$1)</f>
        <v>563.79</v>
      </c>
      <c r="N13" s="100">
        <f>_xll.EQNXTDZ($A$1,$B13,N$1,$B$1)</f>
        <v>779.76</v>
      </c>
      <c r="O13" s="100">
        <f>_xll.EQNXTDZ($A$1,$B13,O$1,$B$1)</f>
        <v>990.53</v>
      </c>
      <c r="P13" s="100">
        <f>_xll.EQNXTDZ($A$1,$B13,P$1,$B$1)</f>
        <v>1157.69</v>
      </c>
      <c r="Q13" s="100">
        <f>_xll.EQNXTDZ($A$1,$B13,Q$1,$B$1)</f>
        <v>1074.48</v>
      </c>
      <c r="R13" s="100">
        <f>_xll.EQNXTDZ($A$1,$B13,R$1,$B$1)</f>
        <v>1243.45</v>
      </c>
      <c r="S13" s="100">
        <f>_xll.EQNXTDZ($A$1,$B13,S$1,$B$1)</f>
        <v>1423.19</v>
      </c>
      <c r="T13" s="100">
        <f>_xll.EQNXTDZ($A$1,$B13,T$1,$B$1)</f>
        <v>1399.62</v>
      </c>
      <c r="U13" s="100">
        <f>_xll.EQNXTDZ($A$1,$B13,U$1,$B$1)</f>
        <v>2205.6</v>
      </c>
      <c r="V13" s="100">
        <f>_xll.EQNXTDZ($A$1,$B13,V$1,$B$1)</f>
        <v>2079.84</v>
      </c>
      <c r="W13" s="100">
        <f>_xll.EQNXTDZ($A$1,$B13,W$1,$B$1)</f>
        <v>1581.33</v>
      </c>
      <c r="X13" s="100">
        <f>_xll.EQNXTDZ($A$1,$B13,X$1,$B$1)</f>
        <v>2267.2600000000002</v>
      </c>
      <c r="Y13" s="100">
        <f>_xll.EQNXTDZ($A$1,$B13,Y$1,$B$1)</f>
        <v>2823.61</v>
      </c>
      <c r="Z13" s="100">
        <f>_xll.EQNXTDZ($A$1,$B13,Z$1,$B$1)</f>
        <v>2745.19</v>
      </c>
      <c r="AA13" s="100">
        <f>_xll.EQNXTDZ($A$1,$B13,AA$1,$B$1)</f>
        <v>2534.42</v>
      </c>
      <c r="AB13" s="100">
        <f>_xll.EQNXTDZ($A$1,$B13,AB$1,$B$1)</f>
        <v>2505.98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585.12</v>
      </c>
      <c r="D14" s="100">
        <f>_xll.EQNXTDZ($A$1,$B14,D$1,$B$1)</f>
        <v>634.37</v>
      </c>
      <c r="E14" s="100">
        <f>_xll.EQNXTDZ($A$1,$B14,E$1,$B$1)</f>
        <v>727.94</v>
      </c>
      <c r="F14" s="100">
        <f>_xll.EQNXTDZ($A$1,$B14,F$1,$B$1)</f>
        <v>741.23</v>
      </c>
      <c r="G14" s="100">
        <f>_xll.EQNXTDZ($A$1,$B14,G$1,$B$1)</f>
        <v>855.94</v>
      </c>
      <c r="H14" s="100">
        <f>_xll.EQNXTDZ($A$1,$B14,H$1,$B$1)</f>
        <v>1029.76</v>
      </c>
      <c r="I14" s="100">
        <f>_xll.EQNXTDZ($A$1,$B14,I$1,$B$1)</f>
        <v>1461</v>
      </c>
      <c r="J14" s="100">
        <f>_xll.EQNXTDZ($A$1,$B14,J$1,$B$1)</f>
        <v>2011.41</v>
      </c>
      <c r="K14" s="100">
        <f>_xll.EQNXTDZ($A$1,$B14,K$1,$B$1)</f>
        <v>2580.0300000000002</v>
      </c>
      <c r="L14" s="100">
        <f>_xll.EQNXTDZ($A$1,$B14,L$1,$B$1)</f>
        <v>2996.76</v>
      </c>
      <c r="M14" s="100">
        <f>_xll.EQNXTDZ($A$1,$B14,M$1,$B$1)</f>
        <v>5253.68</v>
      </c>
      <c r="N14" s="100">
        <f>_xll.EQNXTDZ($A$1,$B14,N$1,$B$1)</f>
        <v>6874.61</v>
      </c>
      <c r="O14" s="100">
        <f>_xll.EQNXTDZ($A$1,$B14,O$1,$B$1)</f>
        <v>8227.83</v>
      </c>
      <c r="P14" s="100">
        <f>_xll.EQNXTDZ($A$1,$B14,P$1,$B$1)</f>
        <v>10499.82</v>
      </c>
      <c r="Q14" s="100">
        <f>_xll.EQNXTDZ($A$1,$B14,Q$1,$B$1)</f>
        <v>11931.31</v>
      </c>
      <c r="R14" s="100">
        <f>_xll.EQNXTDZ($A$1,$B14,R$1,$B$1)</f>
        <v>13330.84</v>
      </c>
      <c r="S14" s="100">
        <f>_xll.EQNXTDZ($A$1,$B14,S$1,$B$1)</f>
        <v>13853.97</v>
      </c>
      <c r="T14" s="100">
        <f>_xll.EQNXTDZ($A$1,$B14,T$1,$B$1)</f>
        <v>15270.79</v>
      </c>
      <c r="U14" s="100">
        <f>_xll.EQNXTDZ($A$1,$B14,U$1,$B$1)</f>
        <v>17466.400000000001</v>
      </c>
      <c r="V14" s="100">
        <f>_xll.EQNXTDZ($A$1,$B14,V$1,$B$1)</f>
        <v>23114</v>
      </c>
      <c r="W14" s="100">
        <f>_xll.EQNXTDZ($A$1,$B14,W$1,$B$1)</f>
        <v>24750.54</v>
      </c>
      <c r="X14" s="100">
        <f>_xll.EQNXTDZ($A$1,$B14,X$1,$B$1)</f>
        <v>29695.79</v>
      </c>
      <c r="Y14" s="100">
        <f>_xll.EQNXTDZ($A$1,$B14,Y$1,$B$1)</f>
        <v>37214.11</v>
      </c>
      <c r="Z14" s="100">
        <f>_xll.EQNXTDZ($A$1,$B14,Z$1,$B$1)</f>
        <v>41171.019999999997</v>
      </c>
      <c r="AA14" s="100">
        <f>_xll.EQNXTDZ($A$1,$B14,AA$1,$B$1)</f>
        <v>46768.68</v>
      </c>
      <c r="AB14" s="100">
        <f>_xll.EQNXTDZ($A$1,$B14,AB$1,$B$1)</f>
        <v>52187.22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2351.5100000000002</v>
      </c>
      <c r="D15" s="100">
        <f>_xll.EQNXTDZ($A$1,$B15,D$1,$B$1)</f>
        <v>2235.39</v>
      </c>
      <c r="E15" s="100">
        <f>_xll.EQNXTDZ($A$1,$B15,E$1,$B$1)</f>
        <v>2776.74</v>
      </c>
      <c r="F15" s="100">
        <f>_xll.EQNXTDZ($A$1,$B15,F$1,$B$1)</f>
        <v>3719.27</v>
      </c>
      <c r="G15" s="100">
        <f>_xll.EQNXTDZ($A$1,$B15,G$1,$B$1)</f>
        <v>4170.22</v>
      </c>
      <c r="H15" s="100">
        <f>_xll.EQNXTDZ($A$1,$B15,H$1,$B$1)</f>
        <v>4379.42</v>
      </c>
      <c r="I15" s="100">
        <f>_xll.EQNXTDZ($A$1,$B15,I$1,$B$1)</f>
        <v>4731.6899999999996</v>
      </c>
      <c r="J15" s="100">
        <f>_xll.EQNXTDZ($A$1,$B15,J$1,$B$1)</f>
        <v>6444.69</v>
      </c>
      <c r="K15" s="100">
        <f>_xll.EQNXTDZ($A$1,$B15,K$1,$B$1)</f>
        <v>10939.14</v>
      </c>
      <c r="L15" s="100">
        <f>_xll.EQNXTDZ($A$1,$B15,L$1,$B$1)</f>
        <v>12906.34</v>
      </c>
      <c r="M15" s="100">
        <f>_xll.EQNXTDZ($A$1,$B15,M$1,$B$1)</f>
        <v>12112.2</v>
      </c>
      <c r="N15" s="100">
        <f>_xll.EQNXTDZ($A$1,$B15,N$1,$B$1)</f>
        <v>15367.11</v>
      </c>
      <c r="O15" s="100">
        <f>_xll.EQNXTDZ($A$1,$B15,O$1,$B$1)</f>
        <v>20710.349999999999</v>
      </c>
      <c r="P15" s="100">
        <f>_xll.EQNXTDZ($A$1,$B15,P$1,$B$1)</f>
        <v>22556.99</v>
      </c>
      <c r="Q15" s="100">
        <f>_xll.EQNXTDZ($A$1,$B15,Q$1,$B$1)</f>
        <v>23263.200000000001</v>
      </c>
      <c r="R15" s="100">
        <f>_xll.EQNXTDZ($A$1,$B15,R$1,$B$1)</f>
        <v>27074.75</v>
      </c>
      <c r="S15" s="100">
        <f>_xll.EQNXTDZ($A$1,$B15,S$1,$B$1)</f>
        <v>30289.83</v>
      </c>
      <c r="T15" s="100">
        <f>_xll.EQNXTDZ($A$1,$B15,T$1,$B$1)</f>
        <v>32645.42</v>
      </c>
      <c r="U15" s="100">
        <f>_xll.EQNXTDZ($A$1,$B15,U$1,$B$1)</f>
        <v>34463.589999999997</v>
      </c>
      <c r="V15" s="100">
        <f>_xll.EQNXTDZ($A$1,$B15,V$1,$B$1)</f>
        <v>33763.4</v>
      </c>
      <c r="W15" s="100">
        <f>_xll.EQNXTDZ($A$1,$B15,W$1,$B$1)</f>
        <v>28222.12</v>
      </c>
      <c r="X15" s="100">
        <f>_xll.EQNXTDZ($A$1,$B15,X$1,$B$1)</f>
        <v>33185.120000000003</v>
      </c>
      <c r="Y15" s="100">
        <f>_xll.EQNXTDZ($A$1,$B15,Y$1,$B$1)</f>
        <v>36979.07</v>
      </c>
      <c r="Z15" s="100">
        <f>_xll.EQNXTDZ($A$1,$B15,Z$1,$B$1)</f>
        <v>48142.38</v>
      </c>
      <c r="AA15" s="100">
        <f>_xll.EQNXTDZ($A$1,$B15,AA$1,$B$1)</f>
        <v>55801.86</v>
      </c>
      <c r="AB15" s="100">
        <f>_xll.EQNXTDZ($A$1,$B15,AB$1,$B$1)</f>
        <v>68726.899999999994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451.97</v>
      </c>
      <c r="D17" s="100">
        <f>_xll.EQNXTDZ($A$1,$B17,D$1,$B$1)</f>
        <v>611.9</v>
      </c>
      <c r="E17" s="100">
        <f>_xll.EQNXTDZ($A$1,$B17,E$1,$B$1)</f>
        <v>676.8</v>
      </c>
      <c r="F17" s="100">
        <f>_xll.EQNXTDZ($A$1,$B17,F$1,$B$1)</f>
        <v>803.64</v>
      </c>
      <c r="G17" s="100">
        <f>_xll.EQNXTDZ($A$1,$B17,G$1,$B$1)</f>
        <v>1003.9</v>
      </c>
      <c r="H17" s="100">
        <f>_xll.EQNXTDZ($A$1,$B17,H$1,$B$1)</f>
        <v>1318.49</v>
      </c>
      <c r="I17" s="100">
        <f>_xll.EQNXTDZ($A$1,$B17,I$1,$B$1)</f>
        <v>1970.24</v>
      </c>
      <c r="J17" s="100">
        <f>_xll.EQNXTDZ($A$1,$B17,J$1,$B$1)</f>
        <v>2424.73</v>
      </c>
      <c r="K17" s="100">
        <f>_xll.EQNXTDZ($A$1,$B17,K$1,$B$1)</f>
        <v>2031.31</v>
      </c>
      <c r="L17" s="100">
        <f>_xll.EQNXTDZ($A$1,$B17,L$1,$B$1)</f>
        <v>2217.65</v>
      </c>
      <c r="M17" s="100">
        <f>_xll.EQNXTDZ($A$1,$B17,M$1,$B$1)</f>
        <v>2657.21</v>
      </c>
      <c r="N17" s="100">
        <f>_xll.EQNXTDZ($A$1,$B17,N$1,$B$1)</f>
        <v>3258.59</v>
      </c>
      <c r="O17" s="100">
        <f>_xll.EQNXTDZ($A$1,$B17,O$1,$B$1)</f>
        <v>4305.5200000000004</v>
      </c>
      <c r="P17" s="100">
        <f>_xll.EQNXTDZ($A$1,$B17,P$1,$B$1)</f>
        <v>5364.94</v>
      </c>
      <c r="Q17" s="100">
        <f>_xll.EQNXTDZ($A$1,$B17,Q$1,$B$1)</f>
        <v>5911.91</v>
      </c>
      <c r="R17" s="100">
        <f>_xll.EQNXTDZ($A$1,$B17,R$1,$B$1)</f>
        <v>6078.04</v>
      </c>
      <c r="S17" s="100">
        <f>_xll.EQNXTDZ($A$1,$B17,S$1,$B$1)</f>
        <v>6130.29</v>
      </c>
      <c r="T17" s="100">
        <f>_xll.EQNXTDZ($A$1,$B17,T$1,$B$1)</f>
        <v>6402.32</v>
      </c>
      <c r="U17" s="100">
        <f>_xll.EQNXTDZ($A$1,$B17,U$1,$B$1)</f>
        <v>8235.93</v>
      </c>
      <c r="V17" s="100">
        <f>_xll.EQNXTDZ($A$1,$B17,V$1,$B$1)</f>
        <v>9557.02</v>
      </c>
      <c r="W17" s="100">
        <f>_xll.EQNXTDZ($A$1,$B17,W$1,$B$1)</f>
        <v>9074.25</v>
      </c>
      <c r="X17" s="100">
        <f>_xll.EQNXTDZ($A$1,$B17,X$1,$B$1)</f>
        <v>11169.53</v>
      </c>
      <c r="Y17" s="100">
        <f>_xll.EQNXTDZ($A$1,$B17,Y$1,$B$1)</f>
        <v>13803.74</v>
      </c>
      <c r="Z17" s="100">
        <f>_xll.EQNXTDZ($A$1,$B17,Z$1,$B$1)</f>
        <v>16634.8</v>
      </c>
      <c r="AA17" s="100">
        <f>_xll.EQNXTDZ($A$1,$B17,AA$1,$B$1)</f>
        <v>17917.38</v>
      </c>
      <c r="AB17" s="100">
        <f>_xll.EQNXTDZ($A$1,$B17,AB$1,$B$1)</f>
        <v>22016.62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149.91</v>
      </c>
      <c r="D18" s="100">
        <f>_xll.EQNXTDZ($A$1,$B18,D$1,$B$1)</f>
        <v>637.07000000000005</v>
      </c>
      <c r="E18" s="100">
        <f>_xll.EQNXTDZ($A$1,$B18,E$1,$B$1)</f>
        <v>618.16999999999996</v>
      </c>
      <c r="F18" s="100">
        <f>_xll.EQNXTDZ($A$1,$B18,F$1,$B$1)</f>
        <v>122.84</v>
      </c>
      <c r="G18" s="100">
        <f>_xll.EQNXTDZ($A$1,$B18,G$1,$B$1)</f>
        <v>165.84</v>
      </c>
      <c r="H18" s="100">
        <f>_xll.EQNXTDZ($A$1,$B18,H$1,$B$1)</f>
        <v>168.52</v>
      </c>
      <c r="I18" s="100">
        <f>_xll.EQNXTDZ($A$1,$B18,I$1,$B$1)</f>
        <v>238.89</v>
      </c>
      <c r="J18" s="100">
        <f>_xll.EQNXTDZ($A$1,$B18,J$1,$B$1)</f>
        <v>351.91</v>
      </c>
      <c r="K18" s="100">
        <f>_xll.EQNXTDZ($A$1,$B18,K$1,$B$1)</f>
        <v>370.99</v>
      </c>
      <c r="L18" s="100">
        <f>_xll.EQNXTDZ($A$1,$B18,L$1,$B$1)</f>
        <v>355.28</v>
      </c>
      <c r="M18" s="100">
        <f>_xll.EQNXTDZ($A$1,$B18,M$1,$B$1)</f>
        <v>434.77</v>
      </c>
      <c r="N18" s="100">
        <f>_xll.EQNXTDZ($A$1,$B18,N$1,$B$1)</f>
        <v>364.85</v>
      </c>
      <c r="O18" s="100">
        <f>_xll.EQNXTDZ($A$1,$B18,O$1,$B$1)</f>
        <v>497.46</v>
      </c>
      <c r="P18" s="100">
        <f>_xll.EQNXTDZ($A$1,$B18,P$1,$B$1)</f>
        <v>640.74</v>
      </c>
      <c r="Q18" s="100">
        <f>_xll.EQNXTDZ($A$1,$B18,Q$1,$B$1)</f>
        <v>804.87</v>
      </c>
      <c r="R18" s="100">
        <f>_xll.EQNXTDZ($A$1,$B18,R$1,$B$1)</f>
        <v>610.59</v>
      </c>
      <c r="S18" s="100">
        <f>_xll.EQNXTDZ($A$1,$B18,S$1,$B$1)</f>
        <v>631.15</v>
      </c>
      <c r="T18" s="100">
        <f>_xll.EQNXTDZ($A$1,$B18,T$1,$B$1)</f>
        <v>832.75</v>
      </c>
      <c r="U18" s="100">
        <f>_xll.EQNXTDZ($A$1,$B18,U$1,$B$1)</f>
        <v>616.91</v>
      </c>
      <c r="V18" s="100">
        <f>_xll.EQNXTDZ($A$1,$B18,V$1,$B$1)</f>
        <v>338.15</v>
      </c>
      <c r="W18" s="100">
        <f>_xll.EQNXTDZ($A$1,$B18,W$1,$B$1)</f>
        <v>218.01</v>
      </c>
      <c r="X18" s="100">
        <f>_xll.EQNXTDZ($A$1,$B18,X$1,$B$1)</f>
        <v>299.29000000000002</v>
      </c>
      <c r="Y18" s="100">
        <f>_xll.EQNXTDZ($A$1,$B18,Y$1,$B$1)</f>
        <v>435.97</v>
      </c>
      <c r="Z18" s="100">
        <f>_xll.EQNXTDZ($A$1,$B18,Z$1,$B$1)</f>
        <v>468.49</v>
      </c>
      <c r="AA18" s="100">
        <f>_xll.EQNXTDZ($A$1,$B18,AA$1,$B$1)</f>
        <v>541.4</v>
      </c>
      <c r="AB18" s="100">
        <f>_xll.EQNXTDZ($A$1,$B18,AB$1,$B$1)</f>
        <v>564.21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185.7</v>
      </c>
      <c r="D19" s="100">
        <f>_xll.EQNXTDZ($A$1,$B19,D$1,$B$1)</f>
        <v>306.99</v>
      </c>
      <c r="E19" s="100">
        <f>_xll.EQNXTDZ($A$1,$B19,E$1,$B$1)</f>
        <v>373.65</v>
      </c>
      <c r="F19" s="100">
        <f>_xll.EQNXTDZ($A$1,$B19,F$1,$B$1)</f>
        <v>387.36</v>
      </c>
      <c r="G19" s="100">
        <f>_xll.EQNXTDZ($A$1,$B19,G$1,$B$1)</f>
        <v>361.64</v>
      </c>
      <c r="H19" s="100">
        <f>_xll.EQNXTDZ($A$1,$B19,H$1,$B$1)</f>
        <v>336.02</v>
      </c>
      <c r="I19" s="100">
        <f>_xll.EQNXTDZ($A$1,$B19,I$1,$B$1)</f>
        <v>310.26</v>
      </c>
      <c r="J19" s="100">
        <f>_xll.EQNXTDZ($A$1,$B19,J$1,$B$1)</f>
        <v>429.35</v>
      </c>
      <c r="K19" s="100">
        <f>_xll.EQNXTDZ($A$1,$B19,K$1,$B$1)</f>
        <v>1187.97</v>
      </c>
      <c r="L19" s="100">
        <f>_xll.EQNXTDZ($A$1,$B19,L$1,$B$1)</f>
        <v>718.26</v>
      </c>
      <c r="M19" s="100">
        <f>_xll.EQNXTDZ($A$1,$B19,M$1,$B$1)</f>
        <v>1330.37</v>
      </c>
      <c r="N19" s="100">
        <f>_xll.EQNXTDZ($A$1,$B19,N$1,$B$1)</f>
        <v>1351.05</v>
      </c>
      <c r="O19" s="100">
        <f>_xll.EQNXTDZ($A$1,$B19,O$1,$B$1)</f>
        <v>1291.71</v>
      </c>
      <c r="P19" s="100">
        <f>_xll.EQNXTDZ($A$1,$B19,P$1,$B$1)</f>
        <v>1669.48</v>
      </c>
      <c r="Q19" s="100">
        <f>_xll.EQNXTDZ($A$1,$B19,Q$1,$B$1)</f>
        <v>2088.12</v>
      </c>
      <c r="R19" s="100">
        <f>_xll.EQNXTDZ($A$1,$B19,R$1,$B$1)</f>
        <v>2289.9699999999998</v>
      </c>
      <c r="S19" s="100">
        <f>_xll.EQNXTDZ($A$1,$B19,S$1,$B$1)</f>
        <v>3570.63</v>
      </c>
      <c r="T19" s="100">
        <f>_xll.EQNXTDZ($A$1,$B19,T$1,$B$1)</f>
        <v>6949.56</v>
      </c>
      <c r="U19" s="100">
        <f>_xll.EQNXTDZ($A$1,$B19,U$1,$B$1)</f>
        <v>4955.1400000000003</v>
      </c>
      <c r="V19" s="100">
        <f>_xll.EQNXTDZ($A$1,$B19,V$1,$B$1)</f>
        <v>6946.09</v>
      </c>
      <c r="W19" s="100">
        <f>_xll.EQNXTDZ($A$1,$B19,W$1,$B$1)</f>
        <v>9383.99</v>
      </c>
      <c r="X19" s="100">
        <f>_xll.EQNXTDZ($A$1,$B19,X$1,$B$1)</f>
        <v>10377.94</v>
      </c>
      <c r="Y19" s="100">
        <f>_xll.EQNXTDZ($A$1,$B19,Y$1,$B$1)</f>
        <v>8061.21</v>
      </c>
      <c r="Z19" s="100">
        <f>_xll.EQNXTDZ($A$1,$B19,Z$1,$B$1)</f>
        <v>8261.3799999999992</v>
      </c>
      <c r="AA19" s="100">
        <f>_xll.EQNXTDZ($A$1,$B19,AA$1,$B$1)</f>
        <v>11524.56</v>
      </c>
      <c r="AB19" s="100">
        <f>_xll.EQNXTDZ($A$1,$B19,AB$1,$B$1)</f>
        <v>11018.01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6546.36</v>
      </c>
      <c r="D21" s="100">
        <f>_xll.EQNXTDZ($A$1,$B21,D$1,$B$1)</f>
        <v>7506.95</v>
      </c>
      <c r="E21" s="100">
        <f>_xll.EQNXTDZ($A$1,$B21,E$1,$B$1)</f>
        <v>9247.51</v>
      </c>
      <c r="F21" s="100">
        <f>_xll.EQNXTDZ($A$1,$B21,F$1,$B$1)</f>
        <v>9961.7999999999993</v>
      </c>
      <c r="G21" s="100">
        <f>_xll.EQNXTDZ($A$1,$B21,G$1,$B$1)</f>
        <v>13213</v>
      </c>
      <c r="H21" s="100">
        <f>_xll.EQNXTDZ($A$1,$B21,H$1,$B$1)</f>
        <v>14847.14</v>
      </c>
      <c r="I21" s="100">
        <f>_xll.EQNXTDZ($A$1,$B21,I$1,$B$1)</f>
        <v>17705.27</v>
      </c>
      <c r="J21" s="100">
        <f>_xll.EQNXTDZ($A$1,$B21,J$1,$B$1)</f>
        <v>25327.93</v>
      </c>
      <c r="K21" s="100">
        <f>_xll.EQNXTDZ($A$1,$B21,K$1,$B$1)</f>
        <v>34845.43</v>
      </c>
      <c r="L21" s="100">
        <f>_xll.EQNXTDZ($A$1,$B21,L$1,$B$1)</f>
        <v>36748.36</v>
      </c>
      <c r="M21" s="100">
        <f>_xll.EQNXTDZ($A$1,$B21,M$1,$B$1)</f>
        <v>43346.41</v>
      </c>
      <c r="N21" s="100">
        <f>_xll.EQNXTDZ($A$1,$B21,N$1,$B$1)</f>
        <v>53691.79</v>
      </c>
      <c r="O21" s="100">
        <f>_xll.EQNXTDZ($A$1,$B21,O$1,$B$1)</f>
        <v>62253.33</v>
      </c>
      <c r="P21" s="100">
        <f>_xll.EQNXTDZ($A$1,$B21,P$1,$B$1)</f>
        <v>71101.05</v>
      </c>
      <c r="Q21" s="100">
        <f>_xll.EQNXTDZ($A$1,$B21,Q$1,$B$1)</f>
        <v>76349.17</v>
      </c>
      <c r="R21" s="100">
        <f>_xll.EQNXTDZ($A$1,$B21,R$1,$B$1)</f>
        <v>85431.57</v>
      </c>
      <c r="S21" s="100">
        <f>_xll.EQNXTDZ($A$1,$B21,S$1,$B$1)</f>
        <v>92650.880000000005</v>
      </c>
      <c r="T21" s="100">
        <f>_xll.EQNXTDZ($A$1,$B21,T$1,$B$1)</f>
        <v>103128.02</v>
      </c>
      <c r="U21" s="100">
        <f>_xll.EQNXTDZ($A$1,$B21,U$1,$B$1)</f>
        <v>114218.19</v>
      </c>
      <c r="V21" s="100">
        <f>_xll.EQNXTDZ($A$1,$B21,V$1,$B$1)</f>
        <v>123235.42</v>
      </c>
      <c r="W21" s="100">
        <f>_xll.EQNXTDZ($A$1,$B21,W$1,$B$1)</f>
        <v>114907.47</v>
      </c>
      <c r="X21" s="100">
        <f>_xll.EQNXTDZ($A$1,$B21,X$1,$B$1)</f>
        <v>136594.88</v>
      </c>
      <c r="Y21" s="100">
        <f>_xll.EQNXTDZ($A$1,$B21,Y$1,$B$1)</f>
        <v>159446.39000000001</v>
      </c>
      <c r="Z21" s="100">
        <f>_xll.EQNXTDZ($A$1,$B21,Z$1,$B$1)</f>
        <v>193764.32</v>
      </c>
      <c r="AA21" s="100">
        <f>_xll.EQNXTDZ($A$1,$B21,AA$1,$B$1)</f>
        <v>227261.11</v>
      </c>
      <c r="AB21" s="100">
        <f>_xll.EQNXTDZ($A$1,$B21,AB$1,$B$1)</f>
        <v>252738.53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832.29</v>
      </c>
      <c r="D22" s="100">
        <f>_xll.EQNXTDZ($A$1,$B22,D$1,$B$1)</f>
        <v>1182.4100000000001</v>
      </c>
      <c r="E22" s="100">
        <f>_xll.EQNXTDZ($A$1,$B22,E$1,$B$1)</f>
        <v>1035.56</v>
      </c>
      <c r="F22" s="100">
        <f>_xll.EQNXTDZ($A$1,$B22,F$1,$B$1)</f>
        <v>1011.98</v>
      </c>
      <c r="G22" s="100">
        <f>_xll.EQNXTDZ($A$1,$B22,G$1,$B$1)</f>
        <v>1283.8900000000001</v>
      </c>
      <c r="H22" s="100">
        <f>_xll.EQNXTDZ($A$1,$B22,H$1,$B$1)</f>
        <v>1714.17</v>
      </c>
      <c r="I22" s="100">
        <f>_xll.EQNXTDZ($A$1,$B22,I$1,$B$1)</f>
        <v>2807.59</v>
      </c>
      <c r="J22" s="100">
        <f>_xll.EQNXTDZ($A$1,$B22,J$1,$B$1)</f>
        <v>4128.92</v>
      </c>
      <c r="K22" s="100">
        <f>_xll.EQNXTDZ($A$1,$B22,K$1,$B$1)</f>
        <v>5665.63</v>
      </c>
      <c r="L22" s="100">
        <f>_xll.EQNXTDZ($A$1,$B22,L$1,$B$1)</f>
        <v>7221.44</v>
      </c>
      <c r="M22" s="100">
        <f>_xll.EQNXTDZ($A$1,$B22,M$1,$B$1)</f>
        <v>8697.3700000000008</v>
      </c>
      <c r="N22" s="100">
        <f>_xll.EQNXTDZ($A$1,$B22,N$1,$B$1)</f>
        <v>10621.32</v>
      </c>
      <c r="O22" s="100">
        <f>_xll.EQNXTDZ($A$1,$B22,O$1,$B$1)</f>
        <v>12244.67</v>
      </c>
      <c r="P22" s="100">
        <f>_xll.EQNXTDZ($A$1,$B22,P$1,$B$1)</f>
        <v>14027.35</v>
      </c>
      <c r="Q22" s="100">
        <f>_xll.EQNXTDZ($A$1,$B22,Q$1,$B$1)</f>
        <v>15655.41</v>
      </c>
      <c r="R22" s="100">
        <f>_xll.EQNXTDZ($A$1,$B22,R$1,$B$1)</f>
        <v>15690.91</v>
      </c>
      <c r="S22" s="100">
        <f>_xll.EQNXTDZ($A$1,$B22,S$1,$B$1)</f>
        <v>16660.93</v>
      </c>
      <c r="T22" s="100">
        <f>_xll.EQNXTDZ($A$1,$B22,T$1,$B$1)</f>
        <v>16555.14</v>
      </c>
      <c r="U22" s="100">
        <f>_xll.EQNXTDZ($A$1,$B22,U$1,$B$1)</f>
        <v>21002.1</v>
      </c>
      <c r="V22" s="100">
        <f>_xll.EQNXTDZ($A$1,$B22,V$1,$B$1)</f>
        <v>22216.94</v>
      </c>
      <c r="W22" s="100">
        <f>_xll.EQNXTDZ($A$1,$B22,W$1,$B$1)</f>
        <v>21071.56</v>
      </c>
      <c r="X22" s="100">
        <f>_xll.EQNXTDZ($A$1,$B22,X$1,$B$1)</f>
        <v>19926.349999999999</v>
      </c>
      <c r="Y22" s="100">
        <f>_xll.EQNXTDZ($A$1,$B22,Y$1,$B$1)</f>
        <v>23894.31</v>
      </c>
      <c r="Z22" s="100">
        <f>_xll.EQNXTDZ($A$1,$B22,Z$1,$B$1)</f>
        <v>27348.59</v>
      </c>
      <c r="AA22" s="100">
        <f>_xll.EQNXTDZ($A$1,$B22,AA$1,$B$1)</f>
        <v>28473.34</v>
      </c>
      <c r="AB22" s="100">
        <f>_xll.EQNXTDZ($A$1,$B22,AB$1,$B$1)</f>
        <v>33135.83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312.58</v>
      </c>
      <c r="D23" s="100">
        <f>_xll.EQNXTDZ($A$1,$B23,D$1,$B$1)</f>
        <v>263.72000000000003</v>
      </c>
      <c r="E23" s="100">
        <f>_xll.EQNXTDZ($A$1,$B23,E$1,$B$1)</f>
        <v>321.07</v>
      </c>
      <c r="F23" s="100">
        <f>_xll.EQNXTDZ($A$1,$B23,F$1,$B$1)</f>
        <v>362.64</v>
      </c>
      <c r="G23" s="100">
        <f>_xll.EQNXTDZ($A$1,$B23,G$1,$B$1)</f>
        <v>578.14</v>
      </c>
      <c r="H23" s="100">
        <f>_xll.EQNXTDZ($A$1,$B23,H$1,$B$1)</f>
        <v>515.63</v>
      </c>
      <c r="I23" s="100">
        <f>_xll.EQNXTDZ($A$1,$B23,I$1,$B$1)</f>
        <v>893.72</v>
      </c>
      <c r="J23" s="100">
        <f>_xll.EQNXTDZ($A$1,$B23,J$1,$B$1)</f>
        <v>425.15</v>
      </c>
      <c r="K23" s="100">
        <f>_xll.EQNXTDZ($A$1,$B23,K$1,$B$1)</f>
        <v>667.59</v>
      </c>
      <c r="L23" s="100">
        <f>_xll.EQNXTDZ($A$1,$B23,L$1,$B$1)</f>
        <v>2623.42</v>
      </c>
      <c r="M23" s="100">
        <f>_xll.EQNXTDZ($A$1,$B23,M$1,$B$1)</f>
        <v>1077.51</v>
      </c>
      <c r="N23" s="100">
        <f>_xll.EQNXTDZ($A$1,$B23,N$1,$B$1)</f>
        <v>884.05</v>
      </c>
      <c r="O23" s="100">
        <f>_xll.EQNXTDZ($A$1,$B23,O$1,$B$1)</f>
        <v>1257.73</v>
      </c>
      <c r="P23" s="100">
        <f>_xll.EQNXTDZ($A$1,$B23,P$1,$B$1)</f>
        <v>1040.46</v>
      </c>
      <c r="Q23" s="100">
        <f>_xll.EQNXTDZ($A$1,$B23,Q$1,$B$1)</f>
        <v>1102.8599999999999</v>
      </c>
      <c r="R23" s="100">
        <f>_xll.EQNXTDZ($A$1,$B23,R$1,$B$1)</f>
        <v>919.9</v>
      </c>
      <c r="S23" s="100">
        <f>_xll.EQNXTDZ($A$1,$B23,S$1,$B$1)</f>
        <v>1492.15</v>
      </c>
      <c r="T23" s="100">
        <f>_xll.EQNXTDZ($A$1,$B23,T$1,$B$1)</f>
        <v>4806.53</v>
      </c>
      <c r="U23" s="100">
        <f>_xll.EQNXTDZ($A$1,$B23,U$1,$B$1)</f>
        <v>3908.65</v>
      </c>
      <c r="V23" s="100">
        <f>_xll.EQNXTDZ($A$1,$B23,V$1,$B$1)</f>
        <v>4945.7299999999996</v>
      </c>
      <c r="W23" s="100">
        <f>_xll.EQNXTDZ($A$1,$B23,W$1,$B$1)</f>
        <v>6128.12</v>
      </c>
      <c r="X23" s="100">
        <f>_xll.EQNXTDZ($A$1,$B23,X$1,$B$1)</f>
        <v>6971.79</v>
      </c>
      <c r="Y23" s="100">
        <f>_xll.EQNXTDZ($A$1,$B23,Y$1,$B$1)</f>
        <v>6331.04</v>
      </c>
      <c r="Z23" s="100">
        <f>_xll.EQNXTDZ($A$1,$B23,Z$1,$B$1)</f>
        <v>6579.16</v>
      </c>
      <c r="AA23" s="100">
        <f>_xll.EQNXTDZ($A$1,$B23,AA$1,$B$1)</f>
        <v>9032.7099999999991</v>
      </c>
      <c r="AB23" s="100">
        <f>_xll.EQNXTDZ($A$1,$B23,AB$1,$B$1)</f>
        <v>9565.4599999999991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1144.8699999999999</v>
      </c>
      <c r="D24" s="100">
        <f>_xll.EQNXTDZ($A$1,$B24,D$1,$B$1)</f>
        <v>1446.13</v>
      </c>
      <c r="E24" s="100">
        <f>_xll.EQNXTDZ($A$1,$B24,E$1,$B$1)</f>
        <v>1356.63</v>
      </c>
      <c r="F24" s="100">
        <f>_xll.EQNXTDZ($A$1,$B24,F$1,$B$1)</f>
        <v>1374.62</v>
      </c>
      <c r="G24" s="100">
        <f>_xll.EQNXTDZ($A$1,$B24,G$1,$B$1)</f>
        <v>1862.03</v>
      </c>
      <c r="H24" s="100">
        <f>_xll.EQNXTDZ($A$1,$B24,H$1,$B$1)</f>
        <v>2229.8000000000002</v>
      </c>
      <c r="I24" s="100">
        <f>_xll.EQNXTDZ($A$1,$B24,I$1,$B$1)</f>
        <v>3701.31</v>
      </c>
      <c r="J24" s="100">
        <f>_xll.EQNXTDZ($A$1,$B24,J$1,$B$1)</f>
        <v>4554.07</v>
      </c>
      <c r="K24" s="100">
        <f>_xll.EQNXTDZ($A$1,$B24,K$1,$B$1)</f>
        <v>6333.22</v>
      </c>
      <c r="L24" s="100">
        <f>_xll.EQNXTDZ($A$1,$B24,L$1,$B$1)</f>
        <v>9844.86</v>
      </c>
      <c r="M24" s="100">
        <f>_xll.EQNXTDZ($A$1,$B24,M$1,$B$1)</f>
        <v>9774.8799999999992</v>
      </c>
      <c r="N24" s="100">
        <f>_xll.EQNXTDZ($A$1,$B24,N$1,$B$1)</f>
        <v>11505.37</v>
      </c>
      <c r="O24" s="100">
        <f>_xll.EQNXTDZ($A$1,$B24,O$1,$B$1)</f>
        <v>13502.4</v>
      </c>
      <c r="P24" s="100">
        <f>_xll.EQNXTDZ($A$1,$B24,P$1,$B$1)</f>
        <v>15067.81</v>
      </c>
      <c r="Q24" s="100">
        <f>_xll.EQNXTDZ($A$1,$B24,Q$1,$B$1)</f>
        <v>16758.27</v>
      </c>
      <c r="R24" s="100">
        <f>_xll.EQNXTDZ($A$1,$B24,R$1,$B$1)</f>
        <v>16610.810000000001</v>
      </c>
      <c r="S24" s="100">
        <f>_xll.EQNXTDZ($A$1,$B24,S$1,$B$1)</f>
        <v>18153.080000000002</v>
      </c>
      <c r="T24" s="100">
        <f>_xll.EQNXTDZ($A$1,$B24,T$1,$B$1)</f>
        <v>21361.67</v>
      </c>
      <c r="U24" s="100">
        <f>_xll.EQNXTDZ($A$1,$B24,U$1,$B$1)</f>
        <v>24910.75</v>
      </c>
      <c r="V24" s="100">
        <f>_xll.EQNXTDZ($A$1,$B24,V$1,$B$1)</f>
        <v>27162.67</v>
      </c>
      <c r="W24" s="100">
        <f>_xll.EQNXTDZ($A$1,$B24,W$1,$B$1)</f>
        <v>27199.68</v>
      </c>
      <c r="X24" s="100">
        <f>_xll.EQNXTDZ($A$1,$B24,X$1,$B$1)</f>
        <v>26898.14</v>
      </c>
      <c r="Y24" s="100">
        <f>_xll.EQNXTDZ($A$1,$B24,Y$1,$B$1)</f>
        <v>30225.35</v>
      </c>
      <c r="Z24" s="100">
        <f>_xll.EQNXTDZ($A$1,$B24,Z$1,$B$1)</f>
        <v>33927.75</v>
      </c>
      <c r="AA24" s="100">
        <f>_xll.EQNXTDZ($A$1,$B24,AA$1,$B$1)</f>
        <v>37506.050000000003</v>
      </c>
      <c r="AB24" s="100">
        <f>_xll.EQNXTDZ($A$1,$B24,AB$1,$B$1)</f>
        <v>42701.29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493.04</v>
      </c>
      <c r="D25" s="100">
        <f>_xll.EQNXTDZ($A$1,$B25,D$1,$B$1)</f>
        <v>564.53</v>
      </c>
      <c r="E25" s="100">
        <f>_xll.EQNXTDZ($A$1,$B25,E$1,$B$1)</f>
        <v>436.12</v>
      </c>
      <c r="F25" s="100">
        <f>_xll.EQNXTDZ($A$1,$B25,F$1,$B$1)</f>
        <v>246.67</v>
      </c>
      <c r="G25" s="100">
        <f>_xll.EQNXTDZ($A$1,$B25,G$1,$B$1)</f>
        <v>244.6</v>
      </c>
      <c r="H25" s="100">
        <f>_xll.EQNXTDZ($A$1,$B25,H$1,$B$1)</f>
        <v>318.02999999999997</v>
      </c>
      <c r="I25" s="100">
        <f>_xll.EQNXTDZ($A$1,$B25,I$1,$B$1)</f>
        <v>351.42</v>
      </c>
      <c r="J25" s="100">
        <f>_xll.EQNXTDZ($A$1,$B25,J$1,$B$1)</f>
        <v>625.71</v>
      </c>
      <c r="K25" s="100">
        <f>_xll.EQNXTDZ($A$1,$B25,K$1,$B$1)</f>
        <v>1244.57</v>
      </c>
      <c r="L25" s="100">
        <f>_xll.EQNXTDZ($A$1,$B25,L$1,$B$1)</f>
        <v>1520.19</v>
      </c>
      <c r="M25" s="100">
        <f>_xll.EQNXTDZ($A$1,$B25,M$1,$B$1)</f>
        <v>1931.42</v>
      </c>
      <c r="N25" s="100">
        <f>_xll.EQNXTDZ($A$1,$B25,N$1,$B$1)</f>
        <v>3008.34</v>
      </c>
      <c r="O25" s="100">
        <f>_xll.EQNXTDZ($A$1,$B25,O$1,$B$1)</f>
        <v>4642.28</v>
      </c>
      <c r="P25" s="100">
        <f>_xll.EQNXTDZ($A$1,$B25,P$1,$B$1)</f>
        <v>6494.26</v>
      </c>
      <c r="Q25" s="100">
        <f>_xll.EQNXTDZ($A$1,$B25,Q$1,$B$1)</f>
        <v>7265.78</v>
      </c>
      <c r="R25" s="100">
        <f>_xll.EQNXTDZ($A$1,$B25,R$1,$B$1)</f>
        <v>6898.68</v>
      </c>
      <c r="S25" s="100">
        <f>_xll.EQNXTDZ($A$1,$B25,S$1,$B$1)</f>
        <v>7017.22</v>
      </c>
      <c r="T25" s="100">
        <f>_xll.EQNXTDZ($A$1,$B25,T$1,$B$1)</f>
        <v>7916.78</v>
      </c>
      <c r="U25" s="100">
        <f>_xll.EQNXTDZ($A$1,$B25,U$1,$B$1)</f>
        <v>9547.1299999999992</v>
      </c>
      <c r="V25" s="100">
        <f>_xll.EQNXTDZ($A$1,$B25,V$1,$B$1)</f>
        <v>11269.45</v>
      </c>
      <c r="W25" s="100">
        <f>_xll.EQNXTDZ($A$1,$B25,W$1,$B$1)</f>
        <v>12059.67</v>
      </c>
      <c r="X25" s="100">
        <f>_xll.EQNXTDZ($A$1,$B25,X$1,$B$1)</f>
        <v>9552.15</v>
      </c>
      <c r="Y25" s="100">
        <f>_xll.EQNXTDZ($A$1,$B25,Y$1,$B$1)</f>
        <v>9750.06</v>
      </c>
      <c r="Z25" s="100">
        <f>_xll.EQNXTDZ($A$1,$B25,Z$1,$B$1)</f>
        <v>9821.92</v>
      </c>
      <c r="AA25" s="100">
        <f>_xll.EQNXTDZ($A$1,$B25,AA$1,$B$1)</f>
        <v>10280.86</v>
      </c>
      <c r="AB25" s="100">
        <f>_xll.EQNXTDZ($A$1,$B25,AB$1,$B$1)</f>
        <v>10638.29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651.83000000000004</v>
      </c>
      <c r="D26" s="100">
        <f>_xll.EQNXTDZ($A$1,$B26,D$1,$B$1)</f>
        <v>881.6</v>
      </c>
      <c r="E26" s="100">
        <f>_xll.EQNXTDZ($A$1,$B26,E$1,$B$1)</f>
        <v>920.51</v>
      </c>
      <c r="F26" s="100">
        <f>_xll.EQNXTDZ($A$1,$B26,F$1,$B$1)</f>
        <v>1127.95</v>
      </c>
      <c r="G26" s="100">
        <f>_xll.EQNXTDZ($A$1,$B26,G$1,$B$1)</f>
        <v>1617.43</v>
      </c>
      <c r="H26" s="100">
        <f>_xll.EQNXTDZ($A$1,$B26,H$1,$B$1)</f>
        <v>1911.77</v>
      </c>
      <c r="I26" s="100">
        <f>_xll.EQNXTDZ($A$1,$B26,I$1,$B$1)</f>
        <v>3349.89</v>
      </c>
      <c r="J26" s="100">
        <f>_xll.EQNXTDZ($A$1,$B26,J$1,$B$1)</f>
        <v>3928.36</v>
      </c>
      <c r="K26" s="100">
        <f>_xll.EQNXTDZ($A$1,$B26,K$1,$B$1)</f>
        <v>5088.6499999999996</v>
      </c>
      <c r="L26" s="100">
        <f>_xll.EQNXTDZ($A$1,$B26,L$1,$B$1)</f>
        <v>8324.67</v>
      </c>
      <c r="M26" s="100">
        <f>_xll.EQNXTDZ($A$1,$B26,M$1,$B$1)</f>
        <v>7843.46</v>
      </c>
      <c r="N26" s="100">
        <f>_xll.EQNXTDZ($A$1,$B26,N$1,$B$1)</f>
        <v>8497.0300000000007</v>
      </c>
      <c r="O26" s="100">
        <f>_xll.EQNXTDZ($A$1,$B26,O$1,$B$1)</f>
        <v>8860.1200000000008</v>
      </c>
      <c r="P26" s="100">
        <f>_xll.EQNXTDZ($A$1,$B26,P$1,$B$1)</f>
        <v>8573.5499999999993</v>
      </c>
      <c r="Q26" s="100">
        <f>_xll.EQNXTDZ($A$1,$B26,Q$1,$B$1)</f>
        <v>9492.49</v>
      </c>
      <c r="R26" s="100">
        <f>_xll.EQNXTDZ($A$1,$B26,R$1,$B$1)</f>
        <v>9712.1299999999992</v>
      </c>
      <c r="S26" s="100">
        <f>_xll.EQNXTDZ($A$1,$B26,S$1,$B$1)</f>
        <v>11135.86</v>
      </c>
      <c r="T26" s="100">
        <f>_xll.EQNXTDZ($A$1,$B26,T$1,$B$1)</f>
        <v>13444.89</v>
      </c>
      <c r="U26" s="100">
        <f>_xll.EQNXTDZ($A$1,$B26,U$1,$B$1)</f>
        <v>15363.62</v>
      </c>
      <c r="V26" s="100">
        <f>_xll.EQNXTDZ($A$1,$B26,V$1,$B$1)</f>
        <v>15893.22</v>
      </c>
      <c r="W26" s="100">
        <f>_xll.EQNXTDZ($A$1,$B26,W$1,$B$1)</f>
        <v>15140.01</v>
      </c>
      <c r="X26" s="100">
        <f>_xll.EQNXTDZ($A$1,$B26,X$1,$B$1)</f>
        <v>17345.990000000002</v>
      </c>
      <c r="Y26" s="100">
        <f>_xll.EQNXTDZ($A$1,$B26,Y$1,$B$1)</f>
        <v>20475.29</v>
      </c>
      <c r="Z26" s="100">
        <f>_xll.EQNXTDZ($A$1,$B26,Z$1,$B$1)</f>
        <v>24105.83</v>
      </c>
      <c r="AA26" s="100">
        <f>_xll.EQNXTDZ($A$1,$B26,AA$1,$B$1)</f>
        <v>27225.19</v>
      </c>
      <c r="AB26" s="100">
        <f>_xll.EQNXTDZ($A$1,$B26,AB$1,$B$1)</f>
        <v>32063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313.13</v>
      </c>
      <c r="D27" s="100">
        <f>_xll.EQNXTDZ($A$1,$B27,D$1,$B$1)</f>
        <v>468.1</v>
      </c>
      <c r="E27" s="100">
        <f>_xll.EQNXTDZ($A$1,$B27,E$1,$B$1)</f>
        <v>440.61</v>
      </c>
      <c r="F27" s="100">
        <f>_xll.EQNXTDZ($A$1,$B27,F$1,$B$1)</f>
        <v>206.54</v>
      </c>
      <c r="G27" s="100">
        <f>_xll.EQNXTDZ($A$1,$B27,G$1,$B$1)</f>
        <v>212.2</v>
      </c>
      <c r="H27" s="100">
        <f>_xll.EQNXTDZ($A$1,$B27,H$1,$B$1)</f>
        <v>243.52</v>
      </c>
      <c r="I27" s="100">
        <f>_xll.EQNXTDZ($A$1,$B27,I$1,$B$1)</f>
        <v>344.86</v>
      </c>
      <c r="J27" s="100">
        <f>_xll.EQNXTDZ($A$1,$B27,J$1,$B$1)</f>
        <v>509.74</v>
      </c>
      <c r="K27" s="100">
        <f>_xll.EQNXTDZ($A$1,$B27,K$1,$B$1)</f>
        <v>728.32</v>
      </c>
      <c r="L27" s="100">
        <f>_xll.EQNXTDZ($A$1,$B27,L$1,$B$1)</f>
        <v>979.32</v>
      </c>
      <c r="M27" s="100">
        <f>_xll.EQNXTDZ($A$1,$B27,M$1,$B$1)</f>
        <v>1318.88</v>
      </c>
      <c r="N27" s="100">
        <f>_xll.EQNXTDZ($A$1,$B27,N$1,$B$1)</f>
        <v>1580.29</v>
      </c>
      <c r="O27" s="100">
        <f>_xll.EQNXTDZ($A$1,$B27,O$1,$B$1)</f>
        <v>1637.07</v>
      </c>
      <c r="P27" s="100">
        <f>_xll.EQNXTDZ($A$1,$B27,P$1,$B$1)</f>
        <v>1445.82</v>
      </c>
      <c r="Q27" s="100">
        <f>_xll.EQNXTDZ($A$1,$B27,Q$1,$B$1)</f>
        <v>2622.95</v>
      </c>
      <c r="R27" s="100">
        <f>_xll.EQNXTDZ($A$1,$B27,R$1,$B$1)</f>
        <v>1786.73</v>
      </c>
      <c r="S27" s="100">
        <f>_xll.EQNXTDZ($A$1,$B27,S$1,$B$1)</f>
        <v>2369.9299999999998</v>
      </c>
      <c r="T27" s="100">
        <f>_xll.EQNXTDZ($A$1,$B27,T$1,$B$1)</f>
        <v>1928.73</v>
      </c>
      <c r="U27" s="100">
        <f>_xll.EQNXTDZ($A$1,$B27,U$1,$B$1)</f>
        <v>1923.03</v>
      </c>
      <c r="V27" s="100">
        <f>_xll.EQNXTDZ($A$1,$B27,V$1,$B$1)</f>
        <v>2462.27</v>
      </c>
      <c r="W27" s="100">
        <f>_xll.EQNXTDZ($A$1,$B27,W$1,$B$1)</f>
        <v>2904.21</v>
      </c>
      <c r="X27" s="100">
        <f>_xll.EQNXTDZ($A$1,$B27,X$1,$B$1)</f>
        <v>2947.95</v>
      </c>
      <c r="Y27" s="100">
        <f>_xll.EQNXTDZ($A$1,$B27,Y$1,$B$1)</f>
        <v>3502.25</v>
      </c>
      <c r="Z27" s="100">
        <f>_xll.EQNXTDZ($A$1,$B27,Z$1,$B$1)</f>
        <v>3682.33</v>
      </c>
      <c r="AA27" s="100">
        <f>_xll.EQNXTDZ($A$1,$B27,AA$1,$B$1)</f>
        <v>4121.18</v>
      </c>
      <c r="AB27" s="100">
        <f>_xll.EQNXTDZ($A$1,$B27,AB$1,$B$1)</f>
        <v>4364.75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146.66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276.13</v>
      </c>
      <c r="N29" s="100">
        <f>_xll.EQNXTDZ($A$1,$B29,N$1,$B$1)</f>
        <v>56.77</v>
      </c>
      <c r="O29" s="100">
        <f>_xll.EQNXTDZ($A$1,$B29,O$1,$B$1)</f>
        <v>414.87</v>
      </c>
      <c r="P29" s="100">
        <f>_xll.EQNXTDZ($A$1,$B29,P$1,$B$1)</f>
        <v>355.25</v>
      </c>
      <c r="Q29" s="100">
        <f>_xll.EQNXTDZ($A$1,$B29,Q$1,$B$1)</f>
        <v>347.7</v>
      </c>
      <c r="R29" s="100">
        <f>_xll.EQNXTDZ($A$1,$B29,R$1,$B$1)</f>
        <v>94.22</v>
      </c>
      <c r="S29" s="100">
        <f>_xll.EQNXTDZ($A$1,$B29,S$1,$B$1)</f>
        <v>121.43</v>
      </c>
      <c r="T29" s="100">
        <f>_xll.EQNXTDZ($A$1,$B29,T$1,$B$1)</f>
        <v>123</v>
      </c>
      <c r="U29" s="100">
        <f>_xll.EQNXTDZ($A$1,$B29,U$1,$B$1)</f>
        <v>294.75</v>
      </c>
      <c r="V29" s="100">
        <f>_xll.EQNXTDZ($A$1,$B29,V$1,$B$1)</f>
        <v>0</v>
      </c>
      <c r="W29" s="100">
        <f>_xll.EQNXTDZ($A$1,$B29,W$1,$B$1)</f>
        <v>-3556.02</v>
      </c>
      <c r="X29" s="100">
        <f>_xll.EQNXTDZ($A$1,$B29,X$1,$B$1)</f>
        <v>96.93</v>
      </c>
      <c r="Y29" s="100">
        <f>_xll.EQNXTDZ($A$1,$B29,Y$1,$B$1)</f>
        <v>135.99</v>
      </c>
      <c r="Z29" s="100">
        <f>_xll.EQNXTDZ($A$1,$B29,Z$1,$B$1)</f>
        <v>93.61</v>
      </c>
      <c r="AA29" s="100">
        <f>_xll.EQNXTDZ($A$1,$B29,AA$1,$B$1)</f>
        <v>474.78</v>
      </c>
      <c r="AB29" s="100">
        <f>_xll.EQNXTDZ($A$1,$B29,AB$1,$B$1)</f>
        <v>-1722.44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23.64</v>
      </c>
      <c r="D30" s="100">
        <f>_xll.EQNXTDZ($A$1,$B30,D$1,$B$1)</f>
        <v>99.6</v>
      </c>
      <c r="E30" s="100">
        <f>_xll.EQNXTDZ($A$1,$B30,E$1,$B$1)</f>
        <v>95.31</v>
      </c>
      <c r="F30" s="100">
        <f>_xll.EQNXTDZ($A$1,$B30,F$1,$B$1)</f>
        <v>297.01</v>
      </c>
      <c r="G30" s="100">
        <f>_xll.EQNXTDZ($A$1,$B30,G$1,$B$1)</f>
        <v>277.54000000000002</v>
      </c>
      <c r="H30" s="100">
        <f>_xll.EQNXTDZ($A$1,$B30,H$1,$B$1)</f>
        <v>431.34</v>
      </c>
      <c r="I30" s="100">
        <f>_xll.EQNXTDZ($A$1,$B30,I$1,$B$1)</f>
        <v>732.72</v>
      </c>
      <c r="J30" s="100">
        <f>_xll.EQNXTDZ($A$1,$B30,J$1,$B$1)</f>
        <v>1147.1199999999999</v>
      </c>
      <c r="K30" s="100">
        <f>_xll.EQNXTDZ($A$1,$B30,K$1,$B$1)</f>
        <v>1424.87</v>
      </c>
      <c r="L30" s="100">
        <f>_xll.EQNXTDZ($A$1,$B30,L$1,$B$1)</f>
        <v>2037.4</v>
      </c>
      <c r="M30" s="100">
        <f>_xll.EQNXTDZ($A$1,$B30,M$1,$B$1)</f>
        <v>2345.56</v>
      </c>
      <c r="N30" s="100">
        <f>_xll.EQNXTDZ($A$1,$B30,N$1,$B$1)</f>
        <v>2282.5500000000002</v>
      </c>
      <c r="O30" s="100">
        <f>_xll.EQNXTDZ($A$1,$B30,O$1,$B$1)</f>
        <v>2385.54</v>
      </c>
      <c r="P30" s="100">
        <f>_xll.EQNXTDZ($A$1,$B30,P$1,$B$1)</f>
        <v>2607.58</v>
      </c>
      <c r="Q30" s="100">
        <f>_xll.EQNXTDZ($A$1,$B30,Q$1,$B$1)</f>
        <v>2253.2399999999998</v>
      </c>
      <c r="R30" s="100">
        <f>_xll.EQNXTDZ($A$1,$B30,R$1,$B$1)</f>
        <v>2436.96</v>
      </c>
      <c r="S30" s="100">
        <f>_xll.EQNXTDZ($A$1,$B30,S$1,$B$1)</f>
        <v>2006.59</v>
      </c>
      <c r="T30" s="100">
        <f>_xll.EQNXTDZ($A$1,$B30,T$1,$B$1)</f>
        <v>3198.87</v>
      </c>
      <c r="U30" s="100">
        <f>_xll.EQNXTDZ($A$1,$B30,U$1,$B$1)</f>
        <v>4067.09</v>
      </c>
      <c r="V30" s="100">
        <f>_xll.EQNXTDZ($A$1,$B30,V$1,$B$1)</f>
        <v>3263.2</v>
      </c>
      <c r="W30" s="100">
        <f>_xll.EQNXTDZ($A$1,$B30,W$1,$B$1)</f>
        <v>4010.82</v>
      </c>
      <c r="X30" s="100">
        <f>_xll.EQNXTDZ($A$1,$B30,X$1,$B$1)</f>
        <v>4203.92</v>
      </c>
      <c r="Y30" s="100">
        <f>_xll.EQNXTDZ($A$1,$B30,Y$1,$B$1)</f>
        <v>4484.16</v>
      </c>
      <c r="Z30" s="100">
        <f>_xll.EQNXTDZ($A$1,$B30,Z$1,$B$1)</f>
        <v>4947.3900000000003</v>
      </c>
      <c r="AA30" s="100">
        <f>_xll.EQNXTDZ($A$1,$B30,AA$1,$B$1)</f>
        <v>5891.4</v>
      </c>
      <c r="AB30" s="100">
        <f>_xll.EQNXTDZ($A$1,$B30,AB$1,$B$1)</f>
        <v>6816.41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69.75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772.46</v>
      </c>
      <c r="L31" s="100">
        <f>_xll.EQNXTDZ($A$1,$B31,L$1,$B$1)</f>
        <v>135.72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-20.190000000000001</v>
      </c>
      <c r="E32" s="100">
        <f>_xll.EQNXTDZ($A$1,$B32,E$1,$B$1)</f>
        <v>-20.07</v>
      </c>
      <c r="F32" s="100">
        <f>_xll.EQNXTDZ($A$1,$B32,F$1,$B$1)</f>
        <v>-28.03</v>
      </c>
      <c r="G32" s="100">
        <f>_xll.EQNXTDZ($A$1,$B32,G$1,$B$1)</f>
        <v>-63.85</v>
      </c>
      <c r="H32" s="100">
        <f>_xll.EQNXTDZ($A$1,$B32,H$1,$B$1)</f>
        <v>-44.99</v>
      </c>
      <c r="I32" s="100">
        <f>_xll.EQNXTDZ($A$1,$B32,I$1,$B$1)</f>
        <v>-116.15</v>
      </c>
      <c r="J32" s="100">
        <f>_xll.EQNXTDZ($A$1,$B32,J$1,$B$1)</f>
        <v>-68.290000000000006</v>
      </c>
      <c r="K32" s="100">
        <f>_xll.EQNXTDZ($A$1,$B32,K$1,$B$1)</f>
        <v>31.44</v>
      </c>
      <c r="L32" s="100">
        <f>_xll.EQNXTDZ($A$1,$B32,L$1,$B$1)</f>
        <v>-97.53</v>
      </c>
      <c r="M32" s="100">
        <f>_xll.EQNXTDZ($A$1,$B32,M$1,$B$1)</f>
        <v>-78.56</v>
      </c>
      <c r="N32" s="100">
        <f>_xll.EQNXTDZ($A$1,$B32,N$1,$B$1)</f>
        <v>-34.76</v>
      </c>
      <c r="O32" s="100">
        <f>_xll.EQNXTDZ($A$1,$B32,O$1,$B$1)</f>
        <v>-72.180000000000007</v>
      </c>
      <c r="P32" s="100">
        <f>_xll.EQNXTDZ($A$1,$B32,P$1,$B$1)</f>
        <v>38.159999999999997</v>
      </c>
      <c r="Q32" s="100">
        <f>_xll.EQNXTDZ($A$1,$B32,Q$1,$B$1)</f>
        <v>-201.32</v>
      </c>
      <c r="R32" s="100">
        <f>_xll.EQNXTDZ($A$1,$B32,R$1,$B$1)</f>
        <v>-311.82</v>
      </c>
      <c r="S32" s="100">
        <f>_xll.EQNXTDZ($A$1,$B32,S$1,$B$1)</f>
        <v>-444.27</v>
      </c>
      <c r="T32" s="100">
        <f>_xll.EQNXTDZ($A$1,$B32,T$1,$B$1)</f>
        <v>-634.57000000000005</v>
      </c>
      <c r="U32" s="100">
        <f>_xll.EQNXTDZ($A$1,$B32,U$1,$B$1)</f>
        <v>-1311.45</v>
      </c>
      <c r="V32" s="100">
        <f>_xll.EQNXTDZ($A$1,$B32,V$1,$B$1)</f>
        <v>-1345.25</v>
      </c>
      <c r="W32" s="100">
        <f>_xll.EQNXTDZ($A$1,$B32,W$1,$B$1)</f>
        <v>-1338.35</v>
      </c>
      <c r="X32" s="100">
        <f>_xll.EQNXTDZ($A$1,$B32,X$1,$B$1)</f>
        <v>-1749.91</v>
      </c>
      <c r="Y32" s="100">
        <f>_xll.EQNXTDZ($A$1,$B32,Y$1,$B$1)</f>
        <v>-2059.9</v>
      </c>
      <c r="Z32" s="100">
        <f>_xll.EQNXTDZ($A$1,$B32,Z$1,$B$1)</f>
        <v>-2487.9899999999998</v>
      </c>
      <c r="AA32" s="100">
        <f>_xll.EQNXTDZ($A$1,$B32,AA$1,$B$1)</f>
        <v>-2636.22</v>
      </c>
      <c r="AB32" s="100">
        <f>_xll.EQNXTDZ($A$1,$B32,AB$1,$B$1)</f>
        <v>-2869.89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15.66</v>
      </c>
      <c r="F33" s="100">
        <f>_xll.EQNXTDZ($A$1,$B33,F$1,$B$1)</f>
        <v>7.39</v>
      </c>
      <c r="G33" s="100">
        <f>_xll.EQNXTDZ($A$1,$B33,G$1,$B$1)</f>
        <v>-3.8</v>
      </c>
      <c r="H33" s="100">
        <f>_xll.EQNXTDZ($A$1,$B33,H$1,$B$1)</f>
        <v>71.52</v>
      </c>
      <c r="I33" s="100">
        <f>_xll.EQNXTDZ($A$1,$B33,I$1,$B$1)</f>
        <v>95.08</v>
      </c>
      <c r="J33" s="100">
        <f>_xll.EQNXTDZ($A$1,$B33,J$1,$B$1)</f>
        <v>135.83000000000001</v>
      </c>
      <c r="K33" s="100">
        <f>_xll.EQNXTDZ($A$1,$B33,K$1,$B$1)</f>
        <v>50.9</v>
      </c>
      <c r="L33" s="100">
        <f>_xll.EQNXTDZ($A$1,$B33,L$1,$B$1)</f>
        <v>105.95</v>
      </c>
      <c r="M33" s="100">
        <f>_xll.EQNXTDZ($A$1,$B33,M$1,$B$1)</f>
        <v>87.07</v>
      </c>
      <c r="N33" s="100">
        <f>_xll.EQNXTDZ($A$1,$B33,N$1,$B$1)</f>
        <v>46.16</v>
      </c>
      <c r="O33" s="100">
        <f>_xll.EQNXTDZ($A$1,$B33,O$1,$B$1)</f>
        <v>38.43</v>
      </c>
      <c r="P33" s="100">
        <f>_xll.EQNXTDZ($A$1,$B33,P$1,$B$1)</f>
        <v>9.25</v>
      </c>
      <c r="Q33" s="100">
        <f>_xll.EQNXTDZ($A$1,$B33,Q$1,$B$1)</f>
        <v>2.14</v>
      </c>
      <c r="R33" s="100">
        <f>_xll.EQNXTDZ($A$1,$B33,R$1,$B$1)</f>
        <v>-990.16</v>
      </c>
      <c r="S33" s="100">
        <f>_xll.EQNXTDZ($A$1,$B33,S$1,$B$1)</f>
        <v>-395.27</v>
      </c>
      <c r="T33" s="100">
        <f>_xll.EQNXTDZ($A$1,$B33,T$1,$B$1)</f>
        <v>-435.86</v>
      </c>
      <c r="U33" s="100">
        <f>_xll.EQNXTDZ($A$1,$B33,U$1,$B$1)</f>
        <v>-21</v>
      </c>
      <c r="V33" s="100">
        <f>_xll.EQNXTDZ($A$1,$B33,V$1,$B$1)</f>
        <v>71.959999999999994</v>
      </c>
      <c r="W33" s="100">
        <f>_xll.EQNXTDZ($A$1,$B33,W$1,$B$1)</f>
        <v>14.4</v>
      </c>
      <c r="X33" s="100">
        <f>_xll.EQNXTDZ($A$1,$B33,X$1,$B$1)</f>
        <v>128.19</v>
      </c>
      <c r="Y33" s="100">
        <f>_xll.EQNXTDZ($A$1,$B33,Y$1,$B$1)</f>
        <v>-94.25</v>
      </c>
      <c r="Z33" s="100">
        <f>_xll.EQNXTDZ($A$1,$B33,Z$1,$B$1)</f>
        <v>-22.62</v>
      </c>
      <c r="AA33" s="100">
        <f>_xll.EQNXTDZ($A$1,$B33,AA$1,$B$1)</f>
        <v>-14.06</v>
      </c>
      <c r="AB33" s="100">
        <f>_xll.EQNXTDZ($A$1,$B33,AB$1,$B$1)</f>
        <v>-205.52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-3.61</v>
      </c>
      <c r="G34" s="100">
        <f>_xll.EQNXTDZ($A$1,$B34,G$1,$B$1)</f>
        <v>-10.53</v>
      </c>
      <c r="H34" s="100">
        <f>_xll.EQNXTDZ($A$1,$B34,H$1,$B$1)</f>
        <v>-15.98</v>
      </c>
      <c r="I34" s="100">
        <f>_xll.EQNXTDZ($A$1,$B34,I$1,$B$1)</f>
        <v>-11.1</v>
      </c>
      <c r="J34" s="100">
        <f>_xll.EQNXTDZ($A$1,$B34,J$1,$B$1)</f>
        <v>-13.68</v>
      </c>
      <c r="K34" s="100">
        <f>_xll.EQNXTDZ($A$1,$B34,K$1,$B$1)</f>
        <v>-0.8</v>
      </c>
      <c r="L34" s="100">
        <f>_xll.EQNXTDZ($A$1,$B34,L$1,$B$1)</f>
        <v>-1.35</v>
      </c>
      <c r="M34" s="100">
        <f>_xll.EQNXTDZ($A$1,$B34,M$1,$B$1)</f>
        <v>-7.49</v>
      </c>
      <c r="N34" s="100">
        <f>_xll.EQNXTDZ($A$1,$B34,N$1,$B$1)</f>
        <v>-8.67</v>
      </c>
      <c r="O34" s="100">
        <f>_xll.EQNXTDZ($A$1,$B34,O$1,$B$1)</f>
        <v>-12.96</v>
      </c>
      <c r="P34" s="100">
        <f>_xll.EQNXTDZ($A$1,$B34,P$1,$B$1)</f>
        <v>-20.81</v>
      </c>
      <c r="Q34" s="100">
        <f>_xll.EQNXTDZ($A$1,$B34,Q$1,$B$1)</f>
        <v>0</v>
      </c>
      <c r="R34" s="100">
        <f>_xll.EQNXTDZ($A$1,$B34,R$1,$B$1)</f>
        <v>-47.8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315.06</v>
      </c>
      <c r="D35" s="100">
        <f>_xll.EQNXTDZ($A$1,$B35,D$1,$B$1)</f>
        <v>293.70999999999998</v>
      </c>
      <c r="E35" s="100">
        <f>_xll.EQNXTDZ($A$1,$B35,E$1,$B$1)</f>
        <v>380.18</v>
      </c>
      <c r="F35" s="100">
        <f>_xll.EQNXTDZ($A$1,$B35,F$1,$B$1)</f>
        <v>746.81</v>
      </c>
      <c r="G35" s="100">
        <f>_xll.EQNXTDZ($A$1,$B35,G$1,$B$1)</f>
        <v>1049.51</v>
      </c>
      <c r="H35" s="100">
        <f>_xll.EQNXTDZ($A$1,$B35,H$1,$B$1)</f>
        <v>1317.21</v>
      </c>
      <c r="I35" s="100">
        <f>_xll.EQNXTDZ($A$1,$B35,I$1,$B$1)</f>
        <v>2240.14</v>
      </c>
      <c r="J35" s="100">
        <f>_xll.EQNXTDZ($A$1,$B35,J$1,$B$1)</f>
        <v>2325.36</v>
      </c>
      <c r="K35" s="100">
        <f>_xll.EQNXTDZ($A$1,$B35,K$1,$B$1)</f>
        <v>3789.46</v>
      </c>
      <c r="L35" s="100">
        <f>_xll.EQNXTDZ($A$1,$B35,L$1,$B$1)</f>
        <v>5450.74</v>
      </c>
      <c r="M35" s="100">
        <f>_xll.EQNXTDZ($A$1,$B35,M$1,$B$1)</f>
        <v>4456.17</v>
      </c>
      <c r="N35" s="100">
        <f>_xll.EQNXTDZ($A$1,$B35,N$1,$B$1)</f>
        <v>4693.6899999999996</v>
      </c>
      <c r="O35" s="100">
        <f>_xll.EQNXTDZ($A$1,$B35,O$1,$B$1)</f>
        <v>5205.67</v>
      </c>
      <c r="P35" s="100">
        <f>_xll.EQNXTDZ($A$1,$B35,P$1,$B$1)</f>
        <v>4902</v>
      </c>
      <c r="Q35" s="100">
        <f>_xll.EQNXTDZ($A$1,$B35,Q$1,$B$1)</f>
        <v>4764.82</v>
      </c>
      <c r="R35" s="100">
        <f>_xll.EQNXTDZ($A$1,$B35,R$1,$B$1)</f>
        <v>4232.88</v>
      </c>
      <c r="S35" s="100">
        <f>_xll.EQNXTDZ($A$1,$B35,S$1,$B$1)</f>
        <v>6041.23</v>
      </c>
      <c r="T35" s="100">
        <f>_xll.EQNXTDZ($A$1,$B35,T$1,$B$1)</f>
        <v>7369.86</v>
      </c>
      <c r="U35" s="100">
        <f>_xll.EQNXTDZ($A$1,$B35,U$1,$B$1)</f>
        <v>8905.1299999999992</v>
      </c>
      <c r="V35" s="100">
        <f>_xll.EQNXTDZ($A$1,$B35,V$1,$B$1)</f>
        <v>9549.0300000000007</v>
      </c>
      <c r="W35" s="100">
        <f>_xll.EQNXTDZ($A$1,$B35,W$1,$B$1)</f>
        <v>11582.93</v>
      </c>
      <c r="X35" s="100">
        <f>_xll.EQNXTDZ($A$1,$B35,X$1,$B$1)</f>
        <v>8669.33</v>
      </c>
      <c r="Y35" s="100">
        <f>_xll.EQNXTDZ($A$1,$B35,Y$1,$B$1)</f>
        <v>10470.719999999999</v>
      </c>
      <c r="Z35" s="100">
        <f>_xll.EQNXTDZ($A$1,$B35,Z$1,$B$1)</f>
        <v>13059.11</v>
      </c>
      <c r="AA35" s="100">
        <f>_xll.EQNXTDZ($A$1,$B35,AA$1,$B$1)</f>
        <v>15037.11</v>
      </c>
      <c r="AB35" s="100">
        <f>_xll.EQNXTDZ($A$1,$B35,AB$1,$B$1)</f>
        <v>16083.99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569.33000000000004</v>
      </c>
      <c r="V36" s="100">
        <f>_xll.EQNXTDZ($A$1,$B36,V$1,$B$1)</f>
        <v>654.57000000000005</v>
      </c>
      <c r="W36" s="100">
        <f>_xll.EQNXTDZ($A$1,$B36,W$1,$B$1)</f>
        <v>8237.92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248.65</v>
      </c>
      <c r="D41" s="55">
        <f>_xll.EQNXTDZ($A$1,$B41,D$1,$B$1)</f>
        <v>248.66</v>
      </c>
      <c r="E41" s="55">
        <f>_xll.EQNXTDZ($A$1,$B41,E$1,$B$1)</f>
        <v>248.67</v>
      </c>
      <c r="F41" s="55">
        <f>_xll.EQNXTDZ($A$1,$B41,F$1,$B$1)</f>
        <v>24.88</v>
      </c>
      <c r="G41" s="55">
        <f>_xll.EQNXTDZ($A$1,$B41,G$1,$B$1)</f>
        <v>25.98</v>
      </c>
      <c r="H41" s="55">
        <f>_xll.EQNXTDZ($A$1,$B41,H$1,$B$1)</f>
        <v>27.48</v>
      </c>
      <c r="I41" s="55">
        <f>_xll.EQNXTDZ($A$1,$B41,I$1,$B$1)</f>
        <v>56.65</v>
      </c>
      <c r="J41" s="55">
        <f>_xll.EQNXTDZ($A$1,$B41,J$1,$B$1)</f>
        <v>58.47</v>
      </c>
      <c r="K41" s="55">
        <f>_xll.EQNXTDZ($A$1,$B41,K$1,$B$1)</f>
        <v>117.14</v>
      </c>
      <c r="L41" s="55">
        <f>_xll.EQNXTDZ($A$1,$B41,L$1,$B$1)</f>
        <v>120.44</v>
      </c>
      <c r="M41" s="55">
        <f>_xll.EQNXTDZ($A$1,$B41,M$1,$B$1)</f>
        <v>121.77</v>
      </c>
      <c r="N41" s="55">
        <f>_xll.EQNXTDZ($A$1,$B41,N$1,$B$1)</f>
        <v>122.48</v>
      </c>
      <c r="O41" s="55">
        <f>_xll.EQNXTDZ($A$1,$B41,O$1,$B$1)</f>
        <v>123.08</v>
      </c>
      <c r="P41" s="55">
        <f>_xll.EQNXTDZ($A$1,$B41,P$1,$B$1)</f>
        <v>185.38</v>
      </c>
      <c r="Q41" s="55">
        <f>_xll.EQNXTDZ($A$1,$B41,Q$1,$B$1)</f>
        <v>185.91</v>
      </c>
      <c r="R41" s="55">
        <f>_xll.EQNXTDZ($A$1,$B41,R$1,$B$1)</f>
        <v>186.3</v>
      </c>
      <c r="S41" s="55">
        <f>_xll.EQNXTDZ($A$1,$B41,S$1,$B$1)</f>
        <v>186.59</v>
      </c>
      <c r="T41" s="55">
        <f>_xll.EQNXTDZ($A$1,$B41,T$1,$B$1)</f>
        <v>280.27</v>
      </c>
      <c r="U41" s="55">
        <f>_xll.EQNXTDZ($A$1,$B41,U$1,$B$1)</f>
        <v>280.55</v>
      </c>
      <c r="V41" s="55">
        <f>_xll.EQNXTDZ($A$1,$B41,V$1,$B$1)</f>
        <v>280.77999999999997</v>
      </c>
      <c r="W41" s="55">
        <f>_xll.EQNXTDZ($A$1,$B41,W$1,$B$1)</f>
        <v>280.91000000000003</v>
      </c>
      <c r="X41" s="55">
        <f>_xll.EQNXTDZ($A$1,$B41,X$1,$B$1)</f>
        <v>281.01</v>
      </c>
      <c r="Y41" s="55">
        <f>_xll.EQNXTDZ($A$1,$B41,Y$1,$B$1)</f>
        <v>281.10000000000002</v>
      </c>
      <c r="Z41" s="55">
        <f>_xll.EQNXTDZ($A$1,$B41,Z$1,$B$1)</f>
        <v>274.93</v>
      </c>
      <c r="AA41" s="55">
        <f>_xll.EQNXTDZ($A$1,$B41,AA$1,$B$1)</f>
        <v>275.04000000000002</v>
      </c>
      <c r="AB41" s="55">
        <f>_xll.EQNXTDZ($A$1,$B41,AB$1,$B$1)</f>
        <v>275.13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0.11</v>
      </c>
      <c r="E42" s="55">
        <f>_xll.EQNXTDZ($A$1,$B42,E$1,$B$1)</f>
        <v>0.04</v>
      </c>
      <c r="F42" s="55">
        <f>_xll.EQNXTDZ($A$1,$B42,F$1,$B$1)</f>
        <v>0</v>
      </c>
      <c r="G42" s="55">
        <f>_xll.EQNXTDZ($A$1,$B42,G$1,$B$1)</f>
        <v>28.19</v>
      </c>
      <c r="H42" s="55">
        <f>_xll.EQNXTDZ($A$1,$B42,H$1,$B$1)</f>
        <v>34.99</v>
      </c>
      <c r="I42" s="55">
        <f>_xll.EQNXTDZ($A$1,$B42,I$1,$B$1)</f>
        <v>79.41</v>
      </c>
      <c r="J42" s="55">
        <f>_xll.EQNXTDZ($A$1,$B42,J$1,$B$1)</f>
        <v>144.31</v>
      </c>
      <c r="K42" s="55">
        <f>_xll.EQNXTDZ($A$1,$B42,K$1,$B$1)</f>
        <v>272.47000000000003</v>
      </c>
      <c r="L42" s="55">
        <f>_xll.EQNXTDZ($A$1,$B42,L$1,$B$1)</f>
        <v>349.45</v>
      </c>
      <c r="M42" s="55">
        <f>_xll.EQNXTDZ($A$1,$B42,M$1,$B$1)</f>
        <v>413.85</v>
      </c>
      <c r="N42" s="55">
        <f>_xll.EQNXTDZ($A$1,$B42,N$1,$B$1)</f>
        <v>483.18</v>
      </c>
      <c r="O42" s="55">
        <f>_xll.EQNXTDZ($A$1,$B42,O$1,$B$1)</f>
        <v>446.92</v>
      </c>
      <c r="P42" s="55">
        <f>_xll.EQNXTDZ($A$1,$B42,P$1,$B$1)</f>
        <v>376.79</v>
      </c>
      <c r="Q42" s="55">
        <f>_xll.EQNXTDZ($A$1,$B42,Q$1,$B$1)</f>
        <v>305.10000000000002</v>
      </c>
      <c r="R42" s="55">
        <f>_xll.EQNXTDZ($A$1,$B42,R$1,$B$1)</f>
        <v>282.22000000000003</v>
      </c>
      <c r="S42" s="55">
        <f>_xll.EQNXTDZ($A$1,$B42,S$1,$B$1)</f>
        <v>303.25</v>
      </c>
      <c r="T42" s="55">
        <f>_xll.EQNXTDZ($A$1,$B42,T$1,$B$1)</f>
        <v>317.12</v>
      </c>
      <c r="U42" s="55">
        <f>_xll.EQNXTDZ($A$1,$B42,U$1,$B$1)</f>
        <v>337.05</v>
      </c>
      <c r="V42" s="55">
        <f>_xll.EQNXTDZ($A$1,$B42,V$1,$B$1)</f>
        <v>401.49</v>
      </c>
      <c r="W42" s="55">
        <f>_xll.EQNXTDZ($A$1,$B42,W$1,$B$1)</f>
        <v>383.6</v>
      </c>
      <c r="X42" s="55">
        <f>_xll.EQNXTDZ($A$1,$B42,X$1,$B$1)</f>
        <v>371.65</v>
      </c>
      <c r="Y42" s="55">
        <f>_xll.EQNXTDZ($A$1,$B42,Y$1,$B$1)</f>
        <v>467.09</v>
      </c>
      <c r="Z42" s="55">
        <f>_xll.EQNXTDZ($A$1,$B42,Z$1,$B$1)</f>
        <v>550.54</v>
      </c>
      <c r="AA42" s="55">
        <f>_xll.EQNXTDZ($A$1,$B42,AA$1,$B$1)</f>
        <v>499.36</v>
      </c>
      <c r="AB42" s="55">
        <f>_xll.EQNXTDZ($A$1,$B42,AB$1,$B$1)</f>
        <v>342.18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3750.76</v>
      </c>
      <c r="D43" s="55">
        <f>_xll.EQNXTDZ($A$1,$B43,D$1,$B$1)</f>
        <v>2888.79</v>
      </c>
      <c r="E43" s="55">
        <f>_xll.EQNXTDZ($A$1,$B43,E$1,$B$1)</f>
        <v>2967.89</v>
      </c>
      <c r="F43" s="55">
        <f>_xll.EQNXTDZ($A$1,$B43,F$1,$B$1)</f>
        <v>2622.44</v>
      </c>
      <c r="G43" s="55">
        <f>_xll.EQNXTDZ($A$1,$B43,G$1,$B$1)</f>
        <v>3261.76</v>
      </c>
      <c r="H43" s="55">
        <f>_xll.EQNXTDZ($A$1,$B43,H$1,$B$1)</f>
        <v>4902.01</v>
      </c>
      <c r="I43" s="55">
        <f>_xll.EQNXTDZ($A$1,$B43,I$1,$B$1)</f>
        <v>6785.49</v>
      </c>
      <c r="J43" s="55">
        <f>_xll.EQNXTDZ($A$1,$B43,J$1,$B$1)</f>
        <v>10628.33</v>
      </c>
      <c r="K43" s="55">
        <f>_xll.EQNXTDZ($A$1,$B43,K$1,$B$1)</f>
        <v>13598.09</v>
      </c>
      <c r="L43" s="55">
        <f>_xll.EQNXTDZ($A$1,$B43,L$1,$B$1)</f>
        <v>20521.37</v>
      </c>
      <c r="M43" s="55">
        <f>_xll.EQNXTDZ($A$1,$B43,M$1,$B$1)</f>
        <v>24514.93</v>
      </c>
      <c r="N43" s="55">
        <f>_xll.EQNXTDZ($A$1,$B43,N$1,$B$1)</f>
        <v>28781.119999999999</v>
      </c>
      <c r="O43" s="55">
        <f>_xll.EQNXTDZ($A$1,$B43,O$1,$B$1)</f>
        <v>33289.69</v>
      </c>
      <c r="P43" s="55">
        <f>_xll.EQNXTDZ($A$1,$B43,P$1,$B$1)</f>
        <v>37149.440000000002</v>
      </c>
      <c r="Q43" s="55">
        <f>_xll.EQNXTDZ($A$1,$B43,Q$1,$B$1)</f>
        <v>40418.06</v>
      </c>
      <c r="R43" s="55">
        <f>_xll.EQNXTDZ($A$1,$B43,R$1,$B$1)</f>
        <v>43711.839999999997</v>
      </c>
      <c r="S43" s="55">
        <f>_xll.EQNXTDZ($A$1,$B43,S$1,$B$1)</f>
        <v>49726.68</v>
      </c>
      <c r="T43" s="55">
        <f>_xll.EQNXTDZ($A$1,$B43,T$1,$B$1)</f>
        <v>54306.11</v>
      </c>
      <c r="U43" s="55">
        <f>_xll.EQNXTDZ($A$1,$B43,U$1,$B$1)</f>
        <v>61757.2</v>
      </c>
      <c r="V43" s="55">
        <f>_xll.EQNXTDZ($A$1,$B43,V$1,$B$1)</f>
        <v>66040.95</v>
      </c>
      <c r="W43" s="55">
        <f>_xll.EQNXTDZ($A$1,$B43,W$1,$B$1)</f>
        <v>75204.02</v>
      </c>
      <c r="X43" s="55">
        <f>_xll.EQNXTDZ($A$1,$B43,X$1,$B$1)</f>
        <v>81755</v>
      </c>
      <c r="Y43" s="55">
        <f>_xll.EQNXTDZ($A$1,$B43,Y$1,$B$1)</f>
        <v>88577.76</v>
      </c>
      <c r="Z43" s="55">
        <f>_xll.EQNXTDZ($A$1,$B43,Z$1,$B$1)</f>
        <v>85533.77</v>
      </c>
      <c r="AA43" s="55">
        <f>_xll.EQNXTDZ($A$1,$B43,AA$1,$B$1)</f>
        <v>96881.2</v>
      </c>
      <c r="AB43" s="55">
        <f>_xll.EQNXTDZ($A$1,$B43,AB$1,$B$1)</f>
        <v>108672.49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3999.41</v>
      </c>
      <c r="D44" s="55">
        <f>_xll.EQNXTDZ($A$1,$B44,D$1,$B$1)</f>
        <v>3137.56</v>
      </c>
      <c r="E44" s="55">
        <f>_xll.EQNXTDZ($A$1,$B44,E$1,$B$1)</f>
        <v>3216.6</v>
      </c>
      <c r="F44" s="55">
        <f>_xll.EQNXTDZ($A$1,$B44,F$1,$B$1)</f>
        <v>2647.32</v>
      </c>
      <c r="G44" s="55">
        <f>_xll.EQNXTDZ($A$1,$B44,G$1,$B$1)</f>
        <v>3315.93</v>
      </c>
      <c r="H44" s="55">
        <f>_xll.EQNXTDZ($A$1,$B44,H$1,$B$1)</f>
        <v>4964.4799999999996</v>
      </c>
      <c r="I44" s="55">
        <f>_xll.EQNXTDZ($A$1,$B44,I$1,$B$1)</f>
        <v>6921.55</v>
      </c>
      <c r="J44" s="55">
        <f>_xll.EQNXTDZ($A$1,$B44,J$1,$B$1)</f>
        <v>10831.11</v>
      </c>
      <c r="K44" s="55">
        <f>_xll.EQNXTDZ($A$1,$B44,K$1,$B$1)</f>
        <v>13987.7</v>
      </c>
      <c r="L44" s="55">
        <f>_xll.EQNXTDZ($A$1,$B44,L$1,$B$1)</f>
        <v>20991.26</v>
      </c>
      <c r="M44" s="55">
        <f>_xll.EQNXTDZ($A$1,$B44,M$1,$B$1)</f>
        <v>25050.55</v>
      </c>
      <c r="N44" s="55">
        <f>_xll.EQNXTDZ($A$1,$B44,N$1,$B$1)</f>
        <v>29386.78</v>
      </c>
      <c r="O44" s="55">
        <f>_xll.EQNXTDZ($A$1,$B44,O$1,$B$1)</f>
        <v>33859.69</v>
      </c>
      <c r="P44" s="55">
        <f>_xll.EQNXTDZ($A$1,$B44,P$1,$B$1)</f>
        <v>37711.61</v>
      </c>
      <c r="Q44" s="55">
        <f>_xll.EQNXTDZ($A$1,$B44,Q$1,$B$1)</f>
        <v>40909.07</v>
      </c>
      <c r="R44" s="55">
        <f>_xll.EQNXTDZ($A$1,$B44,R$1,$B$1)</f>
        <v>44180.36</v>
      </c>
      <c r="S44" s="55">
        <f>_xll.EQNXTDZ($A$1,$B44,S$1,$B$1)</f>
        <v>50216.52</v>
      </c>
      <c r="T44" s="55">
        <f>_xll.EQNXTDZ($A$1,$B44,T$1,$B$1)</f>
        <v>54903.5</v>
      </c>
      <c r="U44" s="55">
        <f>_xll.EQNXTDZ($A$1,$B44,U$1,$B$1)</f>
        <v>62374.8</v>
      </c>
      <c r="V44" s="55">
        <f>_xll.EQNXTDZ($A$1,$B44,V$1,$B$1)</f>
        <v>66723.22</v>
      </c>
      <c r="W44" s="55">
        <f>_xll.EQNXTDZ($A$1,$B44,W$1,$B$1)</f>
        <v>75868.53</v>
      </c>
      <c r="X44" s="55">
        <f>_xll.EQNXTDZ($A$1,$B44,X$1,$B$1)</f>
        <v>82407.66</v>
      </c>
      <c r="Y44" s="55">
        <f>_xll.EQNXTDZ($A$1,$B44,Y$1,$B$1)</f>
        <v>89325.95</v>
      </c>
      <c r="Z44" s="55">
        <f>_xll.EQNXTDZ($A$1,$B44,Z$1,$B$1)</f>
        <v>86359.24</v>
      </c>
      <c r="AA44" s="55">
        <f>_xll.EQNXTDZ($A$1,$B44,AA$1,$B$1)</f>
        <v>97655.6</v>
      </c>
      <c r="AB44" s="55">
        <f>_xll.EQNXTDZ($A$1,$B44,AB$1,$B$1)</f>
        <v>109289.8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44.4</v>
      </c>
      <c r="E45" s="55">
        <f>_xll.EQNXTDZ($A$1,$B45,E$1,$B$1)</f>
        <v>50.15</v>
      </c>
      <c r="F45" s="55">
        <f>_xll.EQNXTDZ($A$1,$B45,F$1,$B$1)</f>
        <v>54.08</v>
      </c>
      <c r="G45" s="55">
        <f>_xll.EQNXTDZ($A$1,$B45,G$1,$B$1)</f>
        <v>104.77</v>
      </c>
      <c r="H45" s="55">
        <f>_xll.EQNXTDZ($A$1,$B45,H$1,$B$1)</f>
        <v>106.63</v>
      </c>
      <c r="I45" s="55">
        <f>_xll.EQNXTDZ($A$1,$B45,I$1,$B$1)</f>
        <v>645.70000000000005</v>
      </c>
      <c r="J45" s="55">
        <f>_xll.EQNXTDZ($A$1,$B45,J$1,$B$1)</f>
        <v>922.62</v>
      </c>
      <c r="K45" s="55">
        <f>_xll.EQNXTDZ($A$1,$B45,K$1,$B$1)</f>
        <v>1058.58</v>
      </c>
      <c r="L45" s="55">
        <f>_xll.EQNXTDZ($A$1,$B45,L$1,$B$1)</f>
        <v>1087.25</v>
      </c>
      <c r="M45" s="55">
        <f>_xll.EQNXTDZ($A$1,$B45,M$1,$B$1)</f>
        <v>1026</v>
      </c>
      <c r="N45" s="55">
        <f>_xll.EQNXTDZ($A$1,$B45,N$1,$B$1)</f>
        <v>1753.46</v>
      </c>
      <c r="O45" s="55">
        <f>_xll.EQNXTDZ($A$1,$B45,O$1,$B$1)</f>
        <v>2652.87</v>
      </c>
      <c r="P45" s="55">
        <f>_xll.EQNXTDZ($A$1,$B45,P$1,$B$1)</f>
        <v>3179.18</v>
      </c>
      <c r="Q45" s="55">
        <f>_xll.EQNXTDZ($A$1,$B45,Q$1,$B$1)</f>
        <v>4998.62</v>
      </c>
      <c r="R45" s="55">
        <f>_xll.EQNXTDZ($A$1,$B45,R$1,$B$1)</f>
        <v>2892.84</v>
      </c>
      <c r="S45" s="55">
        <f>_xll.EQNXTDZ($A$1,$B45,S$1,$B$1)</f>
        <v>3563.6</v>
      </c>
      <c r="T45" s="55">
        <f>_xll.EQNXTDZ($A$1,$B45,T$1,$B$1)</f>
        <v>5201.43</v>
      </c>
      <c r="U45" s="55">
        <f>_xll.EQNXTDZ($A$1,$B45,U$1,$B$1)</f>
        <v>6826.11</v>
      </c>
      <c r="V45" s="55">
        <f>_xll.EQNXTDZ($A$1,$B45,V$1,$B$1)</f>
        <v>9520.83</v>
      </c>
      <c r="W45" s="55">
        <f>_xll.EQNXTDZ($A$1,$B45,W$1,$B$1)</f>
        <v>12051.53</v>
      </c>
      <c r="X45" s="55">
        <f>_xll.EQNXTDZ($A$1,$B45,X$1,$B$1)</f>
        <v>12966.07</v>
      </c>
      <c r="Y45" s="55">
        <f>_xll.EQNXTDZ($A$1,$B45,Y$1,$B$1)</f>
        <v>14241.27</v>
      </c>
      <c r="Z45" s="55">
        <f>_xll.EQNXTDZ($A$1,$B45,Z$1,$B$1)</f>
        <v>16190.42</v>
      </c>
      <c r="AA45" s="55">
        <f>_xll.EQNXTDZ($A$1,$B45,AA$1,$B$1)</f>
        <v>17748.080000000002</v>
      </c>
      <c r="AB45" s="55">
        <f>_xll.EQNXTDZ($A$1,$B45,AB$1,$B$1)</f>
        <v>19240.66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3001.95</v>
      </c>
      <c r="D47" s="55">
        <f>_xll.EQNXTDZ($A$1,$B47,D$1,$B$1)</f>
        <v>4081.21</v>
      </c>
      <c r="E47" s="55">
        <f>_xll.EQNXTDZ($A$1,$B47,E$1,$B$1)</f>
        <v>3979.65</v>
      </c>
      <c r="F47" s="55">
        <f>_xll.EQNXTDZ($A$1,$B47,F$1,$B$1)</f>
        <v>2269.06</v>
      </c>
      <c r="G47" s="55">
        <f>_xll.EQNXTDZ($A$1,$B47,G$1,$B$1)</f>
        <v>1848.28</v>
      </c>
      <c r="H47" s="55">
        <f>_xll.EQNXTDZ($A$1,$B47,H$1,$B$1)</f>
        <v>1911.43</v>
      </c>
      <c r="I47" s="55">
        <f>_xll.EQNXTDZ($A$1,$B47,I$1,$B$1)</f>
        <v>3109.04</v>
      </c>
      <c r="J47" s="55">
        <f>_xll.EQNXTDZ($A$1,$B47,J$1,$B$1)</f>
        <v>6756.16</v>
      </c>
      <c r="K47" s="55">
        <f>_xll.EQNXTDZ($A$1,$B47,K$1,$B$1)</f>
        <v>12465.03</v>
      </c>
      <c r="L47" s="55">
        <f>_xll.EQNXTDZ($A$1,$B47,L$1,$B$1)</f>
        <v>16120.68</v>
      </c>
      <c r="M47" s="55">
        <f>_xll.EQNXTDZ($A$1,$B47,M$1,$B$1)</f>
        <v>19422.98</v>
      </c>
      <c r="N47" s="55">
        <f>_xll.EQNXTDZ($A$1,$B47,N$1,$B$1)</f>
        <v>28900.29</v>
      </c>
      <c r="O47" s="55">
        <f>_xll.EQNXTDZ($A$1,$B47,O$1,$B$1)</f>
        <v>33288.720000000001</v>
      </c>
      <c r="P47" s="55">
        <f>_xll.EQNXTDZ($A$1,$B47,P$1,$B$1)</f>
        <v>41673.74</v>
      </c>
      <c r="Q47" s="55">
        <f>_xll.EQNXTDZ($A$1,$B47,Q$1,$B$1)</f>
        <v>44225.27</v>
      </c>
      <c r="R47" s="55">
        <f>_xll.EQNXTDZ($A$1,$B47,R$1,$B$1)</f>
        <v>36521.71</v>
      </c>
      <c r="S47" s="55">
        <f>_xll.EQNXTDZ($A$1,$B47,S$1,$B$1)</f>
        <v>42321.55</v>
      </c>
      <c r="T47" s="55">
        <f>_xll.EQNXTDZ($A$1,$B47,T$1,$B$1)</f>
        <v>49092.72</v>
      </c>
      <c r="U47" s="55">
        <f>_xll.EQNXTDZ($A$1,$B47,U$1,$B$1)</f>
        <v>57298.2</v>
      </c>
      <c r="V47" s="55">
        <f>_xll.EQNXTDZ($A$1,$B47,V$1,$B$1)</f>
        <v>66520.2</v>
      </c>
      <c r="W47" s="55">
        <f>_xll.EQNXTDZ($A$1,$B47,W$1,$B$1)</f>
        <v>58497.68</v>
      </c>
      <c r="X47" s="55">
        <f>_xll.EQNXTDZ($A$1,$B47,X$1,$B$1)</f>
        <v>44602.91</v>
      </c>
      <c r="Y47" s="55">
        <f>_xll.EQNXTDZ($A$1,$B47,Y$1,$B$1)</f>
        <v>49204</v>
      </c>
      <c r="Z47" s="55">
        <f>_xll.EQNXTDZ($A$1,$B47,Z$1,$B$1)</f>
        <v>42472.94</v>
      </c>
      <c r="AA47" s="55">
        <f>_xll.EQNXTDZ($A$1,$B47,AA$1,$B$1)</f>
        <v>47255.22</v>
      </c>
      <c r="AB47" s="55">
        <f>_xll.EQNXTDZ($A$1,$B47,AB$1,$B$1)</f>
        <v>53514.83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1261.44</v>
      </c>
      <c r="D48" s="55">
        <f>_xll.EQNXTDZ($A$1,$B48,D$1,$B$1)</f>
        <v>896.88</v>
      </c>
      <c r="E48" s="55">
        <f>_xll.EQNXTDZ($A$1,$B48,E$1,$B$1)</f>
        <v>721.24</v>
      </c>
      <c r="F48" s="55">
        <f>_xll.EQNXTDZ($A$1,$B48,F$1,$B$1)</f>
        <v>500.16</v>
      </c>
      <c r="G48" s="55">
        <f>_xll.EQNXTDZ($A$1,$B48,G$1,$B$1)</f>
        <v>1605.55</v>
      </c>
      <c r="H48" s="55">
        <f>_xll.EQNXTDZ($A$1,$B48,H$1,$B$1)</f>
        <v>1587.26</v>
      </c>
      <c r="I48" s="55">
        <f>_xll.EQNXTDZ($A$1,$B48,I$1,$B$1)</f>
        <v>3323.18</v>
      </c>
      <c r="J48" s="55">
        <f>_xll.EQNXTDZ($A$1,$B48,J$1,$B$1)</f>
        <v>5559.77</v>
      </c>
      <c r="K48" s="55">
        <f>_xll.EQNXTDZ($A$1,$B48,K$1,$B$1)</f>
        <v>7905.01</v>
      </c>
      <c r="L48" s="55">
        <f>_xll.EQNXTDZ($A$1,$B48,L$1,$B$1)</f>
        <v>8486.64</v>
      </c>
      <c r="M48" s="55">
        <f>_xll.EQNXTDZ($A$1,$B48,M$1,$B$1)</f>
        <v>9835.83</v>
      </c>
      <c r="N48" s="55">
        <f>_xll.EQNXTDZ($A$1,$B48,N$1,$B$1)</f>
        <v>11709.71</v>
      </c>
      <c r="O48" s="55">
        <f>_xll.EQNXTDZ($A$1,$B48,O$1,$B$1)</f>
        <v>17584.87</v>
      </c>
      <c r="P48" s="55">
        <f>_xll.EQNXTDZ($A$1,$B48,P$1,$B$1)</f>
        <v>16737.900000000001</v>
      </c>
      <c r="Q48" s="55">
        <f>_xll.EQNXTDZ($A$1,$B48,Q$1,$B$1)</f>
        <v>24243.49</v>
      </c>
      <c r="R48" s="55">
        <f>_xll.EQNXTDZ($A$1,$B48,R$1,$B$1)</f>
        <v>24702.13</v>
      </c>
      <c r="S48" s="55">
        <f>_xll.EQNXTDZ($A$1,$B48,S$1,$B$1)</f>
        <v>25019.03</v>
      </c>
      <c r="T48" s="55">
        <f>_xll.EQNXTDZ($A$1,$B48,T$1,$B$1)</f>
        <v>23822.04</v>
      </c>
      <c r="U48" s="55">
        <f>_xll.EQNXTDZ($A$1,$B48,U$1,$B$1)</f>
        <v>16822.59</v>
      </c>
      <c r="V48" s="55">
        <f>_xll.EQNXTDZ($A$1,$B48,V$1,$B$1)</f>
        <v>15811.13</v>
      </c>
      <c r="W48" s="55">
        <f>_xll.EQNXTDZ($A$1,$B48,W$1,$B$1)</f>
        <v>23622.36</v>
      </c>
      <c r="X48" s="55">
        <f>_xll.EQNXTDZ($A$1,$B48,X$1,$B$1)</f>
        <v>17015.400000000001</v>
      </c>
      <c r="Y48" s="55">
        <f>_xll.EQNXTDZ($A$1,$B48,Y$1,$B$1)</f>
        <v>12013.68</v>
      </c>
      <c r="Z48" s="55">
        <f>_xll.EQNXTDZ($A$1,$B48,Z$1,$B$1)</f>
        <v>14034.03</v>
      </c>
      <c r="AA48" s="55">
        <f>_xll.EQNXTDZ($A$1,$B48,AA$1,$B$1)</f>
        <v>10248.120000000001</v>
      </c>
      <c r="AB48" s="55">
        <f>_xll.EQNXTDZ($A$1,$B48,AB$1,$B$1)</f>
        <v>10223.76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927.92</v>
      </c>
      <c r="E49" s="55">
        <f>_xll.EQNXTDZ($A$1,$B49,E$1,$B$1)</f>
        <v>913.01</v>
      </c>
      <c r="F49" s="55">
        <f>_xll.EQNXTDZ($A$1,$B49,F$1,$B$1)</f>
        <v>213.51</v>
      </c>
      <c r="G49" s="55">
        <f>_xll.EQNXTDZ($A$1,$B49,G$1,$B$1)</f>
        <v>137.58000000000001</v>
      </c>
      <c r="H49" s="55">
        <f>_xll.EQNXTDZ($A$1,$B49,H$1,$B$1)</f>
        <v>126.75</v>
      </c>
      <c r="I49" s="55">
        <f>_xll.EQNXTDZ($A$1,$B49,I$1,$B$1)</f>
        <v>107.41</v>
      </c>
      <c r="J49" s="55">
        <f>_xll.EQNXTDZ($A$1,$B49,J$1,$B$1)</f>
        <v>121.72</v>
      </c>
      <c r="K49" s="55">
        <f>_xll.EQNXTDZ($A$1,$B49,K$1,$B$1)</f>
        <v>130.83000000000001</v>
      </c>
      <c r="L49" s="55">
        <f>_xll.EQNXTDZ($A$1,$B49,L$1,$B$1)</f>
        <v>153.03</v>
      </c>
      <c r="M49" s="55">
        <f>_xll.EQNXTDZ($A$1,$B49,M$1,$B$1)</f>
        <v>310.92</v>
      </c>
      <c r="N49" s="55">
        <f>_xll.EQNXTDZ($A$1,$B49,N$1,$B$1)</f>
        <v>81.84</v>
      </c>
      <c r="O49" s="55">
        <f>_xll.EQNXTDZ($A$1,$B49,O$1,$B$1)</f>
        <v>183.67</v>
      </c>
      <c r="P49" s="55">
        <f>_xll.EQNXTDZ($A$1,$B49,P$1,$B$1)</f>
        <v>337.46</v>
      </c>
      <c r="Q49" s="55">
        <f>_xll.EQNXTDZ($A$1,$B49,Q$1,$B$1)</f>
        <v>-184.64</v>
      </c>
      <c r="R49" s="55">
        <f>_xll.EQNXTDZ($A$1,$B49,R$1,$B$1)</f>
        <v>-736.43</v>
      </c>
      <c r="S49" s="55">
        <f>_xll.EQNXTDZ($A$1,$B49,S$1,$B$1)</f>
        <v>-1125.2</v>
      </c>
      <c r="T49" s="55">
        <f>_xll.EQNXTDZ($A$1,$B49,T$1,$B$1)</f>
        <v>-2117</v>
      </c>
      <c r="U49" s="55">
        <f>_xll.EQNXTDZ($A$1,$B49,U$1,$B$1)</f>
        <v>-3107.8</v>
      </c>
      <c r="V49" s="55">
        <f>_xll.EQNXTDZ($A$1,$B49,V$1,$B$1)</f>
        <v>-2393.54</v>
      </c>
      <c r="W49" s="55">
        <f>_xll.EQNXTDZ($A$1,$B49,W$1,$B$1)</f>
        <v>-1518.34</v>
      </c>
      <c r="X49" s="55">
        <f>_xll.EQNXTDZ($A$1,$B49,X$1,$B$1)</f>
        <v>-1800.77</v>
      </c>
      <c r="Y49" s="55">
        <f>_xll.EQNXTDZ($A$1,$B49,Y$1,$B$1)</f>
        <v>-3354.36</v>
      </c>
      <c r="Z49" s="55">
        <f>_xll.EQNXTDZ($A$1,$B49,Z$1,$B$1)</f>
        <v>-3330.09</v>
      </c>
      <c r="AA49" s="55">
        <f>_xll.EQNXTDZ($A$1,$B49,AA$1,$B$1)</f>
        <v>-3382.87</v>
      </c>
      <c r="AB49" s="55">
        <f>_xll.EQNXTDZ($A$1,$B49,AB$1,$B$1)</f>
        <v>-4085.65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252.13</v>
      </c>
      <c r="N50" s="55">
        <f>_xll.EQNXTDZ($A$1,$B50,N$1,$B$1)</f>
        <v>842.38</v>
      </c>
      <c r="O50" s="55">
        <f>_xll.EQNXTDZ($A$1,$B50,O$1,$B$1)</f>
        <v>1160.8499999999999</v>
      </c>
      <c r="P50" s="55">
        <f>_xll.EQNXTDZ($A$1,$B50,P$1,$B$1)</f>
        <v>1024.1099999999999</v>
      </c>
      <c r="Q50" s="55">
        <f>_xll.EQNXTDZ($A$1,$B50,Q$1,$B$1)</f>
        <v>1276.1099999999999</v>
      </c>
      <c r="R50" s="55">
        <f>_xll.EQNXTDZ($A$1,$B50,R$1,$B$1)</f>
        <v>322.54000000000002</v>
      </c>
      <c r="S50" s="55">
        <f>_xll.EQNXTDZ($A$1,$B50,S$1,$B$1)</f>
        <v>398.23</v>
      </c>
      <c r="T50" s="55">
        <f>_xll.EQNXTDZ($A$1,$B50,T$1,$B$1)</f>
        <v>421.92</v>
      </c>
      <c r="U50" s="55">
        <f>_xll.EQNXTDZ($A$1,$B50,U$1,$B$1)</f>
        <v>355.38</v>
      </c>
      <c r="V50" s="55">
        <f>_xll.EQNXTDZ($A$1,$B50,V$1,$B$1)</f>
        <v>2673.83</v>
      </c>
      <c r="W50" s="55">
        <f>_xll.EQNXTDZ($A$1,$B50,W$1,$B$1)</f>
        <v>1873.16</v>
      </c>
      <c r="X50" s="55">
        <f>_xll.EQNXTDZ($A$1,$B50,X$1,$B$1)</f>
        <v>1777.52</v>
      </c>
      <c r="Y50" s="55">
        <f>_xll.EQNXTDZ($A$1,$B50,Y$1,$B$1)</f>
        <v>2001</v>
      </c>
      <c r="Z50" s="55">
        <f>_xll.EQNXTDZ($A$1,$B50,Z$1,$B$1)</f>
        <v>2448.87</v>
      </c>
      <c r="AA50" s="55">
        <f>_xll.EQNXTDZ($A$1,$B50,AA$1,$B$1)</f>
        <v>3112.16</v>
      </c>
      <c r="AB50" s="55">
        <f>_xll.EQNXTDZ($A$1,$B50,AB$1,$B$1)</f>
        <v>4783.7299999999996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274.25</v>
      </c>
      <c r="N52" s="55">
        <f>_xll.EQNXTDZ($A$1,$B52,N$1,$B$1)</f>
        <v>540.85</v>
      </c>
      <c r="O52" s="55">
        <f>_xll.EQNXTDZ($A$1,$B52,O$1,$B$1)</f>
        <v>506.17</v>
      </c>
      <c r="P52" s="55">
        <f>_xll.EQNXTDZ($A$1,$B52,P$1,$B$1)</f>
        <v>502.5</v>
      </c>
      <c r="Q52" s="55">
        <f>_xll.EQNXTDZ($A$1,$B52,Q$1,$B$1)</f>
        <v>1000.8</v>
      </c>
      <c r="R52" s="55">
        <f>_xll.EQNXTDZ($A$1,$B52,R$1,$B$1)</f>
        <v>424.66</v>
      </c>
      <c r="S52" s="55">
        <f>_xll.EQNXTDZ($A$1,$B52,S$1,$B$1)</f>
        <v>526.6</v>
      </c>
      <c r="T52" s="55">
        <f>_xll.EQNXTDZ($A$1,$B52,T$1,$B$1)</f>
        <v>523.54</v>
      </c>
      <c r="U52" s="55">
        <f>_xll.EQNXTDZ($A$1,$B52,U$1,$B$1)</f>
        <v>556.84</v>
      </c>
      <c r="V52" s="55">
        <f>_xll.EQNXTDZ($A$1,$B52,V$1,$B$1)</f>
        <v>708.67</v>
      </c>
      <c r="W52" s="55">
        <f>_xll.EQNXTDZ($A$1,$B52,W$1,$B$1)</f>
        <v>773.78</v>
      </c>
      <c r="X52" s="55">
        <f>_xll.EQNXTDZ($A$1,$B52,X$1,$B$1)</f>
        <v>817.77</v>
      </c>
      <c r="Y52" s="55">
        <f>_xll.EQNXTDZ($A$1,$B52,Y$1,$B$1)</f>
        <v>869.99</v>
      </c>
      <c r="Z52" s="55">
        <f>_xll.EQNXTDZ($A$1,$B52,Z$1,$B$1)</f>
        <v>987.38</v>
      </c>
      <c r="AA52" s="55">
        <f>_xll.EQNXTDZ($A$1,$B52,AA$1,$B$1)</f>
        <v>1124.01</v>
      </c>
      <c r="AB52" s="55">
        <f>_xll.EQNXTDZ($A$1,$B52,AB$1,$B$1)</f>
        <v>832.48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4263.3900000000003</v>
      </c>
      <c r="D53" s="55">
        <f>_xll.EQNXTDZ($A$1,$B53,D$1,$B$1)</f>
        <v>5906.01</v>
      </c>
      <c r="E53" s="55">
        <f>_xll.EQNXTDZ($A$1,$B53,E$1,$B$1)</f>
        <v>5613.9</v>
      </c>
      <c r="F53" s="55">
        <f>_xll.EQNXTDZ($A$1,$B53,F$1,$B$1)</f>
        <v>2982.73</v>
      </c>
      <c r="G53" s="55">
        <f>_xll.EQNXTDZ($A$1,$B53,G$1,$B$1)</f>
        <v>3591.41</v>
      </c>
      <c r="H53" s="55">
        <f>_xll.EQNXTDZ($A$1,$B53,H$1,$B$1)</f>
        <v>3625.44</v>
      </c>
      <c r="I53" s="55">
        <f>_xll.EQNXTDZ($A$1,$B53,I$1,$B$1)</f>
        <v>6539.63</v>
      </c>
      <c r="J53" s="55">
        <f>_xll.EQNXTDZ($A$1,$B53,J$1,$B$1)</f>
        <v>12437.65</v>
      </c>
      <c r="K53" s="55">
        <f>_xll.EQNXTDZ($A$1,$B53,K$1,$B$1)</f>
        <v>20500.87</v>
      </c>
      <c r="L53" s="55">
        <f>_xll.EQNXTDZ($A$1,$B53,L$1,$B$1)</f>
        <v>24760.35</v>
      </c>
      <c r="M53" s="55">
        <f>_xll.EQNXTDZ($A$1,$B53,M$1,$B$1)</f>
        <v>30096.11</v>
      </c>
      <c r="N53" s="55">
        <f>_xll.EQNXTDZ($A$1,$B53,N$1,$B$1)</f>
        <v>42075.07</v>
      </c>
      <c r="O53" s="55">
        <f>_xll.EQNXTDZ($A$1,$B53,O$1,$B$1)</f>
        <v>52724.28</v>
      </c>
      <c r="P53" s="55">
        <f>_xll.EQNXTDZ($A$1,$B53,P$1,$B$1)</f>
        <v>60275.71</v>
      </c>
      <c r="Q53" s="55">
        <f>_xll.EQNXTDZ($A$1,$B53,Q$1,$B$1)</f>
        <v>70561.03</v>
      </c>
      <c r="R53" s="55">
        <f>_xll.EQNXTDZ($A$1,$B53,R$1,$B$1)</f>
        <v>61234.61</v>
      </c>
      <c r="S53" s="55">
        <f>_xll.EQNXTDZ($A$1,$B53,S$1,$B$1)</f>
        <v>67140.210000000006</v>
      </c>
      <c r="T53" s="55">
        <f>_xll.EQNXTDZ($A$1,$B53,T$1,$B$1)</f>
        <v>71743.22</v>
      </c>
      <c r="U53" s="55">
        <f>_xll.EQNXTDZ($A$1,$B53,U$1,$B$1)</f>
        <v>71925.210000000006</v>
      </c>
      <c r="V53" s="55">
        <f>_xll.EQNXTDZ($A$1,$B53,V$1,$B$1)</f>
        <v>83320.289999999994</v>
      </c>
      <c r="W53" s="55">
        <f>_xll.EQNXTDZ($A$1,$B53,W$1,$B$1)</f>
        <v>83248.639999999999</v>
      </c>
      <c r="X53" s="55">
        <f>_xll.EQNXTDZ($A$1,$B53,X$1,$B$1)</f>
        <v>62412.83</v>
      </c>
      <c r="Y53" s="55">
        <f>_xll.EQNXTDZ($A$1,$B53,Y$1,$B$1)</f>
        <v>60734.31</v>
      </c>
      <c r="Z53" s="55">
        <f>_xll.EQNXTDZ($A$1,$B53,Z$1,$B$1)</f>
        <v>56613.13</v>
      </c>
      <c r="AA53" s="55">
        <f>_xll.EQNXTDZ($A$1,$B53,AA$1,$B$1)</f>
        <v>58356.639999999999</v>
      </c>
      <c r="AB53" s="55">
        <f>_xll.EQNXTDZ($A$1,$B53,AB$1,$B$1)</f>
        <v>65269.15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1241.4000000000001</v>
      </c>
      <c r="D54" s="55">
        <f>_xll.EQNXTDZ($A$1,$B54,D$1,$B$1)</f>
        <v>1682.45</v>
      </c>
      <c r="E54" s="55">
        <f>_xll.EQNXTDZ($A$1,$B54,E$1,$B$1)</f>
        <v>2322.75</v>
      </c>
      <c r="F54" s="55">
        <f>_xll.EQNXTDZ($A$1,$B54,F$1,$B$1)</f>
        <v>2303.46</v>
      </c>
      <c r="G54" s="55">
        <f>_xll.EQNXTDZ($A$1,$B54,G$1,$B$1)</f>
        <v>3072.85</v>
      </c>
      <c r="H54" s="55">
        <f>_xll.EQNXTDZ($A$1,$B54,H$1,$B$1)</f>
        <v>3547.12</v>
      </c>
      <c r="I54" s="55">
        <f>_xll.EQNXTDZ($A$1,$B54,I$1,$B$1)</f>
        <v>4602.7</v>
      </c>
      <c r="J54" s="55">
        <f>_xll.EQNXTDZ($A$1,$B54,J$1,$B$1)</f>
        <v>7017.29</v>
      </c>
      <c r="K54" s="55">
        <f>_xll.EQNXTDZ($A$1,$B54,K$1,$B$1)</f>
        <v>8982.31</v>
      </c>
      <c r="L54" s="55">
        <f>_xll.EQNXTDZ($A$1,$B54,L$1,$B$1)</f>
        <v>11296.34</v>
      </c>
      <c r="M54" s="55">
        <f>_xll.EQNXTDZ($A$1,$B54,M$1,$B$1)</f>
        <v>14687.72</v>
      </c>
      <c r="N54" s="55">
        <f>_xll.EQNXTDZ($A$1,$B54,N$1,$B$1)</f>
        <v>17401.23</v>
      </c>
      <c r="O54" s="55">
        <f>_xll.EQNXTDZ($A$1,$B54,O$1,$B$1)</f>
        <v>18053.650000000001</v>
      </c>
      <c r="P54" s="55">
        <f>_xll.EQNXTDZ($A$1,$B54,P$1,$B$1)</f>
        <v>20849.88</v>
      </c>
      <c r="Q54" s="55">
        <f>_xll.EQNXTDZ($A$1,$B54,Q$1,$B$1)</f>
        <v>24649.64</v>
      </c>
      <c r="R54" s="55">
        <f>_xll.EQNXTDZ($A$1,$B54,R$1,$B$1)</f>
        <v>27003.56</v>
      </c>
      <c r="S54" s="55">
        <f>_xll.EQNXTDZ($A$1,$B54,S$1,$B$1)</f>
        <v>30294.86</v>
      </c>
      <c r="T54" s="55">
        <f>_xll.EQNXTDZ($A$1,$B54,T$1,$B$1)</f>
        <v>37797.379999999997</v>
      </c>
      <c r="U54" s="55">
        <f>_xll.EQNXTDZ($A$1,$B54,U$1,$B$1)</f>
        <v>42994.81</v>
      </c>
      <c r="V54" s="55">
        <f>_xll.EQNXTDZ($A$1,$B54,V$1,$B$1)</f>
        <v>43643.93</v>
      </c>
      <c r="W54" s="55">
        <f>_xll.EQNXTDZ($A$1,$B54,W$1,$B$1)</f>
        <v>45745.23</v>
      </c>
      <c r="X54" s="55">
        <f>_xll.EQNXTDZ($A$1,$B54,X$1,$B$1)</f>
        <v>51365.62</v>
      </c>
      <c r="Y54" s="55">
        <f>_xll.EQNXTDZ($A$1,$B54,Y$1,$B$1)</f>
        <v>49784.12</v>
      </c>
      <c r="Z54" s="55">
        <f>_xll.EQNXTDZ($A$1,$B54,Z$1,$B$1)</f>
        <v>53292.88</v>
      </c>
      <c r="AA54" s="55">
        <f>_xll.EQNXTDZ($A$1,$B54,AA$1,$B$1)</f>
        <v>52459.34</v>
      </c>
      <c r="AB54" s="55">
        <f>_xll.EQNXTDZ($A$1,$B54,AB$1,$B$1)</f>
        <v>69455.63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1088.6199999999999</v>
      </c>
      <c r="D55" s="55">
        <f>_xll.EQNXTDZ($A$1,$B55,D$1,$B$1)</f>
        <v>1314.05</v>
      </c>
      <c r="E55" s="55">
        <f>_xll.EQNXTDZ($A$1,$B55,E$1,$B$1)</f>
        <v>1415.92</v>
      </c>
      <c r="F55" s="55">
        <f>_xll.EQNXTDZ($A$1,$B55,F$1,$B$1)</f>
        <v>1955.7</v>
      </c>
      <c r="G55" s="55">
        <f>_xll.EQNXTDZ($A$1,$B55,G$1,$B$1)</f>
        <v>1940.72</v>
      </c>
      <c r="H55" s="55">
        <f>_xll.EQNXTDZ($A$1,$B55,H$1,$B$1)</f>
        <v>2970.94</v>
      </c>
      <c r="I55" s="55">
        <f>_xll.EQNXTDZ($A$1,$B55,I$1,$B$1)</f>
        <v>4590.51</v>
      </c>
      <c r="J55" s="55">
        <f>_xll.EQNXTDZ($A$1,$B55,J$1,$B$1)</f>
        <v>6440.67</v>
      </c>
      <c r="K55" s="55">
        <f>_xll.EQNXTDZ($A$1,$B55,K$1,$B$1)</f>
        <v>8556.11</v>
      </c>
      <c r="L55" s="55">
        <f>_xll.EQNXTDZ($A$1,$B55,L$1,$B$1)</f>
        <v>9526.48</v>
      </c>
      <c r="M55" s="55">
        <f>_xll.EQNXTDZ($A$1,$B55,M$1,$B$1)</f>
        <v>17569.47</v>
      </c>
      <c r="N55" s="55">
        <f>_xll.EQNXTDZ($A$1,$B55,N$1,$B$1)</f>
        <v>21196.65</v>
      </c>
      <c r="O55" s="55">
        <f>_xll.EQNXTDZ($A$1,$B55,O$1,$B$1)</f>
        <v>25291.86</v>
      </c>
      <c r="P55" s="55">
        <f>_xll.EQNXTDZ($A$1,$B55,P$1,$B$1)</f>
        <v>30207.94</v>
      </c>
      <c r="Q55" s="55">
        <f>_xll.EQNXTDZ($A$1,$B55,Q$1,$B$1)</f>
        <v>32116.29</v>
      </c>
      <c r="R55" s="55">
        <f>_xll.EQNXTDZ($A$1,$B55,R$1,$B$1)</f>
        <v>40745.230000000003</v>
      </c>
      <c r="S55" s="55">
        <f>_xll.EQNXTDZ($A$1,$B55,S$1,$B$1)</f>
        <v>38292.089999999997</v>
      </c>
      <c r="T55" s="55">
        <f>_xll.EQNXTDZ($A$1,$B55,T$1,$B$1)</f>
        <v>47405.29</v>
      </c>
      <c r="U55" s="55">
        <f>_xll.EQNXTDZ($A$1,$B55,U$1,$B$1)</f>
        <v>57999.87</v>
      </c>
      <c r="V55" s="55">
        <f>_xll.EQNXTDZ($A$1,$B55,V$1,$B$1)</f>
        <v>59819.62</v>
      </c>
      <c r="W55" s="55">
        <f>_xll.EQNXTDZ($A$1,$B55,W$1,$B$1)</f>
        <v>59724.05</v>
      </c>
      <c r="X55" s="55">
        <f>_xll.EQNXTDZ($A$1,$B55,X$1,$B$1)</f>
        <v>72852.59</v>
      </c>
      <c r="Y55" s="55">
        <f>_xll.EQNXTDZ($A$1,$B55,Y$1,$B$1)</f>
        <v>76498.62</v>
      </c>
      <c r="Z55" s="55">
        <f>_xll.EQNXTDZ($A$1,$B55,Z$1,$B$1)</f>
        <v>90005.95</v>
      </c>
      <c r="AA55" s="55">
        <f>_xll.EQNXTDZ($A$1,$B55,AA$1,$B$1)</f>
        <v>106379.38</v>
      </c>
      <c r="AB55" s="55">
        <f>_xll.EQNXTDZ($A$1,$B55,AB$1,$B$1)</f>
        <v>121166.82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4036.83</v>
      </c>
      <c r="N56" s="55">
        <f>_xll.EQNXTDZ($A$1,$B56,N$1,$B$1)</f>
        <v>5256.36</v>
      </c>
      <c r="O56" s="55">
        <f>_xll.EQNXTDZ($A$1,$B56,O$1,$B$1)</f>
        <v>7965.76</v>
      </c>
      <c r="P56" s="55">
        <f>_xll.EQNXTDZ($A$1,$B56,P$1,$B$1)</f>
        <v>13858.52</v>
      </c>
      <c r="Q56" s="55">
        <f>_xll.EQNXTDZ($A$1,$B56,Q$1,$B$1)</f>
        <v>16729.39</v>
      </c>
      <c r="R56" s="55">
        <f>_xll.EQNXTDZ($A$1,$B56,R$1,$B$1)</f>
        <v>14896.75</v>
      </c>
      <c r="S56" s="55">
        <f>_xll.EQNXTDZ($A$1,$B56,S$1,$B$1)</f>
        <v>16534.47</v>
      </c>
      <c r="T56" s="55">
        <f>_xll.EQNXTDZ($A$1,$B56,T$1,$B$1)</f>
        <v>19331.849999999999</v>
      </c>
      <c r="U56" s="55">
        <f>_xll.EQNXTDZ($A$1,$B56,U$1,$B$1)</f>
        <v>29223.84</v>
      </c>
      <c r="V56" s="55">
        <f>_xll.EQNXTDZ($A$1,$B56,V$1,$B$1)</f>
        <v>35021.019999999997</v>
      </c>
      <c r="W56" s="55">
        <f>_xll.EQNXTDZ($A$1,$B56,W$1,$B$1)</f>
        <v>27765.83</v>
      </c>
      <c r="X56" s="55">
        <f>_xll.EQNXTDZ($A$1,$B56,X$1,$B$1)</f>
        <v>30476.959999999999</v>
      </c>
      <c r="Y56" s="55">
        <f>_xll.EQNXTDZ($A$1,$B56,Y$1,$B$1)</f>
        <v>30896.32</v>
      </c>
      <c r="Z56" s="55">
        <f>_xll.EQNXTDZ($A$1,$B56,Z$1,$B$1)</f>
        <v>27834.27</v>
      </c>
      <c r="AA56" s="55">
        <f>_xll.EQNXTDZ($A$1,$B56,AA$1,$B$1)</f>
        <v>35861.300000000003</v>
      </c>
      <c r="AB56" s="55">
        <f>_xll.EQNXTDZ($A$1,$B56,AB$1,$B$1)</f>
        <v>34778.53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271.22000000000003</v>
      </c>
      <c r="D57" s="55">
        <f>_xll.EQNXTDZ($A$1,$B57,D$1,$B$1)</f>
        <v>309.27</v>
      </c>
      <c r="E57" s="55">
        <f>_xll.EQNXTDZ($A$1,$B57,E$1,$B$1)</f>
        <v>450.27</v>
      </c>
      <c r="F57" s="55">
        <f>_xll.EQNXTDZ($A$1,$B57,F$1,$B$1)</f>
        <v>735.87</v>
      </c>
      <c r="G57" s="55">
        <f>_xll.EQNXTDZ($A$1,$B57,G$1,$B$1)</f>
        <v>841.58</v>
      </c>
      <c r="H57" s="55">
        <f>_xll.EQNXTDZ($A$1,$B57,H$1,$B$1)</f>
        <v>1097.74</v>
      </c>
      <c r="I57" s="55">
        <f>_xll.EQNXTDZ($A$1,$B57,I$1,$B$1)</f>
        <v>1348.58</v>
      </c>
      <c r="J57" s="55">
        <f>_xll.EQNXTDZ($A$1,$B57,J$1,$B$1)</f>
        <v>2236.61</v>
      </c>
      <c r="K57" s="55">
        <f>_xll.EQNXTDZ($A$1,$B57,K$1,$B$1)</f>
        <v>3317.41</v>
      </c>
      <c r="L57" s="55">
        <f>_xll.EQNXTDZ($A$1,$B57,L$1,$B$1)</f>
        <v>3821.48</v>
      </c>
      <c r="M57" s="55">
        <f>_xll.EQNXTDZ($A$1,$B57,M$1,$B$1)</f>
        <v>4187.8100000000004</v>
      </c>
      <c r="N57" s="55">
        <f>_xll.EQNXTDZ($A$1,$B57,N$1,$B$1)</f>
        <v>4427.47</v>
      </c>
      <c r="O57" s="55">
        <f>_xll.EQNXTDZ($A$1,$B57,O$1,$B$1)</f>
        <v>4650.9399999999996</v>
      </c>
      <c r="P57" s="55">
        <f>_xll.EQNXTDZ($A$1,$B57,P$1,$B$1)</f>
        <v>5273.66</v>
      </c>
      <c r="Q57" s="55">
        <f>_xll.EQNXTDZ($A$1,$B57,Q$1,$B$1)</f>
        <v>5601.3</v>
      </c>
      <c r="R57" s="55">
        <f>_xll.EQNXTDZ($A$1,$B57,R$1,$B$1)</f>
        <v>2387.0100000000002</v>
      </c>
      <c r="S57" s="55">
        <f>_xll.EQNXTDZ($A$1,$B57,S$1,$B$1)</f>
        <v>2908.1</v>
      </c>
      <c r="T57" s="55">
        <f>_xll.EQNXTDZ($A$1,$B57,T$1,$B$1)</f>
        <v>3277.89</v>
      </c>
      <c r="U57" s="55">
        <f>_xll.EQNXTDZ($A$1,$B57,U$1,$B$1)</f>
        <v>3580.59</v>
      </c>
      <c r="V57" s="55">
        <f>_xll.EQNXTDZ($A$1,$B57,V$1,$B$1)</f>
        <v>4260.47</v>
      </c>
      <c r="W57" s="55">
        <f>_xll.EQNXTDZ($A$1,$B57,W$1,$B$1)</f>
        <v>4169.7</v>
      </c>
      <c r="X57" s="55">
        <f>_xll.EQNXTDZ($A$1,$B57,X$1,$B$1)</f>
        <v>4665.68</v>
      </c>
      <c r="Y57" s="55">
        <f>_xll.EQNXTDZ($A$1,$B57,Y$1,$B$1)</f>
        <v>4886.93</v>
      </c>
      <c r="Z57" s="55">
        <f>_xll.EQNXTDZ($A$1,$B57,Z$1,$B$1)</f>
        <v>5976.36</v>
      </c>
      <c r="AA57" s="55">
        <f>_xll.EQNXTDZ($A$1,$B57,AA$1,$B$1)</f>
        <v>7270.88</v>
      </c>
      <c r="AB57" s="55">
        <f>_xll.EQNXTDZ($A$1,$B57,AB$1,$B$1)</f>
        <v>8130.49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13.88</v>
      </c>
      <c r="S58" s="55">
        <f>_xll.EQNXTDZ($A$1,$B58,S$1,$B$1)</f>
        <v>1495.6</v>
      </c>
      <c r="T58" s="55">
        <f>_xll.EQNXTDZ($A$1,$B58,T$1,$B$1)</f>
        <v>1461.97</v>
      </c>
      <c r="U58" s="55">
        <f>_xll.EQNXTDZ($A$1,$B58,U$1,$B$1)</f>
        <v>3.2</v>
      </c>
      <c r="V58" s="55">
        <f>_xll.EQNXTDZ($A$1,$B58,V$1,$B$1)</f>
        <v>1984.17</v>
      </c>
      <c r="W58" s="55">
        <f>_xll.EQNXTDZ($A$1,$B58,W$1,$B$1)</f>
        <v>3.2</v>
      </c>
      <c r="X58" s="55">
        <f>_xll.EQNXTDZ($A$1,$B58,X$1,$B$1)</f>
        <v>79.73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20966.04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2601.2399999999998</v>
      </c>
      <c r="D59" s="55">
        <f>_xll.EQNXTDZ($A$1,$B59,D$1,$B$1)</f>
        <v>3305.77</v>
      </c>
      <c r="E59" s="55">
        <f>_xll.EQNXTDZ($A$1,$B59,E$1,$B$1)</f>
        <v>4188.9399999999996</v>
      </c>
      <c r="F59" s="55">
        <f>_xll.EQNXTDZ($A$1,$B59,F$1,$B$1)</f>
        <v>4995.03</v>
      </c>
      <c r="G59" s="55">
        <f>_xll.EQNXTDZ($A$1,$B59,G$1,$B$1)</f>
        <v>5855.15</v>
      </c>
      <c r="H59" s="55">
        <f>_xll.EQNXTDZ($A$1,$B59,H$1,$B$1)</f>
        <v>7615.8</v>
      </c>
      <c r="I59" s="55">
        <f>_xll.EQNXTDZ($A$1,$B59,I$1,$B$1)</f>
        <v>10541.79</v>
      </c>
      <c r="J59" s="55">
        <f>_xll.EQNXTDZ($A$1,$B59,J$1,$B$1)</f>
        <v>15694.57</v>
      </c>
      <c r="K59" s="55">
        <f>_xll.EQNXTDZ($A$1,$B59,K$1,$B$1)</f>
        <v>20855.830000000002</v>
      </c>
      <c r="L59" s="55">
        <f>_xll.EQNXTDZ($A$1,$B59,L$1,$B$1)</f>
        <v>24644.3</v>
      </c>
      <c r="M59" s="55">
        <f>_xll.EQNXTDZ($A$1,$B59,M$1,$B$1)</f>
        <v>40481.83</v>
      </c>
      <c r="N59" s="55">
        <f>_xll.EQNXTDZ($A$1,$B59,N$1,$B$1)</f>
        <v>48281.71</v>
      </c>
      <c r="O59" s="55">
        <f>_xll.EQNXTDZ($A$1,$B59,O$1,$B$1)</f>
        <v>55962.21</v>
      </c>
      <c r="P59" s="55">
        <f>_xll.EQNXTDZ($A$1,$B59,P$1,$B$1)</f>
        <v>70190</v>
      </c>
      <c r="Q59" s="55">
        <f>_xll.EQNXTDZ($A$1,$B59,Q$1,$B$1)</f>
        <v>79096.62</v>
      </c>
      <c r="R59" s="55">
        <f>_xll.EQNXTDZ($A$1,$B59,R$1,$B$1)</f>
        <v>85032.55</v>
      </c>
      <c r="S59" s="55">
        <f>_xll.EQNXTDZ($A$1,$B59,S$1,$B$1)</f>
        <v>88029.52</v>
      </c>
      <c r="T59" s="55">
        <f>_xll.EQNXTDZ($A$1,$B59,T$1,$B$1)</f>
        <v>107812.41</v>
      </c>
      <c r="U59" s="55">
        <f>_xll.EQNXTDZ($A$1,$B59,U$1,$B$1)</f>
        <v>133799.10999999999</v>
      </c>
      <c r="V59" s="55">
        <f>_xll.EQNXTDZ($A$1,$B59,V$1,$B$1)</f>
        <v>142745.04</v>
      </c>
      <c r="W59" s="55">
        <f>_xll.EQNXTDZ($A$1,$B59,W$1,$B$1)</f>
        <v>137404.81</v>
      </c>
      <c r="X59" s="55">
        <f>_xll.EQNXTDZ($A$1,$B59,X$1,$B$1)</f>
        <v>159360.85</v>
      </c>
      <c r="Y59" s="55">
        <f>_xll.EQNXTDZ($A$1,$B59,Y$1,$B$1)</f>
        <v>162065.99</v>
      </c>
      <c r="Z59" s="55">
        <f>_xll.EQNXTDZ($A$1,$B59,Z$1,$B$1)</f>
        <v>177109.46</v>
      </c>
      <c r="AA59" s="55">
        <f>_xll.EQNXTDZ($A$1,$B59,AA$1,$B$1)</f>
        <v>201970.9</v>
      </c>
      <c r="AB59" s="55">
        <f>_xll.EQNXTDZ($A$1,$B59,AB$1,$B$1)</f>
        <v>233531.47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10864.04</v>
      </c>
      <c r="D60" s="55">
        <f>_xll.EQNXTDZ($A$1,$B60,D$1,$B$1)</f>
        <v>12393.74</v>
      </c>
      <c r="E60" s="55">
        <f>_xll.EQNXTDZ($A$1,$B60,E$1,$B$1)</f>
        <v>13069.59</v>
      </c>
      <c r="F60" s="55">
        <f>_xll.EQNXTDZ($A$1,$B60,F$1,$B$1)</f>
        <v>10679.16</v>
      </c>
      <c r="G60" s="55">
        <f>_xll.EQNXTDZ($A$1,$B60,G$1,$B$1)</f>
        <v>12867.26</v>
      </c>
      <c r="H60" s="55">
        <f>_xll.EQNXTDZ($A$1,$B60,H$1,$B$1)</f>
        <v>16312.35</v>
      </c>
      <c r="I60" s="55">
        <f>_xll.EQNXTDZ($A$1,$B60,I$1,$B$1)</f>
        <v>24648.67</v>
      </c>
      <c r="J60" s="55">
        <f>_xll.EQNXTDZ($A$1,$B60,J$1,$B$1)</f>
        <v>39885.949999999997</v>
      </c>
      <c r="K60" s="55">
        <f>_xll.EQNXTDZ($A$1,$B60,K$1,$B$1)</f>
        <v>56402.98</v>
      </c>
      <c r="L60" s="55">
        <f>_xll.EQNXTDZ($A$1,$B60,L$1,$B$1)</f>
        <v>71483.16</v>
      </c>
      <c r="M60" s="55">
        <f>_xll.EQNXTDZ($A$1,$B60,M$1,$B$1)</f>
        <v>96654.49</v>
      </c>
      <c r="N60" s="55">
        <f>_xll.EQNXTDZ($A$1,$B60,N$1,$B$1)</f>
        <v>121497.02</v>
      </c>
      <c r="O60" s="55">
        <f>_xll.EQNXTDZ($A$1,$B60,O$1,$B$1)</f>
        <v>145199.04999999999</v>
      </c>
      <c r="P60" s="55">
        <f>_xll.EQNXTDZ($A$1,$B60,P$1,$B$1)</f>
        <v>171356.5</v>
      </c>
      <c r="Q60" s="55">
        <f>_xll.EQNXTDZ($A$1,$B60,Q$1,$B$1)</f>
        <v>195565.34</v>
      </c>
      <c r="R60" s="55">
        <f>_xll.EQNXTDZ($A$1,$B60,R$1,$B$1)</f>
        <v>193354.23999999999</v>
      </c>
      <c r="S60" s="55">
        <f>_xll.EQNXTDZ($A$1,$B60,S$1,$B$1)</f>
        <v>210445.45</v>
      </c>
      <c r="T60" s="55">
        <f>_xll.EQNXTDZ($A$1,$B60,T$1,$B$1)</f>
        <v>241122.53</v>
      </c>
      <c r="U60" s="55">
        <f>_xll.EQNXTDZ($A$1,$B60,U$1,$B$1)</f>
        <v>274928.43</v>
      </c>
      <c r="V60" s="55">
        <f>_xll.EQNXTDZ($A$1,$B60,V$1,$B$1)</f>
        <v>304293.55</v>
      </c>
      <c r="W60" s="55">
        <f>_xll.EQNXTDZ($A$1,$B60,W$1,$B$1)</f>
        <v>308576.71000000002</v>
      </c>
      <c r="X60" s="55">
        <f>_xll.EQNXTDZ($A$1,$B60,X$1,$B$1)</f>
        <v>317227.14</v>
      </c>
      <c r="Y60" s="55">
        <f>_xll.EQNXTDZ($A$1,$B60,Y$1,$B$1)</f>
        <v>326367.52</v>
      </c>
      <c r="Z60" s="55">
        <f>_xll.EQNXTDZ($A$1,$B60,Z$1,$B$1)</f>
        <v>336272.25</v>
      </c>
      <c r="AA60" s="55">
        <f>_xll.EQNXTDZ($A$1,$B60,AA$1,$B$1)</f>
        <v>375731.22</v>
      </c>
      <c r="AB60" s="55">
        <f>_xll.EQNXTDZ($A$1,$B60,AB$1,$B$1)</f>
        <v>448297.12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6309.08</v>
      </c>
      <c r="D62" s="55">
        <f>_xll.EQNXTDZ($A$1,$B62,D$1,$B$1)</f>
        <v>8167.05</v>
      </c>
      <c r="E62" s="55">
        <f>_xll.EQNXTDZ($A$1,$B62,E$1,$B$1)</f>
        <v>8277.7199999999993</v>
      </c>
      <c r="F62" s="55">
        <f>_xll.EQNXTDZ($A$1,$B62,F$1,$B$1)</f>
        <v>3652.64</v>
      </c>
      <c r="G62" s="55">
        <f>_xll.EQNXTDZ($A$1,$B62,G$1,$B$1)</f>
        <v>3793.87</v>
      </c>
      <c r="H62" s="55">
        <f>_xll.EQNXTDZ($A$1,$B62,H$1,$B$1)</f>
        <v>4416.01</v>
      </c>
      <c r="I62" s="55">
        <f>_xll.EQNXTDZ($A$1,$B62,I$1,$B$1)</f>
        <v>6227.67</v>
      </c>
      <c r="J62" s="55">
        <f>_xll.EQNXTDZ($A$1,$B62,J$1,$B$1)</f>
        <v>7988.11</v>
      </c>
      <c r="K62" s="55">
        <f>_xll.EQNXTDZ($A$1,$B62,K$1,$B$1)</f>
        <v>12461.96</v>
      </c>
      <c r="L62" s="55">
        <f>_xll.EQNXTDZ($A$1,$B62,L$1,$B$1)</f>
        <v>16108.12</v>
      </c>
      <c r="M62" s="55">
        <f>_xll.EQNXTDZ($A$1,$B62,M$1,$B$1)</f>
        <v>20521.62</v>
      </c>
      <c r="N62" s="55">
        <f>_xll.EQNXTDZ($A$1,$B62,N$1,$B$1)</f>
        <v>25777.61</v>
      </c>
      <c r="O62" s="55">
        <f>_xll.EQNXTDZ($A$1,$B62,O$1,$B$1)</f>
        <v>38203.15</v>
      </c>
      <c r="P62" s="55">
        <f>_xll.EQNXTDZ($A$1,$B62,P$1,$B$1)</f>
        <v>41519.24</v>
      </c>
      <c r="Q62" s="55">
        <f>_xll.EQNXTDZ($A$1,$B62,Q$1,$B$1)</f>
        <v>45783.38</v>
      </c>
      <c r="R62" s="55">
        <f>_xll.EQNXTDZ($A$1,$B62,R$1,$B$1)</f>
        <v>16583.36</v>
      </c>
      <c r="S62" s="55">
        <f>_xll.EQNXTDZ($A$1,$B62,S$1,$B$1)</f>
        <v>17084.259999999998</v>
      </c>
      <c r="T62" s="55">
        <f>_xll.EQNXTDZ($A$1,$B62,T$1,$B$1)</f>
        <v>20038.88</v>
      </c>
      <c r="U62" s="55">
        <f>_xll.EQNXTDZ($A$1,$B62,U$1,$B$1)</f>
        <v>24333.83</v>
      </c>
      <c r="V62" s="55">
        <f>_xll.EQNXTDZ($A$1,$B62,V$1,$B$1)</f>
        <v>49365.91</v>
      </c>
      <c r="W62" s="55">
        <f>_xll.EQNXTDZ($A$1,$B62,W$1,$B$1)</f>
        <v>52791.95</v>
      </c>
      <c r="X62" s="55">
        <f>_xll.EQNXTDZ($A$1,$B62,X$1,$B$1)</f>
        <v>52795.040000000001</v>
      </c>
      <c r="Y62" s="55">
        <f>_xll.EQNXTDZ($A$1,$B62,Y$1,$B$1)</f>
        <v>55602.5</v>
      </c>
      <c r="Z62" s="55">
        <f>_xll.EQNXTDZ($A$1,$B62,Z$1,$B$1)</f>
        <v>60100.92</v>
      </c>
      <c r="AA62" s="55">
        <f>_xll.EQNXTDZ($A$1,$B62,AA$1,$B$1)</f>
        <v>66337.59</v>
      </c>
      <c r="AB62" s="55">
        <f>_xll.EQNXTDZ($A$1,$B62,AB$1,$B$1)</f>
        <v>55394.74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1767.21</v>
      </c>
      <c r="D63" s="55">
        <f>_xll.EQNXTDZ($A$1,$B63,D$1,$B$1)</f>
        <v>2377.31</v>
      </c>
      <c r="E63" s="55">
        <f>_xll.EQNXTDZ($A$1,$B63,E$1,$B$1)</f>
        <v>2752.5</v>
      </c>
      <c r="F63" s="55">
        <f>_xll.EQNXTDZ($A$1,$B63,F$1,$B$1)</f>
        <v>1465.22</v>
      </c>
      <c r="G63" s="55">
        <f>_xll.EQNXTDZ($A$1,$B63,G$1,$B$1)</f>
        <v>1542.7</v>
      </c>
      <c r="H63" s="55">
        <f>_xll.EQNXTDZ($A$1,$B63,H$1,$B$1)</f>
        <v>1678.7</v>
      </c>
      <c r="I63" s="55">
        <f>_xll.EQNXTDZ($A$1,$B63,I$1,$B$1)</f>
        <v>2017.68</v>
      </c>
      <c r="J63" s="55">
        <f>_xll.EQNXTDZ($A$1,$B63,J$1,$B$1)</f>
        <v>2270.6999999999998</v>
      </c>
      <c r="K63" s="55">
        <f>_xll.EQNXTDZ($A$1,$B63,K$1,$B$1)</f>
        <v>2761.4</v>
      </c>
      <c r="L63" s="55">
        <f>_xll.EQNXTDZ($A$1,$B63,L$1,$B$1)</f>
        <v>3458.05</v>
      </c>
      <c r="M63" s="55">
        <f>_xll.EQNXTDZ($A$1,$B63,M$1,$B$1)</f>
        <v>4608.6099999999997</v>
      </c>
      <c r="N63" s="55">
        <f>_xll.EQNXTDZ($A$1,$B63,N$1,$B$1)</f>
        <v>6079.98</v>
      </c>
      <c r="O63" s="55">
        <f>_xll.EQNXTDZ($A$1,$B63,O$1,$B$1)</f>
        <v>7469.13</v>
      </c>
      <c r="P63" s="55">
        <f>_xll.EQNXTDZ($A$1,$B63,P$1,$B$1)</f>
        <v>8821.27</v>
      </c>
      <c r="Q63" s="55">
        <f>_xll.EQNXTDZ($A$1,$B63,Q$1,$B$1)</f>
        <v>10744.71</v>
      </c>
      <c r="R63" s="55">
        <f>_xll.EQNXTDZ($A$1,$B63,R$1,$B$1)</f>
        <v>2346.0500000000002</v>
      </c>
      <c r="S63" s="55">
        <f>_xll.EQNXTDZ($A$1,$B63,S$1,$B$1)</f>
        <v>3869.31</v>
      </c>
      <c r="T63" s="55">
        <f>_xll.EQNXTDZ($A$1,$B63,T$1,$B$1)</f>
        <v>5538.53</v>
      </c>
      <c r="U63" s="55">
        <f>_xll.EQNXTDZ($A$1,$B63,U$1,$B$1)</f>
        <v>7121.61</v>
      </c>
      <c r="V63" s="55">
        <f>_xll.EQNXTDZ($A$1,$B63,V$1,$B$1)</f>
        <v>9141.18</v>
      </c>
      <c r="W63" s="55">
        <f>_xll.EQNXTDZ($A$1,$B63,W$1,$B$1)</f>
        <v>11095.55</v>
      </c>
      <c r="X63" s="55">
        <f>_xll.EQNXTDZ($A$1,$B63,X$1,$B$1)</f>
        <v>13526.95</v>
      </c>
      <c r="Y63" s="55">
        <f>_xll.EQNXTDZ($A$1,$B63,Y$1,$B$1)</f>
        <v>16029.58</v>
      </c>
      <c r="Z63" s="55">
        <f>_xll.EQNXTDZ($A$1,$B63,Z$1,$B$1)</f>
        <v>19072.03</v>
      </c>
      <c r="AA63" s="55">
        <f>_xll.EQNXTDZ($A$1,$B63,AA$1,$B$1)</f>
        <v>22745.97</v>
      </c>
      <c r="AB63" s="55">
        <f>_xll.EQNXTDZ($A$1,$B63,AB$1,$B$1)</f>
        <v>24452.15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71.709999999999994</v>
      </c>
      <c r="H64" s="55">
        <f>_xll.EQNXTDZ($A$1,$B64,H$1,$B$1)</f>
        <v>5.43</v>
      </c>
      <c r="I64" s="55">
        <f>_xll.EQNXTDZ($A$1,$B64,I$1,$B$1)</f>
        <v>7.65</v>
      </c>
      <c r="J64" s="55">
        <f>_xll.EQNXTDZ($A$1,$B64,J$1,$B$1)</f>
        <v>7.65</v>
      </c>
      <c r="K64" s="55">
        <f>_xll.EQNXTDZ($A$1,$B64,K$1,$B$1)</f>
        <v>48.93</v>
      </c>
      <c r="L64" s="55">
        <f>_xll.EQNXTDZ($A$1,$B64,L$1,$B$1)</f>
        <v>50.2</v>
      </c>
      <c r="M64" s="55">
        <f>_xll.EQNXTDZ($A$1,$B64,M$1,$B$1)</f>
        <v>49.49</v>
      </c>
      <c r="N64" s="55">
        <f>_xll.EQNXTDZ($A$1,$B64,N$1,$B$1)</f>
        <v>55.03</v>
      </c>
      <c r="O64" s="55">
        <f>_xll.EQNXTDZ($A$1,$B64,O$1,$B$1)</f>
        <v>105.44</v>
      </c>
      <c r="P64" s="55">
        <f>_xll.EQNXTDZ($A$1,$B64,P$1,$B$1)</f>
        <v>61.15</v>
      </c>
      <c r="Q64" s="55">
        <f>_xll.EQNXTDZ($A$1,$B64,Q$1,$B$1)</f>
        <v>61.25</v>
      </c>
      <c r="R64" s="55">
        <f>_xll.EQNXTDZ($A$1,$B64,R$1,$B$1)</f>
        <v>61.61</v>
      </c>
      <c r="S64" s="55">
        <f>_xll.EQNXTDZ($A$1,$B64,S$1,$B$1)</f>
        <v>151.1</v>
      </c>
      <c r="T64" s="55">
        <f>_xll.EQNXTDZ($A$1,$B64,T$1,$B$1)</f>
        <v>266.02</v>
      </c>
      <c r="U64" s="55">
        <f>_xll.EQNXTDZ($A$1,$B64,U$1,$B$1)</f>
        <v>272.83999999999997</v>
      </c>
      <c r="V64" s="55">
        <f>_xll.EQNXTDZ($A$1,$B64,V$1,$B$1)</f>
        <v>286.07</v>
      </c>
      <c r="W64" s="55">
        <f>_xll.EQNXTDZ($A$1,$B64,W$1,$B$1)</f>
        <v>1023.86</v>
      </c>
      <c r="X64" s="55">
        <f>_xll.EQNXTDZ($A$1,$B64,X$1,$B$1)</f>
        <v>286.06</v>
      </c>
      <c r="Y64" s="55">
        <f>_xll.EQNXTDZ($A$1,$B64,Y$1,$B$1)</f>
        <v>292.14</v>
      </c>
      <c r="Z64" s="55">
        <f>_xll.EQNXTDZ($A$1,$B64,Z$1,$B$1)</f>
        <v>256.44</v>
      </c>
      <c r="AA64" s="55">
        <f>_xll.EQNXTDZ($A$1,$B64,AA$1,$B$1)</f>
        <v>1194.8</v>
      </c>
      <c r="AB64" s="55">
        <f>_xll.EQNXTDZ($A$1,$B64,AB$1,$B$1)</f>
        <v>1196.02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4541.87</v>
      </c>
      <c r="D65" s="55">
        <f>_xll.EQNXTDZ($A$1,$B65,D$1,$B$1)</f>
        <v>5789.74</v>
      </c>
      <c r="E65" s="55">
        <f>_xll.EQNXTDZ($A$1,$B65,E$1,$B$1)</f>
        <v>5525.22</v>
      </c>
      <c r="F65" s="55">
        <f>_xll.EQNXTDZ($A$1,$B65,F$1,$B$1)</f>
        <v>2187.42</v>
      </c>
      <c r="G65" s="55">
        <f>_xll.EQNXTDZ($A$1,$B65,G$1,$B$1)</f>
        <v>2179.46</v>
      </c>
      <c r="H65" s="55">
        <f>_xll.EQNXTDZ($A$1,$B65,H$1,$B$1)</f>
        <v>2731.88</v>
      </c>
      <c r="I65" s="55">
        <f>_xll.EQNXTDZ($A$1,$B65,I$1,$B$1)</f>
        <v>4202.34</v>
      </c>
      <c r="J65" s="55">
        <f>_xll.EQNXTDZ($A$1,$B65,J$1,$B$1)</f>
        <v>5709.76</v>
      </c>
      <c r="K65" s="55">
        <f>_xll.EQNXTDZ($A$1,$B65,K$1,$B$1)</f>
        <v>9651.6299999999992</v>
      </c>
      <c r="L65" s="55">
        <f>_xll.EQNXTDZ($A$1,$B65,L$1,$B$1)</f>
        <v>12599.87</v>
      </c>
      <c r="M65" s="55">
        <f>_xll.EQNXTDZ($A$1,$B65,M$1,$B$1)</f>
        <v>15863.52</v>
      </c>
      <c r="N65" s="55">
        <f>_xll.EQNXTDZ($A$1,$B65,N$1,$B$1)</f>
        <v>19642.599999999999</v>
      </c>
      <c r="O65" s="55">
        <f>_xll.EQNXTDZ($A$1,$B65,O$1,$B$1)</f>
        <v>30628.58</v>
      </c>
      <c r="P65" s="55">
        <f>_xll.EQNXTDZ($A$1,$B65,P$1,$B$1)</f>
        <v>32636.82</v>
      </c>
      <c r="Q65" s="55">
        <f>_xll.EQNXTDZ($A$1,$B65,Q$1,$B$1)</f>
        <v>34977.42</v>
      </c>
      <c r="R65" s="55">
        <f>_xll.EQNXTDZ($A$1,$B65,R$1,$B$1)</f>
        <v>14175.7</v>
      </c>
      <c r="S65" s="55">
        <f>_xll.EQNXTDZ($A$1,$B65,S$1,$B$1)</f>
        <v>13063.85</v>
      </c>
      <c r="T65" s="55">
        <f>_xll.EQNXTDZ($A$1,$B65,T$1,$B$1)</f>
        <v>14234.33</v>
      </c>
      <c r="U65" s="55">
        <f>_xll.EQNXTDZ($A$1,$B65,U$1,$B$1)</f>
        <v>16939.38</v>
      </c>
      <c r="V65" s="55">
        <f>_xll.EQNXTDZ($A$1,$B65,V$1,$B$1)</f>
        <v>39938.660000000003</v>
      </c>
      <c r="W65" s="55">
        <f>_xll.EQNXTDZ($A$1,$B65,W$1,$B$1)</f>
        <v>40672.54</v>
      </c>
      <c r="X65" s="55">
        <f>_xll.EQNXTDZ($A$1,$B65,X$1,$B$1)</f>
        <v>38982.03</v>
      </c>
      <c r="Y65" s="55">
        <f>_xll.EQNXTDZ($A$1,$B65,Y$1,$B$1)</f>
        <v>39280.78</v>
      </c>
      <c r="Z65" s="55">
        <f>_xll.EQNXTDZ($A$1,$B65,Z$1,$B$1)</f>
        <v>40772.449999999997</v>
      </c>
      <c r="AA65" s="55">
        <f>_xll.EQNXTDZ($A$1,$B65,AA$1,$B$1)</f>
        <v>42396.82</v>
      </c>
      <c r="AB65" s="55">
        <f>_xll.EQNXTDZ($A$1,$B65,AB$1,$B$1)</f>
        <v>29746.57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-3.07</v>
      </c>
      <c r="D66" s="55">
        <f>_xll.EQNXTDZ($A$1,$B66,D$1,$B$1)</f>
        <v>-106.53</v>
      </c>
      <c r="E66" s="55">
        <f>_xll.EQNXTDZ($A$1,$B66,E$1,$B$1)</f>
        <v>-98.04</v>
      </c>
      <c r="F66" s="55">
        <f>_xll.EQNXTDZ($A$1,$B66,F$1,$B$1)</f>
        <v>-102.3</v>
      </c>
      <c r="G66" s="55">
        <f>_xll.EQNXTDZ($A$1,$B66,G$1,$B$1)</f>
        <v>-140.82</v>
      </c>
      <c r="H66" s="55">
        <f>_xll.EQNXTDZ($A$1,$B66,H$1,$B$1)</f>
        <v>-185</v>
      </c>
      <c r="I66" s="55">
        <f>_xll.EQNXTDZ($A$1,$B66,I$1,$B$1)</f>
        <v>-217.66</v>
      </c>
      <c r="J66" s="55">
        <f>_xll.EQNXTDZ($A$1,$B66,J$1,$B$1)</f>
        <v>-239.36</v>
      </c>
      <c r="K66" s="55">
        <f>_xll.EQNXTDZ($A$1,$B66,K$1,$B$1)</f>
        <v>-239.36</v>
      </c>
      <c r="L66" s="55">
        <f>_xll.EQNXTDZ($A$1,$B66,L$1,$B$1)</f>
        <v>-239.36</v>
      </c>
      <c r="M66" s="55">
        <f>_xll.EQNXTDZ($A$1,$B66,M$1,$B$1)</f>
        <v>-239.36</v>
      </c>
      <c r="N66" s="55">
        <f>_xll.EQNXTDZ($A$1,$B66,N$1,$B$1)</f>
        <v>-239.36</v>
      </c>
      <c r="O66" s="55">
        <f>_xll.EQNXTDZ($A$1,$B66,O$1,$B$1)</f>
        <v>-239.36</v>
      </c>
      <c r="P66" s="55">
        <f>_xll.EQNXTDZ($A$1,$B66,P$1,$B$1)</f>
        <v>-239.36</v>
      </c>
      <c r="Q66" s="55">
        <f>_xll.EQNXTDZ($A$1,$B66,Q$1,$B$1)</f>
        <v>-239.36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132.19</v>
      </c>
      <c r="D67" s="55">
        <f>_xll.EQNXTDZ($A$1,$B67,D$1,$B$1)</f>
        <v>140.51</v>
      </c>
      <c r="E67" s="55">
        <f>_xll.EQNXTDZ($A$1,$B67,E$1,$B$1)</f>
        <v>104.55</v>
      </c>
      <c r="F67" s="55">
        <f>_xll.EQNXTDZ($A$1,$B67,F$1,$B$1)</f>
        <v>54.98</v>
      </c>
      <c r="G67" s="55">
        <f>_xll.EQNXTDZ($A$1,$B67,G$1,$B$1)</f>
        <v>176.34</v>
      </c>
      <c r="H67" s="55">
        <f>_xll.EQNXTDZ($A$1,$B67,H$1,$B$1)</f>
        <v>426.58</v>
      </c>
      <c r="I67" s="55">
        <f>_xll.EQNXTDZ($A$1,$B67,I$1,$B$1)</f>
        <v>1455.32</v>
      </c>
      <c r="J67" s="55">
        <f>_xll.EQNXTDZ($A$1,$B67,J$1,$B$1)</f>
        <v>3053.07</v>
      </c>
      <c r="K67" s="55">
        <f>_xll.EQNXTDZ($A$1,$B67,K$1,$B$1)</f>
        <v>6205.41</v>
      </c>
      <c r="L67" s="55">
        <f>_xll.EQNXTDZ($A$1,$B67,L$1,$B$1)</f>
        <v>6618.43</v>
      </c>
      <c r="M67" s="55">
        <f>_xll.EQNXTDZ($A$1,$B67,M$1,$B$1)</f>
        <v>7392.89</v>
      </c>
      <c r="N67" s="55">
        <f>_xll.EQNXTDZ($A$1,$B67,N$1,$B$1)</f>
        <v>8056.2</v>
      </c>
      <c r="O67" s="55">
        <f>_xll.EQNXTDZ($A$1,$B67,O$1,$B$1)</f>
        <v>4061.08</v>
      </c>
      <c r="P67" s="55">
        <f>_xll.EQNXTDZ($A$1,$B67,P$1,$B$1)</f>
        <v>4165.3100000000004</v>
      </c>
      <c r="Q67" s="55">
        <f>_xll.EQNXTDZ($A$1,$B67,Q$1,$B$1)</f>
        <v>4883.03</v>
      </c>
      <c r="R67" s="55">
        <f>_xll.EQNXTDZ($A$1,$B67,R$1,$B$1)</f>
        <v>1790.53</v>
      </c>
      <c r="S67" s="55">
        <f>_xll.EQNXTDZ($A$1,$B67,S$1,$B$1)</f>
        <v>1944.71</v>
      </c>
      <c r="T67" s="55">
        <f>_xll.EQNXTDZ($A$1,$B67,T$1,$B$1)</f>
        <v>2143.0700000000002</v>
      </c>
      <c r="U67" s="55">
        <f>_xll.EQNXTDZ($A$1,$B67,U$1,$B$1)</f>
        <v>2483.56</v>
      </c>
      <c r="V67" s="55">
        <f>_xll.EQNXTDZ($A$1,$B67,V$1,$B$1)</f>
        <v>3224.91</v>
      </c>
      <c r="W67" s="55">
        <f>_xll.EQNXTDZ($A$1,$B67,W$1,$B$1)</f>
        <v>388.37</v>
      </c>
      <c r="X67" s="55">
        <f>_xll.EQNXTDZ($A$1,$B67,X$1,$B$1)</f>
        <v>1170.32</v>
      </c>
      <c r="Y67" s="55">
        <f>_xll.EQNXTDZ($A$1,$B67,Y$1,$B$1)</f>
        <v>2949.09</v>
      </c>
      <c r="Z67" s="55">
        <f>_xll.EQNXTDZ($A$1,$B67,Z$1,$B$1)</f>
        <v>2897.04</v>
      </c>
      <c r="AA67" s="55">
        <f>_xll.EQNXTDZ($A$1,$B67,AA$1,$B$1)</f>
        <v>2390.86</v>
      </c>
      <c r="AB67" s="55">
        <f>_xll.EQNXTDZ($A$1,$B67,AB$1,$B$1)</f>
        <v>3036.25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4969.4799999999996</v>
      </c>
      <c r="N68" s="55">
        <f>_xll.EQNXTDZ($A$1,$B68,N$1,$B$1)</f>
        <v>6857.03</v>
      </c>
      <c r="O68" s="55">
        <f>_xll.EQNXTDZ($A$1,$B68,O$1,$B$1)</f>
        <v>7289.44</v>
      </c>
      <c r="P68" s="55">
        <f>_xll.EQNXTDZ($A$1,$B68,P$1,$B$1)</f>
        <v>10013.209999999999</v>
      </c>
      <c r="Q68" s="55">
        <f>_xll.EQNXTDZ($A$1,$B68,Q$1,$B$1)</f>
        <v>10109.75</v>
      </c>
      <c r="R68" s="55">
        <f>_xll.EQNXTDZ($A$1,$B68,R$1,$B$1)</f>
        <v>9183.92</v>
      </c>
      <c r="S68" s="55">
        <f>_xll.EQNXTDZ($A$1,$B68,S$1,$B$1)</f>
        <v>11353.23</v>
      </c>
      <c r="T68" s="55">
        <f>_xll.EQNXTDZ($A$1,$B68,T$1,$B$1)</f>
        <v>11300.36</v>
      </c>
      <c r="U68" s="55">
        <f>_xll.EQNXTDZ($A$1,$B68,U$1,$B$1)</f>
        <v>11435.93</v>
      </c>
      <c r="V68" s="55">
        <f>_xll.EQNXTDZ($A$1,$B68,V$1,$B$1)</f>
        <v>86.18</v>
      </c>
      <c r="W68" s="55">
        <f>_xll.EQNXTDZ($A$1,$B68,W$1,$B$1)</f>
        <v>112.02</v>
      </c>
      <c r="X68" s="55">
        <f>_xll.EQNXTDZ($A$1,$B68,X$1,$B$1)</f>
        <v>79.23</v>
      </c>
      <c r="Y68" s="55">
        <f>_xll.EQNXTDZ($A$1,$B68,Y$1,$B$1)</f>
        <v>116.48</v>
      </c>
      <c r="Z68" s="55">
        <f>_xll.EQNXTDZ($A$1,$B68,Z$1,$B$1)</f>
        <v>147.97</v>
      </c>
      <c r="AA68" s="55">
        <f>_xll.EQNXTDZ($A$1,$B68,AA$1,$B$1)</f>
        <v>197.82</v>
      </c>
      <c r="AB68" s="55">
        <f>_xll.EQNXTDZ($A$1,$B68,AB$1,$B$1)</f>
        <v>274.7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4386</v>
      </c>
      <c r="S70" s="55">
        <f>_xll.EQNXTDZ($A$1,$B70,S$1,$B$1)</f>
        <v>3613.26</v>
      </c>
      <c r="T70" s="55">
        <f>_xll.EQNXTDZ($A$1,$B70,T$1,$B$1)</f>
        <v>4345.8599999999997</v>
      </c>
      <c r="U70" s="55">
        <f>_xll.EQNXTDZ($A$1,$B70,U$1,$B$1)</f>
        <v>4254.5600000000004</v>
      </c>
      <c r="V70" s="55">
        <f>_xll.EQNXTDZ($A$1,$B70,V$1,$B$1)</f>
        <v>3714.72</v>
      </c>
      <c r="W70" s="55">
        <f>_xll.EQNXTDZ($A$1,$B70,W$1,$B$1)</f>
        <v>3646.78</v>
      </c>
      <c r="X70" s="55">
        <f>_xll.EQNXTDZ($A$1,$B70,X$1,$B$1)</f>
        <v>3962.98</v>
      </c>
      <c r="Y70" s="55">
        <f>_xll.EQNXTDZ($A$1,$B70,Y$1,$B$1)</f>
        <v>3360.22</v>
      </c>
      <c r="Z70" s="55">
        <f>_xll.EQNXTDZ($A$1,$B70,Z$1,$B$1)</f>
        <v>2191.37</v>
      </c>
      <c r="AA70" s="55">
        <f>_xll.EQNXTDZ($A$1,$B70,AA$1,$B$1)</f>
        <v>1658.63</v>
      </c>
      <c r="AB70" s="55">
        <f>_xll.EQNXTDZ($A$1,$B70,AB$1,$B$1)</f>
        <v>1120.3399999999999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813.47</v>
      </c>
      <c r="D71" s="55">
        <f>_xll.EQNXTDZ($A$1,$B71,D$1,$B$1)</f>
        <v>298.18</v>
      </c>
      <c r="E71" s="55">
        <f>_xll.EQNXTDZ($A$1,$B71,E$1,$B$1)</f>
        <v>206.34</v>
      </c>
      <c r="F71" s="55">
        <f>_xll.EQNXTDZ($A$1,$B71,F$1,$B$1)</f>
        <v>335.81</v>
      </c>
      <c r="G71" s="55">
        <f>_xll.EQNXTDZ($A$1,$B71,G$1,$B$1)</f>
        <v>557</v>
      </c>
      <c r="H71" s="55">
        <f>_xll.EQNXTDZ($A$1,$B71,H$1,$B$1)</f>
        <v>901.83</v>
      </c>
      <c r="I71" s="55">
        <f>_xll.EQNXTDZ($A$1,$B71,I$1,$B$1)</f>
        <v>953.79</v>
      </c>
      <c r="J71" s="55">
        <f>_xll.EQNXTDZ($A$1,$B71,J$1,$B$1)</f>
        <v>951.46</v>
      </c>
      <c r="K71" s="55">
        <f>_xll.EQNXTDZ($A$1,$B71,K$1,$B$1)</f>
        <v>1577.16</v>
      </c>
      <c r="L71" s="55">
        <f>_xll.EQNXTDZ($A$1,$B71,L$1,$B$1)</f>
        <v>1290.96</v>
      </c>
      <c r="M71" s="55">
        <f>_xll.EQNXTDZ($A$1,$B71,M$1,$B$1)</f>
        <v>1503.33</v>
      </c>
      <c r="N71" s="55">
        <f>_xll.EQNXTDZ($A$1,$B71,N$1,$B$1)</f>
        <v>1564.87</v>
      </c>
      <c r="O71" s="55">
        <f>_xll.EQNXTDZ($A$1,$B71,O$1,$B$1)</f>
        <v>1224.19</v>
      </c>
      <c r="P71" s="55">
        <f>_xll.EQNXTDZ($A$1,$B71,P$1,$B$1)</f>
        <v>1432.79</v>
      </c>
      <c r="Q71" s="55">
        <f>_xll.EQNXTDZ($A$1,$B71,Q$1,$B$1)</f>
        <v>1646.8</v>
      </c>
      <c r="R71" s="55">
        <f>_xll.EQNXTDZ($A$1,$B71,R$1,$B$1)</f>
        <v>3584.89</v>
      </c>
      <c r="S71" s="55">
        <f>_xll.EQNXTDZ($A$1,$B71,S$1,$B$1)</f>
        <v>5452.8</v>
      </c>
      <c r="T71" s="55">
        <f>_xll.EQNXTDZ($A$1,$B71,T$1,$B$1)</f>
        <v>5847.06</v>
      </c>
      <c r="U71" s="55">
        <f>_xll.EQNXTDZ($A$1,$B71,U$1,$B$1)</f>
        <v>6960.93</v>
      </c>
      <c r="V71" s="55">
        <f>_xll.EQNXTDZ($A$1,$B71,V$1,$B$1)</f>
        <v>7347.73</v>
      </c>
      <c r="W71" s="55">
        <f>_xll.EQNXTDZ($A$1,$B71,W$1,$B$1)</f>
        <v>8615.4</v>
      </c>
      <c r="X71" s="55">
        <f>_xll.EQNXTDZ($A$1,$B71,X$1,$B$1)</f>
        <v>9595.6</v>
      </c>
      <c r="Y71" s="55">
        <f>_xll.EQNXTDZ($A$1,$B71,Y$1,$B$1)</f>
        <v>9224.89</v>
      </c>
      <c r="Z71" s="55">
        <f>_xll.EQNXTDZ($A$1,$B71,Z$1,$B$1)</f>
        <v>10690.19</v>
      </c>
      <c r="AA71" s="55">
        <f>_xll.EQNXTDZ($A$1,$B71,AA$1,$B$1)</f>
        <v>11444.65</v>
      </c>
      <c r="AB71" s="55">
        <f>_xll.EQNXTDZ($A$1,$B71,AB$1,$B$1)</f>
        <v>8851.93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12545.76</v>
      </c>
      <c r="N72" s="55">
        <f>_xll.EQNXTDZ($A$1,$B72,N$1,$B$1)</f>
        <v>18876.14</v>
      </c>
      <c r="O72" s="55">
        <f>_xll.EQNXTDZ($A$1,$B72,O$1,$B$1)</f>
        <v>24257.71</v>
      </c>
      <c r="P72" s="55">
        <f>_xll.EQNXTDZ($A$1,$B72,P$1,$B$1)</f>
        <v>35528.370000000003</v>
      </c>
      <c r="Q72" s="55">
        <f>_xll.EQNXTDZ($A$1,$B72,Q$1,$B$1)</f>
        <v>47884.22</v>
      </c>
      <c r="R72" s="55">
        <f>_xll.EQNXTDZ($A$1,$B72,R$1,$B$1)</f>
        <v>52217.1</v>
      </c>
      <c r="S72" s="55">
        <f>_xll.EQNXTDZ($A$1,$B72,S$1,$B$1)</f>
        <v>52318.75</v>
      </c>
      <c r="T72" s="55">
        <f>_xll.EQNXTDZ($A$1,$B72,T$1,$B$1)</f>
        <v>61007.08</v>
      </c>
      <c r="U72" s="55">
        <f>_xll.EQNXTDZ($A$1,$B72,U$1,$B$1)</f>
        <v>64918.58</v>
      </c>
      <c r="V72" s="55">
        <f>_xll.EQNXTDZ($A$1,$B72,V$1,$B$1)</f>
        <v>66653.31</v>
      </c>
      <c r="W72" s="55">
        <f>_xll.EQNXTDZ($A$1,$B72,W$1,$B$1)</f>
        <v>59112.49</v>
      </c>
      <c r="X72" s="55">
        <f>_xll.EQNXTDZ($A$1,$B72,X$1,$B$1)</f>
        <v>53497.14</v>
      </c>
      <c r="Y72" s="55">
        <f>_xll.EQNXTDZ($A$1,$B72,Y$1,$B$1)</f>
        <v>47723.56</v>
      </c>
      <c r="Z72" s="55">
        <f>_xll.EQNXTDZ($A$1,$B72,Z$1,$B$1)</f>
        <v>59520.54</v>
      </c>
      <c r="AA72" s="55">
        <f>_xll.EQNXTDZ($A$1,$B72,AA$1,$B$1)</f>
        <v>70923.509999999995</v>
      </c>
      <c r="AB72" s="55">
        <f>_xll.EQNXTDZ($A$1,$B72,AB$1,$B$1)</f>
        <v>83147.09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86.29</v>
      </c>
      <c r="N73" s="55">
        <f>_xll.EQNXTDZ($A$1,$B73,N$1,$B$1)</f>
        <v>170.81</v>
      </c>
      <c r="O73" s="55">
        <f>_xll.EQNXTDZ($A$1,$B73,O$1,$B$1)</f>
        <v>121.72</v>
      </c>
      <c r="P73" s="55">
        <f>_xll.EQNXTDZ($A$1,$B73,P$1,$B$1)</f>
        <v>126.13</v>
      </c>
      <c r="Q73" s="55">
        <f>_xll.EQNXTDZ($A$1,$B73,Q$1,$B$1)</f>
        <v>371.52</v>
      </c>
      <c r="R73" s="55">
        <f>_xll.EQNXTDZ($A$1,$B73,R$1,$B$1)</f>
        <v>563.54999999999995</v>
      </c>
      <c r="S73" s="55">
        <f>_xll.EQNXTDZ($A$1,$B73,S$1,$B$1)</f>
        <v>857.6</v>
      </c>
      <c r="T73" s="55">
        <f>_xll.EQNXTDZ($A$1,$B73,T$1,$B$1)</f>
        <v>614.32000000000005</v>
      </c>
      <c r="U73" s="55">
        <f>_xll.EQNXTDZ($A$1,$B73,U$1,$B$1)</f>
        <v>1144.05</v>
      </c>
      <c r="V73" s="55">
        <f>_xll.EQNXTDZ($A$1,$B73,V$1,$B$1)</f>
        <v>638.15</v>
      </c>
      <c r="W73" s="55">
        <f>_xll.EQNXTDZ($A$1,$B73,W$1,$B$1)</f>
        <v>1062.28</v>
      </c>
      <c r="X73" s="55">
        <f>_xll.EQNXTDZ($A$1,$B73,X$1,$B$1)</f>
        <v>1736.76</v>
      </c>
      <c r="Y73" s="55">
        <f>_xll.EQNXTDZ($A$1,$B73,Y$1,$B$1)</f>
        <v>1508.18</v>
      </c>
      <c r="Z73" s="55">
        <f>_xll.EQNXTDZ($A$1,$B73,Z$1,$B$1)</f>
        <v>1464.09</v>
      </c>
      <c r="AA73" s="55">
        <f>_xll.EQNXTDZ($A$1,$B73,AA$1,$B$1)</f>
        <v>1377.22</v>
      </c>
      <c r="AB73" s="55">
        <f>_xll.EQNXTDZ($A$1,$B73,AB$1,$B$1)</f>
        <v>3808.92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5484.46</v>
      </c>
      <c r="D74" s="55">
        <f>_xll.EQNXTDZ($A$1,$B74,D$1,$B$1)</f>
        <v>6121.9</v>
      </c>
      <c r="E74" s="55">
        <f>_xll.EQNXTDZ($A$1,$B74,E$1,$B$1)</f>
        <v>5738.07</v>
      </c>
      <c r="F74" s="55">
        <f>_xll.EQNXTDZ($A$1,$B74,F$1,$B$1)</f>
        <v>2475.91</v>
      </c>
      <c r="G74" s="55">
        <f>_xll.EQNXTDZ($A$1,$B74,G$1,$B$1)</f>
        <v>2771.98</v>
      </c>
      <c r="H74" s="55">
        <f>_xll.EQNXTDZ($A$1,$B74,H$1,$B$1)</f>
        <v>3875.29</v>
      </c>
      <c r="I74" s="55">
        <f>_xll.EQNXTDZ($A$1,$B74,I$1,$B$1)</f>
        <v>6393.79</v>
      </c>
      <c r="J74" s="55">
        <f>_xll.EQNXTDZ($A$1,$B74,J$1,$B$1)</f>
        <v>9474.93</v>
      </c>
      <c r="K74" s="55">
        <f>_xll.EQNXTDZ($A$1,$B74,K$1,$B$1)</f>
        <v>17194.84</v>
      </c>
      <c r="L74" s="55">
        <f>_xll.EQNXTDZ($A$1,$B74,L$1,$B$1)</f>
        <v>20269.900000000001</v>
      </c>
      <c r="M74" s="55">
        <f>_xll.EQNXTDZ($A$1,$B74,M$1,$B$1)</f>
        <v>42121.91</v>
      </c>
      <c r="N74" s="55">
        <f>_xll.EQNXTDZ($A$1,$B74,N$1,$B$1)</f>
        <v>54928.29</v>
      </c>
      <c r="O74" s="55">
        <f>_xll.EQNXTDZ($A$1,$B74,O$1,$B$1)</f>
        <v>67343.360000000001</v>
      </c>
      <c r="P74" s="55">
        <f>_xll.EQNXTDZ($A$1,$B74,P$1,$B$1)</f>
        <v>83663.27</v>
      </c>
      <c r="Q74" s="55">
        <f>_xll.EQNXTDZ($A$1,$B74,Q$1,$B$1)</f>
        <v>99633.38</v>
      </c>
      <c r="R74" s="55">
        <f>_xll.EQNXTDZ($A$1,$B74,R$1,$B$1)</f>
        <v>85901.69</v>
      </c>
      <c r="S74" s="55">
        <f>_xll.EQNXTDZ($A$1,$B74,S$1,$B$1)</f>
        <v>88604.2</v>
      </c>
      <c r="T74" s="55">
        <f>_xll.EQNXTDZ($A$1,$B74,T$1,$B$1)</f>
        <v>99492.08</v>
      </c>
      <c r="U74" s="55">
        <f>_xll.EQNXTDZ($A$1,$B74,U$1,$B$1)</f>
        <v>108136.99</v>
      </c>
      <c r="V74" s="55">
        <f>_xll.EQNXTDZ($A$1,$B74,V$1,$B$1)</f>
        <v>121603.66</v>
      </c>
      <c r="W74" s="55">
        <f>_xll.EQNXTDZ($A$1,$B74,W$1,$B$1)</f>
        <v>113609.88</v>
      </c>
      <c r="X74" s="55">
        <f>_xll.EQNXTDZ($A$1,$B74,X$1,$B$1)</f>
        <v>109024.06</v>
      </c>
      <c r="Y74" s="55">
        <f>_xll.EQNXTDZ($A$1,$B74,Y$1,$B$1)</f>
        <v>104163.2</v>
      </c>
      <c r="Z74" s="55">
        <f>_xll.EQNXTDZ($A$1,$B74,Z$1,$B$1)</f>
        <v>117683.65</v>
      </c>
      <c r="AA74" s="55">
        <f>_xll.EQNXTDZ($A$1,$B74,AA$1,$B$1)</f>
        <v>130389.51</v>
      </c>
      <c r="AB74" s="55">
        <f>_xll.EQNXTDZ($A$1,$B74,AB$1,$B$1)</f>
        <v>129985.8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59.97</v>
      </c>
      <c r="E75" s="55">
        <f>_xll.EQNXTDZ($A$1,$B75,E$1,$B$1)</f>
        <v>321.86</v>
      </c>
      <c r="F75" s="55">
        <f>_xll.EQNXTDZ($A$1,$B75,F$1,$B$1)</f>
        <v>288.02999999999997</v>
      </c>
      <c r="G75" s="55">
        <f>_xll.EQNXTDZ($A$1,$B75,G$1,$B$1)</f>
        <v>58.11</v>
      </c>
      <c r="H75" s="55">
        <f>_xll.EQNXTDZ($A$1,$B75,H$1,$B$1)</f>
        <v>773.83</v>
      </c>
      <c r="I75" s="55">
        <f>_xll.EQNXTDZ($A$1,$B75,I$1,$B$1)</f>
        <v>1524.49</v>
      </c>
      <c r="J75" s="55">
        <f>_xll.EQNXTDZ($A$1,$B75,J$1,$B$1)</f>
        <v>4600.82</v>
      </c>
      <c r="K75" s="55">
        <f>_xll.EQNXTDZ($A$1,$B75,K$1,$B$1)</f>
        <v>5228.24</v>
      </c>
      <c r="L75" s="55">
        <f>_xll.EQNXTDZ($A$1,$B75,L$1,$B$1)</f>
        <v>8569.9</v>
      </c>
      <c r="M75" s="55">
        <f>_xll.EQNXTDZ($A$1,$B75,M$1,$B$1)</f>
        <v>7712.44</v>
      </c>
      <c r="N75" s="55">
        <f>_xll.EQNXTDZ($A$1,$B75,N$1,$B$1)</f>
        <v>7224.62</v>
      </c>
      <c r="O75" s="55">
        <f>_xll.EQNXTDZ($A$1,$B75,O$1,$B$1)</f>
        <v>7543.31</v>
      </c>
      <c r="P75" s="55">
        <f>_xll.EQNXTDZ($A$1,$B75,P$1,$B$1)</f>
        <v>6676.16</v>
      </c>
      <c r="Q75" s="55">
        <f>_xll.EQNXTDZ($A$1,$B75,Q$1,$B$1)</f>
        <v>7965.32</v>
      </c>
      <c r="R75" s="55">
        <f>_xll.EQNXTDZ($A$1,$B75,R$1,$B$1)</f>
        <v>7494.19</v>
      </c>
      <c r="S75" s="55">
        <f>_xll.EQNXTDZ($A$1,$B75,S$1,$B$1)</f>
        <v>14300.22</v>
      </c>
      <c r="T75" s="55">
        <f>_xll.EQNXTDZ($A$1,$B75,T$1,$B$1)</f>
        <v>9464.25</v>
      </c>
      <c r="U75" s="55">
        <f>_xll.EQNXTDZ($A$1,$B75,U$1,$B$1)</f>
        <v>13946.17</v>
      </c>
      <c r="V75" s="55">
        <f>_xll.EQNXTDZ($A$1,$B75,V$1,$B$1)</f>
        <v>12699.75</v>
      </c>
      <c r="W75" s="55">
        <f>_xll.EQNXTDZ($A$1,$B75,W$1,$B$1)</f>
        <v>31011.23</v>
      </c>
      <c r="X75" s="55">
        <f>_xll.EQNXTDZ($A$1,$B75,X$1,$B$1)</f>
        <v>29799.58</v>
      </c>
      <c r="Y75" s="55">
        <f>_xll.EQNXTDZ($A$1,$B75,Y$1,$B$1)</f>
        <v>35573.42</v>
      </c>
      <c r="Z75" s="55">
        <f>_xll.EQNXTDZ($A$1,$B75,Z$1,$B$1)</f>
        <v>34957.629999999997</v>
      </c>
      <c r="AA75" s="55">
        <f>_xll.EQNXTDZ($A$1,$B75,AA$1,$B$1)</f>
        <v>43360.62</v>
      </c>
      <c r="AB75" s="55">
        <f>_xll.EQNXTDZ($A$1,$B75,AB$1,$B$1)</f>
        <v>59524.86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2537.0500000000002</v>
      </c>
      <c r="D76" s="55">
        <f>_xll.EQNXTDZ($A$1,$B76,D$1,$B$1)</f>
        <v>2852</v>
      </c>
      <c r="E76" s="55">
        <f>_xll.EQNXTDZ($A$1,$B76,E$1,$B$1)</f>
        <v>2835.72</v>
      </c>
      <c r="F76" s="55">
        <f>_xll.EQNXTDZ($A$1,$B76,F$1,$B$1)</f>
        <v>1967.22</v>
      </c>
      <c r="G76" s="55">
        <f>_xll.EQNXTDZ($A$1,$B76,G$1,$B$1)</f>
        <v>2449.6</v>
      </c>
      <c r="H76" s="55">
        <f>_xll.EQNXTDZ($A$1,$B76,H$1,$B$1)</f>
        <v>2477.35</v>
      </c>
      <c r="I76" s="55">
        <f>_xll.EQNXTDZ($A$1,$B76,I$1,$B$1)</f>
        <v>3677.97</v>
      </c>
      <c r="J76" s="55">
        <f>_xll.EQNXTDZ($A$1,$B76,J$1,$B$1)</f>
        <v>5019</v>
      </c>
      <c r="K76" s="55">
        <f>_xll.EQNXTDZ($A$1,$B76,K$1,$B$1)</f>
        <v>2501.66</v>
      </c>
      <c r="L76" s="55">
        <f>_xll.EQNXTDZ($A$1,$B76,L$1,$B$1)</f>
        <v>2446.14</v>
      </c>
      <c r="M76" s="55">
        <f>_xll.EQNXTDZ($A$1,$B76,M$1,$B$1)</f>
        <v>3040.27</v>
      </c>
      <c r="N76" s="55">
        <f>_xll.EQNXTDZ($A$1,$B76,N$1,$B$1)</f>
        <v>4228.16</v>
      </c>
      <c r="O76" s="55">
        <f>_xll.EQNXTDZ($A$1,$B76,O$1,$B$1)</f>
        <v>5169.46</v>
      </c>
      <c r="P76" s="55">
        <f>_xll.EQNXTDZ($A$1,$B76,P$1,$B$1)</f>
        <v>5527.47</v>
      </c>
      <c r="Q76" s="55">
        <f>_xll.EQNXTDZ($A$1,$B76,Q$1,$B$1)</f>
        <v>6508.4</v>
      </c>
      <c r="R76" s="55">
        <f>_xll.EQNXTDZ($A$1,$B76,R$1,$B$1)</f>
        <v>4854.21</v>
      </c>
      <c r="S76" s="55">
        <f>_xll.EQNXTDZ($A$1,$B76,S$1,$B$1)</f>
        <v>4139.74</v>
      </c>
      <c r="T76" s="55">
        <f>_xll.EQNXTDZ($A$1,$B76,T$1,$B$1)</f>
        <v>4847.8</v>
      </c>
      <c r="U76" s="55">
        <f>_xll.EQNXTDZ($A$1,$B76,U$1,$B$1)</f>
        <v>6413.93</v>
      </c>
      <c r="V76" s="55">
        <f>_xll.EQNXTDZ($A$1,$B76,V$1,$B$1)</f>
        <v>5746.65</v>
      </c>
      <c r="W76" s="55">
        <f>_xll.EQNXTDZ($A$1,$B76,W$1,$B$1)</f>
        <v>5820.54</v>
      </c>
      <c r="X76" s="55">
        <f>_xll.EQNXTDZ($A$1,$B76,X$1,$B$1)</f>
        <v>5943.32</v>
      </c>
      <c r="Y76" s="55">
        <f>_xll.EQNXTDZ($A$1,$B76,Y$1,$B$1)</f>
        <v>6828.78</v>
      </c>
      <c r="Z76" s="55">
        <f>_xll.EQNXTDZ($A$1,$B76,Z$1,$B$1)</f>
        <v>6620.19</v>
      </c>
      <c r="AA76" s="55">
        <f>_xll.EQNXTDZ($A$1,$B76,AA$1,$B$1)</f>
        <v>7670.55</v>
      </c>
      <c r="AB76" s="55">
        <f>_xll.EQNXTDZ($A$1,$B76,AB$1,$B$1)</f>
        <v>9530.93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1384.5</v>
      </c>
      <c r="D77" s="55">
        <f>_xll.EQNXTDZ($A$1,$B77,D$1,$B$1)</f>
        <v>1563.95</v>
      </c>
      <c r="E77" s="55">
        <f>_xll.EQNXTDZ($A$1,$B77,E$1,$B$1)</f>
        <v>1967.5</v>
      </c>
      <c r="F77" s="55">
        <f>_xll.EQNXTDZ($A$1,$B77,F$1,$B$1)</f>
        <v>3490.72</v>
      </c>
      <c r="G77" s="55">
        <f>_xll.EQNXTDZ($A$1,$B77,G$1,$B$1)</f>
        <v>4315.78</v>
      </c>
      <c r="H77" s="55">
        <f>_xll.EQNXTDZ($A$1,$B77,H$1,$B$1)</f>
        <v>5282.29</v>
      </c>
      <c r="I77" s="55">
        <f>_xll.EQNXTDZ($A$1,$B77,I$1,$B$1)</f>
        <v>6110.37</v>
      </c>
      <c r="J77" s="55">
        <f>_xll.EQNXTDZ($A$1,$B77,J$1,$B$1)</f>
        <v>8234.36</v>
      </c>
      <c r="K77" s="55">
        <f>_xll.EQNXTDZ($A$1,$B77,K$1,$B$1)</f>
        <v>11491.13</v>
      </c>
      <c r="L77" s="55">
        <f>_xll.EQNXTDZ($A$1,$B77,L$1,$B$1)</f>
        <v>12522.63</v>
      </c>
      <c r="M77" s="55">
        <f>_xll.EQNXTDZ($A$1,$B77,M$1,$B$1)</f>
        <v>14119.45</v>
      </c>
      <c r="N77" s="55">
        <f>_xll.EQNXTDZ($A$1,$B77,N$1,$B$1)</f>
        <v>20651.099999999999</v>
      </c>
      <c r="O77" s="55">
        <f>_xll.EQNXTDZ($A$1,$B77,O$1,$B$1)</f>
        <v>23011.32</v>
      </c>
      <c r="P77" s="55">
        <f>_xll.EQNXTDZ($A$1,$B77,P$1,$B$1)</f>
        <v>26384.55</v>
      </c>
      <c r="Q77" s="55">
        <f>_xll.EQNXTDZ($A$1,$B77,Q$1,$B$1)</f>
        <v>30089.37</v>
      </c>
      <c r="R77" s="55">
        <f>_xll.EQNXTDZ($A$1,$B77,R$1,$B$1)</f>
        <v>26024.98</v>
      </c>
      <c r="S77" s="55">
        <f>_xll.EQNXTDZ($A$1,$B77,S$1,$B$1)</f>
        <v>28688.97</v>
      </c>
      <c r="T77" s="55">
        <f>_xll.EQNXTDZ($A$1,$B77,T$1,$B$1)</f>
        <v>33116.980000000003</v>
      </c>
      <c r="U77" s="55">
        <f>_xll.EQNXTDZ($A$1,$B77,U$1,$B$1)</f>
        <v>36845.870000000003</v>
      </c>
      <c r="V77" s="55">
        <f>_xll.EQNXTDZ($A$1,$B77,V$1,$B$1)</f>
        <v>40731.519999999997</v>
      </c>
      <c r="W77" s="55">
        <f>_xll.EQNXTDZ($A$1,$B77,W$1,$B$1)</f>
        <v>42229.78</v>
      </c>
      <c r="X77" s="55">
        <f>_xll.EQNXTDZ($A$1,$B77,X$1,$B$1)</f>
        <v>46139.32</v>
      </c>
      <c r="Y77" s="55">
        <f>_xll.EQNXTDZ($A$1,$B77,Y$1,$B$1)</f>
        <v>44731.53</v>
      </c>
      <c r="Z77" s="55">
        <f>_xll.EQNXTDZ($A$1,$B77,Z$1,$B$1)</f>
        <v>48770.95</v>
      </c>
      <c r="AA77" s="55">
        <f>_xll.EQNXTDZ($A$1,$B77,AA$1,$B$1)</f>
        <v>53713.68</v>
      </c>
      <c r="AB77" s="55">
        <f>_xll.EQNXTDZ($A$1,$B77,AB$1,$B$1)</f>
        <v>60461.26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138.88</v>
      </c>
      <c r="D78" s="55">
        <f>_xll.EQNXTDZ($A$1,$B78,D$1,$B$1)</f>
        <v>289.52</v>
      </c>
      <c r="E78" s="55">
        <f>_xll.EQNXTDZ($A$1,$B78,E$1,$B$1)</f>
        <v>457.81</v>
      </c>
      <c r="F78" s="55">
        <f>_xll.EQNXTDZ($A$1,$B78,F$1,$B$1)</f>
        <v>537.20000000000005</v>
      </c>
      <c r="G78" s="55">
        <f>_xll.EQNXTDZ($A$1,$B78,G$1,$B$1)</f>
        <v>988.2</v>
      </c>
      <c r="H78" s="55">
        <f>_xll.EQNXTDZ($A$1,$B78,H$1,$B$1)</f>
        <v>815.99</v>
      </c>
      <c r="I78" s="55">
        <f>_xll.EQNXTDZ($A$1,$B78,I$1,$B$1)</f>
        <v>1718.02</v>
      </c>
      <c r="J78" s="55">
        <f>_xll.EQNXTDZ($A$1,$B78,J$1,$B$1)</f>
        <v>1560.78</v>
      </c>
      <c r="K78" s="55">
        <f>_xll.EQNXTDZ($A$1,$B78,K$1,$B$1)</f>
        <v>1459.04</v>
      </c>
      <c r="L78" s="55">
        <f>_xll.EQNXTDZ($A$1,$B78,L$1,$B$1)</f>
        <v>3321.59</v>
      </c>
      <c r="M78" s="55">
        <f>_xll.EQNXTDZ($A$1,$B78,M$1,$B$1)</f>
        <v>3644.64</v>
      </c>
      <c r="N78" s="55">
        <f>_xll.EQNXTDZ($A$1,$B78,N$1,$B$1)</f>
        <v>3378.58</v>
      </c>
      <c r="O78" s="55">
        <f>_xll.EQNXTDZ($A$1,$B78,O$1,$B$1)</f>
        <v>3566.14</v>
      </c>
      <c r="P78" s="55">
        <f>_xll.EQNXTDZ($A$1,$B78,P$1,$B$1)</f>
        <v>4096.57</v>
      </c>
      <c r="Q78" s="55">
        <f>_xll.EQNXTDZ($A$1,$B78,Q$1,$B$1)</f>
        <v>5756.21</v>
      </c>
      <c r="R78" s="55">
        <f>_xll.EQNXTDZ($A$1,$B78,R$1,$B$1)</f>
        <v>5389.91</v>
      </c>
      <c r="S78" s="55">
        <f>_xll.EQNXTDZ($A$1,$B78,S$1,$B$1)</f>
        <v>5305.96</v>
      </c>
      <c r="T78" s="55">
        <f>_xll.EQNXTDZ($A$1,$B78,T$1,$B$1)</f>
        <v>8032.73</v>
      </c>
      <c r="U78" s="55">
        <f>_xll.EQNXTDZ($A$1,$B78,U$1,$B$1)</f>
        <v>11726.24</v>
      </c>
      <c r="V78" s="55">
        <f>_xll.EQNXTDZ($A$1,$B78,V$1,$B$1)</f>
        <v>15117.78</v>
      </c>
      <c r="W78" s="55">
        <f>_xll.EQNXTDZ($A$1,$B78,W$1,$B$1)</f>
        <v>16241.5</v>
      </c>
      <c r="X78" s="55">
        <f>_xll.EQNXTDZ($A$1,$B78,X$1,$B$1)</f>
        <v>18953.169999999998</v>
      </c>
      <c r="Y78" s="55">
        <f>_xll.EQNXTDZ($A$1,$B78,Y$1,$B$1)</f>
        <v>22519.599999999999</v>
      </c>
      <c r="Z78" s="55">
        <f>_xll.EQNXTDZ($A$1,$B78,Z$1,$B$1)</f>
        <v>15358.39</v>
      </c>
      <c r="AA78" s="55">
        <f>_xll.EQNXTDZ($A$1,$B78,AA$1,$B$1)</f>
        <v>22965.34</v>
      </c>
      <c r="AB78" s="55">
        <f>_xll.EQNXTDZ($A$1,$B78,AB$1,$B$1)</f>
        <v>20847.669999999998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0.49</v>
      </c>
      <c r="D79" s="55">
        <f>_xll.EQNXTDZ($A$1,$B79,D$1,$B$1)</f>
        <v>11.1</v>
      </c>
      <c r="E79" s="55">
        <f>_xll.EQNXTDZ($A$1,$B79,E$1,$B$1)</f>
        <v>10.039999999999999</v>
      </c>
      <c r="F79" s="55">
        <f>_xll.EQNXTDZ($A$1,$B79,F$1,$B$1)</f>
        <v>10.26</v>
      </c>
      <c r="G79" s="55">
        <f>_xll.EQNXTDZ($A$1,$B79,G$1,$B$1)</f>
        <v>4.21</v>
      </c>
      <c r="H79" s="55">
        <f>_xll.EQNXTDZ($A$1,$B79,H$1,$B$1)</f>
        <v>26.6</v>
      </c>
      <c r="I79" s="55">
        <f>_xll.EQNXTDZ($A$1,$B79,I$1,$B$1)</f>
        <v>34.28</v>
      </c>
      <c r="J79" s="55">
        <f>_xll.EQNXTDZ($A$1,$B79,J$1,$B$1)</f>
        <v>38.619999999999997</v>
      </c>
      <c r="K79" s="55">
        <f>_xll.EQNXTDZ($A$1,$B79,K$1,$B$1)</f>
        <v>68.31</v>
      </c>
      <c r="L79" s="55">
        <f>_xll.EQNXTDZ($A$1,$B79,L$1,$B$1)</f>
        <v>103.94</v>
      </c>
      <c r="M79" s="55">
        <f>_xll.EQNXTDZ($A$1,$B79,M$1,$B$1)</f>
        <v>238.11</v>
      </c>
      <c r="N79" s="55">
        <f>_xll.EQNXTDZ($A$1,$B79,N$1,$B$1)</f>
        <v>366.17</v>
      </c>
      <c r="O79" s="55">
        <f>_xll.EQNXTDZ($A$1,$B79,O$1,$B$1)</f>
        <v>514.42999999999995</v>
      </c>
      <c r="P79" s="55">
        <f>_xll.EQNXTDZ($A$1,$B79,P$1,$B$1)</f>
        <v>741.04</v>
      </c>
      <c r="Q79" s="55">
        <f>_xll.EQNXTDZ($A$1,$B79,Q$1,$B$1)</f>
        <v>1033.55</v>
      </c>
      <c r="R79" s="55">
        <f>_xll.EQNXTDZ($A$1,$B79,R$1,$B$1)</f>
        <v>35231.519999999997</v>
      </c>
      <c r="S79" s="55">
        <f>_xll.EQNXTDZ($A$1,$B79,S$1,$B$1)</f>
        <v>25098.91</v>
      </c>
      <c r="T79" s="55">
        <f>_xll.EQNXTDZ($A$1,$B79,T$1,$B$1)</f>
        <v>977.44</v>
      </c>
      <c r="U79" s="55">
        <f>_xll.EQNXTDZ($A$1,$B79,U$1,$B$1)</f>
        <v>47809.09</v>
      </c>
      <c r="V79" s="55">
        <f>_xll.EQNXTDZ($A$1,$B79,V$1,$B$1)</f>
        <v>53351.74</v>
      </c>
      <c r="W79" s="55">
        <f>_xll.EQNXTDZ($A$1,$B79,W$1,$B$1)</f>
        <v>1286.67</v>
      </c>
      <c r="X79" s="55">
        <f>_xll.EQNXTDZ($A$1,$B79,X$1,$B$1)</f>
        <v>1211.3399999999999</v>
      </c>
      <c r="Y79" s="55">
        <f>_xll.EQNXTDZ($A$1,$B79,Y$1,$B$1)</f>
        <v>820.45</v>
      </c>
      <c r="Z79" s="55">
        <f>_xll.EQNXTDZ($A$1,$B79,Z$1,$B$1)</f>
        <v>577.89</v>
      </c>
      <c r="AA79" s="55">
        <f>_xll.EQNXTDZ($A$1,$B79,AA$1,$B$1)</f>
        <v>975.64</v>
      </c>
      <c r="AB79" s="55">
        <f>_xll.EQNXTDZ($A$1,$B79,AB$1,$B$1)</f>
        <v>2862.49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1275.1500000000001</v>
      </c>
      <c r="D80" s="55">
        <f>_xll.EQNXTDZ($A$1,$B80,D$1,$B$1)</f>
        <v>1419.76</v>
      </c>
      <c r="E80" s="55">
        <f>_xll.EQNXTDZ($A$1,$B80,E$1,$B$1)</f>
        <v>1632.4</v>
      </c>
      <c r="F80" s="55">
        <f>_xll.EQNXTDZ($A$1,$B80,F$1,$B$1)</f>
        <v>1861.89</v>
      </c>
      <c r="G80" s="55">
        <f>_xll.EQNXTDZ($A$1,$B80,G$1,$B$1)</f>
        <v>2238.65</v>
      </c>
      <c r="H80" s="55">
        <f>_xll.EQNXTDZ($A$1,$B80,H$1,$B$1)</f>
        <v>3036.99</v>
      </c>
      <c r="I80" s="55">
        <f>_xll.EQNXTDZ($A$1,$B80,I$1,$B$1)</f>
        <v>5172.67</v>
      </c>
      <c r="J80" s="55">
        <f>_xll.EQNXTDZ($A$1,$B80,J$1,$B$1)</f>
        <v>10928.9</v>
      </c>
      <c r="K80" s="55">
        <f>_xll.EQNXTDZ($A$1,$B80,K$1,$B$1)</f>
        <v>18459.48</v>
      </c>
      <c r="L80" s="55">
        <f>_xll.EQNXTDZ($A$1,$B80,L$1,$B$1)</f>
        <v>24249.06</v>
      </c>
      <c r="M80" s="55">
        <f>_xll.EQNXTDZ($A$1,$B80,M$1,$B$1)</f>
        <v>25766.880000000001</v>
      </c>
      <c r="N80" s="55">
        <f>_xll.EQNXTDZ($A$1,$B80,N$1,$B$1)</f>
        <v>30644.01</v>
      </c>
      <c r="O80" s="55">
        <f>_xll.EQNXTDZ($A$1,$B80,O$1,$B$1)</f>
        <v>37958.35</v>
      </c>
      <c r="P80" s="55">
        <f>_xll.EQNXTDZ($A$1,$B80,P$1,$B$1)</f>
        <v>44168.92</v>
      </c>
      <c r="Q80" s="55">
        <f>_xll.EQNXTDZ($A$1,$B80,Q$1,$B$1)</f>
        <v>44481.91</v>
      </c>
      <c r="R80" s="55">
        <f>_xll.EQNXTDZ($A$1,$B80,R$1,$B$1)</f>
        <v>26878.28</v>
      </c>
      <c r="S80" s="55">
        <f>_xll.EQNXTDZ($A$1,$B80,S$1,$B$1)</f>
        <v>42658.080000000002</v>
      </c>
      <c r="T80" s="55">
        <f>_xll.EQNXTDZ($A$1,$B80,T$1,$B$1)</f>
        <v>83678.820000000007</v>
      </c>
      <c r="U80" s="55">
        <f>_xll.EQNXTDZ($A$1,$B80,U$1,$B$1)</f>
        <v>50042.73</v>
      </c>
      <c r="V80" s="55">
        <f>_xll.EQNXTDZ($A$1,$B80,V$1,$B$1)</f>
        <v>50675.24</v>
      </c>
      <c r="W80" s="55">
        <f>_xll.EQNXTDZ($A$1,$B80,W$1,$B$1)</f>
        <v>98370.87</v>
      </c>
      <c r="X80" s="55">
        <f>_xll.EQNXTDZ($A$1,$B80,X$1,$B$1)</f>
        <v>105325.57</v>
      </c>
      <c r="Y80" s="55">
        <f>_xll.EQNXTDZ($A$1,$B80,Y$1,$B$1)</f>
        <v>110741.74</v>
      </c>
      <c r="Z80" s="55">
        <f>_xll.EQNXTDZ($A$1,$B80,Z$1,$B$1)</f>
        <v>111298.19</v>
      </c>
      <c r="AA80" s="55">
        <f>_xll.EQNXTDZ($A$1,$B80,AA$1,$B$1)</f>
        <v>116498.44</v>
      </c>
      <c r="AB80" s="55">
        <f>_xll.EQNXTDZ($A$1,$B80,AB$1,$B$1)</f>
        <v>139613.92000000001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1579.46</v>
      </c>
      <c r="S81" s="55">
        <f>_xll.EQNXTDZ($A$1,$B81,S$1,$B$1)</f>
        <v>1649.37</v>
      </c>
      <c r="T81" s="55">
        <f>_xll.EQNXTDZ($A$1,$B81,T$1,$B$1)</f>
        <v>1512.43</v>
      </c>
      <c r="U81" s="55">
        <f>_xll.EQNXTDZ($A$1,$B81,U$1,$B$1)</f>
        <v>7.41</v>
      </c>
      <c r="V81" s="55">
        <f>_xll.EQNXTDZ($A$1,$B81,V$1,$B$1)</f>
        <v>4367.21</v>
      </c>
      <c r="W81" s="55">
        <f>_xll.EQNXTDZ($A$1,$B81,W$1,$B$1)</f>
        <v>6.24</v>
      </c>
      <c r="X81" s="55">
        <f>_xll.EQNXTDZ($A$1,$B81,X$1,$B$1)</f>
        <v>830.78</v>
      </c>
      <c r="Y81" s="55">
        <f>_xll.EQNXTDZ($A$1,$B81,Y$1,$B$1)</f>
        <v>988.8</v>
      </c>
      <c r="Z81" s="55">
        <f>_xll.EQNXTDZ($A$1,$B81,Z$1,$B$1)</f>
        <v>1005.36</v>
      </c>
      <c r="AA81" s="55">
        <f>_xll.EQNXTDZ($A$1,$B81,AA$1,$B$1)</f>
        <v>157.44</v>
      </c>
      <c r="AB81" s="55">
        <f>_xll.EQNXTDZ($A$1,$B81,AB$1,$B$1)</f>
        <v>25470.19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5336.07</v>
      </c>
      <c r="D82" s="55">
        <f>_xll.EQNXTDZ($A$1,$B82,D$1,$B$1)</f>
        <v>6196.3</v>
      </c>
      <c r="E82" s="55">
        <f>_xll.EQNXTDZ($A$1,$B82,E$1,$B$1)</f>
        <v>7225.33</v>
      </c>
      <c r="F82" s="55">
        <f>_xll.EQNXTDZ($A$1,$B82,F$1,$B$1)</f>
        <v>8155.32</v>
      </c>
      <c r="G82" s="55">
        <f>_xll.EQNXTDZ($A$1,$B82,G$1,$B$1)</f>
        <v>10054.549999999999</v>
      </c>
      <c r="H82" s="55">
        <f>_xll.EQNXTDZ($A$1,$B82,H$1,$B$1)</f>
        <v>12413.05</v>
      </c>
      <c r="I82" s="55">
        <f>_xll.EQNXTDZ($A$1,$B82,I$1,$B$1)</f>
        <v>18237.8</v>
      </c>
      <c r="J82" s="55">
        <f>_xll.EQNXTDZ($A$1,$B82,J$1,$B$1)</f>
        <v>30382.48</v>
      </c>
      <c r="K82" s="55">
        <f>_xll.EQNXTDZ($A$1,$B82,K$1,$B$1)</f>
        <v>39207.86</v>
      </c>
      <c r="L82" s="55">
        <f>_xll.EQNXTDZ($A$1,$B82,L$1,$B$1)</f>
        <v>51213.26</v>
      </c>
      <c r="M82" s="55">
        <f>_xll.EQNXTDZ($A$1,$B82,M$1,$B$1)</f>
        <v>54521.79</v>
      </c>
      <c r="N82" s="55">
        <f>_xll.EQNXTDZ($A$1,$B82,N$1,$B$1)</f>
        <v>66492.639999999999</v>
      </c>
      <c r="O82" s="55">
        <f>_xll.EQNXTDZ($A$1,$B82,O$1,$B$1)</f>
        <v>77763.009999999995</v>
      </c>
      <c r="P82" s="55">
        <f>_xll.EQNXTDZ($A$1,$B82,P$1,$B$1)</f>
        <v>87594.71</v>
      </c>
      <c r="Q82" s="55">
        <f>_xll.EQNXTDZ($A$1,$B82,Q$1,$B$1)</f>
        <v>95834.76</v>
      </c>
      <c r="R82" s="55">
        <f>_xll.EQNXTDZ($A$1,$B82,R$1,$B$1)</f>
        <v>105873.09</v>
      </c>
      <c r="S82" s="55">
        <f>_xll.EQNXTDZ($A$1,$B82,S$1,$B$1)</f>
        <v>120191.88</v>
      </c>
      <c r="T82" s="55">
        <f>_xll.EQNXTDZ($A$1,$B82,T$1,$B$1)</f>
        <v>140118.01999999999</v>
      </c>
      <c r="U82" s="55">
        <f>_xll.EQNXTDZ($A$1,$B82,U$1,$B$1)</f>
        <v>166784.03</v>
      </c>
      <c r="V82" s="55">
        <f>_xll.EQNXTDZ($A$1,$B82,V$1,$B$1)</f>
        <v>178322.68</v>
      </c>
      <c r="W82" s="55">
        <f>_xll.EQNXTDZ($A$1,$B82,W$1,$B$1)</f>
        <v>194960.59</v>
      </c>
      <c r="X82" s="55">
        <f>_xll.EQNXTDZ($A$1,$B82,X$1,$B$1)</f>
        <v>207372.3</v>
      </c>
      <c r="Y82" s="55">
        <f>_xll.EQNXTDZ($A$1,$B82,Y$1,$B$1)</f>
        <v>221215.52</v>
      </c>
      <c r="Z82" s="55">
        <f>_xll.EQNXTDZ($A$1,$B82,Z$1,$B$1)</f>
        <v>217583.24</v>
      </c>
      <c r="AA82" s="55">
        <f>_xll.EQNXTDZ($A$1,$B82,AA$1,$B$1)</f>
        <v>245184.27</v>
      </c>
      <c r="AB82" s="55">
        <f>_xll.EQNXTDZ($A$1,$B82,AB$1,$B$1)</f>
        <v>292841.13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43.51</v>
      </c>
      <c r="D83" s="55">
        <f>_xll.EQNXTDZ($A$1,$B83,D$1,$B$1)</f>
        <v>75.540000000000006</v>
      </c>
      <c r="E83" s="55">
        <f>_xll.EQNXTDZ($A$1,$B83,E$1,$B$1)</f>
        <v>106.19</v>
      </c>
      <c r="F83" s="55">
        <f>_xll.EQNXTDZ($A$1,$B83,F$1,$B$1)</f>
        <v>47.93</v>
      </c>
      <c r="G83" s="55">
        <f>_xll.EQNXTDZ($A$1,$B83,G$1,$B$1)</f>
        <v>40.729999999999997</v>
      </c>
      <c r="H83" s="55">
        <f>_xll.EQNXTDZ($A$1,$B83,H$1,$B$1)</f>
        <v>24.01</v>
      </c>
      <c r="I83" s="55">
        <f>_xll.EQNXTDZ($A$1,$B83,I$1,$B$1)</f>
        <v>17.079999999999998</v>
      </c>
      <c r="J83" s="55">
        <f>_xll.EQNXTDZ($A$1,$B83,J$1,$B$1)</f>
        <v>28.54</v>
      </c>
      <c r="K83" s="55">
        <f>_xll.EQNXTDZ($A$1,$B83,K$1,$B$1)</f>
        <v>0.28000000000000003</v>
      </c>
      <c r="L83" s="55">
        <f>_xll.EQNXTDZ($A$1,$B83,L$1,$B$1)</f>
        <v>0</v>
      </c>
      <c r="M83" s="55">
        <f>_xll.EQNXTDZ($A$1,$B83,M$1,$B$1)</f>
        <v>10.79</v>
      </c>
      <c r="N83" s="55">
        <f>_xll.EQNXTDZ($A$1,$B83,N$1,$B$1)</f>
        <v>76.09</v>
      </c>
      <c r="O83" s="55">
        <f>_xll.EQNXTDZ($A$1,$B83,O$1,$B$1)</f>
        <v>92.68</v>
      </c>
      <c r="P83" s="55">
        <f>_xll.EQNXTDZ($A$1,$B83,P$1,$B$1)</f>
        <v>98.52</v>
      </c>
      <c r="Q83" s="55">
        <f>_xll.EQNXTDZ($A$1,$B83,Q$1,$B$1)</f>
        <v>97.2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10864.04</v>
      </c>
      <c r="D84" s="55">
        <f>_xll.EQNXTDZ($A$1,$B84,D$1,$B$1)</f>
        <v>12393.74</v>
      </c>
      <c r="E84" s="55">
        <f>_xll.EQNXTDZ($A$1,$B84,E$1,$B$1)</f>
        <v>13069.59</v>
      </c>
      <c r="F84" s="55">
        <f>_xll.EQNXTDZ($A$1,$B84,F$1,$B$1)</f>
        <v>10679.16</v>
      </c>
      <c r="G84" s="55">
        <f>_xll.EQNXTDZ($A$1,$B84,G$1,$B$1)</f>
        <v>12867.26</v>
      </c>
      <c r="H84" s="55">
        <f>_xll.EQNXTDZ($A$1,$B84,H$1,$B$1)</f>
        <v>16312.35</v>
      </c>
      <c r="I84" s="55">
        <f>_xll.EQNXTDZ($A$1,$B84,I$1,$B$1)</f>
        <v>24648.67</v>
      </c>
      <c r="J84" s="55">
        <f>_xll.EQNXTDZ($A$1,$B84,J$1,$B$1)</f>
        <v>39885.949999999997</v>
      </c>
      <c r="K84" s="55">
        <f>_xll.EQNXTDZ($A$1,$B84,K$1,$B$1)</f>
        <v>56402.98</v>
      </c>
      <c r="L84" s="55">
        <f>_xll.EQNXTDZ($A$1,$B84,L$1,$B$1)</f>
        <v>71483.16</v>
      </c>
      <c r="M84" s="55">
        <f>_xll.EQNXTDZ($A$1,$B84,M$1,$B$1)</f>
        <v>96654.49</v>
      </c>
      <c r="N84" s="55">
        <f>_xll.EQNXTDZ($A$1,$B84,N$1,$B$1)</f>
        <v>121497.02</v>
      </c>
      <c r="O84" s="55">
        <f>_xll.EQNXTDZ($A$1,$B84,O$1,$B$1)</f>
        <v>145199.04999999999</v>
      </c>
      <c r="P84" s="55">
        <f>_xll.EQNXTDZ($A$1,$B84,P$1,$B$1)</f>
        <v>171356.5</v>
      </c>
      <c r="Q84" s="55">
        <f>_xll.EQNXTDZ($A$1,$B84,Q$1,$B$1)</f>
        <v>195565.34</v>
      </c>
      <c r="R84" s="55">
        <f>_xll.EQNXTDZ($A$1,$B84,R$1,$B$1)</f>
        <v>193354.23999999999</v>
      </c>
      <c r="S84" s="55">
        <f>_xll.EQNXTDZ($A$1,$B84,S$1,$B$1)</f>
        <v>210445.45</v>
      </c>
      <c r="T84" s="55">
        <f>_xll.EQNXTDZ($A$1,$B84,T$1,$B$1)</f>
        <v>241122.53</v>
      </c>
      <c r="U84" s="55">
        <f>_xll.EQNXTDZ($A$1,$B84,U$1,$B$1)</f>
        <v>274928.43</v>
      </c>
      <c r="V84" s="55">
        <f>_xll.EQNXTDZ($A$1,$B84,V$1,$B$1)</f>
        <v>304293.55</v>
      </c>
      <c r="W84" s="55">
        <f>_xll.EQNXTDZ($A$1,$B84,W$1,$B$1)</f>
        <v>308576.71000000002</v>
      </c>
      <c r="X84" s="55">
        <f>_xll.EQNXTDZ($A$1,$B84,X$1,$B$1)</f>
        <v>317227.14</v>
      </c>
      <c r="Y84" s="55">
        <f>_xll.EQNXTDZ($A$1,$B84,Y$1,$B$1)</f>
        <v>326367.52</v>
      </c>
      <c r="Z84" s="55">
        <f>_xll.EQNXTDZ($A$1,$B84,Z$1,$B$1)</f>
        <v>336272.25</v>
      </c>
      <c r="AA84" s="55">
        <f>_xll.EQNXTDZ($A$1,$B84,AA$1,$B$1)</f>
        <v>375731.22</v>
      </c>
      <c r="AB84" s="55">
        <f>_xll.EQNXTDZ($A$1,$B84,AB$1,$B$1)</f>
        <v>448297.12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439.98</v>
      </c>
      <c r="D85" s="55">
        <f>_xll.EQNXTDZ($A$1,$B85,D$1,$B$1)</f>
        <v>508.25</v>
      </c>
      <c r="E85" s="55">
        <f>_xll.EQNXTDZ($A$1,$B85,E$1,$B$1)</f>
        <v>807.51</v>
      </c>
      <c r="F85" s="55">
        <f>_xll.EQNXTDZ($A$1,$B85,F$1,$B$1)</f>
        <v>685.55</v>
      </c>
      <c r="G85" s="55">
        <f>_xll.EQNXTDZ($A$1,$B85,G$1,$B$1)</f>
        <v>439.29</v>
      </c>
      <c r="H85" s="55">
        <f>_xll.EQNXTDZ($A$1,$B85,H$1,$B$1)</f>
        <v>328.46</v>
      </c>
      <c r="I85" s="55">
        <f>_xll.EQNXTDZ($A$1,$B85,I$1,$B$1)</f>
        <v>357.27</v>
      </c>
      <c r="J85" s="55">
        <f>_xll.EQNXTDZ($A$1,$B85,J$1,$B$1)</f>
        <v>404.51</v>
      </c>
      <c r="K85" s="55">
        <f>_xll.EQNXTDZ($A$1,$B85,K$1,$B$1)</f>
        <v>401.01</v>
      </c>
      <c r="L85" s="55">
        <f>_xll.EQNXTDZ($A$1,$B85,L$1,$B$1)</f>
        <v>570.63</v>
      </c>
      <c r="M85" s="55">
        <f>_xll.EQNXTDZ($A$1,$B85,M$1,$B$1)</f>
        <v>610.04</v>
      </c>
      <c r="N85" s="55">
        <f>_xll.EQNXTDZ($A$1,$B85,N$1,$B$1)</f>
        <v>830.77</v>
      </c>
      <c r="O85" s="55">
        <f>_xll.EQNXTDZ($A$1,$B85,O$1,$B$1)</f>
        <v>1034.72</v>
      </c>
      <c r="P85" s="55">
        <f>_xll.EQNXTDZ($A$1,$B85,P$1,$B$1)</f>
        <v>1492</v>
      </c>
      <c r="Q85" s="55">
        <f>_xll.EQNXTDZ($A$1,$B85,Q$1,$B$1)</f>
        <v>3210.92</v>
      </c>
      <c r="R85" s="55">
        <f>_xll.EQNXTDZ($A$1,$B85,R$1,$B$1)</f>
        <v>18745.400000000001</v>
      </c>
      <c r="S85" s="55">
        <f>_xll.EQNXTDZ($A$1,$B85,S$1,$B$1)</f>
        <v>19853.330000000002</v>
      </c>
      <c r="T85" s="55">
        <f>_xll.EQNXTDZ($A$1,$B85,T$1,$B$1)</f>
        <v>22816.28</v>
      </c>
      <c r="U85" s="55">
        <f>_xll.EQNXTDZ($A$1,$B85,U$1,$B$1)</f>
        <v>23068.5</v>
      </c>
      <c r="V85" s="55">
        <f>_xll.EQNXTDZ($A$1,$B85,V$1,$B$1)</f>
        <v>21839.79</v>
      </c>
      <c r="W85" s="55">
        <f>_xll.EQNXTDZ($A$1,$B85,W$1,$B$1)</f>
        <v>18414.599999999999</v>
      </c>
      <c r="X85" s="55">
        <f>_xll.EQNXTDZ($A$1,$B85,X$1,$B$1)</f>
        <v>19756.96</v>
      </c>
      <c r="Y85" s="55">
        <f>_xll.EQNXTDZ($A$1,$B85,Y$1,$B$1)</f>
        <v>17510.650000000001</v>
      </c>
      <c r="Z85" s="55">
        <f>_xll.EQNXTDZ($A$1,$B85,Z$1,$B$1)</f>
        <v>18987.849999999999</v>
      </c>
      <c r="AA85" s="55">
        <f>_xll.EQNXTDZ($A$1,$B85,AA$1,$B$1)</f>
        <v>20567.59</v>
      </c>
      <c r="AB85" s="55">
        <f>_xll.EQNXTDZ($A$1,$B85,AB$1,$B$1)</f>
        <v>28921.93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153.56</v>
      </c>
      <c r="E86" s="55">
        <f>_xll.EQNXTDZ($A$1,$B86,E$1,$B$1)</f>
        <v>131.66</v>
      </c>
      <c r="F86" s="55">
        <f>_xll.EQNXTDZ($A$1,$B86,F$1,$B$1)</f>
        <v>0</v>
      </c>
      <c r="G86" s="55">
        <f>_xll.EQNXTDZ($A$1,$B86,G$1,$B$1)</f>
        <v>-0.36</v>
      </c>
      <c r="H86" s="55">
        <f>_xll.EQNXTDZ($A$1,$B86,H$1,$B$1)</f>
        <v>12.95</v>
      </c>
      <c r="I86" s="55">
        <f>_xll.EQNXTDZ($A$1,$B86,I$1,$B$1)</f>
        <v>165.28</v>
      </c>
      <c r="J86" s="55">
        <f>_xll.EQNXTDZ($A$1,$B86,J$1,$B$1)</f>
        <v>224.12</v>
      </c>
      <c r="K86" s="55">
        <f>_xll.EQNXTDZ($A$1,$B86,K$1,$B$1)</f>
        <v>358.98</v>
      </c>
      <c r="L86" s="55">
        <f>_xll.EQNXTDZ($A$1,$B86,L$1,$B$1)</f>
        <v>528.02</v>
      </c>
      <c r="M86" s="55">
        <f>_xll.EQNXTDZ($A$1,$B86,M$1,$B$1)</f>
        <v>1082.45</v>
      </c>
      <c r="N86" s="55">
        <f>_xll.EQNXTDZ($A$1,$B86,N$1,$B$1)</f>
        <v>1146.3900000000001</v>
      </c>
      <c r="O86" s="55">
        <f>_xll.EQNXTDZ($A$1,$B86,O$1,$B$1)</f>
        <v>2205.52</v>
      </c>
      <c r="P86" s="55">
        <f>_xll.EQNXTDZ($A$1,$B86,P$1,$B$1)</f>
        <v>2212.04</v>
      </c>
      <c r="Q86" s="55">
        <f>_xll.EQNXTDZ($A$1,$B86,Q$1,$B$1)</f>
        <v>2301.9</v>
      </c>
      <c r="R86" s="55">
        <f>_xll.EQNXTDZ($A$1,$B86,R$1,$B$1)</f>
        <v>1523.08</v>
      </c>
      <c r="S86" s="55">
        <f>_xll.EQNXTDZ($A$1,$B86,S$1,$B$1)</f>
        <v>1457.45</v>
      </c>
      <c r="T86" s="55">
        <f>_xll.EQNXTDZ($A$1,$B86,T$1,$B$1)</f>
        <v>1657.52</v>
      </c>
      <c r="U86" s="55">
        <f>_xll.EQNXTDZ($A$1,$B86,U$1,$B$1)</f>
        <v>1934.88</v>
      </c>
      <c r="V86" s="55">
        <f>_xll.EQNXTDZ($A$1,$B86,V$1,$B$1)</f>
        <v>10833.79</v>
      </c>
      <c r="W86" s="55">
        <f>_xll.EQNXTDZ($A$1,$B86,W$1,$B$1)</f>
        <v>10534.6</v>
      </c>
      <c r="X86" s="55">
        <f>_xll.EQNXTDZ($A$1,$B86,X$1,$B$1)</f>
        <v>9793.43</v>
      </c>
      <c r="Y86" s="55">
        <f>_xll.EQNXTDZ($A$1,$B86,Y$1,$B$1)</f>
        <v>9590.1200000000008</v>
      </c>
      <c r="Z86" s="55">
        <f>_xll.EQNXTDZ($A$1,$B86,Z$1,$B$1)</f>
        <v>9290.23</v>
      </c>
      <c r="AA86" s="55">
        <f>_xll.EQNXTDZ($A$1,$B86,AA$1,$B$1)</f>
        <v>9735.0400000000009</v>
      </c>
      <c r="AB86" s="55">
        <f>_xll.EQNXTDZ($A$1,$B86,AB$1,$B$1)</f>
        <v>9626.3700000000008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1575</v>
      </c>
      <c r="N87" s="55">
        <f>_xll.EQNXTDZ($A$1,$B87,N$1,$B$1)</f>
        <v>1744.09</v>
      </c>
      <c r="O87" s="55">
        <f>_xll.EQNXTDZ($A$1,$B87,O$1,$B$1)</f>
        <v>1777.5</v>
      </c>
      <c r="P87" s="55">
        <f>_xll.EQNXTDZ($A$1,$B87,P$1,$B$1)</f>
        <v>3414.9</v>
      </c>
      <c r="Q87" s="55">
        <f>_xll.EQNXTDZ($A$1,$B87,Q$1,$B$1)</f>
        <v>2918.46</v>
      </c>
      <c r="R87" s="55">
        <f>_xll.EQNXTDZ($A$1,$B87,R$1,$B$1)</f>
        <v>7604.48</v>
      </c>
      <c r="S87" s="55">
        <f>_xll.EQNXTDZ($A$1,$B87,S$1,$B$1)</f>
        <v>7399.11</v>
      </c>
      <c r="T87" s="55">
        <f>_xll.EQNXTDZ($A$1,$B87,T$1,$B$1)</f>
        <v>8519.2999999999993</v>
      </c>
      <c r="U87" s="55">
        <f>_xll.EQNXTDZ($A$1,$B87,U$1,$B$1)</f>
        <v>13548.05</v>
      </c>
      <c r="V87" s="55">
        <f>_xll.EQNXTDZ($A$1,$B87,V$1,$B$1)</f>
        <v>14337.57</v>
      </c>
      <c r="W87" s="55">
        <f>_xll.EQNXTDZ($A$1,$B87,W$1,$B$1)</f>
        <v>13210.17</v>
      </c>
      <c r="X87" s="55">
        <f>_xll.EQNXTDZ($A$1,$B87,X$1,$B$1)</f>
        <v>21426.97</v>
      </c>
      <c r="Y87" s="55">
        <f>_xll.EQNXTDZ($A$1,$B87,Y$1,$B$1)</f>
        <v>14285.91</v>
      </c>
      <c r="Z87" s="55">
        <f>_xll.EQNXTDZ($A$1,$B87,Z$1,$B$1)</f>
        <v>14394.33</v>
      </c>
      <c r="AA87" s="55">
        <f>_xll.EQNXTDZ($A$1,$B87,AA$1,$B$1)</f>
        <v>18328.48</v>
      </c>
      <c r="AB87" s="55">
        <f>_xll.EQNXTDZ($A$1,$B87,AB$1,$B$1)</f>
        <v>5077.62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2345.13</v>
      </c>
      <c r="N88" s="55">
        <f>_xll.EQNXTDZ($A$1,$B88,N$1,$B$1)</f>
        <v>3956.98</v>
      </c>
      <c r="O88" s="55">
        <f>_xll.EQNXTDZ($A$1,$B88,O$1,$B$1)</f>
        <v>6008.5</v>
      </c>
      <c r="P88" s="55">
        <f>_xll.EQNXTDZ($A$1,$B88,P$1,$B$1)</f>
        <v>8126.88</v>
      </c>
      <c r="Q88" s="55">
        <f>_xll.EQNXTDZ($A$1,$B88,Q$1,$B$1)</f>
        <v>5512.78</v>
      </c>
      <c r="R88" s="55">
        <f>_xll.EQNXTDZ($A$1,$B88,R$1,$B$1)</f>
        <v>4410.3100000000004</v>
      </c>
      <c r="S88" s="55">
        <f>_xll.EQNXTDZ($A$1,$B88,S$1,$B$1)</f>
        <v>2500.37</v>
      </c>
      <c r="T88" s="55">
        <f>_xll.EQNXTDZ($A$1,$B88,T$1,$B$1)</f>
        <v>6508.56</v>
      </c>
      <c r="U88" s="55">
        <f>_xll.EQNXTDZ($A$1,$B88,U$1,$B$1)</f>
        <v>8478.2999999999993</v>
      </c>
      <c r="V88" s="55">
        <f>_xll.EQNXTDZ($A$1,$B88,V$1,$B$1)</f>
        <v>8647.2199999999993</v>
      </c>
      <c r="W88" s="55">
        <f>_xll.EQNXTDZ($A$1,$B88,W$1,$B$1)</f>
        <v>9509.2199999999993</v>
      </c>
      <c r="X88" s="55">
        <f>_xll.EQNXTDZ($A$1,$B88,X$1,$B$1)</f>
        <v>9945.99</v>
      </c>
      <c r="Y88" s="55">
        <f>_xll.EQNXTDZ($A$1,$B88,Y$1,$B$1)</f>
        <v>12113.47</v>
      </c>
      <c r="Z88" s="55">
        <f>_xll.EQNXTDZ($A$1,$B88,Z$1,$B$1)</f>
        <v>15304.2</v>
      </c>
      <c r="AA88" s="55">
        <f>_xll.EQNXTDZ($A$1,$B88,AA$1,$B$1)</f>
        <v>17866.22</v>
      </c>
      <c r="AB88" s="55">
        <f>_xll.EQNXTDZ($A$1,$B88,AB$1,$B$1)</f>
        <v>18088.28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94.19</v>
      </c>
      <c r="N90" s="55">
        <f>_xll.EQNXTDZ($A$1,$B90,N$1,$B$1)</f>
        <v>0.32</v>
      </c>
      <c r="O90" s="55">
        <f>_xll.EQNXTDZ($A$1,$B90,O$1,$B$1)</f>
        <v>0.26</v>
      </c>
      <c r="P90" s="55">
        <f>_xll.EQNXTDZ($A$1,$B90,P$1,$B$1)</f>
        <v>0.33</v>
      </c>
      <c r="Q90" s="55">
        <f>_xll.EQNXTDZ($A$1,$B90,Q$1,$B$1)</f>
        <v>0.16</v>
      </c>
      <c r="R90" s="55">
        <f>_xll.EQNXTDZ($A$1,$B90,R$1,$B$1)</f>
        <v>0.11</v>
      </c>
      <c r="S90" s="55">
        <f>_xll.EQNXTDZ($A$1,$B90,S$1,$B$1)</f>
        <v>179.42</v>
      </c>
      <c r="T90" s="55">
        <f>_xll.EQNXTDZ($A$1,$B90,T$1,$B$1)</f>
        <v>249.61</v>
      </c>
      <c r="U90" s="55">
        <f>_xll.EQNXTDZ($A$1,$B90,U$1,$B$1)</f>
        <v>184.19</v>
      </c>
      <c r="V90" s="55">
        <f>_xll.EQNXTDZ($A$1,$B90,V$1,$B$1)</f>
        <v>669.98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7.0000000000000007E-2</v>
      </c>
      <c r="D91" s="55">
        <f>_xll.EQNXTDZ($A$1,$B91,D$1,$B$1)</f>
        <v>208.97</v>
      </c>
      <c r="E91" s="55">
        <f>_xll.EQNXTDZ($A$1,$B91,E$1,$B$1)</f>
        <v>208.97</v>
      </c>
      <c r="F91" s="55">
        <f>_xll.EQNXTDZ($A$1,$B91,F$1,$B$1)</f>
        <v>0.89</v>
      </c>
      <c r="G91" s="55">
        <f>_xll.EQNXTDZ($A$1,$B91,G$1,$B$1)</f>
        <v>1.86</v>
      </c>
      <c r="H91" s="55">
        <f>_xll.EQNXTDZ($A$1,$B91,H$1,$B$1)</f>
        <v>14.9</v>
      </c>
      <c r="I91" s="55">
        <f>_xll.EQNXTDZ($A$1,$B91,I$1,$B$1)</f>
        <v>172.63</v>
      </c>
      <c r="J91" s="55">
        <f>_xll.EQNXTDZ($A$1,$B91,J$1,$B$1)</f>
        <v>251.69</v>
      </c>
      <c r="K91" s="55">
        <f>_xll.EQNXTDZ($A$1,$B91,K$1,$B$1)</f>
        <v>467.92</v>
      </c>
      <c r="L91" s="55">
        <f>_xll.EQNXTDZ($A$1,$B91,L$1,$B$1)</f>
        <v>683.79</v>
      </c>
      <c r="M91" s="55">
        <f>_xll.EQNXTDZ($A$1,$B91,M$1,$B$1)</f>
        <v>1336.19</v>
      </c>
      <c r="N91" s="55">
        <f>_xll.EQNXTDZ($A$1,$B91,N$1,$B$1)</f>
        <v>1560.24</v>
      </c>
      <c r="O91" s="55">
        <f>_xll.EQNXTDZ($A$1,$B91,O$1,$B$1)</f>
        <v>2298.16</v>
      </c>
      <c r="P91" s="55">
        <f>_xll.EQNXTDZ($A$1,$B91,P$1,$B$1)</f>
        <v>2296.67</v>
      </c>
      <c r="Q91" s="55">
        <f>_xll.EQNXTDZ($A$1,$B91,Q$1,$B$1)</f>
        <v>2394.34</v>
      </c>
      <c r="R91" s="55">
        <f>_xll.EQNXTDZ($A$1,$B91,R$1,$B$1)</f>
        <v>1632.63</v>
      </c>
      <c r="S91" s="55">
        <f>_xll.EQNXTDZ($A$1,$B91,S$1,$B$1)</f>
        <v>1578.49</v>
      </c>
      <c r="T91" s="55">
        <f>_xll.EQNXTDZ($A$1,$B91,T$1,$B$1)</f>
        <v>1817.73</v>
      </c>
      <c r="U91" s="55">
        <f>_xll.EQNXTDZ($A$1,$B91,U$1,$B$1)</f>
        <v>2143.6999999999998</v>
      </c>
      <c r="V91" s="55">
        <f>_xll.EQNXTDZ($A$1,$B91,V$1,$B$1)</f>
        <v>11357.84</v>
      </c>
      <c r="W91" s="55">
        <f>_xll.EQNXTDZ($A$1,$B91,W$1,$B$1)</f>
        <v>11467.38</v>
      </c>
      <c r="X91" s="55">
        <f>_xll.EQNXTDZ($A$1,$B91,X$1,$B$1)</f>
        <v>11111.62</v>
      </c>
      <c r="Y91" s="55">
        <f>_xll.EQNXTDZ($A$1,$B91,Y$1,$B$1)</f>
        <v>11239.55</v>
      </c>
      <c r="Z91" s="55">
        <f>_xll.EQNXTDZ($A$1,$B91,Z$1,$B$1)</f>
        <v>11243.6</v>
      </c>
      <c r="AA91" s="55">
        <f>_xll.EQNXTDZ($A$1,$B91,AA$1,$B$1)</f>
        <v>11967.2</v>
      </c>
      <c r="AB91" s="55">
        <f>_xll.EQNXTDZ($A$1,$B91,AB$1,$B$1)</f>
        <v>12298.44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7.0000000000000007E-2</v>
      </c>
      <c r="D92" s="55">
        <f>_xll.EQNXTDZ($A$1,$B92,D$1,$B$1)</f>
        <v>55.41</v>
      </c>
      <c r="E92" s="55">
        <f>_xll.EQNXTDZ($A$1,$B92,E$1,$B$1)</f>
        <v>77.31</v>
      </c>
      <c r="F92" s="55">
        <f>_xll.EQNXTDZ($A$1,$B92,F$1,$B$1)</f>
        <v>0.89</v>
      </c>
      <c r="G92" s="55">
        <f>_xll.EQNXTDZ($A$1,$B92,G$1,$B$1)</f>
        <v>0.98</v>
      </c>
      <c r="H92" s="55">
        <f>_xll.EQNXTDZ($A$1,$B92,H$1,$B$1)</f>
        <v>1.55</v>
      </c>
      <c r="I92" s="55">
        <f>_xll.EQNXTDZ($A$1,$B92,I$1,$B$1)</f>
        <v>6.62</v>
      </c>
      <c r="J92" s="55">
        <f>_xll.EQNXTDZ($A$1,$B92,J$1,$B$1)</f>
        <v>26.85</v>
      </c>
      <c r="K92" s="55">
        <f>_xll.EQNXTDZ($A$1,$B92,K$1,$B$1)</f>
        <v>66.94</v>
      </c>
      <c r="L92" s="55">
        <f>_xll.EQNXTDZ($A$1,$B92,L$1,$B$1)</f>
        <v>113.77</v>
      </c>
      <c r="M92" s="55">
        <f>_xll.EQNXTDZ($A$1,$B92,M$1,$B$1)</f>
        <v>212.45</v>
      </c>
      <c r="N92" s="55">
        <f>_xll.EQNXTDZ($A$1,$B92,N$1,$B$1)</f>
        <v>372.56</v>
      </c>
      <c r="O92" s="55">
        <f>_xll.EQNXTDZ($A$1,$B92,O$1,$B$1)</f>
        <v>24.9</v>
      </c>
      <c r="P92" s="55">
        <f>_xll.EQNXTDZ($A$1,$B92,P$1,$B$1)</f>
        <v>36.53</v>
      </c>
      <c r="Q92" s="55">
        <f>_xll.EQNXTDZ($A$1,$B92,Q$1,$B$1)</f>
        <v>44.34</v>
      </c>
      <c r="R92" s="55">
        <f>_xll.EQNXTDZ($A$1,$B92,R$1,$B$1)</f>
        <v>61.45</v>
      </c>
      <c r="S92" s="55">
        <f>_xll.EQNXTDZ($A$1,$B92,S$1,$B$1)</f>
        <v>72.94</v>
      </c>
      <c r="T92" s="55">
        <f>_xll.EQNXTDZ($A$1,$B92,T$1,$B$1)</f>
        <v>112.11</v>
      </c>
      <c r="U92" s="55">
        <f>_xll.EQNXTDZ($A$1,$B92,U$1,$B$1)</f>
        <v>160.72</v>
      </c>
      <c r="V92" s="55">
        <f>_xll.EQNXTDZ($A$1,$B92,V$1,$B$1)</f>
        <v>475.95</v>
      </c>
      <c r="W92" s="55">
        <f>_xll.EQNXTDZ($A$1,$B92,W$1,$B$1)</f>
        <v>882.86</v>
      </c>
      <c r="X92" s="55">
        <f>_xll.EQNXTDZ($A$1,$B92,X$1,$B$1)</f>
        <v>1268.27</v>
      </c>
      <c r="Y92" s="55">
        <f>_xll.EQNXTDZ($A$1,$B92,Y$1,$B$1)</f>
        <v>1599.51</v>
      </c>
      <c r="Z92" s="55">
        <f>_xll.EQNXTDZ($A$1,$B92,Z$1,$B$1)</f>
        <v>1905.27</v>
      </c>
      <c r="AA92" s="55">
        <f>_xll.EQNXTDZ($A$1,$B92,AA$1,$B$1)</f>
        <v>2184.06</v>
      </c>
      <c r="AB92" s="55">
        <f>_xll.EQNXTDZ($A$1,$B92,AB$1,$B$1)</f>
        <v>2623.97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330.73</v>
      </c>
      <c r="D93" s="55">
        <f>_xll.EQNXTDZ($A$1,$B93,D$1,$B$1)</f>
        <v>492.99</v>
      </c>
      <c r="E93" s="55">
        <f>_xll.EQNXTDZ($A$1,$B93,E$1,$B$1)</f>
        <v>652.27</v>
      </c>
      <c r="F93" s="55">
        <f>_xll.EQNXTDZ($A$1,$B93,F$1,$B$1)</f>
        <v>536.38</v>
      </c>
      <c r="G93" s="55">
        <f>_xll.EQNXTDZ($A$1,$B93,G$1,$B$1)</f>
        <v>298.66000000000003</v>
      </c>
      <c r="H93" s="55">
        <f>_xll.EQNXTDZ($A$1,$B93,H$1,$B$1)</f>
        <v>236.93</v>
      </c>
      <c r="I93" s="55">
        <f>_xll.EQNXTDZ($A$1,$B93,I$1,$B$1)</f>
        <v>347.27</v>
      </c>
      <c r="J93" s="55">
        <f>_xll.EQNXTDZ($A$1,$B93,J$1,$B$1)</f>
        <v>394.51</v>
      </c>
      <c r="K93" s="55">
        <f>_xll.EQNXTDZ($A$1,$B93,K$1,$B$1)</f>
        <v>401.01</v>
      </c>
      <c r="L93" s="55">
        <f>_xll.EQNXTDZ($A$1,$B93,L$1,$B$1)</f>
        <v>570.63</v>
      </c>
      <c r="M93" s="55">
        <f>_xll.EQNXTDZ($A$1,$B93,M$1,$B$1)</f>
        <v>610.04</v>
      </c>
      <c r="N93" s="55">
        <f>_xll.EQNXTDZ($A$1,$B93,N$1,$B$1)</f>
        <v>830.77</v>
      </c>
      <c r="O93" s="55">
        <f>_xll.EQNXTDZ($A$1,$B93,O$1,$B$1)</f>
        <v>1034.72</v>
      </c>
      <c r="P93" s="55">
        <f>_xll.EQNXTDZ($A$1,$B93,P$1,$B$1)</f>
        <v>1488.32</v>
      </c>
      <c r="Q93" s="55">
        <f>_xll.EQNXTDZ($A$1,$B93,Q$1,$B$1)</f>
        <v>3210.92</v>
      </c>
      <c r="R93" s="55">
        <f>_xll.EQNXTDZ($A$1,$B93,R$1,$B$1)</f>
        <v>5241.63</v>
      </c>
      <c r="S93" s="55">
        <f>_xll.EQNXTDZ($A$1,$B93,S$1,$B$1)</f>
        <v>5727.13</v>
      </c>
      <c r="T93" s="55">
        <f>_xll.EQNXTDZ($A$1,$B93,T$1,$B$1)</f>
        <v>4689.95</v>
      </c>
      <c r="U93" s="55">
        <f>_xll.EQNXTDZ($A$1,$B93,U$1,$B$1)</f>
        <v>4946.71</v>
      </c>
      <c r="V93" s="55">
        <f>_xll.EQNXTDZ($A$1,$B93,V$1,$B$1)</f>
        <v>5912.77</v>
      </c>
      <c r="W93" s="55">
        <f>_xll.EQNXTDZ($A$1,$B93,W$1,$B$1)</f>
        <v>5081.8500000000004</v>
      </c>
      <c r="X93" s="55">
        <f>_xll.EQNXTDZ($A$1,$B93,X$1,$B$1)</f>
        <v>7444.03</v>
      </c>
      <c r="Y93" s="55">
        <f>_xll.EQNXTDZ($A$1,$B93,Y$1,$B$1)</f>
        <v>9290.64</v>
      </c>
      <c r="Z93" s="55">
        <f>_xll.EQNXTDZ($A$1,$B93,Z$1,$B$1)</f>
        <v>11103.15</v>
      </c>
      <c r="AA93" s="55">
        <f>_xll.EQNXTDZ($A$1,$B93,AA$1,$B$1)</f>
        <v>15048</v>
      </c>
      <c r="AB93" s="55">
        <f>_xll.EQNXTDZ($A$1,$B93,AB$1,$B$1)</f>
        <v>21574.73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41.26</v>
      </c>
      <c r="D95" s="55">
        <f>_xll.EQNXTDZ($A$1,$B95,D$1,$B$1)</f>
        <v>6.27</v>
      </c>
      <c r="E95" s="55">
        <f>_xll.EQNXTDZ($A$1,$B95,E$1,$B$1)</f>
        <v>154.41999999999999</v>
      </c>
      <c r="F95" s="55">
        <f>_xll.EQNXTDZ($A$1,$B95,F$1,$B$1)</f>
        <v>148.43</v>
      </c>
      <c r="G95" s="55">
        <f>_xll.EQNXTDZ($A$1,$B95,G$1,$B$1)</f>
        <v>140.63</v>
      </c>
      <c r="H95" s="55">
        <f>_xll.EQNXTDZ($A$1,$B95,H$1,$B$1)</f>
        <v>91.53</v>
      </c>
      <c r="I95" s="55">
        <f>_xll.EQNXTDZ($A$1,$B95,I$1,$B$1)</f>
        <v>10</v>
      </c>
      <c r="J95" s="55">
        <f>_xll.EQNXTDZ($A$1,$B95,J$1,$B$1)</f>
        <v>10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3.68</v>
      </c>
      <c r="Q95" s="55">
        <f>_xll.EQNXTDZ($A$1,$B95,Q$1,$B$1)</f>
        <v>0</v>
      </c>
      <c r="R95" s="55">
        <f>_xll.EQNXTDZ($A$1,$B95,R$1,$B$1)</f>
        <v>1268.6400000000001</v>
      </c>
      <c r="S95" s="55">
        <f>_xll.EQNXTDZ($A$1,$B95,S$1,$B$1)</f>
        <v>823.76</v>
      </c>
      <c r="T95" s="55">
        <f>_xll.EQNXTDZ($A$1,$B95,T$1,$B$1)</f>
        <v>3332.49</v>
      </c>
      <c r="U95" s="55">
        <f>_xll.EQNXTDZ($A$1,$B95,U$1,$B$1)</f>
        <v>3022.92</v>
      </c>
      <c r="V95" s="55">
        <f>_xll.EQNXTDZ($A$1,$B95,V$1,$B$1)</f>
        <v>2773.58</v>
      </c>
      <c r="W95" s="55">
        <f>_xll.EQNXTDZ($A$1,$B95,W$1,$B$1)</f>
        <v>704.01</v>
      </c>
      <c r="X95" s="55">
        <f>_xll.EQNXTDZ($A$1,$B95,X$1,$B$1)</f>
        <v>829.39</v>
      </c>
      <c r="Y95" s="55">
        <f>_xll.EQNXTDZ($A$1,$B95,Y$1,$B$1)</f>
        <v>577.97</v>
      </c>
      <c r="Z95" s="55">
        <f>_xll.EQNXTDZ($A$1,$B95,Z$1,$B$1)</f>
        <v>299.22000000000003</v>
      </c>
      <c r="AA95" s="55">
        <f>_xll.EQNXTDZ($A$1,$B95,AA$1,$B$1)</f>
        <v>287.08</v>
      </c>
      <c r="AB95" s="55">
        <f>_xll.EQNXTDZ($A$1,$B95,AB$1,$B$1)</f>
        <v>284.69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67.989999999999995</v>
      </c>
      <c r="D97" s="55">
        <f>_xll.EQNXTDZ($A$1,$B97,D$1,$B$1)</f>
        <v>8.99</v>
      </c>
      <c r="E97" s="55">
        <f>_xll.EQNXTDZ($A$1,$B97,E$1,$B$1)</f>
        <v>0.82</v>
      </c>
      <c r="F97" s="55">
        <f>_xll.EQNXTDZ($A$1,$B97,F$1,$B$1)</f>
        <v>0.74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12235.13</v>
      </c>
      <c r="S98" s="55">
        <f>_xll.EQNXTDZ($A$1,$B98,S$1,$B$1)</f>
        <v>13302.44</v>
      </c>
      <c r="T98" s="55">
        <f>_xll.EQNXTDZ($A$1,$B98,T$1,$B$1)</f>
        <v>14793.84</v>
      </c>
      <c r="U98" s="55">
        <f>_xll.EQNXTDZ($A$1,$B98,U$1,$B$1)</f>
        <v>15098.87</v>
      </c>
      <c r="V98" s="55">
        <f>_xll.EQNXTDZ($A$1,$B98,V$1,$B$1)</f>
        <v>13153.44</v>
      </c>
      <c r="W98" s="55">
        <f>_xll.EQNXTDZ($A$1,$B98,W$1,$B$1)</f>
        <v>12628.74</v>
      </c>
      <c r="X98" s="55">
        <f>_xll.EQNXTDZ($A$1,$B98,X$1,$B$1)</f>
        <v>11483.54</v>
      </c>
      <c r="Y98" s="55">
        <f>_xll.EQNXTDZ($A$1,$B98,Y$1,$B$1)</f>
        <v>7642.04</v>
      </c>
      <c r="Z98" s="55">
        <f>_xll.EQNXTDZ($A$1,$B98,Z$1,$B$1)</f>
        <v>7585.48</v>
      </c>
      <c r="AA98" s="55">
        <f>_xll.EQNXTDZ($A$1,$B98,AA$1,$B$1)</f>
        <v>5232.51</v>
      </c>
      <c r="AB98" s="55">
        <f>_xll.EQNXTDZ($A$1,$B98,AB$1,$B$1)</f>
        <v>7062.51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248.65</v>
      </c>
      <c r="D104" s="55">
        <f>_xll.EQNXTDZ($A$1,$B104,D$1,$B$1)</f>
        <v>248.66</v>
      </c>
      <c r="E104" s="55">
        <f>_xll.EQNXTDZ($A$1,$B104,E$1,$B$1)</f>
        <v>248.67</v>
      </c>
      <c r="F104" s="55">
        <f>_xll.EQNXTDZ($A$1,$B104,F$1,$B$1)</f>
        <v>24.88</v>
      </c>
      <c r="G104" s="55">
        <f>_xll.EQNXTDZ($A$1,$B104,G$1,$B$1)</f>
        <v>25.98</v>
      </c>
      <c r="H104" s="55">
        <f>_xll.EQNXTDZ($A$1,$B104,H$1,$B$1)</f>
        <v>27.48</v>
      </c>
      <c r="I104" s="55">
        <f>_xll.EQNXTDZ($A$1,$B104,I$1,$B$1)</f>
        <v>56.65</v>
      </c>
      <c r="J104" s="55">
        <f>_xll.EQNXTDZ($A$1,$B104,J$1,$B$1)</f>
        <v>58.47</v>
      </c>
      <c r="K104" s="55">
        <f>_xll.EQNXTDZ($A$1,$B104,K$1,$B$1)</f>
        <v>117.14</v>
      </c>
      <c r="L104" s="55">
        <f>_xll.EQNXTDZ($A$1,$B104,L$1,$B$1)</f>
        <v>120.44</v>
      </c>
      <c r="M104" s="55">
        <f>_xll.EQNXTDZ($A$1,$B104,M$1,$B$1)</f>
        <v>121.77</v>
      </c>
      <c r="N104" s="55">
        <f>_xll.EQNXTDZ($A$1,$B104,N$1,$B$1)</f>
        <v>122.48</v>
      </c>
      <c r="O104" s="55">
        <f>_xll.EQNXTDZ($A$1,$B104,O$1,$B$1)</f>
        <v>123.08</v>
      </c>
      <c r="P104" s="55">
        <f>_xll.EQNXTDZ($A$1,$B104,P$1,$B$1)</f>
        <v>185.38</v>
      </c>
      <c r="Q104" s="55">
        <f>_xll.EQNXTDZ($A$1,$B104,Q$1,$B$1)</f>
        <v>185.91</v>
      </c>
      <c r="R104" s="55">
        <f>_xll.EQNXTDZ($A$1,$B104,R$1,$B$1)</f>
        <v>186.3</v>
      </c>
      <c r="S104" s="55">
        <f>_xll.EQNXTDZ($A$1,$B104,S$1,$B$1)</f>
        <v>186.59</v>
      </c>
      <c r="T104" s="55">
        <f>_xll.EQNXTDZ($A$1,$B104,T$1,$B$1)</f>
        <v>280.27</v>
      </c>
      <c r="U104" s="55">
        <f>_xll.EQNXTDZ($A$1,$B104,U$1,$B$1)</f>
        <v>280.55</v>
      </c>
      <c r="V104" s="55">
        <f>_xll.EQNXTDZ($A$1,$B104,V$1,$B$1)</f>
        <v>280.77999999999997</v>
      </c>
      <c r="W104" s="55">
        <f>_xll.EQNXTDZ($A$1,$B104,W$1,$B$1)</f>
        <v>280.91000000000003</v>
      </c>
      <c r="X104" s="55">
        <f>_xll.EQNXTDZ($A$1,$B104,X$1,$B$1)</f>
        <v>281.01</v>
      </c>
      <c r="Y104" s="55">
        <f>_xll.EQNXTDZ($A$1,$B104,Y$1,$B$1)</f>
        <v>281.10000000000002</v>
      </c>
      <c r="Z104" s="55">
        <f>_xll.EQNXTDZ($A$1,$B104,Z$1,$B$1)</f>
        <v>274.93</v>
      </c>
      <c r="AA104" s="55">
        <f>_xll.EQNXTDZ($A$1,$B104,AA$1,$B$1)</f>
        <v>275.04000000000002</v>
      </c>
      <c r="AB104" s="55">
        <f>_xll.EQNXTDZ($A$1,$B104,AB$1,$B$1)</f>
        <v>275.13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2</v>
      </c>
      <c r="G105" s="55">
        <f>_xll.EQNXTDZ($A$1,$B105,G$1,$B$1)</f>
        <v>2</v>
      </c>
      <c r="H105" s="55">
        <f>_xll.EQNXTDZ($A$1,$B105,H$1,$B$1)</f>
        <v>2</v>
      </c>
      <c r="I105" s="55">
        <f>_xll.EQNXTDZ($A$1,$B105,I$1,$B$1)</f>
        <v>2</v>
      </c>
      <c r="J105" s="55">
        <f>_xll.EQNXTDZ($A$1,$B105,J$1,$B$1)</f>
        <v>2</v>
      </c>
      <c r="K105" s="55">
        <f>_xll.EQNXTDZ($A$1,$B105,K$1,$B$1)</f>
        <v>2</v>
      </c>
      <c r="L105" s="55">
        <f>_xll.EQNXTDZ($A$1,$B105,L$1,$B$1)</f>
        <v>2</v>
      </c>
      <c r="M105" s="55">
        <f>_xll.EQNXTDZ($A$1,$B105,M$1,$B$1)</f>
        <v>2</v>
      </c>
      <c r="N105" s="55">
        <f>_xll.EQNXTDZ($A$1,$B105,N$1,$B$1)</f>
        <v>2</v>
      </c>
      <c r="O105" s="55">
        <f>_xll.EQNXTDZ($A$1,$B105,O$1,$B$1)</f>
        <v>2</v>
      </c>
      <c r="P105" s="55">
        <f>_xll.EQNXTDZ($A$1,$B105,P$1,$B$1)</f>
        <v>2</v>
      </c>
      <c r="Q105" s="55">
        <f>_xll.EQNXTDZ($A$1,$B105,Q$1,$B$1)</f>
        <v>2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24.588888888888899</v>
      </c>
      <c r="D106" s="55">
        <f>_xll.EQNXTDZ($A$1,$B106,D$1,$B$1)</f>
        <v>20.0833333333333</v>
      </c>
      <c r="E106" s="55">
        <f>_xll.EQNXTDZ($A$1,$B106,E$1,$B$1)</f>
        <v>20.516666666666701</v>
      </c>
      <c r="F106" s="55">
        <f>_xll.EQNXTDZ($A$1,$B106,F$1,$B$1)</f>
        <v>63.816666666666698</v>
      </c>
      <c r="G106" s="55">
        <f>_xll.EQNXTDZ($A$1,$B106,G$1,$B$1)</f>
        <v>110.572222222222</v>
      </c>
      <c r="H106" s="55">
        <f>_xll.EQNXTDZ($A$1,$B106,H$1,$B$1)</f>
        <v>270.28888888888901</v>
      </c>
      <c r="I106" s="55">
        <f>_xll.EQNXTDZ($A$1,$B106,I$1,$B$1)</f>
        <v>359.81111111111102</v>
      </c>
      <c r="J106" s="55">
        <f>_xll.EQNXTDZ($A$1,$B106,J$1,$B$1)</f>
        <v>672.17777777777803</v>
      </c>
      <c r="K106" s="55">
        <f>_xll.EQNXTDZ($A$1,$B106,K$1,$B$1)</f>
        <v>298.95555555555597</v>
      </c>
      <c r="L106" s="55">
        <f>_xll.EQNXTDZ($A$1,$B106,L$1,$B$1)</f>
        <v>722.82222222222197</v>
      </c>
      <c r="M106" s="55">
        <f>_xll.EQNXTDZ($A$1,$B106,M$1,$B$1)</f>
        <v>734.77777777777806</v>
      </c>
      <c r="N106" s="55">
        <f>_xll.EQNXTDZ($A$1,$B106,N$1,$B$1)</f>
        <v>580.82222222222197</v>
      </c>
      <c r="O106" s="55">
        <f>_xll.EQNXTDZ($A$1,$B106,O$1,$B$1)</f>
        <v>606.62222222222204</v>
      </c>
      <c r="P106" s="55">
        <f>_xll.EQNXTDZ($A$1,$B106,P$1,$B$1)</f>
        <v>848.43333333333305</v>
      </c>
      <c r="Q106" s="55">
        <f>_xll.EQNXTDZ($A$1,$B106,Q$1,$B$1)</f>
        <v>1146</v>
      </c>
      <c r="R106" s="55">
        <f>_xll.EQNXTDZ($A$1,$B106,R$1,$B$1)</f>
        <v>810.8</v>
      </c>
      <c r="S106" s="55">
        <f>_xll.EQNXTDZ($A$1,$B106,S$1,$B$1)</f>
        <v>1051.7333333333299</v>
      </c>
      <c r="T106" s="55">
        <f>_xll.EQNXTDZ($A$1,$B106,T$1,$B$1)</f>
        <v>1311.9</v>
      </c>
      <c r="U106" s="55">
        <f>_xll.EQNXTDZ($A$1,$B106,U$1,$B$1)</f>
        <v>1384.05</v>
      </c>
      <c r="V106" s="55">
        <f>_xll.EQNXTDZ($A$1,$B106,V$1,$B$1)</f>
        <v>806.85</v>
      </c>
      <c r="W106" s="55">
        <f>_xll.EQNXTDZ($A$1,$B106,W$1,$B$1)</f>
        <v>1418.35</v>
      </c>
      <c r="X106" s="55">
        <f>_xll.EQNXTDZ($A$1,$B106,X$1,$B$1)</f>
        <v>1767.45</v>
      </c>
      <c r="Y106" s="55">
        <f>_xll.EQNXTDZ($A$1,$B106,Y$1,$B$1)</f>
        <v>2164.75</v>
      </c>
      <c r="Z106" s="55">
        <f>_xll.EQNXTDZ($A$1,$B106,Z$1,$B$1)</f>
        <v>3774.1</v>
      </c>
      <c r="AA106" s="55">
        <f>_xll.EQNXTDZ($A$1,$B106,AA$1,$B$1)</f>
        <v>3491</v>
      </c>
      <c r="AB106" s="55">
        <f>_xll.EQNXTDZ($A$1,$B106,AB$1,$B$1)</f>
        <v>3504.3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35.877777777777801</v>
      </c>
      <c r="D107" s="55">
        <f>_xll.EQNXTDZ($A$1,$B107,D$1,$B$1)</f>
        <v>28.755555555555599</v>
      </c>
      <c r="E107" s="55">
        <f>_xll.EQNXTDZ($A$1,$B107,E$1,$B$1)</f>
        <v>24.4444444444444</v>
      </c>
      <c r="F107" s="55">
        <f>_xll.EQNXTDZ($A$1,$B107,F$1,$B$1)</f>
        <v>68.1666666666667</v>
      </c>
      <c r="G107" s="55">
        <f>_xll.EQNXTDZ($A$1,$B107,G$1,$B$1)</f>
        <v>127.555555555556</v>
      </c>
      <c r="H107" s="55">
        <f>_xll.EQNXTDZ($A$1,$B107,H$1,$B$1)</f>
        <v>290.71111111111099</v>
      </c>
      <c r="I107" s="55">
        <f>_xll.EQNXTDZ($A$1,$B107,I$1,$B$1)</f>
        <v>395.11111111111097</v>
      </c>
      <c r="J107" s="55">
        <f>_xll.EQNXTDZ($A$1,$B107,J$1,$B$1)</f>
        <v>1037.7777777777801</v>
      </c>
      <c r="K107" s="55">
        <f>_xll.EQNXTDZ($A$1,$B107,K$1,$B$1)</f>
        <v>724.88888888888903</v>
      </c>
      <c r="L107" s="55">
        <f>_xll.EQNXTDZ($A$1,$B107,L$1,$B$1)</f>
        <v>800</v>
      </c>
      <c r="M107" s="55">
        <f>_xll.EQNXTDZ($A$1,$B107,M$1,$B$1)</f>
        <v>983.11111111111097</v>
      </c>
      <c r="N107" s="55">
        <f>_xll.EQNXTDZ($A$1,$B107,N$1,$B$1)</f>
        <v>830.15555555555602</v>
      </c>
      <c r="O107" s="55">
        <f>_xll.EQNXTDZ($A$1,$B107,O$1,$B$1)</f>
        <v>764.22222222222194</v>
      </c>
      <c r="P107" s="55">
        <f>_xll.EQNXTDZ($A$1,$B107,P$1,$B$1)</f>
        <v>867.33333333333303</v>
      </c>
      <c r="Q107" s="55">
        <f>_xll.EQNXTDZ($A$1,$B107,Q$1,$B$1)</f>
        <v>1261.9666666666701</v>
      </c>
      <c r="R107" s="55">
        <f>_xll.EQNXTDZ($A$1,$B107,R$1,$B$1)</f>
        <v>1257.5</v>
      </c>
      <c r="S107" s="55">
        <f>_xll.EQNXTDZ($A$1,$B107,S$1,$B$1)</f>
        <v>1076.6666666666699</v>
      </c>
      <c r="T107" s="55">
        <f>_xll.EQNXTDZ($A$1,$B107,T$1,$B$1)</f>
        <v>1469.6</v>
      </c>
      <c r="U107" s="55">
        <f>_xll.EQNXTDZ($A$1,$B107,U$1,$B$1)</f>
        <v>1459.1</v>
      </c>
      <c r="V107" s="55">
        <f>_xll.EQNXTDZ($A$1,$B107,V$1,$B$1)</f>
        <v>1606.7</v>
      </c>
      <c r="W107" s="55">
        <f>_xll.EQNXTDZ($A$1,$B107,W$1,$B$1)</f>
        <v>1593</v>
      </c>
      <c r="X107" s="55">
        <f>_xll.EQNXTDZ($A$1,$B107,X$1,$B$1)</f>
        <v>2078.1999999999998</v>
      </c>
      <c r="Y107" s="55">
        <f>_xll.EQNXTDZ($A$1,$B107,Y$1,$B$1)</f>
        <v>2297.3000000000002</v>
      </c>
      <c r="Z107" s="55">
        <f>_xll.EQNXTDZ($A$1,$B107,Z$1,$B$1)</f>
        <v>3812</v>
      </c>
      <c r="AA107" s="55">
        <f>_xll.EQNXTDZ($A$1,$B107,AA$1,$B$1)</f>
        <v>3963</v>
      </c>
      <c r="AB107" s="55">
        <f>_xll.EQNXTDZ($A$1,$B107,AB$1,$B$1)</f>
        <v>4440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15.6944444444444</v>
      </c>
      <c r="D108" s="55">
        <f>_xll.EQNXTDZ($A$1,$B108,D$1,$B$1)</f>
        <v>15.9722222222222</v>
      </c>
      <c r="E108" s="55">
        <f>_xll.EQNXTDZ($A$1,$B108,E$1,$B$1)</f>
        <v>16.177777777777798</v>
      </c>
      <c r="F108" s="55">
        <f>_xll.EQNXTDZ($A$1,$B108,F$1,$B$1)</f>
        <v>19.488888888888901</v>
      </c>
      <c r="G108" s="55">
        <f>_xll.EQNXTDZ($A$1,$B108,G$1,$B$1)</f>
        <v>44.8888888888889</v>
      </c>
      <c r="H108" s="55">
        <f>_xll.EQNXTDZ($A$1,$B108,H$1,$B$1)</f>
        <v>102.111111111111</v>
      </c>
      <c r="I108" s="55">
        <f>_xll.EQNXTDZ($A$1,$B108,I$1,$B$1)</f>
        <v>200.583333333333</v>
      </c>
      <c r="J108" s="55">
        <f>_xll.EQNXTDZ($A$1,$B108,J$1,$B$1)</f>
        <v>335.11111111111097</v>
      </c>
      <c r="K108" s="55">
        <f>_xll.EQNXTDZ($A$1,$B108,K$1,$B$1)</f>
        <v>247.555555555556</v>
      </c>
      <c r="L108" s="55">
        <f>_xll.EQNXTDZ($A$1,$B108,L$1,$B$1)</f>
        <v>294.66666666666703</v>
      </c>
      <c r="M108" s="55">
        <f>_xll.EQNXTDZ($A$1,$B108,M$1,$B$1)</f>
        <v>650.24444444444396</v>
      </c>
      <c r="N108" s="55">
        <f>_xll.EQNXTDZ($A$1,$B108,N$1,$B$1)</f>
        <v>431.555555555556</v>
      </c>
      <c r="O108" s="55">
        <f>_xll.EQNXTDZ($A$1,$B108,O$1,$B$1)</f>
        <v>491.73333333333301</v>
      </c>
      <c r="P108" s="55">
        <f>_xll.EQNXTDZ($A$1,$B108,P$1,$B$1)</f>
        <v>452.066666666667</v>
      </c>
      <c r="Q108" s="55">
        <f>_xll.EQNXTDZ($A$1,$B108,Q$1,$B$1)</f>
        <v>828.3</v>
      </c>
      <c r="R108" s="55">
        <f>_xll.EQNXTDZ($A$1,$B108,R$1,$B$1)</f>
        <v>677.73333333333301</v>
      </c>
      <c r="S108" s="55">
        <f>_xll.EQNXTDZ($A$1,$B108,S$1,$B$1)</f>
        <v>784.66666666666697</v>
      </c>
      <c r="T108" s="55">
        <f>_xll.EQNXTDZ($A$1,$B108,T$1,$B$1)</f>
        <v>1052</v>
      </c>
      <c r="U108" s="55">
        <f>_xll.EQNXTDZ($A$1,$B108,U$1,$B$1)</f>
        <v>1183.4000000000001</v>
      </c>
      <c r="V108" s="55">
        <f>_xll.EQNXTDZ($A$1,$B108,V$1,$B$1)</f>
        <v>661.05</v>
      </c>
      <c r="W108" s="55">
        <f>_xll.EQNXTDZ($A$1,$B108,W$1,$B$1)</f>
        <v>763</v>
      </c>
      <c r="X108" s="55">
        <f>_xll.EQNXTDZ($A$1,$B108,X$1,$B$1)</f>
        <v>1306.4000000000001</v>
      </c>
      <c r="Y108" s="55">
        <f>_xll.EQNXTDZ($A$1,$B108,Y$1,$B$1)</f>
        <v>1456.8</v>
      </c>
      <c r="Z108" s="55">
        <f>_xll.EQNXTDZ($A$1,$B108,Z$1,$B$1)</f>
        <v>2155.5500000000002</v>
      </c>
      <c r="AA108" s="55">
        <f>_xll.EQNXTDZ($A$1,$B108,AA$1,$B$1)</f>
        <v>3141.3</v>
      </c>
      <c r="AB108" s="55">
        <f>_xll.EQNXTDZ($A$1,$B108,AB$1,$B$1)</f>
        <v>2967.65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5502.6244999999999</v>
      </c>
      <c r="D109" s="55">
        <f>_xll.EQNXTDZ($A$1,$B109,D$1,$B$1)</f>
        <v>4494.5294999999996</v>
      </c>
      <c r="E109" s="55">
        <f>_xll.EQNXTDZ($A$1,$B109,E$1,$B$1)</f>
        <v>4591.6915499999996</v>
      </c>
      <c r="F109" s="55">
        <f>_xll.EQNXTDZ($A$1,$B109,F$1,$B$1)</f>
        <v>7144.9139999999998</v>
      </c>
      <c r="G109" s="55">
        <f>_xll.EQNXTDZ($A$1,$B109,G$1,$B$1)</f>
        <v>12926.9985</v>
      </c>
      <c r="H109" s="55">
        <f>_xll.EQNXTDZ($A$1,$B109,H$1,$B$1)</f>
        <v>33423.923999999999</v>
      </c>
      <c r="I109" s="55">
        <f>_xll.EQNXTDZ($A$1,$B109,I$1,$B$1)</f>
        <v>45862.423750000002</v>
      </c>
      <c r="J109" s="55">
        <f>_xll.EQNXTDZ($A$1,$B109,J$1,$B$1)</f>
        <v>88430.028000000006</v>
      </c>
      <c r="K109" s="55">
        <f>_xll.EQNXTDZ($A$1,$B109,K$1,$B$1)</f>
        <v>39397.110500000003</v>
      </c>
      <c r="L109" s="55">
        <f>_xll.EQNXTDZ($A$1,$B109,L$1,$B$1)</f>
        <v>97938.797000000006</v>
      </c>
      <c r="M109" s="55">
        <f>_xll.EQNXTDZ($A$1,$B109,M$1,$B$1)</f>
        <v>100658.12625</v>
      </c>
      <c r="N109" s="55">
        <f>_xll.EQNXTDZ($A$1,$B109,N$1,$B$1)</f>
        <v>80031.494000000006</v>
      </c>
      <c r="O109" s="55">
        <f>_xll.EQNXTDZ($A$1,$B109,O$1,$B$1)</f>
        <v>83995.945999999996</v>
      </c>
      <c r="P109" s="55">
        <f>_xll.EQNXTDZ($A$1,$B109,P$1,$B$1)</f>
        <v>117961.92849999999</v>
      </c>
      <c r="Q109" s="55">
        <f>_xll.EQNXTDZ($A$1,$B109,Q$1,$B$1)</f>
        <v>159789.64499999999</v>
      </c>
      <c r="R109" s="55">
        <f>_xll.EQNXTDZ($A$1,$B109,R$1,$B$1)</f>
        <v>113289.03</v>
      </c>
      <c r="S109" s="55">
        <f>_xll.EQNXTDZ($A$1,$B109,S$1,$B$1)</f>
        <v>147182.19200000001</v>
      </c>
      <c r="T109" s="55">
        <f>_xll.EQNXTDZ($A$1,$B109,T$1,$B$1)</f>
        <v>183843.10649999999</v>
      </c>
      <c r="U109" s="55">
        <f>_xll.EQNXTDZ($A$1,$B109,U$1,$B$1)</f>
        <v>194147.61374999999</v>
      </c>
      <c r="V109" s="55">
        <f>_xll.EQNXTDZ($A$1,$B109,V$1,$B$1)</f>
        <v>113273.6715</v>
      </c>
      <c r="W109" s="55">
        <f>_xll.EQNXTDZ($A$1,$B109,W$1,$B$1)</f>
        <v>199214.34925</v>
      </c>
      <c r="X109" s="55">
        <f>_xll.EQNXTDZ($A$1,$B109,X$1,$B$1)</f>
        <v>248335.56224999999</v>
      </c>
      <c r="Y109" s="55">
        <f>_xll.EQNXTDZ($A$1,$B109,Y$1,$B$1)</f>
        <v>304255.61249999999</v>
      </c>
      <c r="Z109" s="55">
        <f>_xll.EQNXTDZ($A$1,$B109,Z$1,$B$1)</f>
        <v>518806.65649999998</v>
      </c>
      <c r="AA109" s="55">
        <f>_xll.EQNXTDZ($A$1,$B109,AA$1,$B$1)</f>
        <v>480082.32</v>
      </c>
      <c r="AB109" s="55">
        <f>_xll.EQNXTDZ($A$1,$B109,AB$1,$B$1)</f>
        <v>482069.0295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0.72222222222222199</v>
      </c>
      <c r="D110" s="55">
        <f>_xll.EQNXTDZ($A$1,$B110,D$1,$B$1)</f>
        <v>0.77777777777777801</v>
      </c>
      <c r="E110" s="55">
        <f>_xll.EQNXTDZ($A$1,$B110,E$1,$B$1)</f>
        <v>0.83333333333333304</v>
      </c>
      <c r="F110" s="55">
        <f>_xll.EQNXTDZ($A$1,$B110,F$1,$B$1)</f>
        <v>1.7777777777777799</v>
      </c>
      <c r="G110" s="55">
        <f>_xll.EQNXTDZ($A$1,$B110,G$1,$B$1)</f>
        <v>3.0555555555555598</v>
      </c>
      <c r="H110" s="55">
        <f>_xll.EQNXTDZ($A$1,$B110,H$1,$B$1)</f>
        <v>2.4444444444444402</v>
      </c>
      <c r="I110" s="55">
        <f>_xll.EQNXTDZ($A$1,$B110,I$1,$B$1)</f>
        <v>2.8888888888888902</v>
      </c>
      <c r="J110" s="55">
        <f>_xll.EQNXTDZ($A$1,$B110,J$1,$B$1)</f>
        <v>3.7777777777777799</v>
      </c>
      <c r="K110" s="55">
        <f>_xll.EQNXTDZ($A$1,$B110,K$1,$B$1)</f>
        <v>4.6666666666666696</v>
      </c>
      <c r="L110" s="55">
        <f>_xll.EQNXTDZ($A$1,$B110,L$1,$B$1)</f>
        <v>5.5555555555555598</v>
      </c>
      <c r="M110" s="55">
        <f>_xll.EQNXTDZ($A$1,$B110,M$1,$B$1)</f>
        <v>6.4444444444444402</v>
      </c>
      <c r="N110" s="55">
        <f>_xll.EQNXTDZ($A$1,$B110,N$1,$B$1)</f>
        <v>7.3333333333333304</v>
      </c>
      <c r="O110" s="55">
        <f>_xll.EQNXTDZ($A$1,$B110,O$1,$B$1)</f>
        <v>8.2222222222222197</v>
      </c>
      <c r="P110" s="55">
        <f>_xll.EQNXTDZ($A$1,$B110,P$1,$B$1)</f>
        <v>9.5</v>
      </c>
      <c r="Q110" s="55">
        <f>_xll.EQNXTDZ($A$1,$B110,Q$1,$B$1)</f>
        <v>10.8333333333333</v>
      </c>
      <c r="R110" s="55">
        <f>_xll.EQNXTDZ($A$1,$B110,R$1,$B$1)</f>
        <v>12.1666666666667</v>
      </c>
      <c r="S110" s="55">
        <f>_xll.EQNXTDZ($A$1,$B110,S$1,$B$1)</f>
        <v>14</v>
      </c>
      <c r="T110" s="55">
        <f>_xll.EQNXTDZ($A$1,$B110,T$1,$B$1)</f>
        <v>16</v>
      </c>
      <c r="U110" s="55">
        <f>_xll.EQNXTDZ($A$1,$B110,U$1,$B$1)</f>
        <v>18</v>
      </c>
      <c r="V110" s="55">
        <f>_xll.EQNXTDZ($A$1,$B110,V$1,$B$1)</f>
        <v>18</v>
      </c>
      <c r="W110" s="55">
        <f>_xll.EQNXTDZ($A$1,$B110,W$1,$B$1)</f>
        <v>36</v>
      </c>
      <c r="X110" s="55">
        <f>_xll.EQNXTDZ($A$1,$B110,X$1,$B$1)</f>
        <v>22</v>
      </c>
      <c r="Y110" s="55">
        <f>_xll.EQNXTDZ($A$1,$B110,Y$1,$B$1)</f>
        <v>24</v>
      </c>
      <c r="Z110" s="55">
        <f>_xll.EQNXTDZ($A$1,$B110,Z$1,$B$1)</f>
        <v>34</v>
      </c>
      <c r="AA110" s="55">
        <f>_xll.EQNXTDZ($A$1,$B110,AA$1,$B$1)</f>
        <v>34</v>
      </c>
      <c r="AB110" s="55">
        <f>_xll.EQNXTDZ($A$1,$B110,AB$1,$B$1)</f>
        <v>38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0</v>
      </c>
      <c r="Y112" s="56">
        <f>_xll.EQNXTDZ($A$1,$B112,Y$5)</f>
        <v>0</v>
      </c>
      <c r="Z112" s="56">
        <f>_xll.EQNXTDZ($A$1,$B112,Z$5)</f>
        <v>0</v>
      </c>
      <c r="AA112" s="56">
        <f>_xll.EQNXTDZ($A$1,$B112,AA$5)</f>
        <v>0</v>
      </c>
      <c r="AB112" s="56">
        <f>_xll.EQNXTDZ($A$1,$B112,AB$5)</f>
        <v>0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100510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518</v>
      </c>
      <c r="D6" cm="1">
        <f t="array" ref="D6">_xll.EQNXTDZ($A$1,$B6,D$1)</f>
        <v>622.555555555556</v>
      </c>
      <c r="E6" cm="1">
        <f t="array" ref="E6">_xll.EQNXTDZ($A$1,$B6,E$1)</f>
        <v>606.93333333333305</v>
      </c>
      <c r="F6" cm="1">
        <f t="array" ref="F6">_xll.EQNXTDZ($A$1,$B6,F$1)</f>
        <v>602.84444444444398</v>
      </c>
      <c r="G6" cm="1">
        <f t="array" ref="G6">_xll.EQNXTDZ($A$1,$B6,G$1)</f>
        <v>707.8</v>
      </c>
      <c r="H6" cm="1">
        <f t="array" ref="H6">_xll.EQNXTDZ($A$1,$B6,H$1)</f>
        <v>724.97777777777799</v>
      </c>
      <c r="I6" cm="1">
        <f t="array" ref="I6">_xll.EQNXTDZ($A$1,$B6,I$1)</f>
        <v>744.28888888888901</v>
      </c>
      <c r="J6" cm="1">
        <f t="array" ref="J6">_xll.EQNXTDZ($A$1,$B6,J$1)</f>
        <v>718.31111111111102</v>
      </c>
      <c r="K6" cm="1">
        <f t="array" ref="K6">_xll.EQNXTDZ($A$1,$B6,K$1)</f>
        <v>687.95555555555597</v>
      </c>
      <c r="L6" cm="1">
        <f t="array" ref="L6">_xll.EQNXTDZ($A$1,$B6,L$1)</f>
        <v>609.77777777777806</v>
      </c>
      <c r="M6" cm="1">
        <f t="array" ref="M6">_xll.EQNXTDZ($A$1,$B6,M$1)</f>
        <v>611.11111111111097</v>
      </c>
      <c r="N6" cm="1">
        <f t="array" ref="N6">_xll.EQNXTDZ($A$1,$B6,N$1)</f>
        <v>668.93333333333305</v>
      </c>
      <c r="O6" cm="1">
        <f t="array" ref="O6">_xll.EQNXTDZ($A$1,$B6,O$1)</f>
        <v>619.11111111111097</v>
      </c>
      <c r="P6" cm="1">
        <f t="array" ref="P6">_xll.EQNXTDZ($A$1,$B6,P$1)</f>
        <v>625.33333333333303</v>
      </c>
      <c r="Q6" cm="1">
        <f t="array" ref="Q6">_xll.EQNXTDZ($A$1,$B6,Q$1)</f>
        <v>564</v>
      </c>
      <c r="R6" cm="1">
        <f t="array" ref="R6">_xll.EQNXTDZ($A$1,$B6,R$1)</f>
        <v>483.33333333333297</v>
      </c>
      <c r="S6" cm="1">
        <f t="array" ref="S6">_xll.EQNXTDZ($A$1,$B6,S$1)</f>
        <v>526.86666666666702</v>
      </c>
      <c r="T6" cm="1">
        <f t="array" ref="T6">_xll.EQNXTDZ($A$1,$B6,T$1)</f>
        <v>648.66666666666697</v>
      </c>
      <c r="U6" cm="1">
        <f t="array" ref="U6">_xll.EQNXTDZ($A$1,$B6,U$1)</f>
        <v>694.66666666666697</v>
      </c>
      <c r="V6" cm="1">
        <f t="array" ref="V6">_xll.EQNXTDZ($A$1,$B6,V$1)</f>
        <v>716.76666666666699</v>
      </c>
      <c r="W6" cm="1">
        <f t="array" ref="W6">_xll.EQNXTDZ($A$1,$B6,W$1)</f>
        <v>654</v>
      </c>
      <c r="X6" cm="1">
        <f t="array" ref="X6">_xll.EQNXTDZ($A$1,$B6,X$1)</f>
        <v>733.7</v>
      </c>
      <c r="Y6" cm="1">
        <f t="array" ref="Y6">_xll.EQNXTDZ($A$1,$B6,Y$1)</f>
        <v>848.73333333333301</v>
      </c>
      <c r="Z6" cm="1">
        <f t="array" ref="Z6">_xll.EQNXTDZ($A$1,$B6,Z$1)</f>
        <v>867.3</v>
      </c>
      <c r="AA6" cm="1">
        <f t="array" ref="AA6">_xll.EQNXTDZ($A$1,$B6,AA$1)</f>
        <v>1076.5999999999999</v>
      </c>
      <c r="AB6" cm="1">
        <f t="array" ref="AB6">_xll.EQNXTDZ($A$1,$B6,AB$1)</f>
        <v>1141.3333333333301</v>
      </c>
      <c r="AC6" cm="1">
        <f t="array" ref="AC6">_xll.EQNXTDZ($A$1,$B6,AC$1)</f>
        <v>991.93333333333305</v>
      </c>
      <c r="AD6" cm="1">
        <f t="array" ref="AD6">_xll.EQNXTDZ($A$1,$B6,AD$1)</f>
        <v>1023.33333333333</v>
      </c>
      <c r="AE6" cm="1">
        <f t="array" ref="AE6">_xll.EQNXTDZ($A$1,$B6,AE$1)</f>
        <v>972.16666666666697</v>
      </c>
      <c r="AF6" cm="1">
        <f t="array" ref="AF6">_xll.EQNXTDZ($A$1,$B6,AF$1)</f>
        <v>1107.3333333333301</v>
      </c>
      <c r="AG6" cm="1">
        <f t="array" ref="AG6">_xll.EQNXTDZ($A$1,$B6,AG$1)</f>
        <v>1087.4666666666701</v>
      </c>
      <c r="AH6" cm="1">
        <f t="array" ref="AH6">_xll.EQNXTDZ($A$1,$B6,AH$1)</f>
        <v>995.86666666666702</v>
      </c>
      <c r="AI6" cm="1">
        <f t="array" ref="AI6">_xll.EQNXTDZ($A$1,$B6,AI$1)</f>
        <v>1130.6666666666699</v>
      </c>
      <c r="AJ6" cm="1">
        <f t="array" ref="AJ6">_xll.EQNXTDZ($A$1,$B6,AJ$1)</f>
        <v>1188</v>
      </c>
      <c r="AK6" cm="1">
        <f t="array" ref="AK6">_xll.EQNXTDZ($A$1,$B6,AK$1)</f>
        <v>1147.7666666666701</v>
      </c>
      <c r="AL6" cm="1">
        <f t="array" ref="AL6">_xll.EQNXTDZ($A$1,$B6,AL$1)</f>
        <v>1093.8333333333301</v>
      </c>
      <c r="AM6" cm="1">
        <f t="array" ref="AM6">_xll.EQNXTDZ($A$1,$B6,AM$1)</f>
        <v>1116</v>
      </c>
      <c r="AN6" cm="1">
        <f t="array" ref="AN6">_xll.EQNXTDZ($A$1,$B6,AN$1)</f>
        <v>1188.63333333333</v>
      </c>
      <c r="AO6" cm="1">
        <f t="array" ref="AO6">_xll.EQNXTDZ($A$1,$B6,AO$1)</f>
        <v>1140.0333333333299</v>
      </c>
      <c r="AP6" cm="1">
        <f t="array" ref="AP6">_xll.EQNXTDZ($A$1,$B6,AP$1)</f>
        <v>1053.3333333333301</v>
      </c>
      <c r="AQ6" cm="1">
        <f t="array" ref="AQ6">_xll.EQNXTDZ($A$1,$B6,AQ$1)</f>
        <v>988.66666666666697</v>
      </c>
      <c r="AR6" cm="1">
        <f t="array" ref="AR6">_xll.EQNXTDZ($A$1,$B6,AR$1)</f>
        <v>933.33333333333303</v>
      </c>
      <c r="AS6" cm="1">
        <f t="array" ref="AS6">_xll.EQNXTDZ($A$1,$B6,AS$1)</f>
        <v>916.66666666666697</v>
      </c>
      <c r="AT6" cm="1">
        <f t="array" ref="AT6">_xll.EQNXTDZ($A$1,$B6,AT$1)</f>
        <v>852.66666666666697</v>
      </c>
      <c r="AU6" cm="1">
        <f t="array" ref="AU6">_xll.EQNXTDZ($A$1,$B6,AU$1)</f>
        <v>750</v>
      </c>
      <c r="AV6" cm="1">
        <f t="array" ref="AV6">_xll.EQNXTDZ($A$1,$B6,AV$1)</f>
        <v>724.66666666666697</v>
      </c>
      <c r="AW6" cm="1">
        <f t="array" ref="AW6">_xll.EQNXTDZ($A$1,$B6,AW$1)</f>
        <v>808</v>
      </c>
      <c r="AX6" cm="1">
        <f t="array" ref="AX6">_xll.EQNXTDZ($A$1,$B6,AX$1)</f>
        <v>830.66666666666697</v>
      </c>
      <c r="AY6" cm="1">
        <f t="array" ref="AY6">_xll.EQNXTDZ($A$1,$B6,AY$1)</f>
        <v>980.03333333333296</v>
      </c>
      <c r="AZ6" cm="1">
        <f t="array" ref="AZ6">_xll.EQNXTDZ($A$1,$B6,AZ$1)</f>
        <v>1003.2</v>
      </c>
      <c r="BA6" cm="1">
        <f t="array" ref="BA6">_xll.EQNXTDZ($A$1,$B6,BA$1)</f>
        <v>1039.36666666667</v>
      </c>
      <c r="BB6" cm="1">
        <f t="array" ref="BB6">_xll.EQNXTDZ($A$1,$B6,BB$1)</f>
        <v>1008.66666666667</v>
      </c>
      <c r="BC6" cm="1">
        <f t="array" ref="BC6">_xll.EQNXTDZ($A$1,$B6,BC$1)</f>
        <v>958.7</v>
      </c>
      <c r="BD6" cm="1">
        <f t="array" ref="BD6">_xll.EQNXTDZ($A$1,$B6,BD$1)</f>
        <v>987.33333333333303</v>
      </c>
      <c r="BE6" cm="1">
        <f t="array" ref="BE6">_xll.EQNXTDZ($A$1,$B6,BE$1)</f>
        <v>924.26666666666699</v>
      </c>
      <c r="BF6" cm="1">
        <f t="array" ref="BF6">_xll.EQNXTDZ($A$1,$B6,BF$1)</f>
        <v>904.03333333333296</v>
      </c>
      <c r="BG6" cm="1">
        <f t="array" ref="BG6">_xll.EQNXTDZ($A$1,$B6,BG$1)</f>
        <v>965.3</v>
      </c>
      <c r="BH6" cm="1">
        <f t="array" ref="BH6">_xll.EQNXTDZ($A$1,$B6,BH$1)</f>
        <v>981.33333333333303</v>
      </c>
      <c r="BI6" cm="1">
        <f t="array" ref="BI6">_xll.EQNXTDZ($A$1,$B6,BI$1)</f>
        <v>1054.5999999999999</v>
      </c>
      <c r="BJ6" cm="1">
        <f t="array" ref="BJ6">_xll.EQNXTDZ($A$1,$B6,BJ$1)</f>
        <v>1166.7333333333299</v>
      </c>
      <c r="BK6" cm="1">
        <f t="array" ref="BK6">_xll.EQNXTDZ($A$1,$B6,BK$1)</f>
        <v>1173.3333333333301</v>
      </c>
      <c r="BL6" cm="1">
        <f t="array" ref="BL6">_xll.EQNXTDZ($A$1,$B6,BL$1)</f>
        <v>1125.3333333333301</v>
      </c>
      <c r="BM6" cm="1">
        <f t="array" ref="BM6">_xll.EQNXTDZ($A$1,$B6,BM$1)</f>
        <v>1198.25</v>
      </c>
      <c r="BN6" cm="1">
        <f t="array" ref="BN6">_xll.EQNXTDZ($A$1,$B6,BN$1)</f>
        <v>1134.95</v>
      </c>
      <c r="BO6" cm="1">
        <f t="array" ref="BO6">_xll.EQNXTDZ($A$1,$B6,BO$1)</f>
        <v>1155.55</v>
      </c>
      <c r="BP6" cm="1">
        <f t="array" ref="BP6">_xll.EQNXTDZ($A$1,$B6,BP$1)</f>
        <v>1226.0999999999999</v>
      </c>
      <c r="BQ6" cm="1">
        <f t="array" ref="BQ6">_xll.EQNXTDZ($A$1,$B6,BQ$1)</f>
        <v>1216.1500000000001</v>
      </c>
      <c r="BR6" cm="1">
        <f t="array" ref="BR6">_xll.EQNXTDZ($A$1,$B6,BR$1)</f>
        <v>1261</v>
      </c>
      <c r="BS6" cm="1">
        <f t="array" ref="BS6">_xll.EQNXTDZ($A$1,$B6,BS$1)</f>
        <v>1458.9</v>
      </c>
      <c r="BT6" cm="1">
        <f t="array" ref="BT6">_xll.EQNXTDZ($A$1,$B6,BT$1)</f>
        <v>1319</v>
      </c>
      <c r="BU6" cm="1">
        <f t="array" ref="BU6">_xll.EQNXTDZ($A$1,$B6,BU$1)</f>
        <v>1313</v>
      </c>
      <c r="BV6" cm="1">
        <f t="array" ref="BV6">_xll.EQNXTDZ($A$1,$B6,BV$1)</f>
        <v>1420</v>
      </c>
      <c r="BW6" cm="1">
        <f t="array" ref="BW6">_xll.EQNXTDZ($A$1,$B6,BW$1)</f>
        <v>1375.8</v>
      </c>
      <c r="BX6" cm="1">
        <f t="array" ref="BX6">_xll.EQNXTDZ($A$1,$B6,BX$1)</f>
        <v>1277.9000000000001</v>
      </c>
      <c r="BY6" cm="1">
        <f t="array" ref="BY6">_xll.EQNXTDZ($A$1,$B6,BY$1)</f>
        <v>1306</v>
      </c>
      <c r="BZ6" cm="1">
        <f t="array" ref="BZ6">_xll.EQNXTDZ($A$1,$B6,BZ$1)</f>
        <v>1375</v>
      </c>
      <c r="CA6" cm="1">
        <f t="array" ref="CA6">_xll.EQNXTDZ($A$1,$B6,CA$1)</f>
        <v>1274</v>
      </c>
      <c r="CB6" cm="1">
        <f t="array" ref="CB6">_xll.EQNXTDZ($A$1,$B6,CB$1)</f>
        <v>1337.45</v>
      </c>
      <c r="CC6" cm="1">
        <f t="array" ref="CC6">_xll.EQNXTDZ($A$1,$B6,CC$1)</f>
        <v>1435.05</v>
      </c>
      <c r="CD6" cm="1">
        <f t="array" ref="CD6">_xll.EQNXTDZ($A$1,$B6,CD$1)</f>
        <v>1445</v>
      </c>
      <c r="CE6" cm="1">
        <f t="array" ref="CE6">_xll.EQNXTDZ($A$1,$B6,CE$1)</f>
        <v>1315.5</v>
      </c>
      <c r="CF6" cm="1">
        <f t="array" ref="CF6">_xll.EQNXTDZ($A$1,$B6,CF$1)</f>
        <v>1300.3</v>
      </c>
      <c r="CG6" cm="1">
        <f t="array" ref="CG6">_xll.EQNXTDZ($A$1,$B6,CG$1)</f>
        <v>1390.1</v>
      </c>
      <c r="CH6" cm="1">
        <f t="array" ref="CH6">_xll.EQNXTDZ($A$1,$B6,CH$1)</f>
        <v>1349.45</v>
      </c>
      <c r="CI6" cm="1">
        <f t="array" ref="CI6">_xll.EQNXTDZ($A$1,$B6,CI$1)</f>
        <v>1563.7</v>
      </c>
      <c r="CJ6" cm="1">
        <f t="array" ref="CJ6">_xll.EQNXTDZ($A$1,$B6,CJ$1)</f>
        <v>1563.45</v>
      </c>
      <c r="CK6" cm="1">
        <f t="array" ref="CK6">_xll.EQNXTDZ($A$1,$B6,CK$1)</f>
        <v>1380</v>
      </c>
      <c r="CL6" cm="1">
        <f t="array" ref="CL6">_xll.EQNXTDZ($A$1,$B6,CL$1)</f>
        <v>1327</v>
      </c>
      <c r="CM6" cm="1">
        <f t="array" ref="CM6">_xll.EQNXTDZ($A$1,$B6,CM$1)</f>
        <v>1480</v>
      </c>
      <c r="CN6" cm="1">
        <f t="array" ref="CN6">_xll.EQNXTDZ($A$1,$B6,CN$1)</f>
        <v>1476.7</v>
      </c>
      <c r="CO6" cm="1">
        <f t="array" ref="CO6">_xll.EQNXTDZ($A$1,$B6,CO$1)</f>
        <v>1330.55</v>
      </c>
      <c r="CP6" cm="1">
        <f t="array" ref="CP6">_xll.EQNXTDZ($A$1,$B6,CP$1)</f>
        <v>1308.4000000000001</v>
      </c>
      <c r="CQ6" cm="1">
        <f t="array" ref="CQ6">_xll.EQNXTDZ($A$1,$B6,CQ$1)</f>
        <v>1372.6</v>
      </c>
      <c r="CR6" cm="1">
        <f t="array" ref="CR6">_xll.EQNXTDZ($A$1,$B6,CR$1)</f>
        <v>1205</v>
      </c>
      <c r="CS6" cm="1">
        <f t="array" ref="CS6">_xll.EQNXTDZ($A$1,$B6,CS$1)</f>
        <v>806.85</v>
      </c>
      <c r="CT6" cm="1">
        <f t="array" ref="CT6">_xll.EQNXTDZ($A$1,$B6,CT$1)</f>
        <v>880</v>
      </c>
      <c r="CU6" cm="1">
        <f t="array" ref="CU6">_xll.EQNXTDZ($A$1,$B6,CU$1)</f>
        <v>944.65</v>
      </c>
      <c r="CV6" cm="1">
        <f t="array" ref="CV6">_xll.EQNXTDZ($A$1,$B6,CV$1)</f>
        <v>941</v>
      </c>
      <c r="CW6" cm="1">
        <f t="array" ref="CW6">_xll.EQNXTDZ($A$1,$B6,CW$1)</f>
        <v>913</v>
      </c>
      <c r="CX6" cm="1">
        <f t="array" ref="CX6">_xll.EQNXTDZ($A$1,$B6,CX$1)</f>
        <v>964.95</v>
      </c>
      <c r="CY6" cm="1">
        <f t="array" ref="CY6">_xll.EQNXTDZ($A$1,$B6,CY$1)</f>
        <v>909.95</v>
      </c>
      <c r="CZ6" cm="1">
        <f t="array" ref="CZ6">_xll.EQNXTDZ($A$1,$B6,CZ$1)</f>
        <v>930</v>
      </c>
      <c r="DA6" cm="1">
        <f t="array" ref="DA6">_xll.EQNXTDZ($A$1,$B6,DA$1)</f>
        <v>1140</v>
      </c>
      <c r="DB6" cm="1">
        <f t="array" ref="DB6">_xll.EQNXTDZ($A$1,$B6,DB$1)</f>
        <v>1283</v>
      </c>
      <c r="DC6" cm="1">
        <f t="array" ref="DC6">_xll.EQNXTDZ($A$1,$B6,DC$1)</f>
        <v>1345.75</v>
      </c>
      <c r="DD6" cm="1">
        <f t="array" ref="DD6">_xll.EQNXTDZ($A$1,$B6,DD$1)</f>
        <v>1456</v>
      </c>
      <c r="DE6" cm="1">
        <f t="array" ref="DE6">_xll.EQNXTDZ($A$1,$B6,DE$1)</f>
        <v>1432</v>
      </c>
      <c r="DF6" cm="1">
        <f t="array" ref="DF6">_xll.EQNXTDZ($A$1,$B6,DF$1)</f>
        <v>1325.5</v>
      </c>
      <c r="DG6" cm="1">
        <f t="array" ref="DG6">_xll.EQNXTDZ($A$1,$B6,DG$1)</f>
        <v>1465.95</v>
      </c>
      <c r="DH6" cm="1">
        <f t="array" ref="DH6">_xll.EQNXTDZ($A$1,$B6,DH$1)</f>
        <v>1497.1</v>
      </c>
      <c r="DI6" cm="1">
        <f t="array" ref="DI6">_xll.EQNXTDZ($A$1,$B6,DI$1)</f>
        <v>1606.3</v>
      </c>
      <c r="DJ6" cm="1">
        <f t="array" ref="DJ6">_xll.EQNXTDZ($A$1,$B6,DJ$1)</f>
        <v>1672.25</v>
      </c>
      <c r="DK6" cm="1">
        <f t="array" ref="DK6">_xll.EQNXTDZ($A$1,$B6,DK$1)</f>
        <v>1697.5</v>
      </c>
      <c r="DL6" cm="1">
        <f t="array" ref="DL6">_xll.EQNXTDZ($A$1,$B6,DL$1)</f>
        <v>1776</v>
      </c>
      <c r="DM6" cm="1">
        <f t="array" ref="DM6">_xll.EQNXTDZ($A$1,$B6,DM$1)</f>
        <v>1764</v>
      </c>
      <c r="DN6" cm="1">
        <f t="array" ref="DN6">_xll.EQNXTDZ($A$1,$B6,DN$1)</f>
        <v>1895</v>
      </c>
      <c r="DO6" cm="1">
        <f t="array" ref="DO6">_xll.EQNXTDZ($A$1,$B6,DO$1)</f>
        <v>1928.65</v>
      </c>
      <c r="DP6" cm="1">
        <f t="array" ref="DP6">_xll.EQNXTDZ($A$1,$B6,DP$1)</f>
        <v>1800</v>
      </c>
      <c r="DQ6" cm="1">
        <f t="array" ref="DQ6">_xll.EQNXTDZ($A$1,$B6,DQ$1)</f>
        <v>1759</v>
      </c>
      <c r="DR6" cm="1">
        <f t="array" ref="DR6">_xll.EQNXTDZ($A$1,$B6,DR$1)</f>
        <v>1668.6</v>
      </c>
      <c r="DS6" cm="1">
        <f t="array" ref="DS6">_xll.EQNXTDZ($A$1,$B6,DS$1)</f>
        <v>1653.55</v>
      </c>
      <c r="DT6" cm="1">
        <f t="array" ref="DT6">_xll.EQNXTDZ($A$1,$B6,DT$1)</f>
        <v>1560.95</v>
      </c>
      <c r="DU6" cm="1">
        <f t="array" ref="DU6">_xll.EQNXTDZ($A$1,$B6,DU$1)</f>
        <v>1808</v>
      </c>
      <c r="DV6" cm="1">
        <f t="array" ref="DV6">_xll.EQNXTDZ($A$1,$B6,DV$1)</f>
        <v>1905</v>
      </c>
      <c r="DW6" cm="1">
        <f t="array" ref="DW6">_xll.EQNXTDZ($A$1,$B6,DW$1)</f>
        <v>1852</v>
      </c>
      <c r="DX6" cm="1">
        <f t="array" ref="DX6">_xll.EQNXTDZ($A$1,$B6,DX$1)</f>
        <v>2032</v>
      </c>
      <c r="DY6" cm="1">
        <f t="array" ref="DY6">_xll.EQNXTDZ($A$1,$B6,DY$1)</f>
        <v>2085.25</v>
      </c>
      <c r="DZ6" cm="1">
        <f t="array" ref="DZ6">_xll.EQNXTDZ($A$1,$B6,DZ$1)</f>
        <v>2092.9</v>
      </c>
      <c r="EA6" cm="1">
        <f t="array" ref="EA6">_xll.EQNXTDZ($A$1,$B6,EA$1)</f>
        <v>2133</v>
      </c>
      <c r="EB6" cm="1">
        <f t="array" ref="EB6">_xll.EQNXTDZ($A$1,$B6,EB$1)</f>
        <v>2100</v>
      </c>
      <c r="EC6" cm="1">
        <f t="array" ref="EC6">_xll.EQNXTDZ($A$1,$B6,EC$1)</f>
        <v>2180</v>
      </c>
      <c r="ED6" cm="1">
        <f t="array" ref="ED6">_xll.EQNXTDZ($A$1,$B6,ED$1)</f>
        <v>2373.1999999999998</v>
      </c>
      <c r="EE6" cm="1">
        <f t="array" ref="EE6">_xll.EQNXTDZ($A$1,$B6,EE$1)</f>
        <v>2217</v>
      </c>
      <c r="EF6" cm="1">
        <f t="array" ref="EF6">_xll.EQNXTDZ($A$1,$B6,EF$1)</f>
        <v>2478.1999999999998</v>
      </c>
      <c r="EG6" cm="1">
        <f t="array" ref="EG6">_xll.EQNXTDZ($A$1,$B6,EG$1)</f>
        <v>2681.35</v>
      </c>
      <c r="EH6" cm="1">
        <f t="array" ref="EH6">_xll.EQNXTDZ($A$1,$B6,EH$1)</f>
        <v>2710</v>
      </c>
      <c r="EI6" cm="1">
        <f t="array" ref="EI6">_xll.EQNXTDZ($A$1,$B6,EI$1)</f>
        <v>3040.5</v>
      </c>
      <c r="EJ6" cm="1">
        <f t="array" ref="EJ6">_xll.EQNXTDZ($A$1,$B6,EJ$1)</f>
        <v>2947.45</v>
      </c>
      <c r="EK6" cm="1">
        <f t="array" ref="EK6">_xll.EQNXTDZ($A$1,$B6,EK$1)</f>
        <v>3129.95</v>
      </c>
      <c r="EL6" cm="1">
        <f t="array" ref="EL6">_xll.EQNXTDZ($A$1,$B6,EL$1)</f>
        <v>3538</v>
      </c>
      <c r="EM6" cm="1">
        <f t="array" ref="EM6">_xll.EQNXTDZ($A$1,$B6,EM$1)</f>
        <v>3480</v>
      </c>
      <c r="EN6" cm="1">
        <f t="array" ref="EN6">_xll.EQNXTDZ($A$1,$B6,EN$1)</f>
        <v>3501.65</v>
      </c>
      <c r="EO6" cm="1">
        <f t="array" ref="EO6">_xll.EQNXTDZ($A$1,$B6,EO$1)</f>
        <v>3780.85</v>
      </c>
      <c r="EP6" cm="1">
        <f t="array" ref="EP6">_xll.EQNXTDZ($A$1,$B6,EP$1)</f>
        <v>3590.05</v>
      </c>
      <c r="EQ6" cm="1">
        <f t="array" ref="EQ6">_xll.EQNXTDZ($A$1,$B6,EQ$1)</f>
        <v>3855.4</v>
      </c>
      <c r="ER6" cm="1">
        <f t="array" ref="ER6">_xll.EQNXTDZ($A$1,$B6,ER$1)</f>
        <v>3535.2</v>
      </c>
      <c r="ES6" cm="1">
        <f t="array" ref="ES6">_xll.EQNXTDZ($A$1,$B6,ES$1)</f>
        <v>3810</v>
      </c>
      <c r="ET6" cm="1">
        <f t="array" ref="ET6">_xll.EQNXTDZ($A$1,$B6,ET$1)</f>
        <v>3706</v>
      </c>
      <c r="EU6" cm="1">
        <f t="array" ref="EU6">_xll.EQNXTDZ($A$1,$B6,EU$1)</f>
        <v>3667</v>
      </c>
      <c r="EV6" cm="1">
        <f t="array" ref="EV6">_xll.EQNXTDZ($A$1,$B6,EV$1)</f>
        <v>3624.95</v>
      </c>
      <c r="EW6" cm="1">
        <f t="array" ref="EW6">_xll.EQNXTDZ($A$1,$B6,EW$1)</f>
        <v>3706.85</v>
      </c>
      <c r="EX6" cm="1">
        <f t="array" ref="EX6">_xll.EQNXTDZ($A$1,$B6,EX$1)</f>
        <v>3600</v>
      </c>
      <c r="EY6" cm="1">
        <f t="array" ref="EY6">_xll.EQNXTDZ($A$1,$B6,EY$1)</f>
        <v>3578</v>
      </c>
      <c r="EZ6" cm="1">
        <f t="array" ref="EZ6">_xll.EQNXTDZ($A$1,$B6,EZ$1)</f>
        <v>3165.95</v>
      </c>
      <c r="FA6" cm="1">
        <f t="array" ref="FA6">_xll.EQNXTDZ($A$1,$B6,FA$1)</f>
        <v>3480</v>
      </c>
      <c r="FB6" cm="1">
        <f t="array" ref="FB6">_xll.EQNXTDZ($A$1,$B6,FB$1)</f>
        <v>3325</v>
      </c>
      <c r="FC6" cm="1">
        <f t="array" ref="FC6">_xll.EQNXTDZ($A$1,$B6,FC$1)</f>
        <v>3675.1</v>
      </c>
      <c r="FD6" cm="1">
        <f t="array" ref="FD6">_xll.EQNXTDZ($A$1,$B6,FD$1)</f>
        <v>3669.8</v>
      </c>
      <c r="FE6" cm="1">
        <f t="array" ref="FE6">_xll.EQNXTDZ($A$1,$B6,FE$1)</f>
        <v>3636</v>
      </c>
      <c r="FF6" cm="1">
        <f t="array" ref="FF6">_xll.EQNXTDZ($A$1,$B6,FF$1)</f>
        <v>3601</v>
      </c>
      <c r="FG6" cm="1">
        <f t="array" ref="FG6">_xll.EQNXTDZ($A$1,$B6,FG$1)</f>
        <v>3658.9</v>
      </c>
      <c r="FH6" cm="1">
        <f t="array" ref="FH6">_xll.EQNXTDZ($A$1,$B6,FH$1)</f>
        <v>4030</v>
      </c>
      <c r="FI6" cm="1">
        <f t="array" ref="FI6">_xll.EQNXTDZ($A$1,$B6,FI$1)</f>
        <v>4087</v>
      </c>
      <c r="FJ6" cm="1">
        <f t="array" ref="FJ6">_xll.EQNXTDZ($A$1,$B6,FJ$1)</f>
        <v>4090</v>
      </c>
      <c r="FK6" cm="1">
        <f t="array" ref="FK6">_xll.EQNXTDZ($A$1,$B6,FK$1)</f>
        <v>3953</v>
      </c>
      <c r="FL6" cm="1">
        <f t="array" ref="FL6">_xll.EQNXTDZ($A$1,$B6,FL$1)</f>
        <v>4061</v>
      </c>
      <c r="FM6" cm="1">
        <f t="array" ref="FM6">_xll.EQNXTDZ($A$1,$B6,FM$1)</f>
        <v>3655</v>
      </c>
      <c r="FN6" cm="1">
        <f t="array" ref="FN6">_xll.EQNXTDZ($A$1,$B6,FN$1)</f>
        <v>4026</v>
      </c>
      <c r="FO6" cm="1">
        <f t="array" ref="FO6">_xll.EQNXTDZ($A$1,$B6,FO$1)</f>
        <v>4089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622.66666666666697</v>
      </c>
      <c r="D7" s="116" cm="1">
        <f t="array" ref="D7">_xll.EQNXTDZ($A$1,$B7,D$1)</f>
        <v>640.88888888888903</v>
      </c>
      <c r="E7" s="116" cm="1">
        <f t="array" ref="E7">_xll.EQNXTDZ($A$1,$B7,E$1)</f>
        <v>658.53333333333296</v>
      </c>
      <c r="F7" s="116" cm="1">
        <f t="array" ref="F7">_xll.EQNXTDZ($A$1,$B7,F$1)</f>
        <v>719.91111111111104</v>
      </c>
      <c r="G7" s="116" cm="1">
        <f t="array" ref="G7">_xll.EQNXTDZ($A$1,$B7,G$1)</f>
        <v>764.444444444444</v>
      </c>
      <c r="H7" s="116" cm="1">
        <f t="array" ref="H7">_xll.EQNXTDZ($A$1,$B7,H$1)</f>
        <v>751.11111111111097</v>
      </c>
      <c r="I7" s="116" cm="1">
        <f t="array" ref="I7">_xll.EQNXTDZ($A$1,$B7,I$1)</f>
        <v>755.11111111111097</v>
      </c>
      <c r="J7" s="116" cm="1">
        <f t="array" ref="J7">_xll.EQNXTDZ($A$1,$B7,J$1)</f>
        <v>738.35555555555595</v>
      </c>
      <c r="K7" s="116" cm="1">
        <f t="array" ref="K7">_xll.EQNXTDZ($A$1,$B7,K$1)</f>
        <v>691.31111111111102</v>
      </c>
      <c r="L7" s="116" cm="1">
        <f t="array" ref="L7">_xll.EQNXTDZ($A$1,$B7,L$1)</f>
        <v>681.02222222222201</v>
      </c>
      <c r="M7" s="116" cm="1">
        <f t="array" ref="M7">_xll.EQNXTDZ($A$1,$B7,M$1)</f>
        <v>687.555555555556</v>
      </c>
      <c r="N7" s="116" cm="1">
        <f t="array" ref="N7">_xll.EQNXTDZ($A$1,$B7,N$1)</f>
        <v>734.22222222222194</v>
      </c>
      <c r="O7" s="116" cm="1">
        <f t="array" ref="O7">_xll.EQNXTDZ($A$1,$B7,O$1)</f>
        <v>650.66666666666697</v>
      </c>
      <c r="P7" s="116" cm="1">
        <f t="array" ref="P7">_xll.EQNXTDZ($A$1,$B7,P$1)</f>
        <v>673.93333333333305</v>
      </c>
      <c r="Q7" s="116" cm="1">
        <f t="array" ref="Q7">_xll.EQNXTDZ($A$1,$B7,Q$1)</f>
        <v>576.6</v>
      </c>
      <c r="R7" s="116" cm="1">
        <f t="array" ref="R7">_xll.EQNXTDZ($A$1,$B7,R$1)</f>
        <v>599.1</v>
      </c>
      <c r="S7" s="116" cm="1">
        <f t="array" ref="S7">_xll.EQNXTDZ($A$1,$B7,S$1)</f>
        <v>656.63333333333298</v>
      </c>
      <c r="T7" s="116" cm="1">
        <f t="array" ref="T7">_xll.EQNXTDZ($A$1,$B7,T$1)</f>
        <v>699.2</v>
      </c>
      <c r="U7" s="116" cm="1">
        <f t="array" ref="U7">_xll.EQNXTDZ($A$1,$B7,U$1)</f>
        <v>769.6</v>
      </c>
      <c r="V7" s="116" cm="1">
        <f t="array" ref="V7">_xll.EQNXTDZ($A$1,$B7,V$1)</f>
        <v>719.93333333333305</v>
      </c>
      <c r="W7" s="116" cm="1">
        <f t="array" ref="W7">_xll.EQNXTDZ($A$1,$B7,W$1)</f>
        <v>743.13333333333298</v>
      </c>
      <c r="X7" s="116" cm="1">
        <f t="array" ref="X7">_xll.EQNXTDZ($A$1,$B7,X$1)</f>
        <v>868.16666666666697</v>
      </c>
      <c r="Y7" s="116" cm="1">
        <f t="array" ref="Y7">_xll.EQNXTDZ($A$1,$B7,Y$1)</f>
        <v>925.66666666666697</v>
      </c>
      <c r="Z7" s="116" cm="1">
        <f t="array" ref="Z7">_xll.EQNXTDZ($A$1,$B7,Z$1)</f>
        <v>1084.9000000000001</v>
      </c>
      <c r="AA7" s="116" cm="1">
        <f t="array" ref="AA7">_xll.EQNXTDZ($A$1,$B7,AA$1)</f>
        <v>1184.4000000000001</v>
      </c>
      <c r="AB7" s="116" cm="1">
        <f t="array" ref="AB7">_xll.EQNXTDZ($A$1,$B7,AB$1)</f>
        <v>1177.2666666666701</v>
      </c>
      <c r="AC7" s="116" cm="1">
        <f t="array" ref="AC7">_xll.EQNXTDZ($A$1,$B7,AC$1)</f>
        <v>1038.5999999999999</v>
      </c>
      <c r="AD7" s="116" cm="1">
        <f t="array" ref="AD7">_xll.EQNXTDZ($A$1,$B7,AD$1)</f>
        <v>1088.4666666666701</v>
      </c>
      <c r="AE7" s="116" cm="1">
        <f t="array" ref="AE7">_xll.EQNXTDZ($A$1,$B7,AE$1)</f>
        <v>1109</v>
      </c>
      <c r="AF7" s="116" cm="1">
        <f t="array" ref="AF7">_xll.EQNXTDZ($A$1,$B7,AF$1)</f>
        <v>1128.5999999999999</v>
      </c>
      <c r="AG7" s="116" cm="1">
        <f t="array" ref="AG7">_xll.EQNXTDZ($A$1,$B7,AG$1)</f>
        <v>1103.3333333333301</v>
      </c>
      <c r="AH7" s="116" cm="1">
        <f t="array" ref="AH7">_xll.EQNXTDZ($A$1,$B7,AH$1)</f>
        <v>1166.6666666666699</v>
      </c>
      <c r="AI7" s="116" cm="1">
        <f t="array" ref="AI7">_xll.EQNXTDZ($A$1,$B7,AI$1)</f>
        <v>1199.93333333333</v>
      </c>
      <c r="AJ7" s="116" cm="1">
        <f t="array" ref="AJ7">_xll.EQNXTDZ($A$1,$B7,AJ$1)</f>
        <v>1262.5333333333299</v>
      </c>
      <c r="AK7" s="116" cm="1">
        <f t="array" ref="AK7">_xll.EQNXTDZ($A$1,$B7,AK$1)</f>
        <v>1213.3</v>
      </c>
      <c r="AL7" s="116" cm="1">
        <f t="array" ref="AL7">_xll.EQNXTDZ($A$1,$B7,AL$1)</f>
        <v>1113.1666666666699</v>
      </c>
      <c r="AM7" s="116" cm="1">
        <f t="array" ref="AM7">_xll.EQNXTDZ($A$1,$B7,AM$1)</f>
        <v>1211.3333333333301</v>
      </c>
      <c r="AN7" s="116" cm="1">
        <f t="array" ref="AN7">_xll.EQNXTDZ($A$1,$B7,AN$1)</f>
        <v>1258.6666666666699</v>
      </c>
      <c r="AO7" s="116" cm="1">
        <f t="array" ref="AO7">_xll.EQNXTDZ($A$1,$B7,AO$1)</f>
        <v>1229.4666666666701</v>
      </c>
      <c r="AP7" s="116" cm="1">
        <f t="array" ref="AP7">_xll.EQNXTDZ($A$1,$B7,AP$1)</f>
        <v>1086.4000000000001</v>
      </c>
      <c r="AQ7" s="116" cm="1">
        <f t="array" ref="AQ7">_xll.EQNXTDZ($A$1,$B7,AQ$1)</f>
        <v>1073.3333333333301</v>
      </c>
      <c r="AR7" s="116" cm="1">
        <f t="array" ref="AR7">_xll.EQNXTDZ($A$1,$B7,AR$1)</f>
        <v>936</v>
      </c>
      <c r="AS7" s="116" cm="1">
        <f t="array" ref="AS7">_xll.EQNXTDZ($A$1,$B7,AS$1)</f>
        <v>921.93333333333305</v>
      </c>
      <c r="AT7" s="116" cm="1">
        <f t="array" ref="AT7">_xll.EQNXTDZ($A$1,$B7,AT$1)</f>
        <v>860.66666666666697</v>
      </c>
      <c r="AU7" s="116" cm="1">
        <f t="array" ref="AU7">_xll.EQNXTDZ($A$1,$B7,AU$1)</f>
        <v>783.3</v>
      </c>
      <c r="AV7" s="116" cm="1">
        <f t="array" ref="AV7">_xll.EQNXTDZ($A$1,$B7,AV$1)</f>
        <v>832.66666666666697</v>
      </c>
      <c r="AW7" s="116" cm="1">
        <f t="array" ref="AW7">_xll.EQNXTDZ($A$1,$B7,AW$1)</f>
        <v>859.16666666666697</v>
      </c>
      <c r="AX7" s="116" cm="1">
        <f t="array" ref="AX7">_xll.EQNXTDZ($A$1,$B7,AX$1)</f>
        <v>997.63333333333298</v>
      </c>
      <c r="AY7" s="116" cm="1">
        <f t="array" ref="AY7">_xll.EQNXTDZ($A$1,$B7,AY$1)</f>
        <v>1011.33333333333</v>
      </c>
      <c r="AZ7" s="116" cm="1">
        <f t="array" ref="AZ7">_xll.EQNXTDZ($A$1,$B7,AZ$1)</f>
        <v>1076.6666666666699</v>
      </c>
      <c r="BA7" s="116" cm="1">
        <f t="array" ref="BA7">_xll.EQNXTDZ($A$1,$B7,BA$1)</f>
        <v>1057.3333333333301</v>
      </c>
      <c r="BB7" s="116" cm="1">
        <f t="array" ref="BB7">_xll.EQNXTDZ($A$1,$B7,BB$1)</f>
        <v>1030.63333333333</v>
      </c>
      <c r="BC7" s="116" cm="1">
        <f t="array" ref="BC7">_xll.EQNXTDZ($A$1,$B7,BC$1)</f>
        <v>1013.33333333333</v>
      </c>
      <c r="BD7" s="116" cm="1">
        <f t="array" ref="BD7">_xll.EQNXTDZ($A$1,$B7,BD$1)</f>
        <v>987.36666666666702</v>
      </c>
      <c r="BE7" s="116" cm="1">
        <f t="array" ref="BE7">_xll.EQNXTDZ($A$1,$B7,BE$1)</f>
        <v>935</v>
      </c>
      <c r="BF7" s="116" cm="1">
        <f t="array" ref="BF7">_xll.EQNXTDZ($A$1,$B7,BF$1)</f>
        <v>980.16666666666697</v>
      </c>
      <c r="BG7" s="116" cm="1">
        <f t="array" ref="BG7">_xll.EQNXTDZ($A$1,$B7,BG$1)</f>
        <v>1007.33333333333</v>
      </c>
      <c r="BH7" s="116" cm="1">
        <f t="array" ref="BH7">_xll.EQNXTDZ($A$1,$B7,BH$1)</f>
        <v>1062.43333333333</v>
      </c>
      <c r="BI7" s="116" cm="1">
        <f t="array" ref="BI7">_xll.EQNXTDZ($A$1,$B7,BI$1)</f>
        <v>1182.6666666666699</v>
      </c>
      <c r="BJ7" s="116" cm="1">
        <f t="array" ref="BJ7">_xll.EQNXTDZ($A$1,$B7,BJ$1)</f>
        <v>1222.63333333333</v>
      </c>
      <c r="BK7" s="116" cm="1">
        <f t="array" ref="BK7">_xll.EQNXTDZ($A$1,$B7,BK$1)</f>
        <v>1206.2666666666701</v>
      </c>
      <c r="BL7" s="116" cm="1">
        <f t="array" ref="BL7">_xll.EQNXTDZ($A$1,$B7,BL$1)</f>
        <v>1207.5</v>
      </c>
      <c r="BM7" s="116" cm="1">
        <f t="array" ref="BM7">_xll.EQNXTDZ($A$1,$B7,BM$1)</f>
        <v>1198.25</v>
      </c>
      <c r="BN7" s="116" cm="1">
        <f t="array" ref="BN7">_xll.EQNXTDZ($A$1,$B7,BN$1)</f>
        <v>1250.5</v>
      </c>
      <c r="BO7" s="116" cm="1">
        <f t="array" ref="BO7">_xll.EQNXTDZ($A$1,$B7,BO$1)</f>
        <v>1243.5</v>
      </c>
      <c r="BP7" s="116" cm="1">
        <f t="array" ref="BP7">_xll.EQNXTDZ($A$1,$B7,BP$1)</f>
        <v>1274.95</v>
      </c>
      <c r="BQ7" s="116" cm="1">
        <f t="array" ref="BQ7">_xll.EQNXTDZ($A$1,$B7,BQ$1)</f>
        <v>1275.95</v>
      </c>
      <c r="BR7" s="116" cm="1">
        <f t="array" ref="BR7">_xll.EQNXTDZ($A$1,$B7,BR$1)</f>
        <v>1441.65</v>
      </c>
      <c r="BS7" s="116" cm="1">
        <f t="array" ref="BS7">_xll.EQNXTDZ($A$1,$B7,BS$1)</f>
        <v>1470</v>
      </c>
      <c r="BT7" s="116" cm="1">
        <f t="array" ref="BT7">_xll.EQNXTDZ($A$1,$B7,BT$1)</f>
        <v>1332.9</v>
      </c>
      <c r="BU7" s="116" cm="1">
        <f t="array" ref="BU7">_xll.EQNXTDZ($A$1,$B7,BU$1)</f>
        <v>1405</v>
      </c>
      <c r="BV7" s="116" cm="1">
        <f t="array" ref="BV7">_xll.EQNXTDZ($A$1,$B7,BV$1)</f>
        <v>1424.95</v>
      </c>
      <c r="BW7" s="116" cm="1">
        <f t="array" ref="BW7">_xll.EQNXTDZ($A$1,$B7,BW$1)</f>
        <v>1396</v>
      </c>
      <c r="BX7" s="116" cm="1">
        <f t="array" ref="BX7">_xll.EQNXTDZ($A$1,$B7,BX$1)</f>
        <v>1346.9</v>
      </c>
      <c r="BY7" s="116" cm="1">
        <f t="array" ref="BY7">_xll.EQNXTDZ($A$1,$B7,BY$1)</f>
        <v>1374</v>
      </c>
      <c r="BZ7" s="116" cm="1">
        <f t="array" ref="BZ7">_xll.EQNXTDZ($A$1,$B7,BZ$1)</f>
        <v>1390</v>
      </c>
      <c r="CA7" s="116" cm="1">
        <f t="array" ref="CA7">_xll.EQNXTDZ($A$1,$B7,CA$1)</f>
        <v>1304</v>
      </c>
      <c r="CB7" s="116" cm="1">
        <f t="array" ref="CB7">_xll.EQNXTDZ($A$1,$B7,CB$1)</f>
        <v>1438.15</v>
      </c>
      <c r="CC7" s="116" cm="1">
        <f t="array" ref="CC7">_xll.EQNXTDZ($A$1,$B7,CC$1)</f>
        <v>1459.7</v>
      </c>
      <c r="CD7" s="116" cm="1">
        <f t="array" ref="CD7">_xll.EQNXTDZ($A$1,$B7,CD$1)</f>
        <v>1445</v>
      </c>
      <c r="CE7" s="116" cm="1">
        <f t="array" ref="CE7">_xll.EQNXTDZ($A$1,$B7,CE$1)</f>
        <v>1334.55</v>
      </c>
      <c r="CF7" s="116" cm="1">
        <f t="array" ref="CF7">_xll.EQNXTDZ($A$1,$B7,CF$1)</f>
        <v>1415</v>
      </c>
      <c r="CG7" s="116" cm="1">
        <f t="array" ref="CG7">_xll.EQNXTDZ($A$1,$B7,CG$1)</f>
        <v>1426.95</v>
      </c>
      <c r="CH7" s="116" cm="1">
        <f t="array" ref="CH7">_xll.EQNXTDZ($A$1,$B7,CH$1)</f>
        <v>1607</v>
      </c>
      <c r="CI7" s="116" cm="1">
        <f t="array" ref="CI7">_xll.EQNXTDZ($A$1,$B7,CI$1)</f>
        <v>1585</v>
      </c>
      <c r="CJ7" s="116" cm="1">
        <f t="array" ref="CJ7">_xll.EQNXTDZ($A$1,$B7,CJ$1)</f>
        <v>1591.65</v>
      </c>
      <c r="CK7" s="116" cm="1">
        <f t="array" ref="CK7">_xll.EQNXTDZ($A$1,$B7,CK$1)</f>
        <v>1399.4</v>
      </c>
      <c r="CL7" s="116" cm="1">
        <f t="array" ref="CL7">_xll.EQNXTDZ($A$1,$B7,CL$1)</f>
        <v>1551</v>
      </c>
      <c r="CM7" s="116" cm="1">
        <f t="array" ref="CM7">_xll.EQNXTDZ($A$1,$B7,CM$1)</f>
        <v>1496.45</v>
      </c>
      <c r="CN7" s="116" cm="1">
        <f t="array" ref="CN7">_xll.EQNXTDZ($A$1,$B7,CN$1)</f>
        <v>1481.05</v>
      </c>
      <c r="CO7" s="116" cm="1">
        <f t="array" ref="CO7">_xll.EQNXTDZ($A$1,$B7,CO$1)</f>
        <v>1342.9</v>
      </c>
      <c r="CP7" s="116" cm="1">
        <f t="array" ref="CP7">_xll.EQNXTDZ($A$1,$B7,CP$1)</f>
        <v>1377</v>
      </c>
      <c r="CQ7" s="116" cm="1">
        <f t="array" ref="CQ7">_xll.EQNXTDZ($A$1,$B7,CQ$1)</f>
        <v>1383.7</v>
      </c>
      <c r="CR7" s="116" cm="1">
        <f t="array" ref="CR7">_xll.EQNXTDZ($A$1,$B7,CR$1)</f>
        <v>1212.3499999999999</v>
      </c>
      <c r="CS7" s="116" cm="1">
        <f t="array" ref="CS7">_xll.EQNXTDZ($A$1,$B7,CS$1)</f>
        <v>943</v>
      </c>
      <c r="CT7" s="116" cm="1">
        <f t="array" ref="CT7">_xll.EQNXTDZ($A$1,$B7,CT$1)</f>
        <v>937.5</v>
      </c>
      <c r="CU7" s="116" cm="1">
        <f t="array" ref="CU7">_xll.EQNXTDZ($A$1,$B7,CU$1)</f>
        <v>995</v>
      </c>
      <c r="CV7" s="116" cm="1">
        <f t="array" ref="CV7">_xll.EQNXTDZ($A$1,$B7,CV$1)</f>
        <v>964.4</v>
      </c>
      <c r="CW7" s="116" cm="1">
        <f t="array" ref="CW7">_xll.EQNXTDZ($A$1,$B7,CW$1)</f>
        <v>1024.95</v>
      </c>
      <c r="CX7" s="116" cm="1">
        <f t="array" ref="CX7">_xll.EQNXTDZ($A$1,$B7,CX$1)</f>
        <v>971</v>
      </c>
      <c r="CY7" s="116" cm="1">
        <f t="array" ref="CY7">_xll.EQNXTDZ($A$1,$B7,CY$1)</f>
        <v>994.65</v>
      </c>
      <c r="CZ7" s="116" cm="1">
        <f t="array" ref="CZ7">_xll.EQNXTDZ($A$1,$B7,CZ$1)</f>
        <v>1177</v>
      </c>
      <c r="DA7" s="116" cm="1">
        <f t="array" ref="DA7">_xll.EQNXTDZ($A$1,$B7,DA$1)</f>
        <v>1338.5</v>
      </c>
      <c r="DB7" s="116" cm="1">
        <f t="array" ref="DB7">_xll.EQNXTDZ($A$1,$B7,DB$1)</f>
        <v>1396.4</v>
      </c>
      <c r="DC7" s="116" cm="1">
        <f t="array" ref="DC7">_xll.EQNXTDZ($A$1,$B7,DC$1)</f>
        <v>1593</v>
      </c>
      <c r="DD7" s="116" cm="1">
        <f t="array" ref="DD7">_xll.EQNXTDZ($A$1,$B7,DD$1)</f>
        <v>1565</v>
      </c>
      <c r="DE7" s="116" cm="1">
        <f t="array" ref="DE7">_xll.EQNXTDZ($A$1,$B7,DE$1)</f>
        <v>1447.85</v>
      </c>
      <c r="DF7" s="116" cm="1">
        <f t="array" ref="DF7">_xll.EQNXTDZ($A$1,$B7,DF$1)</f>
        <v>1499.65</v>
      </c>
      <c r="DG7" s="116" cm="1">
        <f t="array" ref="DG7">_xll.EQNXTDZ($A$1,$B7,DG$1)</f>
        <v>1583</v>
      </c>
      <c r="DH7" s="116" cm="1">
        <f t="array" ref="DH7">_xll.EQNXTDZ($A$1,$B7,DH$1)</f>
        <v>1647.15</v>
      </c>
      <c r="DI7" s="116" cm="1">
        <f t="array" ref="DI7">_xll.EQNXTDZ($A$1,$B7,DI$1)</f>
        <v>1684.95</v>
      </c>
      <c r="DJ7" s="116" cm="1">
        <f t="array" ref="DJ7">_xll.EQNXTDZ($A$1,$B7,DJ$1)</f>
        <v>1810</v>
      </c>
      <c r="DK7" s="116" cm="1">
        <f t="array" ref="DK7">_xll.EQNXTDZ($A$1,$B7,DK$1)</f>
        <v>1885</v>
      </c>
      <c r="DL7" s="116" cm="1">
        <f t="array" ref="DL7">_xll.EQNXTDZ($A$1,$B7,DL$1)</f>
        <v>1981.75</v>
      </c>
      <c r="DM7" s="116" cm="1">
        <f t="array" ref="DM7">_xll.EQNXTDZ($A$1,$B7,DM$1)</f>
        <v>1909</v>
      </c>
      <c r="DN7" s="116" cm="1">
        <f t="array" ref="DN7">_xll.EQNXTDZ($A$1,$B7,DN$1)</f>
        <v>2078.5500000000002</v>
      </c>
      <c r="DO7" s="116" cm="1">
        <f t="array" ref="DO7">_xll.EQNXTDZ($A$1,$B7,DO$1)</f>
        <v>2008</v>
      </c>
      <c r="DP7" s="116" cm="1">
        <f t="array" ref="DP7">_xll.EQNXTDZ($A$1,$B7,DP$1)</f>
        <v>1826.95</v>
      </c>
      <c r="DQ7" s="116" cm="1">
        <f t="array" ref="DQ7">_xll.EQNXTDZ($A$1,$B7,DQ$1)</f>
        <v>1858</v>
      </c>
      <c r="DR7" s="116" cm="1">
        <f t="array" ref="DR7">_xll.EQNXTDZ($A$1,$B7,DR$1)</f>
        <v>1685.95</v>
      </c>
      <c r="DS7" s="116" cm="1">
        <f t="array" ref="DS7">_xll.EQNXTDZ($A$1,$B7,DS$1)</f>
        <v>1673.7</v>
      </c>
      <c r="DT7" s="116" cm="1">
        <f t="array" ref="DT7">_xll.EQNXTDZ($A$1,$B7,DT$1)</f>
        <v>1832.5</v>
      </c>
      <c r="DU7" s="116" cm="1">
        <f t="array" ref="DU7">_xll.EQNXTDZ($A$1,$B7,DU$1)</f>
        <v>1944</v>
      </c>
      <c r="DV7" s="116" cm="1">
        <f t="array" ref="DV7">_xll.EQNXTDZ($A$1,$B7,DV$1)</f>
        <v>1995</v>
      </c>
      <c r="DW7" s="116" cm="1">
        <f t="array" ref="DW7">_xll.EQNXTDZ($A$1,$B7,DW$1)</f>
        <v>2034.65</v>
      </c>
      <c r="DX7" s="116" cm="1">
        <f t="array" ref="DX7">_xll.EQNXTDZ($A$1,$B7,DX$1)</f>
        <v>2095.8000000000002</v>
      </c>
      <c r="DY7" s="116" cm="1">
        <f t="array" ref="DY7">_xll.EQNXTDZ($A$1,$B7,DY$1)</f>
        <v>2211.6</v>
      </c>
      <c r="DZ7" s="116" cm="1">
        <f t="array" ref="DZ7">_xll.EQNXTDZ($A$1,$B7,DZ$1)</f>
        <v>2297.65</v>
      </c>
      <c r="EA7" s="116" cm="1">
        <f t="array" ref="EA7">_xll.EQNXTDZ($A$1,$B7,EA$1)</f>
        <v>2262</v>
      </c>
      <c r="EB7" s="116" cm="1">
        <f t="array" ref="EB7">_xll.EQNXTDZ($A$1,$B7,EB$1)</f>
        <v>2246.25</v>
      </c>
      <c r="EC7" s="116" cm="1">
        <f t="array" ref="EC7">_xll.EQNXTDZ($A$1,$B7,EC$1)</f>
        <v>2369</v>
      </c>
      <c r="ED7" s="116" cm="1">
        <f t="array" ref="ED7">_xll.EQNXTDZ($A$1,$B7,ED$1)</f>
        <v>2416.35</v>
      </c>
      <c r="EE7" s="116" cm="1">
        <f t="array" ref="EE7">_xll.EQNXTDZ($A$1,$B7,EE$1)</f>
        <v>2483.5</v>
      </c>
      <c r="EF7" s="116" cm="1">
        <f t="array" ref="EF7">_xll.EQNXTDZ($A$1,$B7,EF$1)</f>
        <v>2690</v>
      </c>
      <c r="EG7" s="116" cm="1">
        <f t="array" ref="EG7">_xll.EQNXTDZ($A$1,$B7,EG$1)</f>
        <v>2766.8</v>
      </c>
      <c r="EH7" s="116" cm="1">
        <f t="array" ref="EH7">_xll.EQNXTDZ($A$1,$B7,EH$1)</f>
        <v>3058.35</v>
      </c>
      <c r="EI7" s="116" cm="1">
        <f t="array" ref="EI7">_xll.EQNXTDZ($A$1,$B7,EI$1)</f>
        <v>3114.95</v>
      </c>
      <c r="EJ7" s="116" cm="1">
        <f t="array" ref="EJ7">_xll.EQNXTDZ($A$1,$B7,EJ$1)</f>
        <v>3124.55</v>
      </c>
      <c r="EK7" s="116" cm="1">
        <f t="array" ref="EK7">_xll.EQNXTDZ($A$1,$B7,EK$1)</f>
        <v>3559.95</v>
      </c>
      <c r="EL7" s="116" cm="1">
        <f t="array" ref="EL7">_xll.EQNXTDZ($A$1,$B7,EL$1)</f>
        <v>3737.9</v>
      </c>
      <c r="EM7" s="116" cm="1">
        <f t="array" ref="EM7">_xll.EQNXTDZ($A$1,$B7,EM$1)</f>
        <v>3513</v>
      </c>
      <c r="EN7" s="116" cm="1">
        <f t="array" ref="EN7">_xll.EQNXTDZ($A$1,$B7,EN$1)</f>
        <v>3813.35</v>
      </c>
      <c r="EO7" s="116" cm="1">
        <f t="array" ref="EO7">_xll.EQNXTDZ($A$1,$B7,EO$1)</f>
        <v>3860</v>
      </c>
      <c r="EP7" s="116" cm="1">
        <f t="array" ref="EP7">_xll.EQNXTDZ($A$1,$B7,EP$1)</f>
        <v>3744.8</v>
      </c>
      <c r="EQ7" s="116" cm="1">
        <f t="array" ref="EQ7">_xll.EQNXTDZ($A$1,$B7,EQ$1)</f>
        <v>3919.9</v>
      </c>
      <c r="ER7" s="116" cm="1">
        <f t="array" ref="ER7">_xll.EQNXTDZ($A$1,$B7,ER$1)</f>
        <v>3822</v>
      </c>
      <c r="ES7" s="116" cm="1">
        <f t="array" ref="ES7">_xll.EQNXTDZ($A$1,$B7,ES$1)</f>
        <v>3838.95</v>
      </c>
      <c r="ET7" s="116" cm="1">
        <f t="array" ref="ET7">_xll.EQNXTDZ($A$1,$B7,ET$1)</f>
        <v>3838.8</v>
      </c>
      <c r="EU7" s="116" cm="1">
        <f t="array" ref="EU7">_xll.EQNXTDZ($A$1,$B7,EU$1)</f>
        <v>3724</v>
      </c>
      <c r="EV7" s="116" cm="1">
        <f t="array" ref="EV7">_xll.EQNXTDZ($A$1,$B7,EV$1)</f>
        <v>3761</v>
      </c>
      <c r="EW7" s="116" cm="1">
        <f t="array" ref="EW7">_xll.EQNXTDZ($A$1,$B7,EW$1)</f>
        <v>3963.5</v>
      </c>
      <c r="EX7" s="116" cm="1">
        <f t="array" ref="EX7">_xll.EQNXTDZ($A$1,$B7,EX$1)</f>
        <v>3724.1</v>
      </c>
      <c r="EY7" s="116" cm="1">
        <f t="array" ref="EY7">_xll.EQNXTDZ($A$1,$B7,EY$1)</f>
        <v>3629.2</v>
      </c>
      <c r="EZ7" s="116" cm="1">
        <f t="array" ref="EZ7">_xll.EQNXTDZ($A$1,$B7,EZ$1)</f>
        <v>3528</v>
      </c>
      <c r="FA7" s="116" cm="1">
        <f t="array" ref="FA7">_xll.EQNXTDZ($A$1,$B7,FA$1)</f>
        <v>3501.6</v>
      </c>
      <c r="FB7" s="116" cm="1">
        <f t="array" ref="FB7">_xll.EQNXTDZ($A$1,$B7,FB$1)</f>
        <v>3695.3</v>
      </c>
      <c r="FC7" s="116" cm="1">
        <f t="array" ref="FC7">_xll.EQNXTDZ($A$1,$B7,FC$1)</f>
        <v>3731.4</v>
      </c>
      <c r="FD7" s="116" cm="1">
        <f t="array" ref="FD7">_xll.EQNXTDZ($A$1,$B7,FD$1)</f>
        <v>3685.3</v>
      </c>
      <c r="FE7" s="116" cm="1">
        <f t="array" ref="FE7">_xll.EQNXTDZ($A$1,$B7,FE$1)</f>
        <v>3727.9</v>
      </c>
      <c r="FF7" s="116" cm="1">
        <f t="array" ref="FF7">_xll.EQNXTDZ($A$1,$B7,FF$1)</f>
        <v>3794.9</v>
      </c>
      <c r="FG7" s="116" cm="1">
        <f t="array" ref="FG7">_xll.EQNXTDZ($A$1,$B7,FG$1)</f>
        <v>4062.6</v>
      </c>
      <c r="FH7" s="116" cm="1">
        <f t="array" ref="FH7">_xll.EQNXTDZ($A$1,$B7,FH$1)</f>
        <v>4140</v>
      </c>
      <c r="FI7" s="116" cm="1">
        <f t="array" ref="FI7">_xll.EQNXTDZ($A$1,$B7,FI$1)</f>
        <v>4114</v>
      </c>
      <c r="FJ7" s="116" cm="1">
        <f t="array" ref="FJ7">_xll.EQNXTDZ($A$1,$B7,FJ$1)</f>
        <v>4195</v>
      </c>
      <c r="FK7" s="116" cm="1">
        <f t="array" ref="FK7">_xll.EQNXTDZ($A$1,$B7,FK$1)</f>
        <v>4440</v>
      </c>
      <c r="FL7" s="116" cm="1">
        <f t="array" ref="FL7">_xll.EQNXTDZ($A$1,$B7,FL$1)</f>
        <v>4141.3999999999996</v>
      </c>
      <c r="FM7" s="116" cm="1">
        <f t="array" ref="FM7">_xll.EQNXTDZ($A$1,$B7,FM$1)</f>
        <v>4149</v>
      </c>
      <c r="FN7" s="116" cm="1">
        <f t="array" ref="FN7">_xll.EQNXTDZ($A$1,$B7,FN$1)</f>
        <v>4139.5</v>
      </c>
      <c r="FO7" s="116" cm="1">
        <f t="array" ref="FO7">_xll.EQNXTDZ($A$1,$B7,FO$1)</f>
        <v>4235.3999999999996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719.91111111111104</v>
      </c>
      <c r="HQ7" s="116">
        <f>+MAX(G7:I7)</f>
        <v>764.444444444444</v>
      </c>
      <c r="HR7" s="116">
        <f>+MAX(J7:L7)</f>
        <v>738.35555555555595</v>
      </c>
      <c r="HS7" s="116">
        <f>+MAX(M7:O7)</f>
        <v>734.22222222222194</v>
      </c>
      <c r="HT7" s="116">
        <f>+MAX(P7:R7)</f>
        <v>673.93333333333305</v>
      </c>
      <c r="HU7" s="116">
        <f>+MAX(S7:U7)</f>
        <v>769.6</v>
      </c>
      <c r="HV7" s="116">
        <f>+MAX(V7:X7)</f>
        <v>868.16666666666697</v>
      </c>
      <c r="HW7" s="116">
        <f>+MAX(Y7:AA7)</f>
        <v>1184.4000000000001</v>
      </c>
      <c r="HX7" s="116">
        <f>+MAX(AB7:AD7)</f>
        <v>1177.2666666666701</v>
      </c>
      <c r="HY7" s="116">
        <f>+MAX(AE7:AG7)</f>
        <v>1128.5999999999999</v>
      </c>
      <c r="HZ7" s="116">
        <f>+MAX(AH7:AJ7)</f>
        <v>1262.5333333333299</v>
      </c>
      <c r="IA7" s="116">
        <f>+MAX(AK7:AM7)</f>
        <v>1213.3</v>
      </c>
      <c r="IB7" s="116">
        <f>+MAX(AN7:AP7)</f>
        <v>1258.6666666666699</v>
      </c>
      <c r="IC7" s="116">
        <f>+MAX(AQ7:AS7)</f>
        <v>1073.3333333333301</v>
      </c>
      <c r="ID7" s="116">
        <f>+MAX(AT7:AV7)</f>
        <v>860.66666666666697</v>
      </c>
      <c r="IE7" s="116">
        <f>+MAX(AW7:AY7)</f>
        <v>1011.33333333333</v>
      </c>
      <c r="IF7" s="116">
        <f>+MAX(AZ7:BB7)</f>
        <v>1076.6666666666699</v>
      </c>
      <c r="IG7" s="116">
        <f>+MAX(BC7:BE7)</f>
        <v>1013.33333333333</v>
      </c>
      <c r="IH7" s="116">
        <f>+MAX(BF7:BH7)</f>
        <v>1062.43333333333</v>
      </c>
      <c r="II7" s="116">
        <f>+MAX(BI7:BK7)</f>
        <v>1222.63333333333</v>
      </c>
      <c r="IJ7" s="116">
        <f>+MAX(BL7:BN7)</f>
        <v>1250.5</v>
      </c>
      <c r="IK7" s="116">
        <f>+MAX(BO7:BQ7)</f>
        <v>1275.95</v>
      </c>
      <c r="IL7" s="116">
        <f>+MAX(BR7:BT7)</f>
        <v>1470</v>
      </c>
      <c r="IM7" s="116">
        <f>+MAX(BU7:BW7)</f>
        <v>1424.95</v>
      </c>
      <c r="IN7" s="116">
        <f>+MAX(BX7:BZ7)</f>
        <v>1390</v>
      </c>
      <c r="IO7" s="116">
        <f>+MAX(CA7:CC7)</f>
        <v>1459.7</v>
      </c>
      <c r="IP7" s="116">
        <f>+MAX(CD7:CF7)</f>
        <v>1445</v>
      </c>
      <c r="IQ7" s="116">
        <f>+MAX(CG7:CI7)</f>
        <v>1607</v>
      </c>
      <c r="IR7" s="116">
        <f>+MAX(CJ7:CL7)</f>
        <v>1591.65</v>
      </c>
      <c r="IS7" s="116">
        <f>+MAX(CM7:CO7)</f>
        <v>1496.45</v>
      </c>
      <c r="IT7" s="116">
        <f>+MAX(CP7:CR7)</f>
        <v>1383.7</v>
      </c>
      <c r="IU7" s="116">
        <f>+MAX(CS7:CU7)</f>
        <v>995</v>
      </c>
      <c r="IV7" s="116">
        <f>+MAX(CV7:CX7)</f>
        <v>1024.95</v>
      </c>
      <c r="IW7" s="116">
        <f>+MAX(CY7:DA7)</f>
        <v>1338.5</v>
      </c>
      <c r="IX7" s="116">
        <f>+MAX(DB7:DD7)</f>
        <v>1593</v>
      </c>
      <c r="IY7" s="116">
        <f>+MAX(DE7:DG7)</f>
        <v>1583</v>
      </c>
      <c r="IZ7" s="116">
        <f>+MAX(DH7:DJ7)</f>
        <v>1810</v>
      </c>
      <c r="JA7" s="116">
        <f>+MAX(DK7:DM7)</f>
        <v>1981.75</v>
      </c>
      <c r="JB7" s="116">
        <f>+MAX(DN7:DP7)</f>
        <v>2078.5500000000002</v>
      </c>
      <c r="JC7" s="116">
        <f>+MAX(DQ7:DS7)</f>
        <v>1858</v>
      </c>
      <c r="JD7" s="116">
        <f>+MAX(DT7:DV7)</f>
        <v>1995</v>
      </c>
      <c r="JE7" s="116">
        <f>+MAX(DW7:DY7)</f>
        <v>2211.6</v>
      </c>
      <c r="JF7" s="116">
        <f>+MAX(DZ7:EB7)</f>
        <v>2297.65</v>
      </c>
      <c r="JG7" s="116">
        <f>+MAX(EC7:EE7)</f>
        <v>2483.5</v>
      </c>
      <c r="JH7" s="116">
        <f>+MAX(EF7:EH7)</f>
        <v>3058.35</v>
      </c>
      <c r="JI7" s="116">
        <f>+MAX(EI7:EK7)</f>
        <v>3559.95</v>
      </c>
      <c r="JJ7" s="116">
        <f>+MAX(EL7:EN7)</f>
        <v>3813.35</v>
      </c>
      <c r="JK7" s="116">
        <f>MAX(EO7:EQ7)</f>
        <v>3919.9</v>
      </c>
      <c r="JL7" s="116">
        <f>MAX(ER7:ET7)</f>
        <v>3838.95</v>
      </c>
      <c r="JM7" s="116">
        <f>MAX(EU7:EW7)</f>
        <v>3963.5</v>
      </c>
      <c r="JN7" s="116">
        <f>MAX(EX7:EZ7)</f>
        <v>3724.1</v>
      </c>
      <c r="JO7" s="116">
        <f>MAX(FA7:FC7)</f>
        <v>3731.4</v>
      </c>
      <c r="JP7" s="116">
        <f>MAX(FD7:FF7)</f>
        <v>3794.9</v>
      </c>
      <c r="JQ7" s="116">
        <f>MAX(FG7:FI7)</f>
        <v>4140</v>
      </c>
      <c r="JR7" s="116">
        <f>MAX(FJ7:FL7)</f>
        <v>4440</v>
      </c>
      <c r="JS7" s="116">
        <f>MAX(FM7:FO7)</f>
        <v>4235.3999999999996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491.57777777777801</v>
      </c>
      <c r="D8" s="116" cm="1">
        <f t="array" ref="D8">_xll.EQNXTDZ($A$1,$B8,D$1)</f>
        <v>581.28888888888901</v>
      </c>
      <c r="E8" s="116" cm="1">
        <f t="array" ref="E8">_xll.EQNXTDZ($A$1,$B8,E$1)</f>
        <v>588.6</v>
      </c>
      <c r="F8" s="116" cm="1">
        <f t="array" ref="F8">_xll.EQNXTDZ($A$1,$B8,F$1)</f>
        <v>581.79999999999995</v>
      </c>
      <c r="G8" s="116" cm="1">
        <f t="array" ref="G8">_xll.EQNXTDZ($A$1,$B8,G$1)</f>
        <v>581</v>
      </c>
      <c r="H8" s="116" cm="1">
        <f t="array" ref="H8">_xll.EQNXTDZ($A$1,$B8,H$1)</f>
        <v>682.71111111111099</v>
      </c>
      <c r="I8" s="116" cm="1">
        <f t="array" ref="I8">_xll.EQNXTDZ($A$1,$B8,I$1)</f>
        <v>698.93333333333305</v>
      </c>
      <c r="J8" s="116" cm="1">
        <f t="array" ref="J8">_xll.EQNXTDZ($A$1,$B8,J$1)</f>
        <v>666.22222222222194</v>
      </c>
      <c r="K8" s="116" cm="1">
        <f t="array" ref="K8">_xll.EQNXTDZ($A$1,$B8,K$1)</f>
        <v>600.555555555556</v>
      </c>
      <c r="L8" s="116" cm="1">
        <f t="array" ref="L8">_xll.EQNXTDZ($A$1,$B8,L$1)</f>
        <v>592.66666666666697</v>
      </c>
      <c r="M8" s="116" cm="1">
        <f t="array" ref="M8">_xll.EQNXTDZ($A$1,$B8,M$1)</f>
        <v>583.555555555556</v>
      </c>
      <c r="N8" s="116" cm="1">
        <f t="array" ref="N8">_xll.EQNXTDZ($A$1,$B8,N$1)</f>
        <v>621.33333333333303</v>
      </c>
      <c r="O8" s="116" cm="1">
        <f t="array" ref="O8">_xll.EQNXTDZ($A$1,$B8,O$1)</f>
        <v>593.33333333333303</v>
      </c>
      <c r="P8" s="116" cm="1">
        <f t="array" ref="P8">_xll.EQNXTDZ($A$1,$B8,P$1)</f>
        <v>556.66666666666697</v>
      </c>
      <c r="Q8" s="116" cm="1">
        <f t="array" ref="Q8">_xll.EQNXTDZ($A$1,$B8,Q$1)</f>
        <v>451.433333333333</v>
      </c>
      <c r="R8" s="116" cm="1">
        <f t="array" ref="R8">_xll.EQNXTDZ($A$1,$B8,R$1)</f>
        <v>458.26666666666699</v>
      </c>
      <c r="S8" s="116" cm="1">
        <f t="array" ref="S8">_xll.EQNXTDZ($A$1,$B8,S$1)</f>
        <v>517.70000000000005</v>
      </c>
      <c r="T8" s="116" cm="1">
        <f t="array" ref="T8">_xll.EQNXTDZ($A$1,$B8,T$1)</f>
        <v>608.06666666666695</v>
      </c>
      <c r="U8" s="116" cm="1">
        <f t="array" ref="U8">_xll.EQNXTDZ($A$1,$B8,U$1)</f>
        <v>688.43333333333305</v>
      </c>
      <c r="V8" s="116" cm="1">
        <f t="array" ref="V8">_xll.EQNXTDZ($A$1,$B8,V$1)</f>
        <v>634.33333333333303</v>
      </c>
      <c r="W8" s="116" cm="1">
        <f t="array" ref="W8">_xll.EQNXTDZ($A$1,$B8,W$1)</f>
        <v>643.4</v>
      </c>
      <c r="X8" s="116" cm="1">
        <f t="array" ref="X8">_xll.EQNXTDZ($A$1,$B8,X$1)</f>
        <v>724.43333333333305</v>
      </c>
      <c r="Y8" s="116" cm="1">
        <f t="array" ref="Y8">_xll.EQNXTDZ($A$1,$B8,Y$1)</f>
        <v>828</v>
      </c>
      <c r="Z8" s="116" cm="1">
        <f t="array" ref="Z8">_xll.EQNXTDZ($A$1,$B8,Z$1)</f>
        <v>834.13333333333298</v>
      </c>
      <c r="AA8" s="116" cm="1">
        <f t="array" ref="AA8">_xll.EQNXTDZ($A$1,$B8,AA$1)</f>
        <v>1026</v>
      </c>
      <c r="AB8" s="116" cm="1">
        <f t="array" ref="AB8">_xll.EQNXTDZ($A$1,$B8,AB$1)</f>
        <v>999.53333333333296</v>
      </c>
      <c r="AC8" s="116" cm="1">
        <f t="array" ref="AC8">_xll.EQNXTDZ($A$1,$B8,AC$1)</f>
        <v>960</v>
      </c>
      <c r="AD8" s="116" cm="1">
        <f t="array" ref="AD8">_xll.EQNXTDZ($A$1,$B8,AD$1)</f>
        <v>954.43333333333305</v>
      </c>
      <c r="AE8" s="116" cm="1">
        <f t="array" ref="AE8">_xll.EQNXTDZ($A$1,$B8,AE$1)</f>
        <v>934</v>
      </c>
      <c r="AF8" s="116" cm="1">
        <f t="array" ref="AF8">_xll.EQNXTDZ($A$1,$B8,AF$1)</f>
        <v>1062.3333333333301</v>
      </c>
      <c r="AG8" s="116" cm="1">
        <f t="array" ref="AG8">_xll.EQNXTDZ($A$1,$B8,AG$1)</f>
        <v>966.8</v>
      </c>
      <c r="AH8" s="116" cm="1">
        <f t="array" ref="AH8">_xll.EQNXTDZ($A$1,$B8,AH$1)</f>
        <v>990.36666666666702</v>
      </c>
      <c r="AI8" s="116" cm="1">
        <f t="array" ref="AI8">_xll.EQNXTDZ($A$1,$B8,AI$1)</f>
        <v>1021.43333333333</v>
      </c>
      <c r="AJ8" s="116" cm="1">
        <f t="array" ref="AJ8">_xll.EQNXTDZ($A$1,$B8,AJ$1)</f>
        <v>1075.63333333333</v>
      </c>
      <c r="AK8" s="116" cm="1">
        <f t="array" ref="AK8">_xll.EQNXTDZ($A$1,$B8,AK$1)</f>
        <v>1083.7333333333299</v>
      </c>
      <c r="AL8" s="116" cm="1">
        <f t="array" ref="AL8">_xll.EQNXTDZ($A$1,$B8,AL$1)</f>
        <v>1029.06666666667</v>
      </c>
      <c r="AM8" s="116" cm="1">
        <f t="array" ref="AM8">_xll.EQNXTDZ($A$1,$B8,AM$1)</f>
        <v>1095.3333333333301</v>
      </c>
      <c r="AN8" s="116" cm="1">
        <f t="array" ref="AN8">_xll.EQNXTDZ($A$1,$B8,AN$1)</f>
        <v>1158.56666666667</v>
      </c>
      <c r="AO8" s="116" cm="1">
        <f t="array" ref="AO8">_xll.EQNXTDZ($A$1,$B8,AO$1)</f>
        <v>1050</v>
      </c>
      <c r="AP8" s="116" cm="1">
        <f t="array" ref="AP8">_xll.EQNXTDZ($A$1,$B8,AP$1)</f>
        <v>941.56666666666695</v>
      </c>
      <c r="AQ8" s="116" cm="1">
        <f t="array" ref="AQ8">_xll.EQNXTDZ($A$1,$B8,AQ$1)</f>
        <v>933.33333333333303</v>
      </c>
      <c r="AR8" s="116" cm="1">
        <f t="array" ref="AR8">_xll.EQNXTDZ($A$1,$B8,AR$1)</f>
        <v>884</v>
      </c>
      <c r="AS8" s="116" cm="1">
        <f t="array" ref="AS8">_xll.EQNXTDZ($A$1,$B8,AS$1)</f>
        <v>843</v>
      </c>
      <c r="AT8" s="116" cm="1">
        <f t="array" ref="AT8">_xll.EQNXTDZ($A$1,$B8,AT$1)</f>
        <v>712.73333333333301</v>
      </c>
      <c r="AU8" s="116" cm="1">
        <f t="array" ref="AU8">_xll.EQNXTDZ($A$1,$B8,AU$1)</f>
        <v>677.36666666666702</v>
      </c>
      <c r="AV8" s="116" cm="1">
        <f t="array" ref="AV8">_xll.EQNXTDZ($A$1,$B8,AV$1)</f>
        <v>720.66666666666697</v>
      </c>
      <c r="AW8" s="116" cm="1">
        <f t="array" ref="AW8">_xll.EQNXTDZ($A$1,$B8,AW$1)</f>
        <v>785.2</v>
      </c>
      <c r="AX8" s="116" cm="1">
        <f t="array" ref="AX8">_xll.EQNXTDZ($A$1,$B8,AX$1)</f>
        <v>815.53333333333296</v>
      </c>
      <c r="AY8" s="116" cm="1">
        <f t="array" ref="AY8">_xll.EQNXTDZ($A$1,$B8,AY$1)</f>
        <v>934</v>
      </c>
      <c r="AZ8" s="116" cm="1">
        <f t="array" ref="AZ8">_xll.EQNXTDZ($A$1,$B8,AZ$1)</f>
        <v>1000.46666666667</v>
      </c>
      <c r="BA8" s="116" cm="1">
        <f t="array" ref="BA8">_xll.EQNXTDZ($A$1,$B8,BA$1)</f>
        <v>946.13333333333298</v>
      </c>
      <c r="BB8" s="116" cm="1">
        <f t="array" ref="BB8">_xll.EQNXTDZ($A$1,$B8,BB$1)</f>
        <v>941</v>
      </c>
      <c r="BC8" s="116" cm="1">
        <f t="array" ref="BC8">_xll.EQNXTDZ($A$1,$B8,BC$1)</f>
        <v>954.2</v>
      </c>
      <c r="BD8" s="116" cm="1">
        <f t="array" ref="BD8">_xll.EQNXTDZ($A$1,$B8,BD$1)</f>
        <v>863.4</v>
      </c>
      <c r="BE8" s="116" cm="1">
        <f t="array" ref="BE8">_xll.EQNXTDZ($A$1,$B8,BE$1)</f>
        <v>868.33333333333303</v>
      </c>
      <c r="BF8" s="116" cm="1">
        <f t="array" ref="BF8">_xll.EQNXTDZ($A$1,$B8,BF$1)</f>
        <v>899.43333333333305</v>
      </c>
      <c r="BG8" s="116" cm="1">
        <f t="array" ref="BG8">_xll.EQNXTDZ($A$1,$B8,BG$1)</f>
        <v>964.2</v>
      </c>
      <c r="BH8" s="116" cm="1">
        <f t="array" ref="BH8">_xll.EQNXTDZ($A$1,$B8,BH$1)</f>
        <v>973.33333333333303</v>
      </c>
      <c r="BI8" s="116" cm="1">
        <f t="array" ref="BI8">_xll.EQNXTDZ($A$1,$B8,BI$1)</f>
        <v>1051.06666666667</v>
      </c>
      <c r="BJ8" s="116" cm="1">
        <f t="array" ref="BJ8">_xll.EQNXTDZ($A$1,$B8,BJ$1)</f>
        <v>1118.4000000000001</v>
      </c>
      <c r="BK8" s="116" cm="1">
        <f t="array" ref="BK8">_xll.EQNXTDZ($A$1,$B8,BK$1)</f>
        <v>1107.5333333333299</v>
      </c>
      <c r="BL8" s="116" cm="1">
        <f t="array" ref="BL8">_xll.EQNXTDZ($A$1,$B8,BL$1)</f>
        <v>1114</v>
      </c>
      <c r="BM8" s="116" cm="1">
        <f t="array" ref="BM8">_xll.EQNXTDZ($A$1,$B8,BM$1)</f>
        <v>1113.05</v>
      </c>
      <c r="BN8" s="116" cm="1">
        <f t="array" ref="BN8">_xll.EQNXTDZ($A$1,$B8,BN$1)</f>
        <v>1115.9000000000001</v>
      </c>
      <c r="BO8" s="116" cm="1">
        <f t="array" ref="BO8">_xll.EQNXTDZ($A$1,$B8,BO$1)</f>
        <v>1123.2</v>
      </c>
      <c r="BP8" s="116" cm="1">
        <f t="array" ref="BP8">_xll.EQNXTDZ($A$1,$B8,BP$1)</f>
        <v>1203.0999999999999</v>
      </c>
      <c r="BQ8" s="116" cm="1">
        <f t="array" ref="BQ8">_xll.EQNXTDZ($A$1,$B8,BQ$1)</f>
        <v>1175</v>
      </c>
      <c r="BR8" s="116" cm="1">
        <f t="array" ref="BR8">_xll.EQNXTDZ($A$1,$B8,BR$1)</f>
        <v>1242.8499999999999</v>
      </c>
      <c r="BS8" s="116" cm="1">
        <f t="array" ref="BS8">_xll.EQNXTDZ($A$1,$B8,BS$1)</f>
        <v>1276</v>
      </c>
      <c r="BT8" s="116" cm="1">
        <f t="array" ref="BT8">_xll.EQNXTDZ($A$1,$B8,BT$1)</f>
        <v>1259.25</v>
      </c>
      <c r="BU8" s="116" cm="1">
        <f t="array" ref="BU8">_xll.EQNXTDZ($A$1,$B8,BU$1)</f>
        <v>1290.2</v>
      </c>
      <c r="BV8" s="116" cm="1">
        <f t="array" ref="BV8">_xll.EQNXTDZ($A$1,$B8,BV$1)</f>
        <v>1311</v>
      </c>
      <c r="BW8" s="116" cm="1">
        <f t="array" ref="BW8">_xll.EQNXTDZ($A$1,$B8,BW$1)</f>
        <v>1206</v>
      </c>
      <c r="BX8" s="116" cm="1">
        <f t="array" ref="BX8">_xll.EQNXTDZ($A$1,$B8,BX$1)</f>
        <v>1242.9000000000001</v>
      </c>
      <c r="BY8" s="116" cm="1">
        <f t="array" ref="BY8">_xll.EQNXTDZ($A$1,$B8,BY$1)</f>
        <v>1226</v>
      </c>
      <c r="BZ8" s="116" cm="1">
        <f t="array" ref="BZ8">_xll.EQNXTDZ($A$1,$B8,BZ$1)</f>
        <v>1250.1500000000001</v>
      </c>
      <c r="CA8" s="116" cm="1">
        <f t="array" ref="CA8">_xll.EQNXTDZ($A$1,$B8,CA$1)</f>
        <v>1182.5</v>
      </c>
      <c r="CB8" s="116" cm="1">
        <f t="array" ref="CB8">_xll.EQNXTDZ($A$1,$B8,CB$1)</f>
        <v>1321.6</v>
      </c>
      <c r="CC8" s="116" cm="1">
        <f t="array" ref="CC8">_xll.EQNXTDZ($A$1,$B8,CC$1)</f>
        <v>1343.65</v>
      </c>
      <c r="CD8" s="116" cm="1">
        <f t="array" ref="CD8">_xll.EQNXTDZ($A$1,$B8,CD$1)</f>
        <v>1268.2</v>
      </c>
      <c r="CE8" s="116" cm="1">
        <f t="array" ref="CE8">_xll.EQNXTDZ($A$1,$B8,CE$1)</f>
        <v>1201.0999999999999</v>
      </c>
      <c r="CF8" s="116" cm="1">
        <f t="array" ref="CF8">_xll.EQNXTDZ($A$1,$B8,CF$1)</f>
        <v>1277.05</v>
      </c>
      <c r="CG8" s="116" cm="1">
        <f t="array" ref="CG8">_xll.EQNXTDZ($A$1,$B8,CG$1)</f>
        <v>1336.6</v>
      </c>
      <c r="CH8" s="116" cm="1">
        <f t="array" ref="CH8">_xll.EQNXTDZ($A$1,$B8,CH$1)</f>
        <v>1285.3</v>
      </c>
      <c r="CI8" s="116" cm="1">
        <f t="array" ref="CI8">_xll.EQNXTDZ($A$1,$B8,CI$1)</f>
        <v>1495.25</v>
      </c>
      <c r="CJ8" s="116" cm="1">
        <f t="array" ref="CJ8">_xll.EQNXTDZ($A$1,$B8,CJ$1)</f>
        <v>1360.5</v>
      </c>
      <c r="CK8" s="116" cm="1">
        <f t="array" ref="CK8">_xll.EQNXTDZ($A$1,$B8,CK$1)</f>
        <v>1274</v>
      </c>
      <c r="CL8" s="116" cm="1">
        <f t="array" ref="CL8">_xll.EQNXTDZ($A$1,$B8,CL$1)</f>
        <v>1289.0999999999999</v>
      </c>
      <c r="CM8" s="116" cm="1">
        <f t="array" ref="CM8">_xll.EQNXTDZ($A$1,$B8,CM$1)</f>
        <v>1381.05</v>
      </c>
      <c r="CN8" s="116" cm="1">
        <f t="array" ref="CN8">_xll.EQNXTDZ($A$1,$B8,CN$1)</f>
        <v>1314.15</v>
      </c>
      <c r="CO8" s="116" cm="1">
        <f t="array" ref="CO8">_xll.EQNXTDZ($A$1,$B8,CO$1)</f>
        <v>1255</v>
      </c>
      <c r="CP8" s="116" cm="1">
        <f t="array" ref="CP8">_xll.EQNXTDZ($A$1,$B8,CP$1)</f>
        <v>1283.3499999999999</v>
      </c>
      <c r="CQ8" s="116" cm="1">
        <f t="array" ref="CQ8">_xll.EQNXTDZ($A$1,$B8,CQ$1)</f>
        <v>1162</v>
      </c>
      <c r="CR8" s="116" cm="1">
        <f t="array" ref="CR8">_xll.EQNXTDZ($A$1,$B8,CR$1)</f>
        <v>661</v>
      </c>
      <c r="CS8" s="116" cm="1">
        <f t="array" ref="CS8">_xll.EQNXTDZ($A$1,$B8,CS$1)</f>
        <v>762.8</v>
      </c>
      <c r="CT8" s="116" cm="1">
        <f t="array" ref="CT8">_xll.EQNXTDZ($A$1,$B8,CT$1)</f>
        <v>791.7</v>
      </c>
      <c r="CU8" s="116" cm="1">
        <f t="array" ref="CU8">_xll.EQNXTDZ($A$1,$B8,CU$1)</f>
        <v>874</v>
      </c>
      <c r="CV8" s="116" cm="1">
        <f t="array" ref="CV8">_xll.EQNXTDZ($A$1,$B8,CV$1)</f>
        <v>896.3</v>
      </c>
      <c r="CW8" s="116" cm="1">
        <f t="array" ref="CW8">_xll.EQNXTDZ($A$1,$B8,CW$1)</f>
        <v>903.55</v>
      </c>
      <c r="CX8" s="116" cm="1">
        <f t="array" ref="CX8">_xll.EQNXTDZ($A$1,$B8,CX$1)</f>
        <v>843</v>
      </c>
      <c r="CY8" s="116" cm="1">
        <f t="array" ref="CY8">_xll.EQNXTDZ($A$1,$B8,CY$1)</f>
        <v>876.05</v>
      </c>
      <c r="CZ8" s="116" cm="1">
        <f t="array" ref="CZ8">_xll.EQNXTDZ($A$1,$B8,CZ$1)</f>
        <v>920.65</v>
      </c>
      <c r="DA8" s="116" cm="1">
        <f t="array" ref="DA8">_xll.EQNXTDZ($A$1,$B8,DA$1)</f>
        <v>1104.0999999999999</v>
      </c>
      <c r="DB8" s="116" cm="1">
        <f t="array" ref="DB8">_xll.EQNXTDZ($A$1,$B8,DB$1)</f>
        <v>1283</v>
      </c>
      <c r="DC8" s="116" cm="1">
        <f t="array" ref="DC8">_xll.EQNXTDZ($A$1,$B8,DC$1)</f>
        <v>1337.2</v>
      </c>
      <c r="DD8" s="116" cm="1">
        <f t="array" ref="DD8">_xll.EQNXTDZ($A$1,$B8,DD$1)</f>
        <v>1360.05</v>
      </c>
      <c r="DE8" s="116" cm="1">
        <f t="array" ref="DE8">_xll.EQNXTDZ($A$1,$B8,DE$1)</f>
        <v>1306</v>
      </c>
      <c r="DF8" s="116" cm="1">
        <f t="array" ref="DF8">_xll.EQNXTDZ($A$1,$B8,DF$1)</f>
        <v>1319.15</v>
      </c>
      <c r="DG8" s="116" cm="1">
        <f t="array" ref="DG8">_xll.EQNXTDZ($A$1,$B8,DG$1)</f>
        <v>1447.25</v>
      </c>
      <c r="DH8" s="116" cm="1">
        <f t="array" ref="DH8">_xll.EQNXTDZ($A$1,$B8,DH$1)</f>
        <v>1475.5</v>
      </c>
      <c r="DI8" s="116" cm="1">
        <f t="array" ref="DI8">_xll.EQNXTDZ($A$1,$B8,DI$1)</f>
        <v>1562.75</v>
      </c>
      <c r="DJ8" s="116" cm="1">
        <f t="array" ref="DJ8">_xll.EQNXTDZ($A$1,$B8,DJ$1)</f>
        <v>1655.2</v>
      </c>
      <c r="DK8" s="116" cm="1">
        <f t="array" ref="DK8">_xll.EQNXTDZ($A$1,$B8,DK$1)</f>
        <v>1684.05</v>
      </c>
      <c r="DL8" s="116" cm="1">
        <f t="array" ref="DL8">_xll.EQNXTDZ($A$1,$B8,DL$1)</f>
        <v>1735.15</v>
      </c>
      <c r="DM8" s="116" cm="1">
        <f t="array" ref="DM8">_xll.EQNXTDZ($A$1,$B8,DM$1)</f>
        <v>1762.05</v>
      </c>
      <c r="DN8" s="116" cm="1">
        <f t="array" ref="DN8">_xll.EQNXTDZ($A$1,$B8,DN$1)</f>
        <v>1850.1</v>
      </c>
      <c r="DO8" s="116" cm="1">
        <f t="array" ref="DO8">_xll.EQNXTDZ($A$1,$B8,DO$1)</f>
        <v>1751</v>
      </c>
      <c r="DP8" s="116" cm="1">
        <f t="array" ref="DP8">_xll.EQNXTDZ($A$1,$B8,DP$1)</f>
        <v>1595</v>
      </c>
      <c r="DQ8" s="116" cm="1">
        <f t="array" ref="DQ8">_xll.EQNXTDZ($A$1,$B8,DQ$1)</f>
        <v>1652</v>
      </c>
      <c r="DR8" s="116" cm="1">
        <f t="array" ref="DR8">_xll.EQNXTDZ($A$1,$B8,DR$1)</f>
        <v>1502</v>
      </c>
      <c r="DS8" s="116" cm="1">
        <f t="array" ref="DS8">_xll.EQNXTDZ($A$1,$B8,DS$1)</f>
        <v>1456.35</v>
      </c>
      <c r="DT8" s="116" cm="1">
        <f t="array" ref="DT8">_xll.EQNXTDZ($A$1,$B8,DT$1)</f>
        <v>1534.6</v>
      </c>
      <c r="DU8" s="116" cm="1">
        <f t="array" ref="DU8">_xll.EQNXTDZ($A$1,$B8,DU$1)</f>
        <v>1773</v>
      </c>
      <c r="DV8" s="116" cm="1">
        <f t="array" ref="DV8">_xll.EQNXTDZ($A$1,$B8,DV$1)</f>
        <v>1797.4</v>
      </c>
      <c r="DW8" s="116" cm="1">
        <f t="array" ref="DW8">_xll.EQNXTDZ($A$1,$B8,DW$1)</f>
        <v>1814</v>
      </c>
      <c r="DX8" s="116" cm="1">
        <f t="array" ref="DX8">_xll.EQNXTDZ($A$1,$B8,DX$1)</f>
        <v>1970.2</v>
      </c>
      <c r="DY8" s="116" cm="1">
        <f t="array" ref="DY8">_xll.EQNXTDZ($A$1,$B8,DY$1)</f>
        <v>2050.1</v>
      </c>
      <c r="DZ8" s="116" cm="1">
        <f t="array" ref="DZ8">_xll.EQNXTDZ($A$1,$B8,DZ$1)</f>
        <v>2058</v>
      </c>
      <c r="EA8" s="116" cm="1">
        <f t="array" ref="EA8">_xll.EQNXTDZ($A$1,$B8,EA$1)</f>
        <v>2080.3000000000002</v>
      </c>
      <c r="EB8" s="116" cm="1">
        <f t="array" ref="EB8">_xll.EQNXTDZ($A$1,$B8,EB$1)</f>
        <v>2100</v>
      </c>
      <c r="EC8" s="116" cm="1">
        <f t="array" ref="EC8">_xll.EQNXTDZ($A$1,$B8,EC$1)</f>
        <v>2155</v>
      </c>
      <c r="ED8" s="116" cm="1">
        <f t="array" ref="ED8">_xll.EQNXTDZ($A$1,$B8,ED$1)</f>
        <v>2168.5</v>
      </c>
      <c r="EE8" s="116" cm="1">
        <f t="array" ref="EE8">_xll.EQNXTDZ($A$1,$B8,EE$1)</f>
        <v>2202.15</v>
      </c>
      <c r="EF8" s="116" cm="1">
        <f t="array" ref="EF8">_xll.EQNXTDZ($A$1,$B8,EF$1)</f>
        <v>2420</v>
      </c>
      <c r="EG8" s="116" cm="1">
        <f t="array" ref="EG8">_xll.EQNXTDZ($A$1,$B8,EG$1)</f>
        <v>2586.3000000000002</v>
      </c>
      <c r="EH8" s="116" cm="1">
        <f t="array" ref="EH8">_xll.EQNXTDZ($A$1,$B8,EH$1)</f>
        <v>2688.3</v>
      </c>
      <c r="EI8" s="116" cm="1">
        <f t="array" ref="EI8">_xll.EQNXTDZ($A$1,$B8,EI$1)</f>
        <v>2856.15</v>
      </c>
      <c r="EJ8" s="116" cm="1">
        <f t="array" ref="EJ8">_xll.EQNXTDZ($A$1,$B8,EJ$1)</f>
        <v>2871.05</v>
      </c>
      <c r="EK8" s="116" cm="1">
        <f t="array" ref="EK8">_xll.EQNXTDZ($A$1,$B8,EK$1)</f>
        <v>3121.05</v>
      </c>
      <c r="EL8" s="116" cm="1">
        <f t="array" ref="EL8">_xll.EQNXTDZ($A$1,$B8,EL$1)</f>
        <v>3387.05</v>
      </c>
      <c r="EM8" s="116" cm="1">
        <f t="array" ref="EM8">_xll.EQNXTDZ($A$1,$B8,EM$1)</f>
        <v>3263.05</v>
      </c>
      <c r="EN8" s="116" cm="1">
        <f t="array" ref="EN8">_xll.EQNXTDZ($A$1,$B8,EN$1)</f>
        <v>3481</v>
      </c>
      <c r="EO8" s="116" cm="1">
        <f t="array" ref="EO8">_xll.EQNXTDZ($A$1,$B8,EO$1)</f>
        <v>3472.4</v>
      </c>
      <c r="EP8" s="116" cm="1">
        <f t="array" ref="EP8">_xll.EQNXTDZ($A$1,$B8,EP$1)</f>
        <v>3225.2</v>
      </c>
      <c r="EQ8" s="116" cm="1">
        <f t="array" ref="EQ8">_xll.EQNXTDZ($A$1,$B8,EQ$1)</f>
        <v>3175.05</v>
      </c>
      <c r="ER8" s="116" cm="1">
        <f t="array" ref="ER8">_xll.EQNXTDZ($A$1,$B8,ER$1)</f>
        <v>3460</v>
      </c>
      <c r="ES8" s="116" cm="1">
        <f t="array" ref="ES8">_xll.EQNXTDZ($A$1,$B8,ES$1)</f>
        <v>3511.5</v>
      </c>
      <c r="ET8" s="116" cm="1">
        <f t="array" ref="ET8">_xll.EQNXTDZ($A$1,$B8,ET$1)</f>
        <v>3516.4</v>
      </c>
      <c r="EU8" s="116" cm="1">
        <f t="array" ref="EU8">_xll.EQNXTDZ($A$1,$B8,EU$1)</f>
        <v>3262.55</v>
      </c>
      <c r="EV8" s="116" cm="1">
        <f t="array" ref="EV8">_xll.EQNXTDZ($A$1,$B8,EV$1)</f>
        <v>3452.45</v>
      </c>
      <c r="EW8" s="116" cm="1">
        <f t="array" ref="EW8">_xll.EQNXTDZ($A$1,$B8,EW$1)</f>
        <v>3550</v>
      </c>
      <c r="EX8" s="116" cm="1">
        <f t="array" ref="EX8">_xll.EQNXTDZ($A$1,$B8,EX$1)</f>
        <v>3395</v>
      </c>
      <c r="EY8" s="116" cm="1">
        <f t="array" ref="EY8">_xll.EQNXTDZ($A$1,$B8,EY$1)</f>
        <v>3141</v>
      </c>
      <c r="EZ8" s="116" cm="1">
        <f t="array" ref="EZ8">_xll.EQNXTDZ($A$1,$B8,EZ$1)</f>
        <v>3153.05</v>
      </c>
      <c r="FA8" s="116" cm="1">
        <f t="array" ref="FA8">_xll.EQNXTDZ($A$1,$B8,FA$1)</f>
        <v>2965.3</v>
      </c>
      <c r="FB8" s="116" cm="1">
        <f t="array" ref="FB8">_xll.EQNXTDZ($A$1,$B8,FB$1)</f>
        <v>3284.1</v>
      </c>
      <c r="FC8" s="116" cm="1">
        <f t="array" ref="FC8">_xll.EQNXTDZ($A$1,$B8,FC$1)</f>
        <v>3485.9</v>
      </c>
      <c r="FD8" s="116" cm="1">
        <f t="array" ref="FD8">_xll.EQNXTDZ($A$1,$B8,FD$1)</f>
        <v>3405.1</v>
      </c>
      <c r="FE8" s="116" cm="1">
        <f t="array" ref="FE8">_xll.EQNXTDZ($A$1,$B8,FE$1)</f>
        <v>3531</v>
      </c>
      <c r="FF8" s="116" cm="1">
        <f t="array" ref="FF8">_xll.EQNXTDZ($A$1,$B8,FF$1)</f>
        <v>3516.4</v>
      </c>
      <c r="FG8" s="116" cm="1">
        <f t="array" ref="FG8">_xll.EQNXTDZ($A$1,$B8,FG$1)</f>
        <v>3615</v>
      </c>
      <c r="FH8" s="116" cm="1">
        <f t="array" ref="FH8">_xll.EQNXTDZ($A$1,$B8,FH$1)</f>
        <v>3831.1</v>
      </c>
      <c r="FI8" s="116" cm="1">
        <f t="array" ref="FI8">_xll.EQNXTDZ($A$1,$B8,FI$1)</f>
        <v>3949.1</v>
      </c>
      <c r="FJ8" s="116" cm="1">
        <f t="array" ref="FJ8">_xll.EQNXTDZ($A$1,$B8,FJ$1)</f>
        <v>3720.1</v>
      </c>
      <c r="FK8" s="116" cm="1">
        <f t="array" ref="FK8">_xll.EQNXTDZ($A$1,$B8,FK$1)</f>
        <v>3756</v>
      </c>
      <c r="FL8" s="116" cm="1">
        <f t="array" ref="FL8">_xll.EQNXTDZ($A$1,$B8,FL$1)</f>
        <v>3288.1</v>
      </c>
      <c r="FM8" s="116" cm="1">
        <f t="array" ref="FM8">_xll.EQNXTDZ($A$1,$B8,FM$1)</f>
        <v>3470</v>
      </c>
      <c r="FN8" s="116" cm="1">
        <f t="array" ref="FN8">_xll.EQNXTDZ($A$1,$B8,FN$1)</f>
        <v>3847</v>
      </c>
      <c r="FO8" s="116" cm="1">
        <f t="array" ref="FO8">_xll.EQNXTDZ($A$1,$B8,FO$1)</f>
        <v>3854.4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581.28888888888901</v>
      </c>
      <c r="HQ8" s="116">
        <f>+MIN(G8:I8)</f>
        <v>581</v>
      </c>
      <c r="HR8" s="116">
        <f>+MIN(J8:L8)</f>
        <v>592.66666666666697</v>
      </c>
      <c r="HS8" s="116">
        <f>+MIN(M8:O8)</f>
        <v>583.555555555556</v>
      </c>
      <c r="HT8" s="116">
        <f>+MIN(P8:R8)</f>
        <v>451.433333333333</v>
      </c>
      <c r="HU8" s="116">
        <f>+MIN(S8:U8)</f>
        <v>517.70000000000005</v>
      </c>
      <c r="HV8" s="116">
        <f>+MIN(V8:X8)</f>
        <v>634.33333333333303</v>
      </c>
      <c r="HW8" s="116">
        <f>+MIN(Y8:AA8)</f>
        <v>828</v>
      </c>
      <c r="HX8" s="116">
        <f>+MIN(AB8:AD8)</f>
        <v>954.43333333333305</v>
      </c>
      <c r="HY8" s="116">
        <f>+MIN(AE8:AG8)</f>
        <v>934</v>
      </c>
      <c r="HZ8" s="116">
        <f>+MIN(AH8:AJ8)</f>
        <v>990.36666666666702</v>
      </c>
      <c r="IA8" s="116">
        <f>+MIN(AK8:AM8)</f>
        <v>1029.06666666667</v>
      </c>
      <c r="IB8" s="116">
        <f>+MIN(AN8:AP8)</f>
        <v>941.56666666666695</v>
      </c>
      <c r="IC8" s="116">
        <f>+MIN(AQ8:AS8)</f>
        <v>843</v>
      </c>
      <c r="ID8" s="116">
        <f>+MIN(AT8:AV8)</f>
        <v>677.36666666666702</v>
      </c>
      <c r="IE8" s="116">
        <f>+MIN(AW8:AY8)</f>
        <v>785.2</v>
      </c>
      <c r="IF8" s="116">
        <f>+MIN(AZ8:BB8)</f>
        <v>941</v>
      </c>
      <c r="IG8" s="116">
        <f>+MIN(BC8:BE8)</f>
        <v>863.4</v>
      </c>
      <c r="IH8" s="116">
        <f>+MIN(BF8:BH8)</f>
        <v>899.43333333333305</v>
      </c>
      <c r="II8" s="116">
        <f>+MIN(BI8:BK8)</f>
        <v>1051.06666666667</v>
      </c>
      <c r="IJ8" s="116">
        <f>+MIN(BL8:BN8)</f>
        <v>1113.05</v>
      </c>
      <c r="IK8" s="116">
        <f>+MIN(BO8:BQ8)</f>
        <v>1123.2</v>
      </c>
      <c r="IL8" s="116">
        <f>+MIN(BR8:BT8)</f>
        <v>1242.8499999999999</v>
      </c>
      <c r="IM8" s="116">
        <f>+MIN(BU8:BW8)</f>
        <v>1206</v>
      </c>
      <c r="IN8" s="116">
        <f>+MIN(BX8:BZ8)</f>
        <v>1226</v>
      </c>
      <c r="IO8" s="116">
        <f>+MIN(CA8:CC8)</f>
        <v>1182.5</v>
      </c>
      <c r="IP8" s="116">
        <f>+MIN(CD8:CF8)</f>
        <v>1201.0999999999999</v>
      </c>
      <c r="IQ8" s="116">
        <f>+MIN(CG8:CI8)</f>
        <v>1285.3</v>
      </c>
      <c r="IR8" s="116">
        <f>+MIN(CJ8:CL8)</f>
        <v>1274</v>
      </c>
      <c r="IS8" s="116">
        <f>+MIN(CM8:CO8)</f>
        <v>1255</v>
      </c>
      <c r="IT8" s="116">
        <f>+MIN(CP8:CR8)</f>
        <v>661</v>
      </c>
      <c r="IU8" s="116">
        <f>+MIN(CS8:CU8)</f>
        <v>762.8</v>
      </c>
      <c r="IV8" s="116">
        <f>+MIN(CV8:CX8)</f>
        <v>843</v>
      </c>
      <c r="IW8" s="116">
        <f>+MIN(CY8:DA8)</f>
        <v>876.05</v>
      </c>
      <c r="IX8" s="116">
        <f>+MIN(DB8:DD8)</f>
        <v>1283</v>
      </c>
      <c r="IY8" s="116">
        <f>+MIN(DE8:DG8)</f>
        <v>1306</v>
      </c>
      <c r="IZ8" s="116">
        <f>+MIN(DH8:DJ8)</f>
        <v>1475.5</v>
      </c>
      <c r="JA8" s="116">
        <f>+MIN(DK8:DM8)</f>
        <v>1684.05</v>
      </c>
      <c r="JB8" s="116">
        <f>+MIN(DN8:DP8)</f>
        <v>1595</v>
      </c>
      <c r="JC8" s="116">
        <f>+MIN(DQ8:DS8)</f>
        <v>1456.35</v>
      </c>
      <c r="JD8" s="116">
        <f>+MIN(DT8:DV8)</f>
        <v>1534.6</v>
      </c>
      <c r="JE8" s="116">
        <f>+MIN(DW8:DY8)</f>
        <v>1814</v>
      </c>
      <c r="JF8" s="116">
        <f>+MIN(DZ8:EB8)</f>
        <v>2058</v>
      </c>
      <c r="JG8" s="116">
        <f>+MIN(EC8:EE8)</f>
        <v>2155</v>
      </c>
      <c r="JH8" s="116">
        <f>+MIN(EF8:EH8)</f>
        <v>2420</v>
      </c>
      <c r="JI8" s="116">
        <f>+MIN(EI8:EK8)</f>
        <v>2856.15</v>
      </c>
      <c r="JJ8" s="116">
        <f>+MIN(EL8:EN8)</f>
        <v>3263.05</v>
      </c>
      <c r="JK8" s="116">
        <f>MIN(EO8:EQ8)</f>
        <v>3175.05</v>
      </c>
      <c r="JL8" s="116">
        <f>MIN(ER8:ET8)</f>
        <v>3460</v>
      </c>
      <c r="JM8" s="116">
        <f>MIN(EU8:EW8)</f>
        <v>3262.55</v>
      </c>
      <c r="JN8" s="116">
        <f>MIN(EX8:EZ8)</f>
        <v>3141</v>
      </c>
      <c r="JO8" s="116">
        <f>MIN(FA8:FC8)</f>
        <v>2965.3</v>
      </c>
      <c r="JP8" s="116">
        <f>MIN(FD8:FF8)</f>
        <v>3405.1</v>
      </c>
      <c r="JQ8" s="116">
        <f>MIN(FG8:FI8)</f>
        <v>3615</v>
      </c>
      <c r="JR8" s="116">
        <f>MIN(FJ8:FL8)</f>
        <v>3288.1</v>
      </c>
      <c r="JS8" s="116">
        <f>MIN(FM8:FO8)</f>
        <v>3470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621.24444444444396</v>
      </c>
      <c r="D9" s="116" cm="1">
        <f t="array" ref="D9">_xll.EQNXTDZ($A$1,$B9,D$1)</f>
        <v>608.62222222222204</v>
      </c>
      <c r="E9" s="116" cm="1">
        <f t="array" ref="E9">_xll.EQNXTDZ($A$1,$B9,E$1)</f>
        <v>596.84444444444398</v>
      </c>
      <c r="F9" s="116" cm="1">
        <f t="array" ref="F9">_xll.EQNXTDZ($A$1,$B9,F$1)</f>
        <v>709.68888888888898</v>
      </c>
      <c r="G9" s="116" cm="1">
        <f t="array" ref="G9">_xll.EQNXTDZ($A$1,$B9,G$1)</f>
        <v>723.04444444444403</v>
      </c>
      <c r="H9" s="116" cm="1">
        <f t="array" ref="H9">_xll.EQNXTDZ($A$1,$B9,H$1)</f>
        <v>741.28888888888901</v>
      </c>
      <c r="I9" s="116" cm="1">
        <f t="array" ref="I9">_xll.EQNXTDZ($A$1,$B9,I$1)</f>
        <v>714.28888888888901</v>
      </c>
      <c r="J9" s="116" cm="1">
        <f t="array" ref="J9">_xll.EQNXTDZ($A$1,$B9,J$1)</f>
        <v>685.26666666666699</v>
      </c>
      <c r="K9" s="116" cm="1">
        <f t="array" ref="K9">_xll.EQNXTDZ($A$1,$B9,K$1)</f>
        <v>607.91111111111104</v>
      </c>
      <c r="L9" s="116" cm="1">
        <f t="array" ref="L9">_xll.EQNXTDZ($A$1,$B9,L$1)</f>
        <v>607.20000000000005</v>
      </c>
      <c r="M9" s="116" cm="1">
        <f t="array" ref="M9">_xll.EQNXTDZ($A$1,$B9,M$1)</f>
        <v>672.08888888888896</v>
      </c>
      <c r="N9" s="116" cm="1">
        <f t="array" ref="N9">_xll.EQNXTDZ($A$1,$B9,N$1)</f>
        <v>622.555555555556</v>
      </c>
      <c r="O9" s="116" cm="1">
        <f t="array" ref="O9">_xll.EQNXTDZ($A$1,$B9,O$1)</f>
        <v>625.73333333333301</v>
      </c>
      <c r="P9" s="116" cm="1">
        <f t="array" ref="P9">_xll.EQNXTDZ($A$1,$B9,P$1)</f>
        <v>564.76666666666699</v>
      </c>
      <c r="Q9" s="116" cm="1">
        <f t="array" ref="Q9">_xll.EQNXTDZ($A$1,$B9,Q$1)</f>
        <v>483.03333333333302</v>
      </c>
      <c r="R9" s="116" cm="1">
        <f t="array" ref="R9">_xll.EQNXTDZ($A$1,$B9,R$1)</f>
        <v>525.83333333333303</v>
      </c>
      <c r="S9" s="116" cm="1">
        <f t="array" ref="S9">_xll.EQNXTDZ($A$1,$B9,S$1)</f>
        <v>649.13333333333298</v>
      </c>
      <c r="T9" s="116" cm="1">
        <f t="array" ref="T9">_xll.EQNXTDZ($A$1,$B9,T$1)</f>
        <v>697.3</v>
      </c>
      <c r="U9" s="116" cm="1">
        <f t="array" ref="U9">_xll.EQNXTDZ($A$1,$B9,U$1)</f>
        <v>713.5</v>
      </c>
      <c r="V9" s="116" cm="1">
        <f t="array" ref="V9">_xll.EQNXTDZ($A$1,$B9,V$1)</f>
        <v>657.26666666666699</v>
      </c>
      <c r="W9" s="116" cm="1">
        <f t="array" ref="W9">_xll.EQNXTDZ($A$1,$B9,W$1)</f>
        <v>739.76666666666699</v>
      </c>
      <c r="X9" s="116" cm="1">
        <f t="array" ref="X9">_xll.EQNXTDZ($A$1,$B9,X$1)</f>
        <v>847.93333333333305</v>
      </c>
      <c r="Y9" s="116" cm="1">
        <f t="array" ref="Y9">_xll.EQNXTDZ($A$1,$B9,Y$1)</f>
        <v>862.73333333333301</v>
      </c>
      <c r="Z9" s="116" cm="1">
        <f t="array" ref="Z9">_xll.EQNXTDZ($A$1,$B9,Z$1)</f>
        <v>1030.3333333333301</v>
      </c>
      <c r="AA9" s="116" cm="1">
        <f t="array" ref="AA9">_xll.EQNXTDZ($A$1,$B9,AA$1)</f>
        <v>1134.4666666666701</v>
      </c>
      <c r="AB9" s="116" cm="1">
        <f t="array" ref="AB9">_xll.EQNXTDZ($A$1,$B9,AB$1)</f>
        <v>1001.93333333333</v>
      </c>
      <c r="AC9" s="116" cm="1">
        <f t="array" ref="AC9">_xll.EQNXTDZ($A$1,$B9,AC$1)</f>
        <v>1017.66666666667</v>
      </c>
      <c r="AD9" s="116" cm="1">
        <f t="array" ref="AD9">_xll.EQNXTDZ($A$1,$B9,AD$1)</f>
        <v>972.16666666666697</v>
      </c>
      <c r="AE9" s="116" cm="1">
        <f t="array" ref="AE9">_xll.EQNXTDZ($A$1,$B9,AE$1)</f>
        <v>1103.63333333333</v>
      </c>
      <c r="AF9" s="116" cm="1">
        <f t="array" ref="AF9">_xll.EQNXTDZ($A$1,$B9,AF$1)</f>
        <v>1092.9000000000001</v>
      </c>
      <c r="AG9" s="116" cm="1">
        <f t="array" ref="AG9">_xll.EQNXTDZ($A$1,$B9,AG$1)</f>
        <v>996.43333333333305</v>
      </c>
      <c r="AH9" s="116" cm="1">
        <f t="array" ref="AH9">_xll.EQNXTDZ($A$1,$B9,AH$1)</f>
        <v>1133.7</v>
      </c>
      <c r="AI9" s="116" cm="1">
        <f t="array" ref="AI9">_xll.EQNXTDZ($A$1,$B9,AI$1)</f>
        <v>1178.7333333333299</v>
      </c>
      <c r="AJ9" s="116" cm="1">
        <f t="array" ref="AJ9">_xll.EQNXTDZ($A$1,$B9,AJ$1)</f>
        <v>1146.43333333333</v>
      </c>
      <c r="AK9" s="116" cm="1">
        <f t="array" ref="AK9">_xll.EQNXTDZ($A$1,$B9,AK$1)</f>
        <v>1087.5333333333299</v>
      </c>
      <c r="AL9" s="116" cm="1">
        <f t="array" ref="AL9">_xll.EQNXTDZ($A$1,$B9,AL$1)</f>
        <v>1102.9666666666701</v>
      </c>
      <c r="AM9" s="116" cm="1">
        <f t="array" ref="AM9">_xll.EQNXTDZ($A$1,$B9,AM$1)</f>
        <v>1188.5333333333299</v>
      </c>
      <c r="AN9" s="116" cm="1">
        <f t="array" ref="AN9">_xll.EQNXTDZ($A$1,$B9,AN$1)</f>
        <v>1194.1666666666699</v>
      </c>
      <c r="AO9" s="116" cm="1">
        <f t="array" ref="AO9">_xll.EQNXTDZ($A$1,$B9,AO$1)</f>
        <v>1068.5999999999999</v>
      </c>
      <c r="AP9" s="116" cm="1">
        <f t="array" ref="AP9">_xll.EQNXTDZ($A$1,$B9,AP$1)</f>
        <v>977.5</v>
      </c>
      <c r="AQ9" s="116" cm="1">
        <f t="array" ref="AQ9">_xll.EQNXTDZ($A$1,$B9,AQ$1)</f>
        <v>940.5</v>
      </c>
      <c r="AR9" s="116" cm="1">
        <f t="array" ref="AR9">_xll.EQNXTDZ($A$1,$B9,AR$1)</f>
        <v>916.4</v>
      </c>
      <c r="AS9" s="116" cm="1">
        <f t="array" ref="AS9">_xll.EQNXTDZ($A$1,$B9,AS$1)</f>
        <v>850.3</v>
      </c>
      <c r="AT9" s="116" cm="1">
        <f t="array" ref="AT9">_xll.EQNXTDZ($A$1,$B9,AT$1)</f>
        <v>734.43333333333305</v>
      </c>
      <c r="AU9" s="116" cm="1">
        <f t="array" ref="AU9">_xll.EQNXTDZ($A$1,$B9,AU$1)</f>
        <v>717.33333333333303</v>
      </c>
      <c r="AV9" s="116" cm="1">
        <f t="array" ref="AV9">_xll.EQNXTDZ($A$1,$B9,AV$1)</f>
        <v>811.13333333333298</v>
      </c>
      <c r="AW9" s="116" cm="1">
        <f t="array" ref="AW9">_xll.EQNXTDZ($A$1,$B9,AW$1)</f>
        <v>836.4</v>
      </c>
      <c r="AX9" s="116" cm="1">
        <f t="array" ref="AX9">_xll.EQNXTDZ($A$1,$B9,AX$1)</f>
        <v>982.36666666666702</v>
      </c>
      <c r="AY9" s="116" cm="1">
        <f t="array" ref="AY9">_xll.EQNXTDZ($A$1,$B9,AY$1)</f>
        <v>997.66666666666697</v>
      </c>
      <c r="AZ9" s="116" cm="1">
        <f t="array" ref="AZ9">_xll.EQNXTDZ($A$1,$B9,AZ$1)</f>
        <v>1039.2333333333299</v>
      </c>
      <c r="BA9" s="116" cm="1">
        <f t="array" ref="BA9">_xll.EQNXTDZ($A$1,$B9,BA$1)</f>
        <v>1008.63333333333</v>
      </c>
      <c r="BB9" s="116" cm="1">
        <f t="array" ref="BB9">_xll.EQNXTDZ($A$1,$B9,BB$1)</f>
        <v>955.43333333333305</v>
      </c>
      <c r="BC9" s="116" cm="1">
        <f t="array" ref="BC9">_xll.EQNXTDZ($A$1,$B9,BC$1)</f>
        <v>983.5</v>
      </c>
      <c r="BD9" s="116" cm="1">
        <f t="array" ref="BD9">_xll.EQNXTDZ($A$1,$B9,BD$1)</f>
        <v>921.83333333333303</v>
      </c>
      <c r="BE9" s="116" cm="1">
        <f t="array" ref="BE9">_xll.EQNXTDZ($A$1,$B9,BE$1)</f>
        <v>899.4</v>
      </c>
      <c r="BF9" s="116" cm="1">
        <f t="array" ref="BF9">_xll.EQNXTDZ($A$1,$B9,BF$1)</f>
        <v>964.16666666666697</v>
      </c>
      <c r="BG9" s="116" cm="1">
        <f t="array" ref="BG9">_xll.EQNXTDZ($A$1,$B9,BG$1)</f>
        <v>979.46666666666704</v>
      </c>
      <c r="BH9" s="116" cm="1">
        <f t="array" ref="BH9">_xll.EQNXTDZ($A$1,$B9,BH$1)</f>
        <v>1049.93333333333</v>
      </c>
      <c r="BI9" s="116" cm="1">
        <f t="array" ref="BI9">_xll.EQNXTDZ($A$1,$B9,BI$1)</f>
        <v>1166.5333333333299</v>
      </c>
      <c r="BJ9" s="116" cm="1">
        <f t="array" ref="BJ9">_xll.EQNXTDZ($A$1,$B9,BJ$1)</f>
        <v>1173.8</v>
      </c>
      <c r="BK9" s="116" cm="1">
        <f t="array" ref="BK9">_xll.EQNXTDZ($A$1,$B9,BK$1)</f>
        <v>1125.06666666667</v>
      </c>
      <c r="BL9" s="116" cm="1">
        <f t="array" ref="BL9">_xll.EQNXTDZ($A$1,$B9,BL$1)</f>
        <v>1193.95</v>
      </c>
      <c r="BM9" s="116" cm="1">
        <f t="array" ref="BM9">_xll.EQNXTDZ($A$1,$B9,BM$1)</f>
        <v>1136.3</v>
      </c>
      <c r="BN9" s="116" cm="1">
        <f t="array" ref="BN9">_xll.EQNXTDZ($A$1,$B9,BN$1)</f>
        <v>1142.05</v>
      </c>
      <c r="BO9" s="116" cm="1">
        <f t="array" ref="BO9">_xll.EQNXTDZ($A$1,$B9,BO$1)</f>
        <v>1222.3</v>
      </c>
      <c r="BP9" s="116" cm="1">
        <f t="array" ref="BP9">_xll.EQNXTDZ($A$1,$B9,BP$1)</f>
        <v>1216.55</v>
      </c>
      <c r="BQ9" s="116" cm="1">
        <f t="array" ref="BQ9">_xll.EQNXTDZ($A$1,$B9,BQ$1)</f>
        <v>1258.25</v>
      </c>
      <c r="BR9" s="116" cm="1">
        <f t="array" ref="BR9">_xll.EQNXTDZ($A$1,$B9,BR$1)</f>
        <v>1416.5</v>
      </c>
      <c r="BS9" s="116" cm="1">
        <f t="array" ref="BS9">_xll.EQNXTDZ($A$1,$B9,BS$1)</f>
        <v>1318.15</v>
      </c>
      <c r="BT9" s="116" cm="1">
        <f t="array" ref="BT9">_xll.EQNXTDZ($A$1,$B9,BT$1)</f>
        <v>1310.9</v>
      </c>
      <c r="BU9" s="116" cm="1">
        <f t="array" ref="BU9">_xll.EQNXTDZ($A$1,$B9,BU$1)</f>
        <v>1400.9</v>
      </c>
      <c r="BV9" s="116" cm="1">
        <f t="array" ref="BV9">_xll.EQNXTDZ($A$1,$B9,BV$1)</f>
        <v>1370.4</v>
      </c>
      <c r="BW9" s="116" cm="1">
        <f t="array" ref="BW9">_xll.EQNXTDZ($A$1,$B9,BW$1)</f>
        <v>1275.0999999999999</v>
      </c>
      <c r="BX9" s="116" cm="1">
        <f t="array" ref="BX9">_xll.EQNXTDZ($A$1,$B9,BX$1)</f>
        <v>1302.3</v>
      </c>
      <c r="BY9" s="116" cm="1">
        <f t="array" ref="BY9">_xll.EQNXTDZ($A$1,$B9,BY$1)</f>
        <v>1369.55</v>
      </c>
      <c r="BZ9" s="116" cm="1">
        <f t="array" ref="BZ9">_xll.EQNXTDZ($A$1,$B9,BZ$1)</f>
        <v>1272.0999999999999</v>
      </c>
      <c r="CA9" s="116" cm="1">
        <f t="array" ref="CA9">_xll.EQNXTDZ($A$1,$B9,CA$1)</f>
        <v>1297.5</v>
      </c>
      <c r="CB9" s="116" cm="1">
        <f t="array" ref="CB9">_xll.EQNXTDZ($A$1,$B9,CB$1)</f>
        <v>1432.5</v>
      </c>
      <c r="CC9" s="116" cm="1">
        <f t="array" ref="CC9">_xll.EQNXTDZ($A$1,$B9,CC$1)</f>
        <v>1437.55</v>
      </c>
      <c r="CD9" s="116" cm="1">
        <f t="array" ref="CD9">_xll.EQNXTDZ($A$1,$B9,CD$1)</f>
        <v>1314.3</v>
      </c>
      <c r="CE9" s="116" cm="1">
        <f t="array" ref="CE9">_xll.EQNXTDZ($A$1,$B9,CE$1)</f>
        <v>1292.95</v>
      </c>
      <c r="CF9" s="116" cm="1">
        <f t="array" ref="CF9">_xll.EQNXTDZ($A$1,$B9,CF$1)</f>
        <v>1385.3</v>
      </c>
      <c r="CG9" s="116" cm="1">
        <f t="array" ref="CG9">_xll.EQNXTDZ($A$1,$B9,CG$1)</f>
        <v>1348.55</v>
      </c>
      <c r="CH9" s="116" cm="1">
        <f t="array" ref="CH9">_xll.EQNXTDZ($A$1,$B9,CH$1)</f>
        <v>1557.55</v>
      </c>
      <c r="CI9" s="116" cm="1">
        <f t="array" ref="CI9">_xll.EQNXTDZ($A$1,$B9,CI$1)</f>
        <v>1553.2</v>
      </c>
      <c r="CJ9" s="116" cm="1">
        <f t="array" ref="CJ9">_xll.EQNXTDZ($A$1,$B9,CJ$1)</f>
        <v>1387.3</v>
      </c>
      <c r="CK9" s="116" cm="1">
        <f t="array" ref="CK9">_xll.EQNXTDZ($A$1,$B9,CK$1)</f>
        <v>1328.25</v>
      </c>
      <c r="CL9" s="116" cm="1">
        <f t="array" ref="CL9">_xll.EQNXTDZ($A$1,$B9,CL$1)</f>
        <v>1474.25</v>
      </c>
      <c r="CM9" s="116" cm="1">
        <f t="array" ref="CM9">_xll.EQNXTDZ($A$1,$B9,CM$1)</f>
        <v>1473.05</v>
      </c>
      <c r="CN9" s="116" cm="1">
        <f t="array" ref="CN9">_xll.EQNXTDZ($A$1,$B9,CN$1)</f>
        <v>1330.55</v>
      </c>
      <c r="CO9" s="116" cm="1">
        <f t="array" ref="CO9">_xll.EQNXTDZ($A$1,$B9,CO$1)</f>
        <v>1298.2</v>
      </c>
      <c r="CP9" s="116" cm="1">
        <f t="array" ref="CP9">_xll.EQNXTDZ($A$1,$B9,CP$1)</f>
        <v>1369.3</v>
      </c>
      <c r="CQ9" s="116" cm="1">
        <f t="array" ref="CQ9">_xll.EQNXTDZ($A$1,$B9,CQ$1)</f>
        <v>1187.55</v>
      </c>
      <c r="CR9" s="116" cm="1">
        <f t="array" ref="CR9">_xll.EQNXTDZ($A$1,$B9,CR$1)</f>
        <v>808.5</v>
      </c>
      <c r="CS9" s="116" cm="1">
        <f t="array" ref="CS9">_xll.EQNXTDZ($A$1,$B9,CS$1)</f>
        <v>897.55</v>
      </c>
      <c r="CT9" s="116" cm="1">
        <f t="array" ref="CT9">_xll.EQNXTDZ($A$1,$B9,CT$1)</f>
        <v>932.25</v>
      </c>
      <c r="CU9" s="116" cm="1">
        <f t="array" ref="CU9">_xll.EQNXTDZ($A$1,$B9,CU$1)</f>
        <v>943.65</v>
      </c>
      <c r="CV9" s="116" cm="1">
        <f t="array" ref="CV9">_xll.EQNXTDZ($A$1,$B9,CV$1)</f>
        <v>913.45</v>
      </c>
      <c r="CW9" s="116" cm="1">
        <f t="array" ref="CW9">_xll.EQNXTDZ($A$1,$B9,CW$1)</f>
        <v>944.95</v>
      </c>
      <c r="CX9" s="116" cm="1">
        <f t="array" ref="CX9">_xll.EQNXTDZ($A$1,$B9,CX$1)</f>
        <v>901.6</v>
      </c>
      <c r="CY9" s="116" cm="1">
        <f t="array" ref="CY9">_xll.EQNXTDZ($A$1,$B9,CY$1)</f>
        <v>929.5</v>
      </c>
      <c r="CZ9" s="116" cm="1">
        <f t="array" ref="CZ9">_xll.EQNXTDZ($A$1,$B9,CZ$1)</f>
        <v>1122.4000000000001</v>
      </c>
      <c r="DA9" s="116" cm="1">
        <f t="array" ref="DA9">_xll.EQNXTDZ($A$1,$B9,DA$1)</f>
        <v>1287.5999999999999</v>
      </c>
      <c r="DB9" s="116" cm="1">
        <f t="array" ref="DB9">_xll.EQNXTDZ($A$1,$B9,DB$1)</f>
        <v>1334.7</v>
      </c>
      <c r="DC9" s="116" cm="1">
        <f t="array" ref="DC9">_xll.EQNXTDZ($A$1,$B9,DC$1)</f>
        <v>1442.5</v>
      </c>
      <c r="DD9" s="116" cm="1">
        <f t="array" ref="DD9">_xll.EQNXTDZ($A$1,$B9,DD$1)</f>
        <v>1418.9</v>
      </c>
      <c r="DE9" s="116" cm="1">
        <f t="array" ref="DE9">_xll.EQNXTDZ($A$1,$B9,DE$1)</f>
        <v>1340.45</v>
      </c>
      <c r="DF9" s="116" cm="1">
        <f t="array" ref="DF9">_xll.EQNXTDZ($A$1,$B9,DF$1)</f>
        <v>1467.7</v>
      </c>
      <c r="DG9" s="116" cm="1">
        <f t="array" ref="DG9">_xll.EQNXTDZ($A$1,$B9,DG$1)</f>
        <v>1500.55</v>
      </c>
      <c r="DH9" s="116" cm="1">
        <f t="array" ref="DH9">_xll.EQNXTDZ($A$1,$B9,DH$1)</f>
        <v>1601.45</v>
      </c>
      <c r="DI9" s="116" cm="1">
        <f t="array" ref="DI9">_xll.EQNXTDZ($A$1,$B9,DI$1)</f>
        <v>1672.2</v>
      </c>
      <c r="DJ9" s="116" cm="1">
        <f t="array" ref="DJ9">_xll.EQNXTDZ($A$1,$B9,DJ$1)</f>
        <v>1702.95</v>
      </c>
      <c r="DK9" s="116" cm="1">
        <f t="array" ref="DK9">_xll.EQNXTDZ($A$1,$B9,DK$1)</f>
        <v>1766.65</v>
      </c>
      <c r="DL9" s="116" cm="1">
        <f t="array" ref="DL9">_xll.EQNXTDZ($A$1,$B9,DL$1)</f>
        <v>1764.75</v>
      </c>
      <c r="DM9" s="116" cm="1">
        <f t="array" ref="DM9">_xll.EQNXTDZ($A$1,$B9,DM$1)</f>
        <v>1895.9</v>
      </c>
      <c r="DN9" s="116" cm="1">
        <f t="array" ref="DN9">_xll.EQNXTDZ($A$1,$B9,DN$1)</f>
        <v>1909.2</v>
      </c>
      <c r="DO9" s="116" cm="1">
        <f t="array" ref="DO9">_xll.EQNXTDZ($A$1,$B9,DO$1)</f>
        <v>1816.75</v>
      </c>
      <c r="DP9" s="116" cm="1">
        <f t="array" ref="DP9">_xll.EQNXTDZ($A$1,$B9,DP$1)</f>
        <v>1767.65</v>
      </c>
      <c r="DQ9" s="116" cm="1">
        <f t="array" ref="DQ9">_xll.EQNXTDZ($A$1,$B9,DQ$1)</f>
        <v>1694.35</v>
      </c>
      <c r="DR9" s="116" cm="1">
        <f t="array" ref="DR9">_xll.EQNXTDZ($A$1,$B9,DR$1)</f>
        <v>1654.5</v>
      </c>
      <c r="DS9" s="116" cm="1">
        <f t="array" ref="DS9">_xll.EQNXTDZ($A$1,$B9,DS$1)</f>
        <v>1558.25</v>
      </c>
      <c r="DT9" s="116" cm="1">
        <f t="array" ref="DT9">_xll.EQNXTDZ($A$1,$B9,DT$1)</f>
        <v>1808.05</v>
      </c>
      <c r="DU9" s="116" cm="1">
        <f t="array" ref="DU9">_xll.EQNXTDZ($A$1,$B9,DU$1)</f>
        <v>1922.5</v>
      </c>
      <c r="DV9" s="116" cm="1">
        <f t="array" ref="DV9">_xll.EQNXTDZ($A$1,$B9,DV$1)</f>
        <v>1847.7</v>
      </c>
      <c r="DW9" s="116" cm="1">
        <f t="array" ref="DW9">_xll.EQNXTDZ($A$1,$B9,DW$1)</f>
        <v>2023.1</v>
      </c>
      <c r="DX9" s="116" cm="1">
        <f t="array" ref="DX9">_xll.EQNXTDZ($A$1,$B9,DX$1)</f>
        <v>2074.85</v>
      </c>
      <c r="DY9" s="116" cm="1">
        <f t="array" ref="DY9">_xll.EQNXTDZ($A$1,$B9,DY$1)</f>
        <v>2085.8000000000002</v>
      </c>
      <c r="DZ9" s="116" cm="1">
        <f t="array" ref="DZ9">_xll.EQNXTDZ($A$1,$B9,DZ$1)</f>
        <v>2124.4</v>
      </c>
      <c r="EA9" s="116" cm="1">
        <f t="array" ref="EA9">_xll.EQNXTDZ($A$1,$B9,EA$1)</f>
        <v>2109.15</v>
      </c>
      <c r="EB9" s="116" cm="1">
        <f t="array" ref="EB9">_xll.EQNXTDZ($A$1,$B9,EB$1)</f>
        <v>2164.1999999999998</v>
      </c>
      <c r="EC9" s="116" cm="1">
        <f t="array" ref="EC9">_xll.EQNXTDZ($A$1,$B9,EC$1)</f>
        <v>2364.4</v>
      </c>
      <c r="ED9" s="116" cm="1">
        <f t="array" ref="ED9">_xll.EQNXTDZ($A$1,$B9,ED$1)</f>
        <v>2205.65</v>
      </c>
      <c r="EE9" s="116" cm="1">
        <f t="array" ref="EE9">_xll.EQNXTDZ($A$1,$B9,EE$1)</f>
        <v>2475.5500000000002</v>
      </c>
      <c r="EF9" s="116" cm="1">
        <f t="array" ref="EF9">_xll.EQNXTDZ($A$1,$B9,EF$1)</f>
        <v>2681.35</v>
      </c>
      <c r="EG9" s="116" cm="1">
        <f t="array" ref="EG9">_xll.EQNXTDZ($A$1,$B9,EG$1)</f>
        <v>2702.7</v>
      </c>
      <c r="EH9" s="116" cm="1">
        <f t="array" ref="EH9">_xll.EQNXTDZ($A$1,$B9,EH$1)</f>
        <v>3023.55</v>
      </c>
      <c r="EI9" s="116" cm="1">
        <f t="array" ref="EI9">_xll.EQNXTDZ($A$1,$B9,EI$1)</f>
        <v>2929.05</v>
      </c>
      <c r="EJ9" s="116" cm="1">
        <f t="array" ref="EJ9">_xll.EQNXTDZ($A$1,$B9,EJ$1)</f>
        <v>3109.2</v>
      </c>
      <c r="EK9" s="116" cm="1">
        <f t="array" ref="EK9">_xll.EQNXTDZ($A$1,$B9,EK$1)</f>
        <v>3526</v>
      </c>
      <c r="EL9" s="116" cm="1">
        <f t="array" ref="EL9">_xll.EQNXTDZ($A$1,$B9,EL$1)</f>
        <v>3479.75</v>
      </c>
      <c r="EM9" s="116" cm="1">
        <f t="array" ref="EM9">_xll.EQNXTDZ($A$1,$B9,EM$1)</f>
        <v>3477.55</v>
      </c>
      <c r="EN9" s="116" cm="1">
        <f t="array" ref="EN9">_xll.EQNXTDZ($A$1,$B9,EN$1)</f>
        <v>3763.9</v>
      </c>
      <c r="EO9" s="116" cm="1">
        <f t="array" ref="EO9">_xll.EQNXTDZ($A$1,$B9,EO$1)</f>
        <v>3594.3</v>
      </c>
      <c r="EP9" s="116" cm="1">
        <f t="array" ref="EP9">_xll.EQNXTDZ($A$1,$B9,EP$1)</f>
        <v>3669.3</v>
      </c>
      <c r="EQ9" s="116" cm="1">
        <f t="array" ref="EQ9">_xll.EQNXTDZ($A$1,$B9,EQ$1)</f>
        <v>3548.45</v>
      </c>
      <c r="ER9" s="116" cm="1">
        <f t="array" ref="ER9">_xll.EQNXTDZ($A$1,$B9,ER$1)</f>
        <v>3815</v>
      </c>
      <c r="ES9" s="116" cm="1">
        <f t="array" ref="ES9">_xll.EQNXTDZ($A$1,$B9,ES$1)</f>
        <v>3704.65</v>
      </c>
      <c r="ET9" s="116" cm="1">
        <f t="array" ref="ET9">_xll.EQNXTDZ($A$1,$B9,ET$1)</f>
        <v>3675.55</v>
      </c>
      <c r="EU9" s="116" cm="1">
        <f t="array" ref="EU9">_xll.EQNXTDZ($A$1,$B9,EU$1)</f>
        <v>3622.3</v>
      </c>
      <c r="EV9" s="116" cm="1">
        <f t="array" ref="EV9">_xll.EQNXTDZ($A$1,$B9,EV$1)</f>
        <v>3724.8</v>
      </c>
      <c r="EW9" s="116" cm="1">
        <f t="array" ref="EW9">_xll.EQNXTDZ($A$1,$B9,EW$1)</f>
        <v>3607.65</v>
      </c>
      <c r="EX9" s="116" cm="1">
        <f t="array" ref="EX9">_xll.EQNXTDZ($A$1,$B9,EX$1)</f>
        <v>3567.4</v>
      </c>
      <c r="EY9" s="116" cm="1">
        <f t="array" ref="EY9">_xll.EQNXTDZ($A$1,$B9,EY$1)</f>
        <v>3163.85</v>
      </c>
      <c r="EZ9" s="116" cm="1">
        <f t="array" ref="EZ9">_xll.EQNXTDZ($A$1,$B9,EZ$1)</f>
        <v>3492.3</v>
      </c>
      <c r="FA9" s="116" cm="1">
        <f t="array" ref="FA9">_xll.EQNXTDZ($A$1,$B9,FA$1)</f>
        <v>3341</v>
      </c>
      <c r="FB9" s="116" cm="1">
        <f t="array" ref="FB9">_xll.EQNXTDZ($A$1,$B9,FB$1)</f>
        <v>3675.1</v>
      </c>
      <c r="FC9" s="116" cm="1">
        <f t="array" ref="FC9">_xll.EQNXTDZ($A$1,$B9,FC$1)</f>
        <v>3669.8</v>
      </c>
      <c r="FD9" s="116" cm="1">
        <f t="array" ref="FD9">_xll.EQNXTDZ($A$1,$B9,FD$1)</f>
        <v>3636.5</v>
      </c>
      <c r="FE9" s="116" cm="1">
        <f t="array" ref="FE9">_xll.EQNXTDZ($A$1,$B9,FE$1)</f>
        <v>3601</v>
      </c>
      <c r="FF9" s="116" cm="1">
        <f t="array" ref="FF9">_xll.EQNXTDZ($A$1,$B9,FF$1)</f>
        <v>3659</v>
      </c>
      <c r="FG9" s="116" cm="1">
        <f t="array" ref="FG9">_xll.EQNXTDZ($A$1,$B9,FG$1)</f>
        <v>4030.9</v>
      </c>
      <c r="FH9" s="116" cm="1">
        <f t="array" ref="FH9">_xll.EQNXTDZ($A$1,$B9,FH$1)</f>
        <v>4069.6</v>
      </c>
      <c r="FI9" s="116" cm="1">
        <f t="array" ref="FI9">_xll.EQNXTDZ($A$1,$B9,FI$1)</f>
        <v>4083.5</v>
      </c>
      <c r="FJ9" s="116" cm="1">
        <f t="array" ref="FJ9">_xll.EQNXTDZ($A$1,$B9,FJ$1)</f>
        <v>3932.3</v>
      </c>
      <c r="FK9" s="116" cm="1">
        <f t="array" ref="FK9">_xll.EQNXTDZ($A$1,$B9,FK$1)</f>
        <v>4278.3</v>
      </c>
      <c r="FL9" s="116" cm="1">
        <f t="array" ref="FL9">_xll.EQNXTDZ($A$1,$B9,FL$1)</f>
        <v>3504.1</v>
      </c>
      <c r="FM9" s="116" cm="1">
        <f t="array" ref="FM9">_xll.EQNXTDZ($A$1,$B9,FM$1)</f>
        <v>4014</v>
      </c>
      <c r="FN9" s="116" cm="1">
        <f t="array" ref="FN9">_xll.EQNXTDZ($A$1,$B9,FN$1)</f>
        <v>4076.5</v>
      </c>
      <c r="FO9" s="116" cm="1">
        <f t="array" ref="FO9">_xll.EQNXTDZ($A$1,$B9,FO$1)</f>
        <v>4186.3999999999996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709.68888888888898</v>
      </c>
      <c r="HQ9" s="116">
        <f>+I9</f>
        <v>714.28888888888901</v>
      </c>
      <c r="HR9" s="116">
        <f>+L9</f>
        <v>607.20000000000005</v>
      </c>
      <c r="HS9" s="116">
        <f>+O9</f>
        <v>625.73333333333301</v>
      </c>
      <c r="HT9" s="116">
        <f>+R9</f>
        <v>525.83333333333303</v>
      </c>
      <c r="HU9" s="116">
        <f>+U9</f>
        <v>713.5</v>
      </c>
      <c r="HV9" s="116">
        <f>+X9</f>
        <v>847.93333333333305</v>
      </c>
      <c r="HW9" s="116">
        <f>+AA9</f>
        <v>1134.4666666666701</v>
      </c>
      <c r="HX9" s="116">
        <f>+AD9</f>
        <v>972.16666666666697</v>
      </c>
      <c r="HY9" s="116">
        <f>+AG9</f>
        <v>996.43333333333305</v>
      </c>
      <c r="HZ9" s="116">
        <f>+AJ9</f>
        <v>1146.43333333333</v>
      </c>
      <c r="IA9" s="116">
        <f>+AM9</f>
        <v>1188.5333333333299</v>
      </c>
      <c r="IB9" s="116">
        <f>+AP9</f>
        <v>977.5</v>
      </c>
      <c r="IC9" s="116">
        <f>+AS9</f>
        <v>850.3</v>
      </c>
      <c r="ID9" s="116">
        <f>+AV9</f>
        <v>811.13333333333298</v>
      </c>
      <c r="IE9" s="116">
        <f>+AY9</f>
        <v>997.66666666666697</v>
      </c>
      <c r="IF9" s="116">
        <f>+BB9</f>
        <v>955.43333333333305</v>
      </c>
      <c r="IG9" s="116">
        <f>+BE9</f>
        <v>899.4</v>
      </c>
      <c r="IH9" s="116">
        <f>+BH9</f>
        <v>1049.93333333333</v>
      </c>
      <c r="II9" s="116">
        <f>+BK9</f>
        <v>1125.06666666667</v>
      </c>
      <c r="IJ9" s="116">
        <f>+BN9</f>
        <v>1142.05</v>
      </c>
      <c r="IK9" s="116">
        <f>+BQ9</f>
        <v>1258.25</v>
      </c>
      <c r="IL9" s="116">
        <f>+BT9</f>
        <v>1310.9</v>
      </c>
      <c r="IM9" s="116">
        <f>+BW9</f>
        <v>1275.0999999999999</v>
      </c>
      <c r="IN9" s="116">
        <f>+BZ9</f>
        <v>1272.0999999999999</v>
      </c>
      <c r="IO9" s="116">
        <f>+CC9</f>
        <v>1437.55</v>
      </c>
      <c r="IP9" s="116">
        <f>+CF9</f>
        <v>1385.3</v>
      </c>
      <c r="IQ9" s="116">
        <f>+CI9</f>
        <v>1553.2</v>
      </c>
      <c r="IR9" s="116">
        <f>+CL9</f>
        <v>1474.25</v>
      </c>
      <c r="IS9" s="116">
        <f>+CO9</f>
        <v>1298.2</v>
      </c>
      <c r="IT9" s="116">
        <f>+CR9</f>
        <v>808.5</v>
      </c>
      <c r="IU9" s="116">
        <f>+CU9</f>
        <v>943.65</v>
      </c>
      <c r="IV9" s="116">
        <f>+CX9</f>
        <v>901.6</v>
      </c>
      <c r="IW9" s="116">
        <f>+DA9</f>
        <v>1287.5999999999999</v>
      </c>
      <c r="IX9" s="116">
        <f>+DD9</f>
        <v>1418.9</v>
      </c>
      <c r="IY9" s="116">
        <f>+DG9</f>
        <v>1500.55</v>
      </c>
      <c r="IZ9" s="116">
        <f>+DJ9</f>
        <v>1702.95</v>
      </c>
      <c r="JA9" s="116">
        <f>+DM9</f>
        <v>1895.9</v>
      </c>
      <c r="JB9" s="116">
        <f>+DP9</f>
        <v>1767.65</v>
      </c>
      <c r="JC9" s="116">
        <f>+DS9</f>
        <v>1558.25</v>
      </c>
      <c r="JD9" s="116">
        <f>+DV9</f>
        <v>1847.7</v>
      </c>
      <c r="JE9" s="116">
        <f>+DY9</f>
        <v>2085.8000000000002</v>
      </c>
      <c r="JF9" s="116">
        <f>+EB9</f>
        <v>2164.1999999999998</v>
      </c>
      <c r="JG9" s="116">
        <f>+EE9</f>
        <v>2475.5500000000002</v>
      </c>
      <c r="JH9" s="116">
        <f>+EH9</f>
        <v>3023.55</v>
      </c>
      <c r="JI9" s="116">
        <f>+EK9</f>
        <v>3526</v>
      </c>
      <c r="JJ9" s="116">
        <f>+EN9</f>
        <v>3763.9</v>
      </c>
      <c r="JK9" s="116">
        <f>EQ9</f>
        <v>3548.45</v>
      </c>
      <c r="JL9" s="116">
        <f>ET9</f>
        <v>3675.55</v>
      </c>
      <c r="JM9" s="116">
        <f>EW9</f>
        <v>3607.65</v>
      </c>
      <c r="JN9" s="116">
        <f>EZ9</f>
        <v>3492.3</v>
      </c>
      <c r="JO9" s="116">
        <f>FC9</f>
        <v>3669.8</v>
      </c>
      <c r="JP9" s="116">
        <f>FF9</f>
        <v>3659</v>
      </c>
      <c r="JQ9" s="116">
        <f>FI9</f>
        <v>4083.5</v>
      </c>
      <c r="JR9" s="116">
        <f>FL9</f>
        <v>3504.1</v>
      </c>
      <c r="JS9" s="116">
        <f>FO9</f>
        <v>4186.3999999999996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519.11111111111097</v>
      </c>
      <c r="D13" cm="1">
        <f t="array" ref="D13">_xll.EQNXTDZ($A$1,$B13,D$1)</f>
        <v>622.22222222222194</v>
      </c>
      <c r="E13" cm="1">
        <f t="array" ref="E13">_xll.EQNXTDZ($A$1,$B13,E$1)</f>
        <v>607.91111111111104</v>
      </c>
      <c r="F13" cm="1">
        <f t="array" ref="F13">_xll.EQNXTDZ($A$1,$B13,F$1)</f>
        <v>601.77777777777806</v>
      </c>
      <c r="G13" cm="1">
        <f t="array" ref="G13">_xll.EQNXTDZ($A$1,$B13,G$1)</f>
        <v>707.555555555556</v>
      </c>
      <c r="H13" cm="1">
        <f t="array" ref="H13">_xll.EQNXTDZ($A$1,$B13,H$1)</f>
        <v>724.444444444444</v>
      </c>
      <c r="I13" cm="1">
        <f t="array" ref="I13">_xll.EQNXTDZ($A$1,$B13,I$1)</f>
        <v>742.22222222222194</v>
      </c>
      <c r="J13" cm="1">
        <f t="array" ref="J13">_xll.EQNXTDZ($A$1,$B13,J$1)</f>
        <v>718.22222222222194</v>
      </c>
      <c r="K13" cm="1">
        <f t="array" ref="K13">_xll.EQNXTDZ($A$1,$B13,K$1)</f>
        <v>687.13333333333298</v>
      </c>
      <c r="L13" cm="1">
        <f t="array" ref="L13">_xll.EQNXTDZ($A$1,$B13,L$1)</f>
        <v>608.88888888888903</v>
      </c>
      <c r="M13" cm="1">
        <f t="array" ref="M13">_xll.EQNXTDZ($A$1,$B13,M$1)</f>
        <v>608.88888888888903</v>
      </c>
      <c r="N13" cm="1">
        <f t="array" ref="N13">_xll.EQNXTDZ($A$1,$B13,N$1)</f>
        <v>669.6</v>
      </c>
      <c r="O13" cm="1">
        <f t="array" ref="O13">_xll.EQNXTDZ($A$1,$B13,O$1)</f>
        <v>622.22222222222194</v>
      </c>
      <c r="P13" cm="1">
        <f t="array" ref="P13">_xll.EQNXTDZ($A$1,$B13,P$1)</f>
        <v>625.33333333333303</v>
      </c>
      <c r="Q13" cm="1">
        <f t="array" ref="Q13">_xll.EQNXTDZ($A$1,$B13,Q$1)</f>
        <v>568.20000000000005</v>
      </c>
      <c r="R13" cm="1">
        <f t="array" ref="R13">_xll.EQNXTDZ($A$1,$B13,R$1)</f>
        <v>486.66666666666703</v>
      </c>
      <c r="S13" cm="1">
        <f t="array" ref="S13">_xll.EQNXTDZ($A$1,$B13,S$1)</f>
        <v>526.66666666666697</v>
      </c>
      <c r="T13" cm="1">
        <f t="array" ref="T13">_xll.EQNXTDZ($A$1,$B13,T$1)</f>
        <v>648</v>
      </c>
      <c r="U13" cm="1">
        <f t="array" ref="U13">_xll.EQNXTDZ($A$1,$B13,U$1)</f>
        <v>694.8</v>
      </c>
      <c r="V13" cm="1">
        <f t="array" ref="V13">_xll.EQNXTDZ($A$1,$B13,V$1)</f>
        <v>716.66666666666697</v>
      </c>
      <c r="W13" cm="1">
        <f t="array" ref="W13">_xll.EQNXTDZ($A$1,$B13,W$1)</f>
        <v>657.66666666666697</v>
      </c>
      <c r="X13" cm="1">
        <f t="array" ref="X13">_xll.EQNXTDZ($A$1,$B13,X$1)</f>
        <v>734.06666666666695</v>
      </c>
      <c r="Y13" cm="1">
        <f t="array" ref="Y13">_xll.EQNXTDZ($A$1,$B13,Y$1)</f>
        <v>845.06666666666695</v>
      </c>
      <c r="Z13" cm="1">
        <f t="array" ref="Z13">_xll.EQNXTDZ($A$1,$B13,Z$1)</f>
        <v>870.93333333333305</v>
      </c>
      <c r="AA13" cm="1">
        <f t="array" ref="AA13">_xll.EQNXTDZ($A$1,$B13,AA$1)</f>
        <v>1074.8333333333301</v>
      </c>
      <c r="AB13" cm="1">
        <f t="array" ref="AB13">_xll.EQNXTDZ($A$1,$B13,AB$1)</f>
        <v>1138.2666666666701</v>
      </c>
      <c r="AC13" cm="1">
        <f t="array" ref="AC13">_xll.EQNXTDZ($A$1,$B13,AC$1)</f>
        <v>993.33333333333303</v>
      </c>
      <c r="AD13" cm="1">
        <f t="array" ref="AD13">_xll.EQNXTDZ($A$1,$B13,AD$1)</f>
        <v>1023.33333333333</v>
      </c>
      <c r="AE13" cm="1">
        <f t="array" ref="AE13">_xll.EQNXTDZ($A$1,$B13,AE$1)</f>
        <v>973.33333333333303</v>
      </c>
      <c r="AF13" cm="1">
        <f t="array" ref="AF13">_xll.EQNXTDZ($A$1,$B13,AF$1)</f>
        <v>1106.86666666667</v>
      </c>
      <c r="AG13" cm="1">
        <f t="array" ref="AG13">_xll.EQNXTDZ($A$1,$B13,AG$1)</f>
        <v>1091.8</v>
      </c>
      <c r="AH13" cm="1">
        <f t="array" ref="AH13">_xll.EQNXTDZ($A$1,$B13,AH$1)</f>
        <v>995.6</v>
      </c>
      <c r="AI13" cm="1">
        <f t="array" ref="AI13">_xll.EQNXTDZ($A$1,$B13,AI$1)</f>
        <v>1130</v>
      </c>
      <c r="AJ13" cm="1">
        <f t="array" ref="AJ13">_xll.EQNXTDZ($A$1,$B13,AJ$1)</f>
        <v>1186.93333333333</v>
      </c>
      <c r="AK13" cm="1">
        <f t="array" ref="AK13">_xll.EQNXTDZ($A$1,$B13,AK$1)</f>
        <v>1149.93333333333</v>
      </c>
      <c r="AL13" cm="1">
        <f t="array" ref="AL13">_xll.EQNXTDZ($A$1,$B13,AL$1)</f>
        <v>1100</v>
      </c>
      <c r="AM13" cm="1">
        <f t="array" ref="AM13">_xll.EQNXTDZ($A$1,$B13,AM$1)</f>
        <v>1110</v>
      </c>
      <c r="AN13" cm="1">
        <f t="array" ref="AN13">_xll.EQNXTDZ($A$1,$B13,AN$1)</f>
        <v>1189.2</v>
      </c>
      <c r="AO13" cm="1">
        <f t="array" ref="AO13">_xll.EQNXTDZ($A$1,$B13,AO$1)</f>
        <v>1147.3333333333301</v>
      </c>
      <c r="AP13" cm="1">
        <f t="array" ref="AP13">_xll.EQNXTDZ($A$1,$B13,AP$1)</f>
        <v>1054.6666666666699</v>
      </c>
      <c r="AQ13" cm="1">
        <f t="array" ref="AQ13">_xll.EQNXTDZ($A$1,$B13,AQ$1)</f>
        <v>986.66666666666697</v>
      </c>
      <c r="AR13" cm="1">
        <f t="array" ref="AR13">_xll.EQNXTDZ($A$1,$B13,AR$1)</f>
        <v>935.33333333333303</v>
      </c>
      <c r="AS13" cm="1">
        <f t="array" ref="AS13">_xll.EQNXTDZ($A$1,$B13,AS$1)</f>
        <v>918.3</v>
      </c>
      <c r="AT13" cm="1">
        <f t="array" ref="AT13">_xll.EQNXTDZ($A$1,$B13,AT$1)</f>
        <v>850.66666666666697</v>
      </c>
      <c r="AU13" cm="1">
        <f t="array" ref="AU13">_xll.EQNXTDZ($A$1,$B13,AU$1)</f>
        <v>750</v>
      </c>
      <c r="AV13" cm="1">
        <f t="array" ref="AV13">_xll.EQNXTDZ($A$1,$B13,AV$1)</f>
        <v>726.66666666666697</v>
      </c>
      <c r="AW13" cm="1">
        <f t="array" ref="AW13">_xll.EQNXTDZ($A$1,$B13,AW$1)</f>
        <v>811</v>
      </c>
      <c r="AX13" cm="1">
        <f t="array" ref="AX13">_xll.EQNXTDZ($A$1,$B13,AX$1)</f>
        <v>832.53333333333296</v>
      </c>
      <c r="AY13" cm="1">
        <f t="array" ref="AY13">_xll.EQNXTDZ($A$1,$B13,AY$1)</f>
        <v>976.66666666666697</v>
      </c>
      <c r="AZ13" cm="1">
        <f t="array" ref="AZ13">_xll.EQNXTDZ($A$1,$B13,AZ$1)</f>
        <v>999.33333333333303</v>
      </c>
      <c r="BA13" cm="1">
        <f t="array" ref="BA13">_xll.EQNXTDZ($A$1,$B13,BA$1)</f>
        <v>1040.6666666666699</v>
      </c>
      <c r="BB13" cm="1">
        <f t="array" ref="BB13">_xll.EQNXTDZ($A$1,$B13,BB$1)</f>
        <v>1006.66666666667</v>
      </c>
      <c r="BC13" cm="1">
        <f t="array" ref="BC13">_xll.EQNXTDZ($A$1,$B13,BC$1)</f>
        <v>960</v>
      </c>
      <c r="BD13" cm="1">
        <f t="array" ref="BD13">_xll.EQNXTDZ($A$1,$B13,BD$1)</f>
        <v>984.8</v>
      </c>
      <c r="BE13" cm="1">
        <f t="array" ref="BE13">_xll.EQNXTDZ($A$1,$B13,BE$1)</f>
        <v>925.3</v>
      </c>
      <c r="BF13" cm="1">
        <f t="array" ref="BF13">_xll.EQNXTDZ($A$1,$B13,BF$1)</f>
        <v>900</v>
      </c>
      <c r="BG13" cm="1">
        <f t="array" ref="BG13">_xll.EQNXTDZ($A$1,$B13,BG$1)</f>
        <v>963.16666666666697</v>
      </c>
      <c r="BH13" cm="1">
        <f t="array" ref="BH13">_xll.EQNXTDZ($A$1,$B13,BH$1)</f>
        <v>980.13333333333298</v>
      </c>
      <c r="BI13" cm="1">
        <f t="array" ref="BI13">_xll.EQNXTDZ($A$1,$B13,BI$1)</f>
        <v>1052</v>
      </c>
      <c r="BJ13" cm="1">
        <f t="array" ref="BJ13">_xll.EQNXTDZ($A$1,$B13,BJ$1)</f>
        <v>1165.3333333333301</v>
      </c>
      <c r="BK13" cm="1">
        <f t="array" ref="BK13">_xll.EQNXTDZ($A$1,$B13,BK$1)</f>
        <v>1176.5999999999999</v>
      </c>
      <c r="BL13" cm="1">
        <f t="array" ref="BL13">_xll.EQNXTDZ($A$1,$B13,BL$1)</f>
        <v>1126.6666666666699</v>
      </c>
      <c r="BM13" cm="1">
        <f t="array" ref="BM13">_xll.EQNXTDZ($A$1,$B13,BM$1)</f>
        <v>1196.4000000000001</v>
      </c>
      <c r="BN13" cm="1">
        <f t="array" ref="BN13">_xll.EQNXTDZ($A$1,$B13,BN$1)</f>
        <v>1137</v>
      </c>
      <c r="BO13" cm="1">
        <f t="array" ref="BO13">_xll.EQNXTDZ($A$1,$B13,BO$1)</f>
        <v>1150.2</v>
      </c>
      <c r="BP13" cm="1">
        <f t="array" ref="BP13">_xll.EQNXTDZ($A$1,$B13,BP$1)</f>
        <v>1226</v>
      </c>
      <c r="BQ13" cm="1">
        <f t="array" ref="BQ13">_xll.EQNXTDZ($A$1,$B13,BQ$1)</f>
        <v>1222</v>
      </c>
      <c r="BR13" cm="1">
        <f t="array" ref="BR13">_xll.EQNXTDZ($A$1,$B13,BR$1)</f>
        <v>1264.9000000000001</v>
      </c>
      <c r="BS13" cm="1">
        <f t="array" ref="BS13">_xll.EQNXTDZ($A$1,$B13,BS$1)</f>
        <v>1455</v>
      </c>
      <c r="BT13" cm="1">
        <f t="array" ref="BT13">_xll.EQNXTDZ($A$1,$B13,BT$1)</f>
        <v>1323</v>
      </c>
      <c r="BU13" cm="1">
        <f t="array" ref="BU13">_xll.EQNXTDZ($A$1,$B13,BU$1)</f>
        <v>1311.2</v>
      </c>
      <c r="BV13" cm="1">
        <f t="array" ref="BV13">_xll.EQNXTDZ($A$1,$B13,BV$1)</f>
        <v>1416.3</v>
      </c>
      <c r="BW13" cm="1">
        <f t="array" ref="BW13">_xll.EQNXTDZ($A$1,$B13,BW$1)</f>
        <v>1379.75</v>
      </c>
      <c r="BX13" cm="1">
        <f t="array" ref="BX13">_xll.EQNXTDZ($A$1,$B13,BX$1)</f>
        <v>1277.55</v>
      </c>
      <c r="BY13" cm="1">
        <f t="array" ref="BY13">_xll.EQNXTDZ($A$1,$B13,BY$1)</f>
        <v>1308</v>
      </c>
      <c r="BZ13" cm="1">
        <f t="array" ref="BZ13">_xll.EQNXTDZ($A$1,$B13,BZ$1)</f>
        <v>1375</v>
      </c>
      <c r="CA13" cm="1">
        <f t="array" ref="CA13">_xll.EQNXTDZ($A$1,$B13,CA$1)</f>
        <v>1272.0999999999999</v>
      </c>
      <c r="CB13" cm="1">
        <f t="array" ref="CB13">_xll.EQNXTDZ($A$1,$B13,CB$1)</f>
        <v>1336.15</v>
      </c>
      <c r="CC13" cm="1">
        <f t="array" ref="CC13">_xll.EQNXTDZ($A$1,$B13,CC$1)</f>
        <v>1435</v>
      </c>
      <c r="CD13" cm="1">
        <f t="array" ref="CD13">_xll.EQNXTDZ($A$1,$B13,CD$1)</f>
        <v>1449</v>
      </c>
      <c r="CE13" cm="1">
        <f t="array" ref="CE13">_xll.EQNXTDZ($A$1,$B13,CE$1)</f>
        <v>1315</v>
      </c>
      <c r="CF13" cm="1">
        <f t="array" ref="CF13">_xll.EQNXTDZ($A$1,$B13,CF$1)</f>
        <v>1300</v>
      </c>
      <c r="CG13" cm="1">
        <f t="array" ref="CG13">_xll.EQNXTDZ($A$1,$B13,CG$1)</f>
        <v>1387</v>
      </c>
      <c r="CH13" cm="1">
        <f t="array" ref="CH13">_xll.EQNXTDZ($A$1,$B13,CH$1)</f>
        <v>1352.5</v>
      </c>
      <c r="CI13" cm="1">
        <f t="array" ref="CI13">_xll.EQNXTDZ($A$1,$B13,CI$1)</f>
        <v>1565</v>
      </c>
      <c r="CJ13" cm="1">
        <f t="array" ref="CJ13">_xll.EQNXTDZ($A$1,$B13,CJ$1)</f>
        <v>1562</v>
      </c>
      <c r="CK13" cm="1">
        <f t="array" ref="CK13">_xll.EQNXTDZ($A$1,$B13,CK$1)</f>
        <v>1382.9</v>
      </c>
      <c r="CL13" cm="1">
        <f t="array" ref="CL13">_xll.EQNXTDZ($A$1,$B13,CL$1)</f>
        <v>1332</v>
      </c>
      <c r="CM13" cm="1">
        <f t="array" ref="CM13">_xll.EQNXTDZ($A$1,$B13,CM$1)</f>
        <v>1480</v>
      </c>
      <c r="CN13" cm="1">
        <f t="array" ref="CN13">_xll.EQNXTDZ($A$1,$B13,CN$1)</f>
        <v>1473</v>
      </c>
      <c r="CO13" cm="1">
        <f t="array" ref="CO13">_xll.EQNXTDZ($A$1,$B13,CO$1)</f>
        <v>1331</v>
      </c>
      <c r="CP13" cm="1">
        <f t="array" ref="CP13">_xll.EQNXTDZ($A$1,$B13,CP$1)</f>
        <v>1310</v>
      </c>
      <c r="CQ13" cm="1">
        <f t="array" ref="CQ13">_xll.EQNXTDZ($A$1,$B13,CQ$1)</f>
        <v>1374</v>
      </c>
      <c r="CR13" cm="1">
        <f t="array" ref="CR13">_xll.EQNXTDZ($A$1,$B13,CR$1)</f>
        <v>1201.1500000000001</v>
      </c>
      <c r="CS13" cm="1">
        <f t="array" ref="CS13">_xll.EQNXTDZ($A$1,$B13,CS$1)</f>
        <v>809.2</v>
      </c>
      <c r="CT13" cm="1">
        <f t="array" ref="CT13">_xll.EQNXTDZ($A$1,$B13,CT$1)</f>
        <v>884</v>
      </c>
      <c r="CU13" cm="1">
        <f t="array" ref="CU13">_xll.EQNXTDZ($A$1,$B13,CU$1)</f>
        <v>940</v>
      </c>
      <c r="CV13" cm="1">
        <f t="array" ref="CV13">_xll.EQNXTDZ($A$1,$B13,CV$1)</f>
        <v>945</v>
      </c>
      <c r="CW13" cm="1">
        <f t="array" ref="CW13">_xll.EQNXTDZ($A$1,$B13,CW$1)</f>
        <v>913</v>
      </c>
      <c r="CX13" cm="1">
        <f t="array" ref="CX13">_xll.EQNXTDZ($A$1,$B13,CX$1)</f>
        <v>955.25</v>
      </c>
      <c r="CY13" cm="1">
        <f t="array" ref="CY13">_xll.EQNXTDZ($A$1,$B13,CY$1)</f>
        <v>905.1</v>
      </c>
      <c r="CZ13" cm="1">
        <f t="array" ref="CZ13">_xll.EQNXTDZ($A$1,$B13,CZ$1)</f>
        <v>930.5</v>
      </c>
      <c r="DA13" cm="1">
        <f t="array" ref="DA13">_xll.EQNXTDZ($A$1,$B13,DA$1)</f>
        <v>1132</v>
      </c>
      <c r="DB13" cm="1">
        <f t="array" ref="DB13">_xll.EQNXTDZ($A$1,$B13,DB$1)</f>
        <v>1281</v>
      </c>
      <c r="DC13" cm="1">
        <f t="array" ref="DC13">_xll.EQNXTDZ($A$1,$B13,DC$1)</f>
        <v>1360</v>
      </c>
      <c r="DD13" cm="1">
        <f t="array" ref="DD13">_xll.EQNXTDZ($A$1,$B13,DD$1)</f>
        <v>1450</v>
      </c>
      <c r="DE13" cm="1">
        <f t="array" ref="DE13">_xll.EQNXTDZ($A$1,$B13,DE$1)</f>
        <v>1430.5</v>
      </c>
      <c r="DF13" cm="1">
        <f t="array" ref="DF13">_xll.EQNXTDZ($A$1,$B13,DF$1)</f>
        <v>1336</v>
      </c>
      <c r="DG13" cm="1">
        <f t="array" ref="DG13">_xll.EQNXTDZ($A$1,$B13,DG$1)</f>
        <v>1469.85</v>
      </c>
      <c r="DH13" cm="1">
        <f t="array" ref="DH13">_xll.EQNXTDZ($A$1,$B13,DH$1)</f>
        <v>1504.85</v>
      </c>
      <c r="DI13" cm="1">
        <f t="array" ref="DI13">_xll.EQNXTDZ($A$1,$B13,DI$1)</f>
        <v>1614.85</v>
      </c>
      <c r="DJ13" cm="1">
        <f t="array" ref="DJ13">_xll.EQNXTDZ($A$1,$B13,DJ$1)</f>
        <v>1678</v>
      </c>
      <c r="DK13" cm="1">
        <f t="array" ref="DK13">_xll.EQNXTDZ($A$1,$B13,DK$1)</f>
        <v>1701</v>
      </c>
      <c r="DL13" cm="1">
        <f t="array" ref="DL13">_xll.EQNXTDZ($A$1,$B13,DL$1)</f>
        <v>1779.45</v>
      </c>
      <c r="DM13" cm="1">
        <f t="array" ref="DM13">_xll.EQNXTDZ($A$1,$B13,DM$1)</f>
        <v>1765.4</v>
      </c>
      <c r="DN13" cm="1">
        <f t="array" ref="DN13">_xll.EQNXTDZ($A$1,$B13,DN$1)</f>
        <v>1893</v>
      </c>
      <c r="DO13" cm="1">
        <f t="array" ref="DO13">_xll.EQNXTDZ($A$1,$B13,DO$1)</f>
        <v>1929.4</v>
      </c>
      <c r="DP13" cm="1">
        <f t="array" ref="DP13">_xll.EQNXTDZ($A$1,$B13,DP$1)</f>
        <v>1807</v>
      </c>
      <c r="DQ13" cm="1">
        <f t="array" ref="DQ13">_xll.EQNXTDZ($A$1,$B13,DQ$1)</f>
        <v>1765</v>
      </c>
      <c r="DR13" cm="1">
        <f t="array" ref="DR13">_xll.EQNXTDZ($A$1,$B13,DR$1)</f>
        <v>1673</v>
      </c>
      <c r="DS13" cm="1">
        <f t="array" ref="DS13">_xll.EQNXTDZ($A$1,$B13,DS$1)</f>
        <v>1658</v>
      </c>
      <c r="DT13" cm="1">
        <f t="array" ref="DT13">_xll.EQNXTDZ($A$1,$B13,DT$1)</f>
        <v>1566.9</v>
      </c>
      <c r="DU13" cm="1">
        <f t="array" ref="DU13">_xll.EQNXTDZ($A$1,$B13,DU$1)</f>
        <v>1807.7</v>
      </c>
      <c r="DV13" cm="1">
        <f t="array" ref="DV13">_xll.EQNXTDZ($A$1,$B13,DV$1)</f>
        <v>1905.05</v>
      </c>
      <c r="DW13" cm="1">
        <f t="array" ref="DW13">_xll.EQNXTDZ($A$1,$B13,DW$1)</f>
        <v>1848.7</v>
      </c>
      <c r="DX13" cm="1">
        <f t="array" ref="DX13">_xll.EQNXTDZ($A$1,$B13,DX$1)</f>
        <v>2030</v>
      </c>
      <c r="DY13" cm="1">
        <f t="array" ref="DY13">_xll.EQNXTDZ($A$1,$B13,DY$1)</f>
        <v>2081.1999999999998</v>
      </c>
      <c r="DZ13" cm="1">
        <f t="array" ref="DZ13">_xll.EQNXTDZ($A$1,$B13,DZ$1)</f>
        <v>2088</v>
      </c>
      <c r="EA13" cm="1">
        <f t="array" ref="EA13">_xll.EQNXTDZ($A$1,$B13,EA$1)</f>
        <v>2141.5500000000002</v>
      </c>
      <c r="EB13" cm="1">
        <f t="array" ref="EB13">_xll.EQNXTDZ($A$1,$B13,EB$1)</f>
        <v>2104</v>
      </c>
      <c r="EC13" cm="1">
        <f t="array" ref="EC13">_xll.EQNXTDZ($A$1,$B13,EC$1)</f>
        <v>2170.15</v>
      </c>
      <c r="ED13" cm="1">
        <f t="array" ref="ED13">_xll.EQNXTDZ($A$1,$B13,ED$1)</f>
        <v>2366.3000000000002</v>
      </c>
      <c r="EE13" cm="1">
        <f t="array" ref="EE13">_xll.EQNXTDZ($A$1,$B13,EE$1)</f>
        <v>2210.35</v>
      </c>
      <c r="EF13" cm="1">
        <f t="array" ref="EF13">_xll.EQNXTDZ($A$1,$B13,EF$1)</f>
        <v>2477</v>
      </c>
      <c r="EG13" cm="1">
        <f t="array" ref="EG13">_xll.EQNXTDZ($A$1,$B13,EG$1)</f>
        <v>2679.9</v>
      </c>
      <c r="EH13" cm="1">
        <f t="array" ref="EH13">_xll.EQNXTDZ($A$1,$B13,EH$1)</f>
        <v>2710</v>
      </c>
      <c r="EI13" cm="1">
        <f t="array" ref="EI13">_xll.EQNXTDZ($A$1,$B13,EI$1)</f>
        <v>3038.05</v>
      </c>
      <c r="EJ13" cm="1">
        <f t="array" ref="EJ13">_xll.EQNXTDZ($A$1,$B13,EJ$1)</f>
        <v>2935</v>
      </c>
      <c r="EK13" cm="1">
        <f t="array" ref="EK13">_xll.EQNXTDZ($A$1,$B13,EK$1)</f>
        <v>3125.05</v>
      </c>
      <c r="EL13" cm="1">
        <f t="array" ref="EL13">_xll.EQNXTDZ($A$1,$B13,EL$1)</f>
        <v>3531.2</v>
      </c>
      <c r="EM13" cm="1">
        <f t="array" ref="EM13">_xll.EQNXTDZ($A$1,$B13,EM$1)</f>
        <v>3493.85</v>
      </c>
      <c r="EN13" cm="1">
        <f t="array" ref="EN13">_xll.EQNXTDZ($A$1,$B13,EN$1)</f>
        <v>3491.05</v>
      </c>
      <c r="EO13" cm="1">
        <f t="array" ref="EO13">_xll.EQNXTDZ($A$1,$B13,EO$1)</f>
        <v>3780.65</v>
      </c>
      <c r="EP13" cm="1">
        <f t="array" ref="EP13">_xll.EQNXTDZ($A$1,$B13,EP$1)</f>
        <v>3593.65</v>
      </c>
      <c r="EQ13" cm="1">
        <f t="array" ref="EQ13">_xll.EQNXTDZ($A$1,$B13,EQ$1)</f>
        <v>3948.6</v>
      </c>
      <c r="ER13" cm="1">
        <f t="array" ref="ER13">_xll.EQNXTDZ($A$1,$B13,ER$1)</f>
        <v>3538</v>
      </c>
      <c r="ES13" cm="1">
        <f t="array" ref="ES13">_xll.EQNXTDZ($A$1,$B13,ES$1)</f>
        <v>3814.95</v>
      </c>
      <c r="ET13" cm="1">
        <f t="array" ref="ET13">_xll.EQNXTDZ($A$1,$B13,ET$1)</f>
        <v>3709.6</v>
      </c>
      <c r="EU13" cm="1">
        <f t="array" ref="EU13">_xll.EQNXTDZ($A$1,$B13,EU$1)</f>
        <v>3674.95</v>
      </c>
      <c r="EV13" cm="1">
        <f t="array" ref="EV13">_xll.EQNXTDZ($A$1,$B13,EV$1)</f>
        <v>3633</v>
      </c>
      <c r="EW13" cm="1">
        <f t="array" ref="EW13">_xll.EQNXTDZ($A$1,$B13,EW$1)</f>
        <v>3663.4</v>
      </c>
      <c r="EX13" cm="1">
        <f t="array" ref="EX13">_xll.EQNXTDZ($A$1,$B13,EX$1)</f>
        <v>3609.95</v>
      </c>
      <c r="EY13" cm="1">
        <f t="array" ref="EY13">_xll.EQNXTDZ($A$1,$B13,EY$1)</f>
        <v>3599.85</v>
      </c>
      <c r="EZ13" cm="1">
        <f t="array" ref="EZ13">_xll.EQNXTDZ($A$1,$B13,EZ$1)</f>
        <v>3161.25</v>
      </c>
      <c r="FA13" cm="1">
        <f t="array" ref="FA13">_xll.EQNXTDZ($A$1,$B13,FA$1)</f>
        <v>3485</v>
      </c>
      <c r="FB13" cm="1">
        <f t="array" ref="FB13">_xll.EQNXTDZ($A$1,$B13,FB$1)</f>
        <v>3320.35</v>
      </c>
      <c r="FC13" cm="1">
        <f t="array" ref="FC13">_xll.EQNXTDZ($A$1,$B13,FC$1)</f>
        <v>3675.75</v>
      </c>
      <c r="FD13" cm="1">
        <f t="array" ref="FD13">_xll.EQNXTDZ($A$1,$B13,FD$1)</f>
        <v>3658.75</v>
      </c>
      <c r="FE13" cm="1">
        <f t="array" ref="FE13">_xll.EQNXTDZ($A$1,$B13,FE$1)</f>
        <v>3636</v>
      </c>
      <c r="FF13" cm="1">
        <f t="array" ref="FF13">_xll.EQNXTDZ($A$1,$B13,FF$1)</f>
        <v>3600</v>
      </c>
      <c r="FG13" cm="1">
        <f t="array" ref="FG13">_xll.EQNXTDZ($A$1,$B13,FG$1)</f>
        <v>3646.2</v>
      </c>
      <c r="FH13" cm="1">
        <f t="array" ref="FH13">_xll.EQNXTDZ($A$1,$B13,FH$1)</f>
        <v>4025.2</v>
      </c>
      <c r="FI13" cm="1">
        <f t="array" ref="FI13">_xll.EQNXTDZ($A$1,$B13,FI$1)</f>
        <v>4099.8</v>
      </c>
      <c r="FJ13" cm="1">
        <f t="array" ref="FJ13">_xll.EQNXTDZ($A$1,$B13,FJ$1)</f>
        <v>4084.8</v>
      </c>
      <c r="FK13" cm="1">
        <f t="array" ref="FK13">_xll.EQNXTDZ($A$1,$B13,FK$1)</f>
        <v>3968.75</v>
      </c>
      <c r="FL13" cm="1">
        <f t="array" ref="FL13">_xll.EQNXTDZ($A$1,$B13,FL$1)</f>
        <v>3960.2</v>
      </c>
      <c r="FM13" cm="1">
        <f t="array" ref="FM13">_xll.EQNXTDZ($A$1,$B13,FM$1)</f>
        <v>3650.25</v>
      </c>
      <c r="FN13" cm="1">
        <f t="array" ref="FN13">_xll.EQNXTDZ($A$1,$B13,FN$1)</f>
        <v>4029.6</v>
      </c>
      <c r="FO13" cm="1">
        <f t="array" ref="FO13">_xll.EQNXTDZ($A$1,$B13,FO$1)</f>
        <v>4097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622.22222222222194</v>
      </c>
      <c r="D14" s="116" cm="1">
        <f t="array" ref="D14">_xll.EQNXTDZ($A$1,$B14,D$1)</f>
        <v>640.82222222222197</v>
      </c>
      <c r="E14" s="116" cm="1">
        <f t="array" ref="E14">_xll.EQNXTDZ($A$1,$B14,E$1)</f>
        <v>658.31111111111102</v>
      </c>
      <c r="F14" s="116" cm="1">
        <f t="array" ref="F14">_xll.EQNXTDZ($A$1,$B14,F$1)</f>
        <v>719.555555555556</v>
      </c>
      <c r="G14" s="116" cm="1">
        <f t="array" ref="G14">_xll.EQNXTDZ($A$1,$B14,G$1)</f>
        <v>764.22222222222194</v>
      </c>
      <c r="H14" s="116" cm="1">
        <f t="array" ref="H14">_xll.EQNXTDZ($A$1,$B14,H$1)</f>
        <v>751.82222222222197</v>
      </c>
      <c r="I14" s="116" cm="1">
        <f t="array" ref="I14">_xll.EQNXTDZ($A$1,$B14,I$1)</f>
        <v>755.11111111111097</v>
      </c>
      <c r="J14" s="116" cm="1">
        <f t="array" ref="J14">_xll.EQNXTDZ($A$1,$B14,J$1)</f>
        <v>738.22222222222194</v>
      </c>
      <c r="K14" s="116" cm="1">
        <f t="array" ref="K14">_xll.EQNXTDZ($A$1,$B14,K$1)</f>
        <v>691.71111111111099</v>
      </c>
      <c r="L14" s="116" cm="1">
        <f t="array" ref="L14">_xll.EQNXTDZ($A$1,$B14,L$1)</f>
        <v>680.57777777777801</v>
      </c>
      <c r="M14" s="116" cm="1">
        <f t="array" ref="M14">_xll.EQNXTDZ($A$1,$B14,M$1)</f>
        <v>687.33333333333303</v>
      </c>
      <c r="N14" s="116" cm="1">
        <f t="array" ref="N14">_xll.EQNXTDZ($A$1,$B14,N$1)</f>
        <v>734.26666666666699</v>
      </c>
      <c r="O14" s="116" cm="1">
        <f t="array" ref="O14">_xll.EQNXTDZ($A$1,$B14,O$1)</f>
        <v>650.66666666666697</v>
      </c>
      <c r="P14" s="116" cm="1">
        <f t="array" ref="P14">_xll.EQNXTDZ($A$1,$B14,P$1)</f>
        <v>673.2</v>
      </c>
      <c r="Q14" s="116" cm="1">
        <f t="array" ref="Q14">_xll.EQNXTDZ($A$1,$B14,Q$1)</f>
        <v>576.33333333333303</v>
      </c>
      <c r="R14" s="116" cm="1">
        <f t="array" ref="R14">_xll.EQNXTDZ($A$1,$B14,R$1)</f>
        <v>598.66666666666697</v>
      </c>
      <c r="S14" s="116" cm="1">
        <f t="array" ref="S14">_xll.EQNXTDZ($A$1,$B14,S$1)</f>
        <v>656.43333333333305</v>
      </c>
      <c r="T14" s="116" cm="1">
        <f t="array" ref="T14">_xll.EQNXTDZ($A$1,$B14,T$1)</f>
        <v>698</v>
      </c>
      <c r="U14" s="116" cm="1">
        <f t="array" ref="U14">_xll.EQNXTDZ($A$1,$B14,U$1)</f>
        <v>768.26666666666699</v>
      </c>
      <c r="V14" s="116" cm="1">
        <f t="array" ref="V14">_xll.EQNXTDZ($A$1,$B14,V$1)</f>
        <v>719.8</v>
      </c>
      <c r="W14" s="116" cm="1">
        <f t="array" ref="W14">_xll.EQNXTDZ($A$1,$B14,W$1)</f>
        <v>742.63333333333298</v>
      </c>
      <c r="X14" s="116" cm="1">
        <f t="array" ref="X14">_xll.EQNXTDZ($A$1,$B14,X$1)</f>
        <v>867.33333333333303</v>
      </c>
      <c r="Y14" s="116" cm="1">
        <f t="array" ref="Y14">_xll.EQNXTDZ($A$1,$B14,Y$1)</f>
        <v>925.23333333333301</v>
      </c>
      <c r="Z14" s="116" cm="1">
        <f t="array" ref="Z14">_xll.EQNXTDZ($A$1,$B14,Z$1)</f>
        <v>1081.8</v>
      </c>
      <c r="AA14" s="116" cm="1">
        <f t="array" ref="AA14">_xll.EQNXTDZ($A$1,$B14,AA$1)</f>
        <v>1183.13333333333</v>
      </c>
      <c r="AB14" s="116" cm="1">
        <f t="array" ref="AB14">_xll.EQNXTDZ($A$1,$B14,AB$1)</f>
        <v>1175.3333333333301</v>
      </c>
      <c r="AC14" s="116" cm="1">
        <f t="array" ref="AC14">_xll.EQNXTDZ($A$1,$B14,AC$1)</f>
        <v>1037.3333333333301</v>
      </c>
      <c r="AD14" s="116" cm="1">
        <f t="array" ref="AD14">_xll.EQNXTDZ($A$1,$B14,AD$1)</f>
        <v>1086.63333333333</v>
      </c>
      <c r="AE14" s="116" cm="1">
        <f t="array" ref="AE14">_xll.EQNXTDZ($A$1,$B14,AE$1)</f>
        <v>1106.63333333333</v>
      </c>
      <c r="AF14" s="116" cm="1">
        <f t="array" ref="AF14">_xll.EQNXTDZ($A$1,$B14,AF$1)</f>
        <v>1128.4000000000001</v>
      </c>
      <c r="AG14" s="116" cm="1">
        <f t="array" ref="AG14">_xll.EQNXTDZ($A$1,$B14,AG$1)</f>
        <v>1103.2666666666701</v>
      </c>
      <c r="AH14" s="116" cm="1">
        <f t="array" ref="AH14">_xll.EQNXTDZ($A$1,$B14,AH$1)</f>
        <v>1166.3333333333301</v>
      </c>
      <c r="AI14" s="116" cm="1">
        <f t="array" ref="AI14">_xll.EQNXTDZ($A$1,$B14,AI$1)</f>
        <v>1200</v>
      </c>
      <c r="AJ14" s="116" cm="1">
        <f t="array" ref="AJ14">_xll.EQNXTDZ($A$1,$B14,AJ$1)</f>
        <v>1261.9666666666701</v>
      </c>
      <c r="AK14" s="116" cm="1">
        <f t="array" ref="AK14">_xll.EQNXTDZ($A$1,$B14,AK$1)</f>
        <v>1213.3333333333301</v>
      </c>
      <c r="AL14" s="116" cm="1">
        <f t="array" ref="AL14">_xll.EQNXTDZ($A$1,$B14,AL$1)</f>
        <v>1112.2333333333299</v>
      </c>
      <c r="AM14" s="116" cm="1">
        <f t="array" ref="AM14">_xll.EQNXTDZ($A$1,$B14,AM$1)</f>
        <v>1211.2666666666701</v>
      </c>
      <c r="AN14" s="116" cm="1">
        <f t="array" ref="AN14">_xll.EQNXTDZ($A$1,$B14,AN$1)</f>
        <v>1257.5</v>
      </c>
      <c r="AO14" s="116" cm="1">
        <f t="array" ref="AO14">_xll.EQNXTDZ($A$1,$B14,AO$1)</f>
        <v>1229.43333333333</v>
      </c>
      <c r="AP14" s="116" cm="1">
        <f t="array" ref="AP14">_xll.EQNXTDZ($A$1,$B14,AP$1)</f>
        <v>1086.6666666666699</v>
      </c>
      <c r="AQ14" s="116" cm="1">
        <f t="array" ref="AQ14">_xll.EQNXTDZ($A$1,$B14,AQ$1)</f>
        <v>1073.5999999999999</v>
      </c>
      <c r="AR14" s="116" cm="1">
        <f t="array" ref="AR14">_xll.EQNXTDZ($A$1,$B14,AR$1)</f>
        <v>936</v>
      </c>
      <c r="AS14" s="116" cm="1">
        <f t="array" ref="AS14">_xll.EQNXTDZ($A$1,$B14,AS$1)</f>
        <v>922</v>
      </c>
      <c r="AT14" s="116" cm="1">
        <f t="array" ref="AT14">_xll.EQNXTDZ($A$1,$B14,AT$1)</f>
        <v>860.83333333333303</v>
      </c>
      <c r="AU14" s="116" cm="1">
        <f t="array" ref="AU14">_xll.EQNXTDZ($A$1,$B14,AU$1)</f>
        <v>783.1</v>
      </c>
      <c r="AV14" s="116" cm="1">
        <f t="array" ref="AV14">_xll.EQNXTDZ($A$1,$B14,AV$1)</f>
        <v>832.1</v>
      </c>
      <c r="AW14" s="116" cm="1">
        <f t="array" ref="AW14">_xll.EQNXTDZ($A$1,$B14,AW$1)</f>
        <v>858.66666666666697</v>
      </c>
      <c r="AX14" s="116" cm="1">
        <f t="array" ref="AX14">_xll.EQNXTDZ($A$1,$B14,AX$1)</f>
        <v>996.66666666666697</v>
      </c>
      <c r="AY14" s="116" cm="1">
        <f t="array" ref="AY14">_xll.EQNXTDZ($A$1,$B14,AY$1)</f>
        <v>1010</v>
      </c>
      <c r="AZ14" s="116" cm="1">
        <f t="array" ref="AZ14">_xll.EQNXTDZ($A$1,$B14,AZ$1)</f>
        <v>1076.6666666666699</v>
      </c>
      <c r="BA14" s="116" cm="1">
        <f t="array" ref="BA14">_xll.EQNXTDZ($A$1,$B14,BA$1)</f>
        <v>1056.63333333333</v>
      </c>
      <c r="BB14" s="116" cm="1">
        <f t="array" ref="BB14">_xll.EQNXTDZ($A$1,$B14,BB$1)</f>
        <v>1030.5</v>
      </c>
      <c r="BC14" s="116" cm="1">
        <f t="array" ref="BC14">_xll.EQNXTDZ($A$1,$B14,BC$1)</f>
        <v>1013.33333333333</v>
      </c>
      <c r="BD14" s="116" cm="1">
        <f t="array" ref="BD14">_xll.EQNXTDZ($A$1,$B14,BD$1)</f>
        <v>986.76666666666699</v>
      </c>
      <c r="BE14" s="116" cm="1">
        <f t="array" ref="BE14">_xll.EQNXTDZ($A$1,$B14,BE$1)</f>
        <v>934</v>
      </c>
      <c r="BF14" s="116" cm="1">
        <f t="array" ref="BF14">_xll.EQNXTDZ($A$1,$B14,BF$1)</f>
        <v>979.8</v>
      </c>
      <c r="BG14" s="116" cm="1">
        <f t="array" ref="BG14">_xll.EQNXTDZ($A$1,$B14,BG$1)</f>
        <v>1006.66666666667</v>
      </c>
      <c r="BH14" s="116" cm="1">
        <f t="array" ref="BH14">_xll.EQNXTDZ($A$1,$B14,BH$1)</f>
        <v>1062</v>
      </c>
      <c r="BI14" s="116" cm="1">
        <f t="array" ref="BI14">_xll.EQNXTDZ($A$1,$B14,BI$1)</f>
        <v>1180.6666666666699</v>
      </c>
      <c r="BJ14" s="116" cm="1">
        <f t="array" ref="BJ14">_xll.EQNXTDZ($A$1,$B14,BJ$1)</f>
        <v>1222.6666666666699</v>
      </c>
      <c r="BK14" s="116" cm="1">
        <f t="array" ref="BK14">_xll.EQNXTDZ($A$1,$B14,BK$1)</f>
        <v>1206.3333333333301</v>
      </c>
      <c r="BL14" s="116" cm="1">
        <f t="array" ref="BL14">_xll.EQNXTDZ($A$1,$B14,BL$1)</f>
        <v>1206</v>
      </c>
      <c r="BM14" s="116" cm="1">
        <f t="array" ref="BM14">_xll.EQNXTDZ($A$1,$B14,BM$1)</f>
        <v>1199.5</v>
      </c>
      <c r="BN14" s="116" cm="1">
        <f t="array" ref="BN14">_xll.EQNXTDZ($A$1,$B14,BN$1)</f>
        <v>1249.95</v>
      </c>
      <c r="BO14" s="116" cm="1">
        <f t="array" ref="BO14">_xll.EQNXTDZ($A$1,$B14,BO$1)</f>
        <v>1243.3499999999999</v>
      </c>
      <c r="BP14" s="116" cm="1">
        <f t="array" ref="BP14">_xll.EQNXTDZ($A$1,$B14,BP$1)</f>
        <v>1274</v>
      </c>
      <c r="BQ14" s="116" cm="1">
        <f t="array" ref="BQ14">_xll.EQNXTDZ($A$1,$B14,BQ$1)</f>
        <v>1275</v>
      </c>
      <c r="BR14" s="116" cm="1">
        <f t="array" ref="BR14">_xll.EQNXTDZ($A$1,$B14,BR$1)</f>
        <v>1441</v>
      </c>
      <c r="BS14" s="116" cm="1">
        <f t="array" ref="BS14">_xll.EQNXTDZ($A$1,$B14,BS$1)</f>
        <v>1469.6</v>
      </c>
      <c r="BT14" s="116" cm="1">
        <f t="array" ref="BT14">_xll.EQNXTDZ($A$1,$B14,BT$1)</f>
        <v>1332.3</v>
      </c>
      <c r="BU14" s="116" cm="1">
        <f t="array" ref="BU14">_xll.EQNXTDZ($A$1,$B14,BU$1)</f>
        <v>1405</v>
      </c>
      <c r="BV14" s="116" cm="1">
        <f t="array" ref="BV14">_xll.EQNXTDZ($A$1,$B14,BV$1)</f>
        <v>1424.5</v>
      </c>
      <c r="BW14" s="116" cm="1">
        <f t="array" ref="BW14">_xll.EQNXTDZ($A$1,$B14,BW$1)</f>
        <v>1395.95</v>
      </c>
      <c r="BX14" s="116" cm="1">
        <f t="array" ref="BX14">_xll.EQNXTDZ($A$1,$B14,BX$1)</f>
        <v>1346.8</v>
      </c>
      <c r="BY14" s="116" cm="1">
        <f t="array" ref="BY14">_xll.EQNXTDZ($A$1,$B14,BY$1)</f>
        <v>1373.9</v>
      </c>
      <c r="BZ14" s="116" cm="1">
        <f t="array" ref="BZ14">_xll.EQNXTDZ($A$1,$B14,BZ$1)</f>
        <v>1389</v>
      </c>
      <c r="CA14" s="116" cm="1">
        <f t="array" ref="CA14">_xll.EQNXTDZ($A$1,$B14,CA$1)</f>
        <v>1303</v>
      </c>
      <c r="CB14" s="116" cm="1">
        <f t="array" ref="CB14">_xll.EQNXTDZ($A$1,$B14,CB$1)</f>
        <v>1435</v>
      </c>
      <c r="CC14" s="116" cm="1">
        <f t="array" ref="CC14">_xll.EQNXTDZ($A$1,$B14,CC$1)</f>
        <v>1459.1</v>
      </c>
      <c r="CD14" s="116" cm="1">
        <f t="array" ref="CD14">_xll.EQNXTDZ($A$1,$B14,CD$1)</f>
        <v>1449</v>
      </c>
      <c r="CE14" s="116" cm="1">
        <f t="array" ref="CE14">_xll.EQNXTDZ($A$1,$B14,CE$1)</f>
        <v>1334.5</v>
      </c>
      <c r="CF14" s="116" cm="1">
        <f t="array" ref="CF14">_xll.EQNXTDZ($A$1,$B14,CF$1)</f>
        <v>1414.95</v>
      </c>
      <c r="CG14" s="116" cm="1">
        <f t="array" ref="CG14">_xll.EQNXTDZ($A$1,$B14,CG$1)</f>
        <v>1427</v>
      </c>
      <c r="CH14" s="116" cm="1">
        <f t="array" ref="CH14">_xll.EQNXTDZ($A$1,$B14,CH$1)</f>
        <v>1606.7</v>
      </c>
      <c r="CI14" s="116" cm="1">
        <f t="array" ref="CI14">_xll.EQNXTDZ($A$1,$B14,CI$1)</f>
        <v>1584.7</v>
      </c>
      <c r="CJ14" s="116" cm="1">
        <f t="array" ref="CJ14">_xll.EQNXTDZ($A$1,$B14,CJ$1)</f>
        <v>1591.6</v>
      </c>
      <c r="CK14" s="116" cm="1">
        <f t="array" ref="CK14">_xll.EQNXTDZ($A$1,$B14,CK$1)</f>
        <v>1399</v>
      </c>
      <c r="CL14" s="116" cm="1">
        <f t="array" ref="CL14">_xll.EQNXTDZ($A$1,$B14,CL$1)</f>
        <v>1554.05</v>
      </c>
      <c r="CM14" s="116" cm="1">
        <f t="array" ref="CM14">_xll.EQNXTDZ($A$1,$B14,CM$1)</f>
        <v>1495.95</v>
      </c>
      <c r="CN14" s="116" cm="1">
        <f t="array" ref="CN14">_xll.EQNXTDZ($A$1,$B14,CN$1)</f>
        <v>1481</v>
      </c>
      <c r="CO14" s="116" cm="1">
        <f t="array" ref="CO14">_xll.EQNXTDZ($A$1,$B14,CO$1)</f>
        <v>1342.4</v>
      </c>
      <c r="CP14" s="116" cm="1">
        <f t="array" ref="CP14">_xll.EQNXTDZ($A$1,$B14,CP$1)</f>
        <v>1376.35</v>
      </c>
      <c r="CQ14" s="116" cm="1">
        <f t="array" ref="CQ14">_xll.EQNXTDZ($A$1,$B14,CQ$1)</f>
        <v>1383.85</v>
      </c>
      <c r="CR14" s="116" cm="1">
        <f t="array" ref="CR14">_xll.EQNXTDZ($A$1,$B14,CR$1)</f>
        <v>1211.5</v>
      </c>
      <c r="CS14" s="116" cm="1">
        <f t="array" ref="CS14">_xll.EQNXTDZ($A$1,$B14,CS$1)</f>
        <v>945</v>
      </c>
      <c r="CT14" s="116" cm="1">
        <f t="array" ref="CT14">_xll.EQNXTDZ($A$1,$B14,CT$1)</f>
        <v>937</v>
      </c>
      <c r="CU14" s="116" cm="1">
        <f t="array" ref="CU14">_xll.EQNXTDZ($A$1,$B14,CU$1)</f>
        <v>995</v>
      </c>
      <c r="CV14" s="116" cm="1">
        <f t="array" ref="CV14">_xll.EQNXTDZ($A$1,$B14,CV$1)</f>
        <v>963.8</v>
      </c>
      <c r="CW14" s="116" cm="1">
        <f t="array" ref="CW14">_xll.EQNXTDZ($A$1,$B14,CW$1)</f>
        <v>1024.95</v>
      </c>
      <c r="CX14" s="116" cm="1">
        <f t="array" ref="CX14">_xll.EQNXTDZ($A$1,$B14,CX$1)</f>
        <v>970.85</v>
      </c>
      <c r="CY14" s="116" cm="1">
        <f t="array" ref="CY14">_xll.EQNXTDZ($A$1,$B14,CY$1)</f>
        <v>994.85</v>
      </c>
      <c r="CZ14" s="116" cm="1">
        <f t="array" ref="CZ14">_xll.EQNXTDZ($A$1,$B14,CZ$1)</f>
        <v>1176.75</v>
      </c>
      <c r="DA14" s="116" cm="1">
        <f t="array" ref="DA14">_xll.EQNXTDZ($A$1,$B14,DA$1)</f>
        <v>1338.4</v>
      </c>
      <c r="DB14" s="116" cm="1">
        <f t="array" ref="DB14">_xll.EQNXTDZ($A$1,$B14,DB$1)</f>
        <v>1395.75</v>
      </c>
      <c r="DC14" s="116" cm="1">
        <f t="array" ref="DC14">_xll.EQNXTDZ($A$1,$B14,DC$1)</f>
        <v>1593</v>
      </c>
      <c r="DD14" s="116" cm="1">
        <f t="array" ref="DD14">_xll.EQNXTDZ($A$1,$B14,DD$1)</f>
        <v>1565</v>
      </c>
      <c r="DE14" s="116" cm="1">
        <f t="array" ref="DE14">_xll.EQNXTDZ($A$1,$B14,DE$1)</f>
        <v>1447.8</v>
      </c>
      <c r="DF14" s="116" cm="1">
        <f t="array" ref="DF14">_xll.EQNXTDZ($A$1,$B14,DF$1)</f>
        <v>1499.8</v>
      </c>
      <c r="DG14" s="116" cm="1">
        <f t="array" ref="DG14">_xll.EQNXTDZ($A$1,$B14,DG$1)</f>
        <v>1582.65</v>
      </c>
      <c r="DH14" s="116" cm="1">
        <f t="array" ref="DH14">_xll.EQNXTDZ($A$1,$B14,DH$1)</f>
        <v>1647</v>
      </c>
      <c r="DI14" s="116" cm="1">
        <f t="array" ref="DI14">_xll.EQNXTDZ($A$1,$B14,DI$1)</f>
        <v>1684.8</v>
      </c>
      <c r="DJ14" s="116" cm="1">
        <f t="array" ref="DJ14">_xll.EQNXTDZ($A$1,$B14,DJ$1)</f>
        <v>1810</v>
      </c>
      <c r="DK14" s="116" cm="1">
        <f t="array" ref="DK14">_xll.EQNXTDZ($A$1,$B14,DK$1)</f>
        <v>1884.9</v>
      </c>
      <c r="DL14" s="116" cm="1">
        <f t="array" ref="DL14">_xll.EQNXTDZ($A$1,$B14,DL$1)</f>
        <v>1982.95</v>
      </c>
      <c r="DM14" s="116" cm="1">
        <f t="array" ref="DM14">_xll.EQNXTDZ($A$1,$B14,DM$1)</f>
        <v>1908.75</v>
      </c>
      <c r="DN14" s="116" cm="1">
        <f t="array" ref="DN14">_xll.EQNXTDZ($A$1,$B14,DN$1)</f>
        <v>2078.1999999999998</v>
      </c>
      <c r="DO14" s="116" cm="1">
        <f t="array" ref="DO14">_xll.EQNXTDZ($A$1,$B14,DO$1)</f>
        <v>2006.8</v>
      </c>
      <c r="DP14" s="116" cm="1">
        <f t="array" ref="DP14">_xll.EQNXTDZ($A$1,$B14,DP$1)</f>
        <v>1826.35</v>
      </c>
      <c r="DQ14" s="116" cm="1">
        <f t="array" ref="DQ14">_xll.EQNXTDZ($A$1,$B14,DQ$1)</f>
        <v>1860</v>
      </c>
      <c r="DR14" s="116" cm="1">
        <f t="array" ref="DR14">_xll.EQNXTDZ($A$1,$B14,DR$1)</f>
        <v>1685.7</v>
      </c>
      <c r="DS14" s="116" cm="1">
        <f t="array" ref="DS14">_xll.EQNXTDZ($A$1,$B14,DS$1)</f>
        <v>1673.8</v>
      </c>
      <c r="DT14" s="116" cm="1">
        <f t="array" ref="DT14">_xll.EQNXTDZ($A$1,$B14,DT$1)</f>
        <v>1832</v>
      </c>
      <c r="DU14" s="116" cm="1">
        <f t="array" ref="DU14">_xll.EQNXTDZ($A$1,$B14,DU$1)</f>
        <v>1943</v>
      </c>
      <c r="DV14" s="116" cm="1">
        <f t="array" ref="DV14">_xll.EQNXTDZ($A$1,$B14,DV$1)</f>
        <v>1995</v>
      </c>
      <c r="DW14" s="116" cm="1">
        <f t="array" ref="DW14">_xll.EQNXTDZ($A$1,$B14,DW$1)</f>
        <v>2033.8</v>
      </c>
      <c r="DX14" s="116" cm="1">
        <f t="array" ref="DX14">_xll.EQNXTDZ($A$1,$B14,DX$1)</f>
        <v>2095</v>
      </c>
      <c r="DY14" s="116" cm="1">
        <f t="array" ref="DY14">_xll.EQNXTDZ($A$1,$B14,DY$1)</f>
        <v>2210.5</v>
      </c>
      <c r="DZ14" s="116" cm="1">
        <f t="array" ref="DZ14">_xll.EQNXTDZ($A$1,$B14,DZ$1)</f>
        <v>2297.3000000000002</v>
      </c>
      <c r="EA14" s="116" cm="1">
        <f t="array" ref="EA14">_xll.EQNXTDZ($A$1,$B14,EA$1)</f>
        <v>2261.6</v>
      </c>
      <c r="EB14" s="116" cm="1">
        <f t="array" ref="EB14">_xll.EQNXTDZ($A$1,$B14,EB$1)</f>
        <v>2246</v>
      </c>
      <c r="EC14" s="116" cm="1">
        <f t="array" ref="EC14">_xll.EQNXTDZ($A$1,$B14,EC$1)</f>
        <v>2368.75</v>
      </c>
      <c r="ED14" s="116" cm="1">
        <f t="array" ref="ED14">_xll.EQNXTDZ($A$1,$B14,ED$1)</f>
        <v>2416</v>
      </c>
      <c r="EE14" s="116" cm="1">
        <f t="array" ref="EE14">_xll.EQNXTDZ($A$1,$B14,EE$1)</f>
        <v>2482.9499999999998</v>
      </c>
      <c r="EF14" s="116" cm="1">
        <f t="array" ref="EF14">_xll.EQNXTDZ($A$1,$B14,EF$1)</f>
        <v>2687.9</v>
      </c>
      <c r="EG14" s="116" cm="1">
        <f t="array" ref="EG14">_xll.EQNXTDZ($A$1,$B14,EG$1)</f>
        <v>2767</v>
      </c>
      <c r="EH14" s="116" cm="1">
        <f t="array" ref="EH14">_xll.EQNXTDZ($A$1,$B14,EH$1)</f>
        <v>3057</v>
      </c>
      <c r="EI14" s="116" cm="1">
        <f t="array" ref="EI14">_xll.EQNXTDZ($A$1,$B14,EI$1)</f>
        <v>3114</v>
      </c>
      <c r="EJ14" s="116" cm="1">
        <f t="array" ref="EJ14">_xll.EQNXTDZ($A$1,$B14,EJ$1)</f>
        <v>3122</v>
      </c>
      <c r="EK14" s="116" cm="1">
        <f t="array" ref="EK14">_xll.EQNXTDZ($A$1,$B14,EK$1)</f>
        <v>3559.75</v>
      </c>
      <c r="EL14" s="116" cm="1">
        <f t="array" ref="EL14">_xll.EQNXTDZ($A$1,$B14,EL$1)</f>
        <v>3738.9</v>
      </c>
      <c r="EM14" s="116" cm="1">
        <f t="array" ref="EM14">_xll.EQNXTDZ($A$1,$B14,EM$1)</f>
        <v>3511.95</v>
      </c>
      <c r="EN14" s="116" cm="1">
        <f t="array" ref="EN14">_xll.EQNXTDZ($A$1,$B14,EN$1)</f>
        <v>3812</v>
      </c>
      <c r="EO14" s="116" cm="1">
        <f t="array" ref="EO14">_xll.EQNXTDZ($A$1,$B14,EO$1)</f>
        <v>3859.65</v>
      </c>
      <c r="EP14" s="116" cm="1">
        <f t="array" ref="EP14">_xll.EQNXTDZ($A$1,$B14,EP$1)</f>
        <v>3745</v>
      </c>
      <c r="EQ14" s="116" cm="1">
        <f t="array" ref="EQ14">_xll.EQNXTDZ($A$1,$B14,EQ$1)</f>
        <v>3948.6</v>
      </c>
      <c r="ER14" s="116" cm="1">
        <f t="array" ref="ER14">_xll.EQNXTDZ($A$1,$B14,ER$1)</f>
        <v>3819.9</v>
      </c>
      <c r="ES14" s="116" cm="1">
        <f t="array" ref="ES14">_xll.EQNXTDZ($A$1,$B14,ES$1)</f>
        <v>3838</v>
      </c>
      <c r="ET14" s="116" cm="1">
        <f t="array" ref="ET14">_xll.EQNXTDZ($A$1,$B14,ET$1)</f>
        <v>3837.95</v>
      </c>
      <c r="EU14" s="116" cm="1">
        <f t="array" ref="EU14">_xll.EQNXTDZ($A$1,$B14,EU$1)</f>
        <v>3724</v>
      </c>
      <c r="EV14" s="116" cm="1">
        <f t="array" ref="EV14">_xll.EQNXTDZ($A$1,$B14,EV$1)</f>
        <v>3759.95</v>
      </c>
      <c r="EW14" s="116" cm="1">
        <f t="array" ref="EW14">_xll.EQNXTDZ($A$1,$B14,EW$1)</f>
        <v>3963</v>
      </c>
      <c r="EX14" s="116" cm="1">
        <f t="array" ref="EX14">_xll.EQNXTDZ($A$1,$B14,EX$1)</f>
        <v>3724</v>
      </c>
      <c r="EY14" s="116" cm="1">
        <f t="array" ref="EY14">_xll.EQNXTDZ($A$1,$B14,EY$1)</f>
        <v>3628.8</v>
      </c>
      <c r="EZ14" s="116" cm="1">
        <f t="array" ref="EZ14">_xll.EQNXTDZ($A$1,$B14,EZ$1)</f>
        <v>3528</v>
      </c>
      <c r="FA14" s="116" cm="1">
        <f t="array" ref="FA14">_xll.EQNXTDZ($A$1,$B14,FA$1)</f>
        <v>3500.35</v>
      </c>
      <c r="FB14" s="116" cm="1">
        <f t="array" ref="FB14">_xll.EQNXTDZ($A$1,$B14,FB$1)</f>
        <v>3695.55</v>
      </c>
      <c r="FC14" s="116" cm="1">
        <f t="array" ref="FC14">_xll.EQNXTDZ($A$1,$B14,FC$1)</f>
        <v>3730</v>
      </c>
      <c r="FD14" s="116" cm="1">
        <f t="array" ref="FD14">_xll.EQNXTDZ($A$1,$B14,FD$1)</f>
        <v>3685</v>
      </c>
      <c r="FE14" s="116" cm="1">
        <f t="array" ref="FE14">_xll.EQNXTDZ($A$1,$B14,FE$1)</f>
        <v>3727</v>
      </c>
      <c r="FF14" s="116" cm="1">
        <f t="array" ref="FF14">_xll.EQNXTDZ($A$1,$B14,FF$1)</f>
        <v>3794.7</v>
      </c>
      <c r="FG14" s="116" cm="1">
        <f t="array" ref="FG14">_xll.EQNXTDZ($A$1,$B14,FG$1)</f>
        <v>4062.5</v>
      </c>
      <c r="FH14" s="116" cm="1">
        <f t="array" ref="FH14">_xll.EQNXTDZ($A$1,$B14,FH$1)</f>
        <v>4139</v>
      </c>
      <c r="FI14" s="116" cm="1">
        <f t="array" ref="FI14">_xll.EQNXTDZ($A$1,$B14,FI$1)</f>
        <v>4109</v>
      </c>
      <c r="FJ14" s="116" cm="1">
        <f t="array" ref="FJ14">_xll.EQNXTDZ($A$1,$B14,FJ$1)</f>
        <v>4194.7</v>
      </c>
      <c r="FK14" s="116" cm="1">
        <f t="array" ref="FK14">_xll.EQNXTDZ($A$1,$B14,FK$1)</f>
        <v>4440</v>
      </c>
      <c r="FL14" s="116" cm="1">
        <f t="array" ref="FL14">_xll.EQNXTDZ($A$1,$B14,FL$1)</f>
        <v>4142.3</v>
      </c>
      <c r="FM14" s="116" cm="1">
        <f t="array" ref="FM14">_xll.EQNXTDZ($A$1,$B14,FM$1)</f>
        <v>4149.55</v>
      </c>
      <c r="FN14" s="116" cm="1">
        <f t="array" ref="FN14">_xll.EQNXTDZ($A$1,$B14,FN$1)</f>
        <v>4138.95</v>
      </c>
      <c r="FO14" s="116" cm="1">
        <f t="array" ref="FO14">_xll.EQNXTDZ($A$1,$B14,FO$1)</f>
        <v>4235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719.555555555556</v>
      </c>
      <c r="HQ14" s="116">
        <f>+MAX(G14:I14)</f>
        <v>764.22222222222194</v>
      </c>
      <c r="HR14" s="116">
        <f>+MAX(J14:L14)</f>
        <v>738.22222222222194</v>
      </c>
      <c r="HS14" s="116">
        <f>+MAX(M14:O14)</f>
        <v>734.26666666666699</v>
      </c>
      <c r="HT14" s="116">
        <f>+MAX(P14:R14)</f>
        <v>673.2</v>
      </c>
      <c r="HU14" s="116">
        <f>+MAX(S14:U14)</f>
        <v>768.26666666666699</v>
      </c>
      <c r="HV14" s="116">
        <f>+MAX(V14:X14)</f>
        <v>867.33333333333303</v>
      </c>
      <c r="HW14" s="116">
        <f>+MAX(Y14:AA14)</f>
        <v>1183.13333333333</v>
      </c>
      <c r="HX14" s="116">
        <f>+MAX(AB14:AD14)</f>
        <v>1175.3333333333301</v>
      </c>
      <c r="HY14" s="116">
        <f>+MAX(AE14:AG14)</f>
        <v>1128.4000000000001</v>
      </c>
      <c r="HZ14" s="116">
        <f>+MAX(AH14:AJ14)</f>
        <v>1261.9666666666701</v>
      </c>
      <c r="IA14" s="116">
        <f>+MAX(AK14:AM14)</f>
        <v>1213.3333333333301</v>
      </c>
      <c r="IB14" s="116">
        <f>+MAX(AN14:AP14)</f>
        <v>1257.5</v>
      </c>
      <c r="IC14" s="116">
        <f>+MAX(AQ14:AS14)</f>
        <v>1073.5999999999999</v>
      </c>
      <c r="ID14" s="116">
        <f>+MAX(AT14:AV14)</f>
        <v>860.83333333333303</v>
      </c>
      <c r="IE14" s="116">
        <f>+MAX(AW14:AY14)</f>
        <v>1010</v>
      </c>
      <c r="IF14" s="116">
        <f>+MAX(AZ14:BB14)</f>
        <v>1076.6666666666699</v>
      </c>
      <c r="IG14" s="116">
        <f>+MAX(BC14:BE14)</f>
        <v>1013.33333333333</v>
      </c>
      <c r="IH14" s="116">
        <f>+MAX(BF14:BH14)</f>
        <v>1062</v>
      </c>
      <c r="II14" s="116">
        <f>+MAX(BI14:BK14)</f>
        <v>1222.6666666666699</v>
      </c>
      <c r="IJ14" s="116">
        <f>+MAX(BL14:BN14)</f>
        <v>1249.95</v>
      </c>
      <c r="IK14" s="116">
        <f>+MAX(BO14:BQ14)</f>
        <v>1275</v>
      </c>
      <c r="IL14" s="116">
        <f>+MAX(BR14:BT14)</f>
        <v>1469.6</v>
      </c>
      <c r="IM14" s="116">
        <f>+MAX(BU14:BW14)</f>
        <v>1424.5</v>
      </c>
      <c r="IN14" s="116">
        <f>+MAX(BX14:BZ14)</f>
        <v>1389</v>
      </c>
      <c r="IO14" s="116">
        <f>+MAX(CA14:CC14)</f>
        <v>1459.1</v>
      </c>
      <c r="IP14" s="116">
        <f>+MAX(CD14:CF14)</f>
        <v>1449</v>
      </c>
      <c r="IQ14" s="116">
        <f>+MAX(CG14:CI14)</f>
        <v>1606.7</v>
      </c>
      <c r="IR14" s="116">
        <f>+MAX(CJ14:CL14)</f>
        <v>1591.6</v>
      </c>
      <c r="IS14" s="116">
        <f>+MAX(CM14:CO14)</f>
        <v>1495.95</v>
      </c>
      <c r="IT14" s="116">
        <f>+MAX(CP14:CR14)</f>
        <v>1383.85</v>
      </c>
      <c r="IU14" s="116">
        <f>+MAX(CS14:CU14)</f>
        <v>995</v>
      </c>
      <c r="IV14" s="116">
        <f>+MAX(CV14:CX14)</f>
        <v>1024.95</v>
      </c>
      <c r="IW14" s="116">
        <f>+MAX(CY14:DA14)</f>
        <v>1338.4</v>
      </c>
      <c r="IX14" s="116">
        <f>+MAX(DB14:DD14)</f>
        <v>1593</v>
      </c>
      <c r="IY14" s="116">
        <f>+MAX(DE14:DG14)</f>
        <v>1582.65</v>
      </c>
      <c r="IZ14" s="116">
        <f>+MAX(DH14:DJ14)</f>
        <v>1810</v>
      </c>
      <c r="JA14" s="116">
        <f>+MAX(DK14:DM14)</f>
        <v>1982.95</v>
      </c>
      <c r="JB14" s="116">
        <f>+MAX(DN14:DP14)</f>
        <v>2078.1999999999998</v>
      </c>
      <c r="JC14" s="116">
        <f>+MAX(DQ14:DS14)</f>
        <v>1860</v>
      </c>
      <c r="JD14" s="116">
        <f>+MAX(DT14:DV14)</f>
        <v>1995</v>
      </c>
      <c r="JE14" s="116">
        <f>+MAX(DW14:DY14)</f>
        <v>2210.5</v>
      </c>
      <c r="JF14" s="116">
        <f>+MAX(DZ14:EB14)</f>
        <v>2297.3000000000002</v>
      </c>
      <c r="JG14" s="116">
        <f>+MAX(EC14:EE14)</f>
        <v>2482.9499999999998</v>
      </c>
      <c r="JH14" s="116">
        <f>+MAX(EF14:EH14)</f>
        <v>3057</v>
      </c>
      <c r="JI14" s="116">
        <f>+MAX(EI14:EK14)</f>
        <v>3559.75</v>
      </c>
      <c r="JJ14" s="116">
        <f>+MAX(EL14:EN14)</f>
        <v>3812</v>
      </c>
      <c r="JK14" s="116">
        <f>MAX(EO14:EQ14)</f>
        <v>3948.6</v>
      </c>
      <c r="JL14" s="116">
        <f>MAX(ER14:ET14)</f>
        <v>3838</v>
      </c>
      <c r="JM14" s="116">
        <f>MAX(EU14:EW14)</f>
        <v>3963</v>
      </c>
      <c r="JN14" s="116">
        <f>MAX(EX14:EZ14)</f>
        <v>3724</v>
      </c>
      <c r="JO14" s="116">
        <f>MAX(FA14:FC14)</f>
        <v>3730</v>
      </c>
      <c r="JP14" s="116">
        <f>MAX(FD14:FF14)</f>
        <v>3794.7</v>
      </c>
      <c r="JQ14" s="116">
        <f>MAX(FG14:FI14)</f>
        <v>4139</v>
      </c>
      <c r="JR14" s="116">
        <f>MAX(FJ14:FL14)</f>
        <v>4440</v>
      </c>
      <c r="JS14" s="116">
        <f>MAX(FM14:FO14)</f>
        <v>4235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491.73333333333301</v>
      </c>
      <c r="D15" s="116" cm="1">
        <f t="array" ref="D15">_xll.EQNXTDZ($A$1,$B15,D$1)</f>
        <v>581.33333333333303</v>
      </c>
      <c r="E15" s="116" cm="1">
        <f t="array" ref="E15">_xll.EQNXTDZ($A$1,$B15,E$1)</f>
        <v>588.48888888888905</v>
      </c>
      <c r="F15" s="116" cm="1">
        <f t="array" ref="F15">_xll.EQNXTDZ($A$1,$B15,F$1)</f>
        <v>582.22222222222194</v>
      </c>
      <c r="G15" s="116" cm="1">
        <f t="array" ref="G15">_xll.EQNXTDZ($A$1,$B15,G$1)</f>
        <v>702.88888888888903</v>
      </c>
      <c r="H15" s="116" cm="1">
        <f t="array" ref="H15">_xll.EQNXTDZ($A$1,$B15,H$1)</f>
        <v>683.2</v>
      </c>
      <c r="I15" s="116" cm="1">
        <f t="array" ref="I15">_xll.EQNXTDZ($A$1,$B15,I$1)</f>
        <v>698.88888888888903</v>
      </c>
      <c r="J15" s="116" cm="1">
        <f t="array" ref="J15">_xll.EQNXTDZ($A$1,$B15,J$1)</f>
        <v>666.66666666666697</v>
      </c>
      <c r="K15" s="116" cm="1">
        <f t="array" ref="K15">_xll.EQNXTDZ($A$1,$B15,K$1)</f>
        <v>600.88888888888903</v>
      </c>
      <c r="L15" s="116" cm="1">
        <f t="array" ref="L15">_xll.EQNXTDZ($A$1,$B15,L$1)</f>
        <v>591.555555555556</v>
      </c>
      <c r="M15" s="116" cm="1">
        <f t="array" ref="M15">_xll.EQNXTDZ($A$1,$B15,M$1)</f>
        <v>583.64444444444496</v>
      </c>
      <c r="N15" s="116" cm="1">
        <f t="array" ref="N15">_xll.EQNXTDZ($A$1,$B15,N$1)</f>
        <v>622.22222222222194</v>
      </c>
      <c r="O15" s="116" cm="1">
        <f t="array" ref="O15">_xll.EQNXTDZ($A$1,$B15,O$1)</f>
        <v>593.82222222222197</v>
      </c>
      <c r="P15" s="116" cm="1">
        <f t="array" ref="P15">_xll.EQNXTDZ($A$1,$B15,P$1)</f>
        <v>556.16666666666697</v>
      </c>
      <c r="Q15" s="116" cm="1">
        <f t="array" ref="Q15">_xll.EQNXTDZ($A$1,$B15,Q$1)</f>
        <v>452.066666666667</v>
      </c>
      <c r="R15" s="116" cm="1">
        <f t="array" ref="R15">_xll.EQNXTDZ($A$1,$B15,R$1)</f>
        <v>458.4</v>
      </c>
      <c r="S15" s="116" cm="1">
        <f t="array" ref="S15">_xll.EQNXTDZ($A$1,$B15,S$1)</f>
        <v>518.06666666666695</v>
      </c>
      <c r="T15" s="116" cm="1">
        <f t="array" ref="T15">_xll.EQNXTDZ($A$1,$B15,T$1)</f>
        <v>608.20000000000005</v>
      </c>
      <c r="U15" s="116" cm="1">
        <f t="array" ref="U15">_xll.EQNXTDZ($A$1,$B15,U$1)</f>
        <v>689</v>
      </c>
      <c r="V15" s="116" cm="1">
        <f t="array" ref="V15">_xll.EQNXTDZ($A$1,$B15,V$1)</f>
        <v>634.4</v>
      </c>
      <c r="W15" s="116" cm="1">
        <f t="array" ref="W15">_xll.EQNXTDZ($A$1,$B15,W$1)</f>
        <v>641.33333333333303</v>
      </c>
      <c r="X15" s="116" cm="1">
        <f t="array" ref="X15">_xll.EQNXTDZ($A$1,$B15,X$1)</f>
        <v>724.66666666666697</v>
      </c>
      <c r="Y15" s="116" cm="1">
        <f t="array" ref="Y15">_xll.EQNXTDZ($A$1,$B15,Y$1)</f>
        <v>828.3</v>
      </c>
      <c r="Z15" s="116" cm="1">
        <f t="array" ref="Z15">_xll.EQNXTDZ($A$1,$B15,Z$1)</f>
        <v>834.4</v>
      </c>
      <c r="AA15" s="116" cm="1">
        <f t="array" ref="AA15">_xll.EQNXTDZ($A$1,$B15,AA$1)</f>
        <v>1068.6666666666699</v>
      </c>
      <c r="AB15" s="116" cm="1">
        <f t="array" ref="AB15">_xll.EQNXTDZ($A$1,$B15,AB$1)</f>
        <v>1000.66666666667</v>
      </c>
      <c r="AC15" s="116" cm="1">
        <f t="array" ref="AC15">_xll.EQNXTDZ($A$1,$B15,AC$1)</f>
        <v>959.46666666666704</v>
      </c>
      <c r="AD15" s="116" cm="1">
        <f t="array" ref="AD15">_xll.EQNXTDZ($A$1,$B15,AD$1)</f>
        <v>956.9</v>
      </c>
      <c r="AE15" s="116" cm="1">
        <f t="array" ref="AE15">_xll.EQNXTDZ($A$1,$B15,AE$1)</f>
        <v>933.33333333333303</v>
      </c>
      <c r="AF15" s="116" cm="1">
        <f t="array" ref="AF15">_xll.EQNXTDZ($A$1,$B15,AF$1)</f>
        <v>1062.43333333333</v>
      </c>
      <c r="AG15" s="116" cm="1">
        <f t="array" ref="AG15">_xll.EQNXTDZ($A$1,$B15,AG$1)</f>
        <v>967.76666666666699</v>
      </c>
      <c r="AH15" s="116" cm="1">
        <f t="array" ref="AH15">_xll.EQNXTDZ($A$1,$B15,AH$1)</f>
        <v>991.03333333333296</v>
      </c>
      <c r="AI15" s="116" cm="1">
        <f t="array" ref="AI15">_xll.EQNXTDZ($A$1,$B15,AI$1)</f>
        <v>1021.33333333333</v>
      </c>
      <c r="AJ15" s="116" cm="1">
        <f t="array" ref="AJ15">_xll.EQNXTDZ($A$1,$B15,AJ$1)</f>
        <v>1077.56666666667</v>
      </c>
      <c r="AK15" s="116" cm="1">
        <f t="array" ref="AK15">_xll.EQNXTDZ($A$1,$B15,AK$1)</f>
        <v>1084.5</v>
      </c>
      <c r="AL15" s="116" cm="1">
        <f t="array" ref="AL15">_xll.EQNXTDZ($A$1,$B15,AL$1)</f>
        <v>1030.2333333333299</v>
      </c>
      <c r="AM15" s="116" cm="1">
        <f t="array" ref="AM15">_xll.EQNXTDZ($A$1,$B15,AM$1)</f>
        <v>1094.7333333333299</v>
      </c>
      <c r="AN15" s="116" cm="1">
        <f t="array" ref="AN15">_xll.EQNXTDZ($A$1,$B15,AN$1)</f>
        <v>1160.7</v>
      </c>
      <c r="AO15" s="116" cm="1">
        <f t="array" ref="AO15">_xll.EQNXTDZ($A$1,$B15,AO$1)</f>
        <v>1050</v>
      </c>
      <c r="AP15" s="116" cm="1">
        <f t="array" ref="AP15">_xll.EQNXTDZ($A$1,$B15,AP$1)</f>
        <v>942.1</v>
      </c>
      <c r="AQ15" s="116" cm="1">
        <f t="array" ref="AQ15">_xll.EQNXTDZ($A$1,$B15,AQ$1)</f>
        <v>933.33333333333303</v>
      </c>
      <c r="AR15" s="116" cm="1">
        <f t="array" ref="AR15">_xll.EQNXTDZ($A$1,$B15,AR$1)</f>
        <v>883.7</v>
      </c>
      <c r="AS15" s="116" cm="1">
        <f t="array" ref="AS15">_xll.EQNXTDZ($A$1,$B15,AS$1)</f>
        <v>843.66666666666697</v>
      </c>
      <c r="AT15" s="116" cm="1">
        <f t="array" ref="AT15">_xll.EQNXTDZ($A$1,$B15,AT$1)</f>
        <v>713.33333333333303</v>
      </c>
      <c r="AU15" s="116" cm="1">
        <f t="array" ref="AU15">_xll.EQNXTDZ($A$1,$B15,AU$1)</f>
        <v>677.73333333333301</v>
      </c>
      <c r="AV15" s="116" cm="1">
        <f t="array" ref="AV15">_xll.EQNXTDZ($A$1,$B15,AV$1)</f>
        <v>720.66666666666697</v>
      </c>
      <c r="AW15" s="116" cm="1">
        <f t="array" ref="AW15">_xll.EQNXTDZ($A$1,$B15,AW$1)</f>
        <v>784.66666666666697</v>
      </c>
      <c r="AX15" s="116" cm="1">
        <f t="array" ref="AX15">_xll.EQNXTDZ($A$1,$B15,AX$1)</f>
        <v>816</v>
      </c>
      <c r="AY15" s="116" cm="1">
        <f t="array" ref="AY15">_xll.EQNXTDZ($A$1,$B15,AY$1)</f>
        <v>934.26666666666699</v>
      </c>
      <c r="AZ15" s="116" cm="1">
        <f t="array" ref="AZ15">_xll.EQNXTDZ($A$1,$B15,AZ$1)</f>
        <v>999.33333333333303</v>
      </c>
      <c r="BA15" s="116" cm="1">
        <f t="array" ref="BA15">_xll.EQNXTDZ($A$1,$B15,BA$1)</f>
        <v>946.66666666666697</v>
      </c>
      <c r="BB15" s="116" cm="1">
        <f t="array" ref="BB15">_xll.EQNXTDZ($A$1,$B15,BB$1)</f>
        <v>941.7</v>
      </c>
      <c r="BC15" s="116" cm="1">
        <f t="array" ref="BC15">_xll.EQNXTDZ($A$1,$B15,BC$1)</f>
        <v>954.8</v>
      </c>
      <c r="BD15" s="116" cm="1">
        <f t="array" ref="BD15">_xll.EQNXTDZ($A$1,$B15,BD$1)</f>
        <v>863.53333333333296</v>
      </c>
      <c r="BE15" s="116" cm="1">
        <f t="array" ref="BE15">_xll.EQNXTDZ($A$1,$B15,BE$1)</f>
        <v>868</v>
      </c>
      <c r="BF15" s="116" cm="1">
        <f t="array" ref="BF15">_xll.EQNXTDZ($A$1,$B15,BF$1)</f>
        <v>900</v>
      </c>
      <c r="BG15" s="116" cm="1">
        <f t="array" ref="BG15">_xll.EQNXTDZ($A$1,$B15,BG$1)</f>
        <v>963.16666666666697</v>
      </c>
      <c r="BH15" s="116" cm="1">
        <f t="array" ref="BH15">_xll.EQNXTDZ($A$1,$B15,BH$1)</f>
        <v>973.5</v>
      </c>
      <c r="BI15" s="116" cm="1">
        <f t="array" ref="BI15">_xll.EQNXTDZ($A$1,$B15,BI$1)</f>
        <v>1052</v>
      </c>
      <c r="BJ15" s="116" cm="1">
        <f t="array" ref="BJ15">_xll.EQNXTDZ($A$1,$B15,BJ$1)</f>
        <v>1120</v>
      </c>
      <c r="BK15" s="116" cm="1">
        <f t="array" ref="BK15">_xll.EQNXTDZ($A$1,$B15,BK$1)</f>
        <v>1107.56666666667</v>
      </c>
      <c r="BL15" s="116" cm="1">
        <f t="array" ref="BL15">_xll.EQNXTDZ($A$1,$B15,BL$1)</f>
        <v>1114</v>
      </c>
      <c r="BM15" s="116" cm="1">
        <f t="array" ref="BM15">_xll.EQNXTDZ($A$1,$B15,BM$1)</f>
        <v>1114.55</v>
      </c>
      <c r="BN15" s="116" cm="1">
        <f t="array" ref="BN15">_xll.EQNXTDZ($A$1,$B15,BN$1)</f>
        <v>1116.45</v>
      </c>
      <c r="BO15" s="116" cm="1">
        <f t="array" ref="BO15">_xll.EQNXTDZ($A$1,$B15,BO$1)</f>
        <v>1124.5</v>
      </c>
      <c r="BP15" s="116" cm="1">
        <f t="array" ref="BP15">_xll.EQNXTDZ($A$1,$B15,BP$1)</f>
        <v>1202</v>
      </c>
      <c r="BQ15" s="116" cm="1">
        <f t="array" ref="BQ15">_xll.EQNXTDZ($A$1,$B15,BQ$1)</f>
        <v>1176</v>
      </c>
      <c r="BR15" s="116" cm="1">
        <f t="array" ref="BR15">_xll.EQNXTDZ($A$1,$B15,BR$1)</f>
        <v>1243.1500000000001</v>
      </c>
      <c r="BS15" s="116" cm="1">
        <f t="array" ref="BS15">_xll.EQNXTDZ($A$1,$B15,BS$1)</f>
        <v>1275.8499999999999</v>
      </c>
      <c r="BT15" s="116" cm="1">
        <f t="array" ref="BT15">_xll.EQNXTDZ($A$1,$B15,BT$1)</f>
        <v>1259.7</v>
      </c>
      <c r="BU15" s="116" cm="1">
        <f t="array" ref="BU15">_xll.EQNXTDZ($A$1,$B15,BU$1)</f>
        <v>1291.8</v>
      </c>
      <c r="BV15" s="116" cm="1">
        <f t="array" ref="BV15">_xll.EQNXTDZ($A$1,$B15,BV$1)</f>
        <v>1311</v>
      </c>
      <c r="BW15" s="116" cm="1">
        <f t="array" ref="BW15">_xll.EQNXTDZ($A$1,$B15,BW$1)</f>
        <v>1205.5999999999999</v>
      </c>
      <c r="BX15" s="116" cm="1">
        <f t="array" ref="BX15">_xll.EQNXTDZ($A$1,$B15,BX$1)</f>
        <v>1243.5</v>
      </c>
      <c r="BY15" s="116" cm="1">
        <f t="array" ref="BY15">_xll.EQNXTDZ($A$1,$B15,BY$1)</f>
        <v>1226.05</v>
      </c>
      <c r="BZ15" s="116" cm="1">
        <f t="array" ref="BZ15">_xll.EQNXTDZ($A$1,$B15,BZ$1)</f>
        <v>1250</v>
      </c>
      <c r="CA15" s="116" cm="1">
        <f t="array" ref="CA15">_xll.EQNXTDZ($A$1,$B15,CA$1)</f>
        <v>1183.4000000000001</v>
      </c>
      <c r="CB15" s="116" cm="1">
        <f t="array" ref="CB15">_xll.EQNXTDZ($A$1,$B15,CB$1)</f>
        <v>1321.95</v>
      </c>
      <c r="CC15" s="116" cm="1">
        <f t="array" ref="CC15">_xll.EQNXTDZ($A$1,$B15,CC$1)</f>
        <v>1344.5</v>
      </c>
      <c r="CD15" s="116" cm="1">
        <f t="array" ref="CD15">_xll.EQNXTDZ($A$1,$B15,CD$1)</f>
        <v>1268</v>
      </c>
      <c r="CE15" s="116" cm="1">
        <f t="array" ref="CE15">_xll.EQNXTDZ($A$1,$B15,CE$1)</f>
        <v>1202.3</v>
      </c>
      <c r="CF15" s="116" cm="1">
        <f t="array" ref="CF15">_xll.EQNXTDZ($A$1,$B15,CF$1)</f>
        <v>1276.3499999999999</v>
      </c>
      <c r="CG15" s="116" cm="1">
        <f t="array" ref="CG15">_xll.EQNXTDZ($A$1,$B15,CG$1)</f>
        <v>1337.3</v>
      </c>
      <c r="CH15" s="116" cm="1">
        <f t="array" ref="CH15">_xll.EQNXTDZ($A$1,$B15,CH$1)</f>
        <v>1284.9000000000001</v>
      </c>
      <c r="CI15" s="116" cm="1">
        <f t="array" ref="CI15">_xll.EQNXTDZ($A$1,$B15,CI$1)</f>
        <v>1495</v>
      </c>
      <c r="CJ15" s="116" cm="1">
        <f t="array" ref="CJ15">_xll.EQNXTDZ($A$1,$B15,CJ$1)</f>
        <v>1361.2</v>
      </c>
      <c r="CK15" s="116" cm="1">
        <f t="array" ref="CK15">_xll.EQNXTDZ($A$1,$B15,CK$1)</f>
        <v>1274.0999999999999</v>
      </c>
      <c r="CL15" s="116" cm="1">
        <f t="array" ref="CL15">_xll.EQNXTDZ($A$1,$B15,CL$1)</f>
        <v>1289.0999999999999</v>
      </c>
      <c r="CM15" s="116" cm="1">
        <f t="array" ref="CM15">_xll.EQNXTDZ($A$1,$B15,CM$1)</f>
        <v>1382</v>
      </c>
      <c r="CN15" s="116" cm="1">
        <f t="array" ref="CN15">_xll.EQNXTDZ($A$1,$B15,CN$1)</f>
        <v>1315.05</v>
      </c>
      <c r="CO15" s="116" cm="1">
        <f t="array" ref="CO15">_xll.EQNXTDZ($A$1,$B15,CO$1)</f>
        <v>1255.5999999999999</v>
      </c>
      <c r="CP15" s="116" cm="1">
        <f t="array" ref="CP15">_xll.EQNXTDZ($A$1,$B15,CP$1)</f>
        <v>1283.5999999999999</v>
      </c>
      <c r="CQ15" s="116" cm="1">
        <f t="array" ref="CQ15">_xll.EQNXTDZ($A$1,$B15,CQ$1)</f>
        <v>1162.3499999999999</v>
      </c>
      <c r="CR15" s="116" cm="1">
        <f t="array" ref="CR15">_xll.EQNXTDZ($A$1,$B15,CR$1)</f>
        <v>661.05</v>
      </c>
      <c r="CS15" s="116" cm="1">
        <f t="array" ref="CS15">_xll.EQNXTDZ($A$1,$B15,CS$1)</f>
        <v>763</v>
      </c>
      <c r="CT15" s="116" cm="1">
        <f t="array" ref="CT15">_xll.EQNXTDZ($A$1,$B15,CT$1)</f>
        <v>791.55</v>
      </c>
      <c r="CU15" s="116" cm="1">
        <f t="array" ref="CU15">_xll.EQNXTDZ($A$1,$B15,CU$1)</f>
        <v>874.4</v>
      </c>
      <c r="CV15" s="116" cm="1">
        <f t="array" ref="CV15">_xll.EQNXTDZ($A$1,$B15,CV$1)</f>
        <v>896.5</v>
      </c>
      <c r="CW15" s="116" cm="1">
        <f t="array" ref="CW15">_xll.EQNXTDZ($A$1,$B15,CW$1)</f>
        <v>903.4</v>
      </c>
      <c r="CX15" s="116" cm="1">
        <f t="array" ref="CX15">_xll.EQNXTDZ($A$1,$B15,CX$1)</f>
        <v>842.5</v>
      </c>
      <c r="CY15" s="116" cm="1">
        <f t="array" ref="CY15">_xll.EQNXTDZ($A$1,$B15,CY$1)</f>
        <v>876.25</v>
      </c>
      <c r="CZ15" s="116" cm="1">
        <f t="array" ref="CZ15">_xll.EQNXTDZ($A$1,$B15,CZ$1)</f>
        <v>920.5</v>
      </c>
      <c r="DA15" s="116" cm="1">
        <f t="array" ref="DA15">_xll.EQNXTDZ($A$1,$B15,DA$1)</f>
        <v>1104.2</v>
      </c>
      <c r="DB15" s="116" cm="1">
        <f t="array" ref="DB15">_xll.EQNXTDZ($A$1,$B15,DB$1)</f>
        <v>1281</v>
      </c>
      <c r="DC15" s="116" cm="1">
        <f t="array" ref="DC15">_xll.EQNXTDZ($A$1,$B15,DC$1)</f>
        <v>1337.75</v>
      </c>
      <c r="DD15" s="116" cm="1">
        <f t="array" ref="DD15">_xll.EQNXTDZ($A$1,$B15,DD$1)</f>
        <v>1360.5</v>
      </c>
      <c r="DE15" s="116" cm="1">
        <f t="array" ref="DE15">_xll.EQNXTDZ($A$1,$B15,DE$1)</f>
        <v>1306.4000000000001</v>
      </c>
      <c r="DF15" s="116" cm="1">
        <f t="array" ref="DF15">_xll.EQNXTDZ($A$1,$B15,DF$1)</f>
        <v>1320.65</v>
      </c>
      <c r="DG15" s="116" cm="1">
        <f t="array" ref="DG15">_xll.EQNXTDZ($A$1,$B15,DG$1)</f>
        <v>1448</v>
      </c>
      <c r="DH15" s="116" cm="1">
        <f t="array" ref="DH15">_xll.EQNXTDZ($A$1,$B15,DH$1)</f>
        <v>1475.85</v>
      </c>
      <c r="DI15" s="116" cm="1">
        <f t="array" ref="DI15">_xll.EQNXTDZ($A$1,$B15,DI$1)</f>
        <v>1563.3</v>
      </c>
      <c r="DJ15" s="116" cm="1">
        <f t="array" ref="DJ15">_xll.EQNXTDZ($A$1,$B15,DJ$1)</f>
        <v>1657.2</v>
      </c>
      <c r="DK15" s="116" cm="1">
        <f t="array" ref="DK15">_xll.EQNXTDZ($A$1,$B15,DK$1)</f>
        <v>1684.4</v>
      </c>
      <c r="DL15" s="116" cm="1">
        <f t="array" ref="DL15">_xll.EQNXTDZ($A$1,$B15,DL$1)</f>
        <v>1735.25</v>
      </c>
      <c r="DM15" s="116" cm="1">
        <f t="array" ref="DM15">_xll.EQNXTDZ($A$1,$B15,DM$1)</f>
        <v>1763</v>
      </c>
      <c r="DN15" s="116" cm="1">
        <f t="array" ref="DN15">_xll.EQNXTDZ($A$1,$B15,DN$1)</f>
        <v>1850.8</v>
      </c>
      <c r="DO15" s="116" cm="1">
        <f t="array" ref="DO15">_xll.EQNXTDZ($A$1,$B15,DO$1)</f>
        <v>1750.55</v>
      </c>
      <c r="DP15" s="116" cm="1">
        <f t="array" ref="DP15">_xll.EQNXTDZ($A$1,$B15,DP$1)</f>
        <v>1595</v>
      </c>
      <c r="DQ15" s="116" cm="1">
        <f t="array" ref="DQ15">_xll.EQNXTDZ($A$1,$B15,DQ$1)</f>
        <v>1652.2</v>
      </c>
      <c r="DR15" s="116" cm="1">
        <f t="array" ref="DR15">_xll.EQNXTDZ($A$1,$B15,DR$1)</f>
        <v>1502.3</v>
      </c>
      <c r="DS15" s="116" cm="1">
        <f t="array" ref="DS15">_xll.EQNXTDZ($A$1,$B15,DS$1)</f>
        <v>1456.8</v>
      </c>
      <c r="DT15" s="116" cm="1">
        <f t="array" ref="DT15">_xll.EQNXTDZ($A$1,$B15,DT$1)</f>
        <v>1535</v>
      </c>
      <c r="DU15" s="116" cm="1">
        <f t="array" ref="DU15">_xll.EQNXTDZ($A$1,$B15,DU$1)</f>
        <v>1773.45</v>
      </c>
      <c r="DV15" s="116" cm="1">
        <f t="array" ref="DV15">_xll.EQNXTDZ($A$1,$B15,DV$1)</f>
        <v>1798</v>
      </c>
      <c r="DW15" s="116" cm="1">
        <f t="array" ref="DW15">_xll.EQNXTDZ($A$1,$B15,DW$1)</f>
        <v>1814</v>
      </c>
      <c r="DX15" s="116" cm="1">
        <f t="array" ref="DX15">_xll.EQNXTDZ($A$1,$B15,DX$1)</f>
        <v>1970.15</v>
      </c>
      <c r="DY15" s="116" cm="1">
        <f t="array" ref="DY15">_xll.EQNXTDZ($A$1,$B15,DY$1)</f>
        <v>2050.25</v>
      </c>
      <c r="DZ15" s="116" cm="1">
        <f t="array" ref="DZ15">_xll.EQNXTDZ($A$1,$B15,DZ$1)</f>
        <v>2058.1</v>
      </c>
      <c r="EA15" s="116" cm="1">
        <f t="array" ref="EA15">_xll.EQNXTDZ($A$1,$B15,EA$1)</f>
        <v>2081.9499999999998</v>
      </c>
      <c r="EB15" s="116" cm="1">
        <f t="array" ref="EB15">_xll.EQNXTDZ($A$1,$B15,EB$1)</f>
        <v>2104</v>
      </c>
      <c r="EC15" s="116" cm="1">
        <f t="array" ref="EC15">_xll.EQNXTDZ($A$1,$B15,EC$1)</f>
        <v>2155.5500000000002</v>
      </c>
      <c r="ED15" s="116" cm="1">
        <f t="array" ref="ED15">_xll.EQNXTDZ($A$1,$B15,ED$1)</f>
        <v>2168.65</v>
      </c>
      <c r="EE15" s="116" cm="1">
        <f t="array" ref="EE15">_xll.EQNXTDZ($A$1,$B15,EE$1)</f>
        <v>2202.1999999999998</v>
      </c>
      <c r="EF15" s="116" cm="1">
        <f t="array" ref="EF15">_xll.EQNXTDZ($A$1,$B15,EF$1)</f>
        <v>2419.9499999999998</v>
      </c>
      <c r="EG15" s="116" cm="1">
        <f t="array" ref="EG15">_xll.EQNXTDZ($A$1,$B15,EG$1)</f>
        <v>2586.75</v>
      </c>
      <c r="EH15" s="116" cm="1">
        <f t="array" ref="EH15">_xll.EQNXTDZ($A$1,$B15,EH$1)</f>
        <v>2688.55</v>
      </c>
      <c r="EI15" s="116" cm="1">
        <f t="array" ref="EI15">_xll.EQNXTDZ($A$1,$B15,EI$1)</f>
        <v>2856.85</v>
      </c>
      <c r="EJ15" s="116" cm="1">
        <f t="array" ref="EJ15">_xll.EQNXTDZ($A$1,$B15,EJ$1)</f>
        <v>2872</v>
      </c>
      <c r="EK15" s="116" cm="1">
        <f t="array" ref="EK15">_xll.EQNXTDZ($A$1,$B15,EK$1)</f>
        <v>3125.05</v>
      </c>
      <c r="EL15" s="116" cm="1">
        <f t="array" ref="EL15">_xll.EQNXTDZ($A$1,$B15,EL$1)</f>
        <v>3387.4</v>
      </c>
      <c r="EM15" s="116" cm="1">
        <f t="array" ref="EM15">_xll.EQNXTDZ($A$1,$B15,EM$1)</f>
        <v>3264</v>
      </c>
      <c r="EN15" s="116" cm="1">
        <f t="array" ref="EN15">_xll.EQNXTDZ($A$1,$B15,EN$1)</f>
        <v>3481</v>
      </c>
      <c r="EO15" s="116" cm="1">
        <f t="array" ref="EO15">_xll.EQNXTDZ($A$1,$B15,EO$1)</f>
        <v>3474</v>
      </c>
      <c r="EP15" s="116" cm="1">
        <f t="array" ref="EP15">_xll.EQNXTDZ($A$1,$B15,EP$1)</f>
        <v>3225.8</v>
      </c>
      <c r="EQ15" s="116" cm="1">
        <f t="array" ref="EQ15">_xll.EQNXTDZ($A$1,$B15,EQ$1)</f>
        <v>3175.5</v>
      </c>
      <c r="ER15" s="116" cm="1">
        <f t="array" ref="ER15">_xll.EQNXTDZ($A$1,$B15,ER$1)</f>
        <v>3461</v>
      </c>
      <c r="ES15" s="116" cm="1">
        <f t="array" ref="ES15">_xll.EQNXTDZ($A$1,$B15,ES$1)</f>
        <v>3401.05</v>
      </c>
      <c r="ET15" s="116" cm="1">
        <f t="array" ref="ET15">_xll.EQNXTDZ($A$1,$B15,ET$1)</f>
        <v>3518</v>
      </c>
      <c r="EU15" s="116" cm="1">
        <f t="array" ref="EU15">_xll.EQNXTDZ($A$1,$B15,EU$1)</f>
        <v>3262.95</v>
      </c>
      <c r="EV15" s="116" cm="1">
        <f t="array" ref="EV15">_xll.EQNXTDZ($A$1,$B15,EV$1)</f>
        <v>3452.95</v>
      </c>
      <c r="EW15" s="116" cm="1">
        <f t="array" ref="EW15">_xll.EQNXTDZ($A$1,$B15,EW$1)</f>
        <v>3552.35</v>
      </c>
      <c r="EX15" s="116" cm="1">
        <f t="array" ref="EX15">_xll.EQNXTDZ($A$1,$B15,EX$1)</f>
        <v>3396.05</v>
      </c>
      <c r="EY15" s="116" cm="1">
        <f t="array" ref="EY15">_xll.EQNXTDZ($A$1,$B15,EY$1)</f>
        <v>3141.3</v>
      </c>
      <c r="EZ15" s="116" cm="1">
        <f t="array" ref="EZ15">_xll.EQNXTDZ($A$1,$B15,EZ$1)</f>
        <v>3153.65</v>
      </c>
      <c r="FA15" s="116" cm="1">
        <f t="array" ref="FA15">_xll.EQNXTDZ($A$1,$B15,FA$1)</f>
        <v>2967.65</v>
      </c>
      <c r="FB15" s="116" cm="1">
        <f t="array" ref="FB15">_xll.EQNXTDZ($A$1,$B15,FB$1)</f>
        <v>3284.6</v>
      </c>
      <c r="FC15" s="116" cm="1">
        <f t="array" ref="FC15">_xll.EQNXTDZ($A$1,$B15,FC$1)</f>
        <v>3486.6</v>
      </c>
      <c r="FD15" s="116" cm="1">
        <f t="array" ref="FD15">_xll.EQNXTDZ($A$1,$B15,FD$1)</f>
        <v>3405.3</v>
      </c>
      <c r="FE15" s="116" cm="1">
        <f t="array" ref="FE15">_xll.EQNXTDZ($A$1,$B15,FE$1)</f>
        <v>3526.65</v>
      </c>
      <c r="FF15" s="116" cm="1">
        <f t="array" ref="FF15">_xll.EQNXTDZ($A$1,$B15,FF$1)</f>
        <v>3484.1</v>
      </c>
      <c r="FG15" s="116" cm="1">
        <f t="array" ref="FG15">_xll.EQNXTDZ($A$1,$B15,FG$1)</f>
        <v>3614.8</v>
      </c>
      <c r="FH15" s="116" cm="1">
        <f t="array" ref="FH15">_xll.EQNXTDZ($A$1,$B15,FH$1)</f>
        <v>3831.75</v>
      </c>
      <c r="FI15" s="116" cm="1">
        <f t="array" ref="FI15">_xll.EQNXTDZ($A$1,$B15,FI$1)</f>
        <v>3948.05</v>
      </c>
      <c r="FJ15" s="116" cm="1">
        <f t="array" ref="FJ15">_xll.EQNXTDZ($A$1,$B15,FJ$1)</f>
        <v>3721</v>
      </c>
      <c r="FK15" s="116" cm="1">
        <f t="array" ref="FK15">_xll.EQNXTDZ($A$1,$B15,FK$1)</f>
        <v>3759.65</v>
      </c>
      <c r="FL15" s="116" cm="1">
        <f t="array" ref="FL15">_xll.EQNXTDZ($A$1,$B15,FL$1)</f>
        <v>3288.65</v>
      </c>
      <c r="FM15" s="116" cm="1">
        <f t="array" ref="FM15">_xll.EQNXTDZ($A$1,$B15,FM$1)</f>
        <v>3470</v>
      </c>
      <c r="FN15" s="116" cm="1">
        <f t="array" ref="FN15">_xll.EQNXTDZ($A$1,$B15,FN$1)</f>
        <v>3840.4</v>
      </c>
      <c r="FO15" s="116" cm="1">
        <f t="array" ref="FO15">_xll.EQNXTDZ($A$1,$B15,FO$1)</f>
        <v>3853.25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581.33333333333303</v>
      </c>
      <c r="HQ15" s="116">
        <f>+MIN(G15:I15)</f>
        <v>683.2</v>
      </c>
      <c r="HR15" s="116">
        <f>+MIN(J15:L15)</f>
        <v>591.555555555556</v>
      </c>
      <c r="HS15" s="116">
        <f>+MIN(M15:O15)</f>
        <v>583.64444444444496</v>
      </c>
      <c r="HT15" s="116">
        <f>+MIN(P15:R15)</f>
        <v>452.066666666667</v>
      </c>
      <c r="HU15" s="116">
        <f>+MIN(S15:U15)</f>
        <v>518.06666666666695</v>
      </c>
      <c r="HV15" s="116">
        <f>+MIN(V15:X15)</f>
        <v>634.4</v>
      </c>
      <c r="HW15" s="116">
        <f>+MIN(Y15:AA15)</f>
        <v>828.3</v>
      </c>
      <c r="HX15" s="116">
        <f>+MIN(AB15:AD15)</f>
        <v>956.9</v>
      </c>
      <c r="HY15" s="116">
        <f>+MIN(AE15:AG15)</f>
        <v>933.33333333333303</v>
      </c>
      <c r="HZ15" s="116">
        <f>+MIN(AH15:AJ15)</f>
        <v>991.03333333333296</v>
      </c>
      <c r="IA15" s="116">
        <f>+MIN(AK15:AM15)</f>
        <v>1030.2333333333299</v>
      </c>
      <c r="IB15" s="116">
        <f>+MIN(AN15:AP15)</f>
        <v>942.1</v>
      </c>
      <c r="IC15" s="116">
        <f>+MIN(AQ15:AS15)</f>
        <v>843.66666666666697</v>
      </c>
      <c r="ID15" s="116">
        <f>+MIN(AT15:AV15)</f>
        <v>677.73333333333301</v>
      </c>
      <c r="IE15" s="116">
        <f>+MIN(AW15:AY15)</f>
        <v>784.66666666666697</v>
      </c>
      <c r="IF15" s="116">
        <f>+MIN(AZ15:BB15)</f>
        <v>941.7</v>
      </c>
      <c r="IG15" s="116">
        <f>+MIN(BC15:BE15)</f>
        <v>863.53333333333296</v>
      </c>
      <c r="IH15" s="116">
        <f>+MIN(BF15:BH15)</f>
        <v>900</v>
      </c>
      <c r="II15" s="116">
        <f>+MIN(BI15:BK15)</f>
        <v>1052</v>
      </c>
      <c r="IJ15" s="116">
        <f>+MIN(BL15:BN15)</f>
        <v>1114</v>
      </c>
      <c r="IK15" s="116">
        <f>+MIN(BO15:BQ15)</f>
        <v>1124.5</v>
      </c>
      <c r="IL15" s="116">
        <f>+MIN(BR15:BT15)</f>
        <v>1243.1500000000001</v>
      </c>
      <c r="IM15" s="116">
        <f>+MIN(BU15:BW15)</f>
        <v>1205.5999999999999</v>
      </c>
      <c r="IN15" s="116">
        <f>+MIN(BX15:BZ15)</f>
        <v>1226.05</v>
      </c>
      <c r="IO15" s="116">
        <f>+MIN(CA15:CC15)</f>
        <v>1183.4000000000001</v>
      </c>
      <c r="IP15" s="116">
        <f>+MIN(CD15:CF15)</f>
        <v>1202.3</v>
      </c>
      <c r="IQ15" s="116">
        <f>+MIN(CG15:CI15)</f>
        <v>1284.9000000000001</v>
      </c>
      <c r="IR15" s="116">
        <f>+MIN(CJ15:CL15)</f>
        <v>1274.0999999999999</v>
      </c>
      <c r="IS15" s="116">
        <f>+MIN(CM15:CO15)</f>
        <v>1255.5999999999999</v>
      </c>
      <c r="IT15" s="116">
        <f>+MIN(CP15:CR15)</f>
        <v>661.05</v>
      </c>
      <c r="IU15" s="116">
        <f>+MIN(CS15:CU15)</f>
        <v>763</v>
      </c>
      <c r="IV15" s="116">
        <f>+MIN(CV15:CX15)</f>
        <v>842.5</v>
      </c>
      <c r="IW15" s="116">
        <f>+MIN(CY15:DA15)</f>
        <v>876.25</v>
      </c>
      <c r="IX15" s="116">
        <f>+MIN(DB15:DD15)</f>
        <v>1281</v>
      </c>
      <c r="IY15" s="116">
        <f>+MIN(DE15:DG15)</f>
        <v>1306.4000000000001</v>
      </c>
      <c r="IZ15" s="116">
        <f>+MIN(DH15:DJ15)</f>
        <v>1475.85</v>
      </c>
      <c r="JA15" s="116">
        <f>+MIN(DK15:DM15)</f>
        <v>1684.4</v>
      </c>
      <c r="JB15" s="116">
        <f>+MIN(DN15:DP15)</f>
        <v>1595</v>
      </c>
      <c r="JC15" s="116">
        <f>+MIN(DQ15:DS15)</f>
        <v>1456.8</v>
      </c>
      <c r="JD15" s="116">
        <f>+MIN(DT15:DV15)</f>
        <v>1535</v>
      </c>
      <c r="JE15" s="116">
        <f>+MIN(DW15:DY15)</f>
        <v>1814</v>
      </c>
      <c r="JF15" s="116">
        <f>+MIN(DZ15:EB15)</f>
        <v>2058.1</v>
      </c>
      <c r="JG15" s="116">
        <f>+MIN(EC15:EE15)</f>
        <v>2155.5500000000002</v>
      </c>
      <c r="JH15" s="116">
        <f>+MIN(EF15:EH15)</f>
        <v>2419.9499999999998</v>
      </c>
      <c r="JI15" s="116">
        <f>+MIN(EI15:EK15)</f>
        <v>2856.85</v>
      </c>
      <c r="JJ15" s="116">
        <f>+MIN(EL15:EN15)</f>
        <v>3264</v>
      </c>
      <c r="JK15" s="116">
        <f>MIN(EO15:EQ15)</f>
        <v>3175.5</v>
      </c>
      <c r="JL15" s="116">
        <f>MIN(ER15:ET15)</f>
        <v>3401.05</v>
      </c>
      <c r="JM15" s="116">
        <f>MIN(EU15:EW15)</f>
        <v>3262.95</v>
      </c>
      <c r="JN15" s="116">
        <f>MIN(EX15:EZ15)</f>
        <v>3141.3</v>
      </c>
      <c r="JO15" s="116">
        <f>MIN(FA15:FC15)</f>
        <v>2967.65</v>
      </c>
      <c r="JP15" s="116">
        <f>MIN(FD15:FF15)</f>
        <v>3405.3</v>
      </c>
      <c r="JQ15" s="116">
        <f>MIN(FG15:FI15)</f>
        <v>3614.8</v>
      </c>
      <c r="JR15" s="116">
        <f>MIN(FJ15:FL15)</f>
        <v>3288.65</v>
      </c>
      <c r="JS15" s="116">
        <f>MIN(FM15:FO15)</f>
        <v>3470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621.04444444444403</v>
      </c>
      <c r="D16" s="116" cm="1">
        <f t="array" ref="D16">_xll.EQNXTDZ($A$1,$B16,D$1)</f>
        <v>608.73333333333301</v>
      </c>
      <c r="E16" s="116" cm="1">
        <f t="array" ref="E16">_xll.EQNXTDZ($A$1,$B16,E$1)</f>
        <v>596.17777777777803</v>
      </c>
      <c r="F16" s="116" cm="1">
        <f t="array" ref="F16">_xll.EQNXTDZ($A$1,$B16,F$1)</f>
        <v>709.66666666666697</v>
      </c>
      <c r="G16" s="116" cm="1">
        <f t="array" ref="G16">_xll.EQNXTDZ($A$1,$B16,G$1)</f>
        <v>722.11111111111097</v>
      </c>
      <c r="H16" s="116" cm="1">
        <f t="array" ref="H16">_xll.EQNXTDZ($A$1,$B16,H$1)</f>
        <v>740.93333333333305</v>
      </c>
      <c r="I16" s="116" cm="1">
        <f t="array" ref="I16">_xll.EQNXTDZ($A$1,$B16,I$1)</f>
        <v>713.71111111111099</v>
      </c>
      <c r="J16" s="116" cm="1">
        <f t="array" ref="J16">_xll.EQNXTDZ($A$1,$B16,J$1)</f>
        <v>685.73333333333301</v>
      </c>
      <c r="K16" s="116" cm="1">
        <f t="array" ref="K16">_xll.EQNXTDZ($A$1,$B16,K$1)</f>
        <v>607.02222222222201</v>
      </c>
      <c r="L16" s="116" cm="1">
        <f t="array" ref="L16">_xll.EQNXTDZ($A$1,$B16,L$1)</f>
        <v>606.62222222222204</v>
      </c>
      <c r="M16" s="116" cm="1">
        <f t="array" ref="M16">_xll.EQNXTDZ($A$1,$B16,M$1)</f>
        <v>672.26666666666699</v>
      </c>
      <c r="N16" s="116" cm="1">
        <f t="array" ref="N16">_xll.EQNXTDZ($A$1,$B16,N$1)</f>
        <v>622.93333333333305</v>
      </c>
      <c r="O16" s="116" cm="1">
        <f t="array" ref="O16">_xll.EQNXTDZ($A$1,$B16,O$1)</f>
        <v>624.06666666666695</v>
      </c>
      <c r="P16" s="116" cm="1">
        <f t="array" ref="P16">_xll.EQNXTDZ($A$1,$B16,P$1)</f>
        <v>564.29999999999995</v>
      </c>
      <c r="Q16" s="116" cm="1">
        <f t="array" ref="Q16">_xll.EQNXTDZ($A$1,$B16,Q$1)</f>
        <v>481.5</v>
      </c>
      <c r="R16" s="116" cm="1">
        <f t="array" ref="R16">_xll.EQNXTDZ($A$1,$B16,R$1)</f>
        <v>525.73333333333301</v>
      </c>
      <c r="S16" s="116" cm="1">
        <f t="array" ref="S16">_xll.EQNXTDZ($A$1,$B16,S$1)</f>
        <v>648.36666666666702</v>
      </c>
      <c r="T16" s="116" cm="1">
        <f t="array" ref="T16">_xll.EQNXTDZ($A$1,$B16,T$1)</f>
        <v>695.56666666666695</v>
      </c>
      <c r="U16" s="116" cm="1">
        <f t="array" ref="U16">_xll.EQNXTDZ($A$1,$B16,U$1)</f>
        <v>713.26666666666699</v>
      </c>
      <c r="V16" s="116" cm="1">
        <f t="array" ref="V16">_xll.EQNXTDZ($A$1,$B16,V$1)</f>
        <v>656.93333333333305</v>
      </c>
      <c r="W16" s="116" cm="1">
        <f t="array" ref="W16">_xll.EQNXTDZ($A$1,$B16,W$1)</f>
        <v>738.86666666666702</v>
      </c>
      <c r="X16" s="116" cm="1">
        <f t="array" ref="X16">_xll.EQNXTDZ($A$1,$B16,X$1)</f>
        <v>848.43333333333305</v>
      </c>
      <c r="Y16" s="116" cm="1">
        <f t="array" ref="Y16">_xll.EQNXTDZ($A$1,$B16,Y$1)</f>
        <v>863.7</v>
      </c>
      <c r="Z16" s="116" cm="1">
        <f t="array" ref="Z16">_xll.EQNXTDZ($A$1,$B16,Z$1)</f>
        <v>1032.5999999999999</v>
      </c>
      <c r="AA16" s="116" cm="1">
        <f t="array" ref="AA16">_xll.EQNXTDZ($A$1,$B16,AA$1)</f>
        <v>1134.4000000000001</v>
      </c>
      <c r="AB16" s="116" cm="1">
        <f t="array" ref="AB16">_xll.EQNXTDZ($A$1,$B16,AB$1)</f>
        <v>1002.7333333333301</v>
      </c>
      <c r="AC16" s="116" cm="1">
        <f t="array" ref="AC16">_xll.EQNXTDZ($A$1,$B16,AC$1)</f>
        <v>1017.93333333333</v>
      </c>
      <c r="AD16" s="116" cm="1">
        <f t="array" ref="AD16">_xll.EQNXTDZ($A$1,$B16,AD$1)</f>
        <v>971.63333333333298</v>
      </c>
      <c r="AE16" s="116" cm="1">
        <f t="array" ref="AE16">_xll.EQNXTDZ($A$1,$B16,AE$1)</f>
        <v>1103.2333333333299</v>
      </c>
      <c r="AF16" s="116" cm="1">
        <f t="array" ref="AF16">_xll.EQNXTDZ($A$1,$B16,AF$1)</f>
        <v>1093.4000000000001</v>
      </c>
      <c r="AG16" s="116" cm="1">
        <f t="array" ref="AG16">_xll.EQNXTDZ($A$1,$B16,AG$1)</f>
        <v>997.66666666666697</v>
      </c>
      <c r="AH16" s="116" cm="1">
        <f t="array" ref="AH16">_xll.EQNXTDZ($A$1,$B16,AH$1)</f>
        <v>1133.4000000000001</v>
      </c>
      <c r="AI16" s="116" cm="1">
        <f t="array" ref="AI16">_xll.EQNXTDZ($A$1,$B16,AI$1)</f>
        <v>1177.93333333333</v>
      </c>
      <c r="AJ16" s="116" cm="1">
        <f t="array" ref="AJ16">_xll.EQNXTDZ($A$1,$B16,AJ$1)</f>
        <v>1146</v>
      </c>
      <c r="AK16" s="116" cm="1">
        <f t="array" ref="AK16">_xll.EQNXTDZ($A$1,$B16,AK$1)</f>
        <v>1088.3333333333301</v>
      </c>
      <c r="AL16" s="116" cm="1">
        <f t="array" ref="AL16">_xll.EQNXTDZ($A$1,$B16,AL$1)</f>
        <v>1103.56666666667</v>
      </c>
      <c r="AM16" s="116" cm="1">
        <f t="array" ref="AM16">_xll.EQNXTDZ($A$1,$B16,AM$1)</f>
        <v>1188.5</v>
      </c>
      <c r="AN16" s="116" cm="1">
        <f t="array" ref="AN16">_xll.EQNXTDZ($A$1,$B16,AN$1)</f>
        <v>1193.0333333333299</v>
      </c>
      <c r="AO16" s="116" cm="1">
        <f t="array" ref="AO16">_xll.EQNXTDZ($A$1,$B16,AO$1)</f>
        <v>1070.2</v>
      </c>
      <c r="AP16" s="116" cm="1">
        <f t="array" ref="AP16">_xll.EQNXTDZ($A$1,$B16,AP$1)</f>
        <v>977.8</v>
      </c>
      <c r="AQ16" s="116" cm="1">
        <f t="array" ref="AQ16">_xll.EQNXTDZ($A$1,$B16,AQ$1)</f>
        <v>940.76666666666699</v>
      </c>
      <c r="AR16" s="116" cm="1">
        <f t="array" ref="AR16">_xll.EQNXTDZ($A$1,$B16,AR$1)</f>
        <v>916.03333333333296</v>
      </c>
      <c r="AS16" s="116" cm="1">
        <f t="array" ref="AS16">_xll.EQNXTDZ($A$1,$B16,AS$1)</f>
        <v>850.43333333333305</v>
      </c>
      <c r="AT16" s="116" cm="1">
        <f t="array" ref="AT16">_xll.EQNXTDZ($A$1,$B16,AT$1)</f>
        <v>734.8</v>
      </c>
      <c r="AU16" s="116" cm="1">
        <f t="array" ref="AU16">_xll.EQNXTDZ($A$1,$B16,AU$1)</f>
        <v>719.5</v>
      </c>
      <c r="AV16" s="116" cm="1">
        <f t="array" ref="AV16">_xll.EQNXTDZ($A$1,$B16,AV$1)</f>
        <v>810.8</v>
      </c>
      <c r="AW16" s="116" cm="1">
        <f t="array" ref="AW16">_xll.EQNXTDZ($A$1,$B16,AW$1)</f>
        <v>835.7</v>
      </c>
      <c r="AX16" s="116" cm="1">
        <f t="array" ref="AX16">_xll.EQNXTDZ($A$1,$B16,AX$1)</f>
        <v>982.86666666666702</v>
      </c>
      <c r="AY16" s="116" cm="1">
        <f t="array" ref="AY16">_xll.EQNXTDZ($A$1,$B16,AY$1)</f>
        <v>997.46666666666704</v>
      </c>
      <c r="AZ16" s="116" cm="1">
        <f t="array" ref="AZ16">_xll.EQNXTDZ($A$1,$B16,AZ$1)</f>
        <v>1038.6666666666699</v>
      </c>
      <c r="BA16" s="116" cm="1">
        <f t="array" ref="BA16">_xll.EQNXTDZ($A$1,$B16,BA$1)</f>
        <v>1009.2333333333301</v>
      </c>
      <c r="BB16" s="116" cm="1">
        <f t="array" ref="BB16">_xll.EQNXTDZ($A$1,$B16,BB$1)</f>
        <v>954.43333333333305</v>
      </c>
      <c r="BC16" s="116" cm="1">
        <f t="array" ref="BC16">_xll.EQNXTDZ($A$1,$B16,BC$1)</f>
        <v>984.43333333333305</v>
      </c>
      <c r="BD16" s="116" cm="1">
        <f t="array" ref="BD16">_xll.EQNXTDZ($A$1,$B16,BD$1)</f>
        <v>921.7</v>
      </c>
      <c r="BE16" s="116" cm="1">
        <f t="array" ref="BE16">_xll.EQNXTDZ($A$1,$B16,BE$1)</f>
        <v>899.6</v>
      </c>
      <c r="BF16" s="116" cm="1">
        <f t="array" ref="BF16">_xll.EQNXTDZ($A$1,$B16,BF$1)</f>
        <v>963.16666666666697</v>
      </c>
      <c r="BG16" s="116" cm="1">
        <f t="array" ref="BG16">_xll.EQNXTDZ($A$1,$B16,BG$1)</f>
        <v>980.16666666666697</v>
      </c>
      <c r="BH16" s="116" cm="1">
        <f t="array" ref="BH16">_xll.EQNXTDZ($A$1,$B16,BH$1)</f>
        <v>1051.7333333333299</v>
      </c>
      <c r="BI16" s="116" cm="1">
        <f t="array" ref="BI16">_xll.EQNXTDZ($A$1,$B16,BI$1)</f>
        <v>1165.36666666667</v>
      </c>
      <c r="BJ16" s="116" cm="1">
        <f t="array" ref="BJ16">_xll.EQNXTDZ($A$1,$B16,BJ$1)</f>
        <v>1173.1666666666699</v>
      </c>
      <c r="BK16" s="116" cm="1">
        <f t="array" ref="BK16">_xll.EQNXTDZ($A$1,$B16,BK$1)</f>
        <v>1125.2</v>
      </c>
      <c r="BL16" s="116" cm="1">
        <f t="array" ref="BL16">_xll.EQNXTDZ($A$1,$B16,BL$1)</f>
        <v>1192.0999999999999</v>
      </c>
      <c r="BM16" s="116" cm="1">
        <f t="array" ref="BM16">_xll.EQNXTDZ($A$1,$B16,BM$1)</f>
        <v>1136</v>
      </c>
      <c r="BN16" s="116" cm="1">
        <f t="array" ref="BN16">_xll.EQNXTDZ($A$1,$B16,BN$1)</f>
        <v>1141.2</v>
      </c>
      <c r="BO16" s="116" cm="1">
        <f t="array" ref="BO16">_xll.EQNXTDZ($A$1,$B16,BO$1)</f>
        <v>1220.5999999999999</v>
      </c>
      <c r="BP16" s="116" cm="1">
        <f t="array" ref="BP16">_xll.EQNXTDZ($A$1,$B16,BP$1)</f>
        <v>1216.8499999999999</v>
      </c>
      <c r="BQ16" s="116" cm="1">
        <f t="array" ref="BQ16">_xll.EQNXTDZ($A$1,$B16,BQ$1)</f>
        <v>1256.95</v>
      </c>
      <c r="BR16" s="116" cm="1">
        <f t="array" ref="BR16">_xll.EQNXTDZ($A$1,$B16,BR$1)</f>
        <v>1416.6</v>
      </c>
      <c r="BS16" s="116" cm="1">
        <f t="array" ref="BS16">_xll.EQNXTDZ($A$1,$B16,BS$1)</f>
        <v>1319.1</v>
      </c>
      <c r="BT16" s="116" cm="1">
        <f t="array" ref="BT16">_xll.EQNXTDZ($A$1,$B16,BT$1)</f>
        <v>1311.9</v>
      </c>
      <c r="BU16" s="116" cm="1">
        <f t="array" ref="BU16">_xll.EQNXTDZ($A$1,$B16,BU$1)</f>
        <v>1400.6</v>
      </c>
      <c r="BV16" s="116" cm="1">
        <f t="array" ref="BV16">_xll.EQNXTDZ($A$1,$B16,BV$1)</f>
        <v>1367.6</v>
      </c>
      <c r="BW16" s="116" cm="1">
        <f t="array" ref="BW16">_xll.EQNXTDZ($A$1,$B16,BW$1)</f>
        <v>1271.3</v>
      </c>
      <c r="BX16" s="116" cm="1">
        <f t="array" ref="BX16">_xll.EQNXTDZ($A$1,$B16,BX$1)</f>
        <v>1302.5999999999999</v>
      </c>
      <c r="BY16" s="116" cm="1">
        <f t="array" ref="BY16">_xll.EQNXTDZ($A$1,$B16,BY$1)</f>
        <v>1369.1</v>
      </c>
      <c r="BZ16" s="116" cm="1">
        <f t="array" ref="BZ16">_xll.EQNXTDZ($A$1,$B16,BZ$1)</f>
        <v>1266.6500000000001</v>
      </c>
      <c r="CA16" s="116" cm="1">
        <f t="array" ref="CA16">_xll.EQNXTDZ($A$1,$B16,CA$1)</f>
        <v>1298.3499999999999</v>
      </c>
      <c r="CB16" s="116" cm="1">
        <f t="array" ref="CB16">_xll.EQNXTDZ($A$1,$B16,CB$1)</f>
        <v>1429.65</v>
      </c>
      <c r="CC16" s="116" cm="1">
        <f t="array" ref="CC16">_xll.EQNXTDZ($A$1,$B16,CC$1)</f>
        <v>1438.5</v>
      </c>
      <c r="CD16" s="116" cm="1">
        <f t="array" ref="CD16">_xll.EQNXTDZ($A$1,$B16,CD$1)</f>
        <v>1313.4</v>
      </c>
      <c r="CE16" s="116" cm="1">
        <f t="array" ref="CE16">_xll.EQNXTDZ($A$1,$B16,CE$1)</f>
        <v>1294.5</v>
      </c>
      <c r="CF16" s="116" cm="1">
        <f t="array" ref="CF16">_xll.EQNXTDZ($A$1,$B16,CF$1)</f>
        <v>1384.05</v>
      </c>
      <c r="CG16" s="116" cm="1">
        <f t="array" ref="CG16">_xll.EQNXTDZ($A$1,$B16,CG$1)</f>
        <v>1347.75</v>
      </c>
      <c r="CH16" s="116" cm="1">
        <f t="array" ref="CH16">_xll.EQNXTDZ($A$1,$B16,CH$1)</f>
        <v>1557.95</v>
      </c>
      <c r="CI16" s="116" cm="1">
        <f t="array" ref="CI16">_xll.EQNXTDZ($A$1,$B16,CI$1)</f>
        <v>1553.05</v>
      </c>
      <c r="CJ16" s="116" cm="1">
        <f t="array" ref="CJ16">_xll.EQNXTDZ($A$1,$B16,CJ$1)</f>
        <v>1387.15</v>
      </c>
      <c r="CK16" s="116" cm="1">
        <f t="array" ref="CK16">_xll.EQNXTDZ($A$1,$B16,CK$1)</f>
        <v>1328.1</v>
      </c>
      <c r="CL16" s="116" cm="1">
        <f t="array" ref="CL16">_xll.EQNXTDZ($A$1,$B16,CL$1)</f>
        <v>1476.6</v>
      </c>
      <c r="CM16" s="116" cm="1">
        <f t="array" ref="CM16">_xll.EQNXTDZ($A$1,$B16,CM$1)</f>
        <v>1473.4</v>
      </c>
      <c r="CN16" s="116" cm="1">
        <f t="array" ref="CN16">_xll.EQNXTDZ($A$1,$B16,CN$1)</f>
        <v>1330.6</v>
      </c>
      <c r="CO16" s="116" cm="1">
        <f t="array" ref="CO16">_xll.EQNXTDZ($A$1,$B16,CO$1)</f>
        <v>1298.95</v>
      </c>
      <c r="CP16" s="116" cm="1">
        <f t="array" ref="CP16">_xll.EQNXTDZ($A$1,$B16,CP$1)</f>
        <v>1369.1</v>
      </c>
      <c r="CQ16" s="116" cm="1">
        <f t="array" ref="CQ16">_xll.EQNXTDZ($A$1,$B16,CQ$1)</f>
        <v>1183</v>
      </c>
      <c r="CR16" s="116" cm="1">
        <f t="array" ref="CR16">_xll.EQNXTDZ($A$1,$B16,CR$1)</f>
        <v>806.85</v>
      </c>
      <c r="CS16" s="116" cm="1">
        <f t="array" ref="CS16">_xll.EQNXTDZ($A$1,$B16,CS$1)</f>
        <v>897.35</v>
      </c>
      <c r="CT16" s="116" cm="1">
        <f t="array" ref="CT16">_xll.EQNXTDZ($A$1,$B16,CT$1)</f>
        <v>932.3</v>
      </c>
      <c r="CU16" s="116" cm="1">
        <f t="array" ref="CU16">_xll.EQNXTDZ($A$1,$B16,CU$1)</f>
        <v>944.05</v>
      </c>
      <c r="CV16" s="116" cm="1">
        <f t="array" ref="CV16">_xll.EQNXTDZ($A$1,$B16,CV$1)</f>
        <v>913.35</v>
      </c>
      <c r="CW16" s="116" cm="1">
        <f t="array" ref="CW16">_xll.EQNXTDZ($A$1,$B16,CW$1)</f>
        <v>945.3</v>
      </c>
      <c r="CX16" s="116" cm="1">
        <f t="array" ref="CX16">_xll.EQNXTDZ($A$1,$B16,CX$1)</f>
        <v>902.45</v>
      </c>
      <c r="CY16" s="116" cm="1">
        <f t="array" ref="CY16">_xll.EQNXTDZ($A$1,$B16,CY$1)</f>
        <v>929.6</v>
      </c>
      <c r="CZ16" s="116" cm="1">
        <f t="array" ref="CZ16">_xll.EQNXTDZ($A$1,$B16,CZ$1)</f>
        <v>1115.8</v>
      </c>
      <c r="DA16" s="116" cm="1">
        <f t="array" ref="DA16">_xll.EQNXTDZ($A$1,$B16,DA$1)</f>
        <v>1287.55</v>
      </c>
      <c r="DB16" s="116" cm="1">
        <f t="array" ref="DB16">_xll.EQNXTDZ($A$1,$B16,DB$1)</f>
        <v>1334.6</v>
      </c>
      <c r="DC16" s="116" cm="1">
        <f t="array" ref="DC16">_xll.EQNXTDZ($A$1,$B16,DC$1)</f>
        <v>1442.25</v>
      </c>
      <c r="DD16" s="116" cm="1">
        <f t="array" ref="DD16">_xll.EQNXTDZ($A$1,$B16,DD$1)</f>
        <v>1418.35</v>
      </c>
      <c r="DE16" s="116" cm="1">
        <f t="array" ref="DE16">_xll.EQNXTDZ($A$1,$B16,DE$1)</f>
        <v>1340.2</v>
      </c>
      <c r="DF16" s="116" cm="1">
        <f t="array" ref="DF16">_xll.EQNXTDZ($A$1,$B16,DF$1)</f>
        <v>1465.55</v>
      </c>
      <c r="DG16" s="116" cm="1">
        <f t="array" ref="DG16">_xll.EQNXTDZ($A$1,$B16,DG$1)</f>
        <v>1501.25</v>
      </c>
      <c r="DH16" s="116" cm="1">
        <f t="array" ref="DH16">_xll.EQNXTDZ($A$1,$B16,DH$1)</f>
        <v>1601.4</v>
      </c>
      <c r="DI16" s="116" cm="1">
        <f t="array" ref="DI16">_xll.EQNXTDZ($A$1,$B16,DI$1)</f>
        <v>1671.4</v>
      </c>
      <c r="DJ16" s="116" cm="1">
        <f t="array" ref="DJ16">_xll.EQNXTDZ($A$1,$B16,DJ$1)</f>
        <v>1703.15</v>
      </c>
      <c r="DK16" s="116" cm="1">
        <f t="array" ref="DK16">_xll.EQNXTDZ($A$1,$B16,DK$1)</f>
        <v>1766.8</v>
      </c>
      <c r="DL16" s="116" cm="1">
        <f t="array" ref="DL16">_xll.EQNXTDZ($A$1,$B16,DL$1)</f>
        <v>1763.9</v>
      </c>
      <c r="DM16" s="116" cm="1">
        <f t="array" ref="DM16">_xll.EQNXTDZ($A$1,$B16,DM$1)</f>
        <v>1895</v>
      </c>
      <c r="DN16" s="116" cm="1">
        <f t="array" ref="DN16">_xll.EQNXTDZ($A$1,$B16,DN$1)</f>
        <v>1908.85</v>
      </c>
      <c r="DO16" s="116" cm="1">
        <f t="array" ref="DO16">_xll.EQNXTDZ($A$1,$B16,DO$1)</f>
        <v>1816.9</v>
      </c>
      <c r="DP16" s="116" cm="1">
        <f t="array" ref="DP16">_xll.EQNXTDZ($A$1,$B16,DP$1)</f>
        <v>1767.45</v>
      </c>
      <c r="DQ16" s="116" cm="1">
        <f t="array" ref="DQ16">_xll.EQNXTDZ($A$1,$B16,DQ$1)</f>
        <v>1695.8</v>
      </c>
      <c r="DR16" s="116" cm="1">
        <f t="array" ref="DR16">_xll.EQNXTDZ($A$1,$B16,DR$1)</f>
        <v>1653.55</v>
      </c>
      <c r="DS16" s="116" cm="1">
        <f t="array" ref="DS16">_xll.EQNXTDZ($A$1,$B16,DS$1)</f>
        <v>1557.05</v>
      </c>
      <c r="DT16" s="116" cm="1">
        <f t="array" ref="DT16">_xll.EQNXTDZ($A$1,$B16,DT$1)</f>
        <v>1807.65</v>
      </c>
      <c r="DU16" s="116" cm="1">
        <f t="array" ref="DU16">_xll.EQNXTDZ($A$1,$B16,DU$1)</f>
        <v>1921.75</v>
      </c>
      <c r="DV16" s="116" cm="1">
        <f t="array" ref="DV16">_xll.EQNXTDZ($A$1,$B16,DV$1)</f>
        <v>1848.7</v>
      </c>
      <c r="DW16" s="116" cm="1">
        <f t="array" ref="DW16">_xll.EQNXTDZ($A$1,$B16,DW$1)</f>
        <v>2023.95</v>
      </c>
      <c r="DX16" s="116" cm="1">
        <f t="array" ref="DX16">_xll.EQNXTDZ($A$1,$B16,DX$1)</f>
        <v>2077.3000000000002</v>
      </c>
      <c r="DY16" s="116" cm="1">
        <f t="array" ref="DY16">_xll.EQNXTDZ($A$1,$B16,DY$1)</f>
        <v>2086.3000000000002</v>
      </c>
      <c r="DZ16" s="116" cm="1">
        <f t="array" ref="DZ16">_xll.EQNXTDZ($A$1,$B16,DZ$1)</f>
        <v>2125.1</v>
      </c>
      <c r="EA16" s="116" cm="1">
        <f t="array" ref="EA16">_xll.EQNXTDZ($A$1,$B16,EA$1)</f>
        <v>2105.9499999999998</v>
      </c>
      <c r="EB16" s="116" cm="1">
        <f t="array" ref="EB16">_xll.EQNXTDZ($A$1,$B16,EB$1)</f>
        <v>2164.75</v>
      </c>
      <c r="EC16" s="116" cm="1">
        <f t="array" ref="EC16">_xll.EQNXTDZ($A$1,$B16,EC$1)</f>
        <v>2364.75</v>
      </c>
      <c r="ED16" s="116" cm="1">
        <f t="array" ref="ED16">_xll.EQNXTDZ($A$1,$B16,ED$1)</f>
        <v>2206.4499999999998</v>
      </c>
      <c r="EE16" s="116" cm="1">
        <f t="array" ref="EE16">_xll.EQNXTDZ($A$1,$B16,EE$1)</f>
        <v>2474.5</v>
      </c>
      <c r="EF16" s="116" cm="1">
        <f t="array" ref="EF16">_xll.EQNXTDZ($A$1,$B16,EF$1)</f>
        <v>2679.9</v>
      </c>
      <c r="EG16" s="116" cm="1">
        <f t="array" ref="EG16">_xll.EQNXTDZ($A$1,$B16,EG$1)</f>
        <v>2706</v>
      </c>
      <c r="EH16" s="116" cm="1">
        <f t="array" ref="EH16">_xll.EQNXTDZ($A$1,$B16,EH$1)</f>
        <v>3021.95</v>
      </c>
      <c r="EI16" s="116" cm="1">
        <f t="array" ref="EI16">_xll.EQNXTDZ($A$1,$B16,EI$1)</f>
        <v>2928.8</v>
      </c>
      <c r="EJ16" s="116" cm="1">
        <f t="array" ref="EJ16">_xll.EQNXTDZ($A$1,$B16,EJ$1)</f>
        <v>3111.65</v>
      </c>
      <c r="EK16" s="116" cm="1">
        <f t="array" ref="EK16">_xll.EQNXTDZ($A$1,$B16,EK$1)</f>
        <v>3527.05</v>
      </c>
      <c r="EL16" s="116" cm="1">
        <f t="array" ref="EL16">_xll.EQNXTDZ($A$1,$B16,EL$1)</f>
        <v>3480.15</v>
      </c>
      <c r="EM16" s="116" cm="1">
        <f t="array" ref="EM16">_xll.EQNXTDZ($A$1,$B16,EM$1)</f>
        <v>3481.6</v>
      </c>
      <c r="EN16" s="116" cm="1">
        <f t="array" ref="EN16">_xll.EQNXTDZ($A$1,$B16,EN$1)</f>
        <v>3774.1</v>
      </c>
      <c r="EO16" s="116" cm="1">
        <f t="array" ref="EO16">_xll.EQNXTDZ($A$1,$B16,EO$1)</f>
        <v>3594.15</v>
      </c>
      <c r="EP16" s="116" cm="1">
        <f t="array" ref="EP16">_xll.EQNXTDZ($A$1,$B16,EP$1)</f>
        <v>3667.4</v>
      </c>
      <c r="EQ16" s="116" cm="1">
        <f t="array" ref="EQ16">_xll.EQNXTDZ($A$1,$B16,EQ$1)</f>
        <v>3549.4</v>
      </c>
      <c r="ER16" s="116" cm="1">
        <f t="array" ref="ER16">_xll.EQNXTDZ($A$1,$B16,ER$1)</f>
        <v>3812.55</v>
      </c>
      <c r="ES16" s="116" cm="1">
        <f t="array" ref="ES16">_xll.EQNXTDZ($A$1,$B16,ES$1)</f>
        <v>3703.1</v>
      </c>
      <c r="ET16" s="116" cm="1">
        <f t="array" ref="ET16">_xll.EQNXTDZ($A$1,$B16,ET$1)</f>
        <v>3675.5</v>
      </c>
      <c r="EU16" s="116" cm="1">
        <f t="array" ref="EU16">_xll.EQNXTDZ($A$1,$B16,EU$1)</f>
        <v>3624.4</v>
      </c>
      <c r="EV16" s="116" cm="1">
        <f t="array" ref="EV16">_xll.EQNXTDZ($A$1,$B16,EV$1)</f>
        <v>3725.9</v>
      </c>
      <c r="EW16" s="116" cm="1">
        <f t="array" ref="EW16">_xll.EQNXTDZ($A$1,$B16,EW$1)</f>
        <v>3608</v>
      </c>
      <c r="EX16" s="116" cm="1">
        <f t="array" ref="EX16">_xll.EQNXTDZ($A$1,$B16,EX$1)</f>
        <v>3567.2</v>
      </c>
      <c r="EY16" s="116" cm="1">
        <f t="array" ref="EY16">_xll.EQNXTDZ($A$1,$B16,EY$1)</f>
        <v>3164.75</v>
      </c>
      <c r="EZ16" s="116" cm="1">
        <f t="array" ref="EZ16">_xll.EQNXTDZ($A$1,$B16,EZ$1)</f>
        <v>3491</v>
      </c>
      <c r="FA16" s="116" cm="1">
        <f t="array" ref="FA16">_xll.EQNXTDZ($A$1,$B16,FA$1)</f>
        <v>3340.55</v>
      </c>
      <c r="FB16" s="116" cm="1">
        <f t="array" ref="FB16">_xll.EQNXTDZ($A$1,$B16,FB$1)</f>
        <v>3675.75</v>
      </c>
      <c r="FC16" s="116" cm="1">
        <f t="array" ref="FC16">_xll.EQNXTDZ($A$1,$B16,FC$1)</f>
        <v>3668.55</v>
      </c>
      <c r="FD16" s="116" cm="1">
        <f t="array" ref="FD16">_xll.EQNXTDZ($A$1,$B16,FD$1)</f>
        <v>3635.65</v>
      </c>
      <c r="FE16" s="116" cm="1">
        <f t="array" ref="FE16">_xll.EQNXTDZ($A$1,$B16,FE$1)</f>
        <v>3599.85</v>
      </c>
      <c r="FF16" s="116" cm="1">
        <f t="array" ref="FF16">_xll.EQNXTDZ($A$1,$B16,FF$1)</f>
        <v>3658.8</v>
      </c>
      <c r="FG16" s="116" cm="1">
        <f t="array" ref="FG16">_xll.EQNXTDZ($A$1,$B16,FG$1)</f>
        <v>4031.2</v>
      </c>
      <c r="FH16" s="116" cm="1">
        <f t="array" ref="FH16">_xll.EQNXTDZ($A$1,$B16,FH$1)</f>
        <v>4068.5</v>
      </c>
      <c r="FI16" s="116" cm="1">
        <f t="array" ref="FI16">_xll.EQNXTDZ($A$1,$B16,FI$1)</f>
        <v>4083.1</v>
      </c>
      <c r="FJ16" s="116" cm="1">
        <f t="array" ref="FJ16">_xll.EQNXTDZ($A$1,$B16,FJ$1)</f>
        <v>3933.45</v>
      </c>
      <c r="FK16" s="116" cm="1">
        <f t="array" ref="FK16">_xll.EQNXTDZ($A$1,$B16,FK$1)</f>
        <v>4280.55</v>
      </c>
      <c r="FL16" s="116" cm="1">
        <f t="array" ref="FL16">_xll.EQNXTDZ($A$1,$B16,FL$1)</f>
        <v>3504.3</v>
      </c>
      <c r="FM16" s="116" cm="1">
        <f t="array" ref="FM16">_xll.EQNXTDZ($A$1,$B16,FM$1)</f>
        <v>4012.65</v>
      </c>
      <c r="FN16" s="116" cm="1">
        <f t="array" ref="FN16">_xll.EQNXTDZ($A$1,$B16,FN$1)</f>
        <v>4076.65</v>
      </c>
      <c r="FO16" s="116" cm="1">
        <f t="array" ref="FO16">_xll.EQNXTDZ($A$1,$B16,FO$1)</f>
        <v>4185.7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709.66666666666697</v>
      </c>
      <c r="HQ16" s="116">
        <f>+I16</f>
        <v>713.71111111111099</v>
      </c>
      <c r="HR16" s="116">
        <f>+L16</f>
        <v>606.62222222222204</v>
      </c>
      <c r="HS16" s="116">
        <f>+O16</f>
        <v>624.06666666666695</v>
      </c>
      <c r="HT16" s="116">
        <f>+R16</f>
        <v>525.73333333333301</v>
      </c>
      <c r="HU16" s="116">
        <f>+U16</f>
        <v>713.26666666666699</v>
      </c>
      <c r="HV16" s="116">
        <f>+X16</f>
        <v>848.43333333333305</v>
      </c>
      <c r="HW16" s="116">
        <f>+AA16</f>
        <v>1134.4000000000001</v>
      </c>
      <c r="HX16" s="116">
        <f>+AD16</f>
        <v>971.63333333333298</v>
      </c>
      <c r="HY16" s="116">
        <f>+AG16</f>
        <v>997.66666666666697</v>
      </c>
      <c r="HZ16" s="116">
        <f>+AJ16</f>
        <v>1146</v>
      </c>
      <c r="IA16" s="116">
        <f>+AM16</f>
        <v>1188.5</v>
      </c>
      <c r="IB16" s="116">
        <f>+AP16</f>
        <v>977.8</v>
      </c>
      <c r="IC16" s="116">
        <f>+AS16</f>
        <v>850.43333333333305</v>
      </c>
      <c r="ID16" s="116">
        <f>+AV16</f>
        <v>810.8</v>
      </c>
      <c r="IE16" s="116">
        <f>+AY16</f>
        <v>997.46666666666704</v>
      </c>
      <c r="IF16" s="116">
        <f>+BB16</f>
        <v>954.43333333333305</v>
      </c>
      <c r="IG16" s="116">
        <f>+BE16</f>
        <v>899.6</v>
      </c>
      <c r="IH16" s="116">
        <f>+BH16</f>
        <v>1051.7333333333299</v>
      </c>
      <c r="II16" s="116">
        <f>+BK16</f>
        <v>1125.2</v>
      </c>
      <c r="IJ16" s="116">
        <f>+BN16</f>
        <v>1141.2</v>
      </c>
      <c r="IK16" s="116">
        <f>+BQ16</f>
        <v>1256.95</v>
      </c>
      <c r="IL16" s="116">
        <f>+BT16</f>
        <v>1311.9</v>
      </c>
      <c r="IM16" s="116">
        <f>+BW16</f>
        <v>1271.3</v>
      </c>
      <c r="IN16" s="116">
        <f>+BZ16</f>
        <v>1266.6500000000001</v>
      </c>
      <c r="IO16" s="116">
        <f>+CC16</f>
        <v>1438.5</v>
      </c>
      <c r="IP16" s="116">
        <f>+CF16</f>
        <v>1384.05</v>
      </c>
      <c r="IQ16" s="116">
        <f>+CI16</f>
        <v>1553.05</v>
      </c>
      <c r="IR16" s="116">
        <f>+CL16</f>
        <v>1476.6</v>
      </c>
      <c r="IS16" s="116">
        <f>+CO16</f>
        <v>1298.95</v>
      </c>
      <c r="IT16" s="116">
        <f>+CR16</f>
        <v>806.85</v>
      </c>
      <c r="IU16" s="116">
        <f>+CU16</f>
        <v>944.05</v>
      </c>
      <c r="IV16" s="116">
        <f>+CX16</f>
        <v>902.45</v>
      </c>
      <c r="IW16" s="116">
        <f>+DA16</f>
        <v>1287.55</v>
      </c>
      <c r="IX16" s="116">
        <f>+DD16</f>
        <v>1418.35</v>
      </c>
      <c r="IY16" s="116">
        <f>+DG16</f>
        <v>1501.25</v>
      </c>
      <c r="IZ16" s="116">
        <f>+DJ16</f>
        <v>1703.15</v>
      </c>
      <c r="JA16" s="116">
        <f>+DM16</f>
        <v>1895</v>
      </c>
      <c r="JB16" s="116">
        <f>+DP16</f>
        <v>1767.45</v>
      </c>
      <c r="JC16" s="116">
        <f>+DS16</f>
        <v>1557.05</v>
      </c>
      <c r="JD16" s="116">
        <f>+DV16</f>
        <v>1848.7</v>
      </c>
      <c r="JE16" s="116">
        <f>+DY16</f>
        <v>2086.3000000000002</v>
      </c>
      <c r="JF16" s="116">
        <f>+EB16</f>
        <v>2164.75</v>
      </c>
      <c r="JG16" s="116">
        <f>+EE16</f>
        <v>2474.5</v>
      </c>
      <c r="JH16" s="116">
        <f>+EH16</f>
        <v>3021.95</v>
      </c>
      <c r="JI16" s="116">
        <f>+EK16</f>
        <v>3527.05</v>
      </c>
      <c r="JJ16" s="116">
        <f>+EN16</f>
        <v>3774.1</v>
      </c>
      <c r="JK16" s="116">
        <f>EQ16</f>
        <v>3549.4</v>
      </c>
      <c r="JL16" s="116">
        <f>ET16</f>
        <v>3675.5</v>
      </c>
      <c r="JM16" s="116">
        <f>EW16</f>
        <v>3608</v>
      </c>
      <c r="JN16" s="116">
        <f>EZ16</f>
        <v>3491</v>
      </c>
      <c r="JO16" s="116">
        <f>FC16</f>
        <v>3668.55</v>
      </c>
      <c r="JP16" s="116">
        <f>FF16</f>
        <v>3658.8</v>
      </c>
      <c r="JQ16" s="116">
        <f>FI16</f>
        <v>4083.1</v>
      </c>
      <c r="JR16" s="116">
        <f>FL16</f>
        <v>3504.3</v>
      </c>
      <c r="JS16" s="116">
        <f>FO16</f>
        <v>4185.7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719.555555555556</v>
      </c>
      <c r="HQ19" s="116">
        <f t="shared" ref="HQ19:JI21" si="1">+IF(HQ14=0,HQ7,HQ14)</f>
        <v>764.22222222222194</v>
      </c>
      <c r="HR19" s="116">
        <f t="shared" si="1"/>
        <v>738.22222222222194</v>
      </c>
      <c r="HS19" s="116">
        <f t="shared" si="1"/>
        <v>734.26666666666699</v>
      </c>
      <c r="HT19" s="116">
        <f t="shared" si="1"/>
        <v>673.2</v>
      </c>
      <c r="HU19" s="116">
        <f t="shared" si="1"/>
        <v>768.26666666666699</v>
      </c>
      <c r="HV19" s="116">
        <f t="shared" si="1"/>
        <v>867.33333333333303</v>
      </c>
      <c r="HW19" s="116">
        <f t="shared" si="1"/>
        <v>1183.13333333333</v>
      </c>
      <c r="HX19" s="116">
        <f t="shared" si="1"/>
        <v>1175.3333333333301</v>
      </c>
      <c r="HY19" s="116">
        <f t="shared" si="1"/>
        <v>1128.4000000000001</v>
      </c>
      <c r="HZ19" s="116">
        <f t="shared" si="1"/>
        <v>1261.9666666666701</v>
      </c>
      <c r="IA19" s="116">
        <f t="shared" si="1"/>
        <v>1213.3333333333301</v>
      </c>
      <c r="IB19" s="116">
        <f t="shared" si="1"/>
        <v>1257.5</v>
      </c>
      <c r="IC19" s="116">
        <f t="shared" si="1"/>
        <v>1073.5999999999999</v>
      </c>
      <c r="ID19" s="116">
        <f t="shared" si="1"/>
        <v>860.83333333333303</v>
      </c>
      <c r="IE19" s="116">
        <f t="shared" si="1"/>
        <v>1010</v>
      </c>
      <c r="IF19" s="116">
        <f t="shared" si="1"/>
        <v>1076.6666666666699</v>
      </c>
      <c r="IG19" s="116">
        <f t="shared" si="1"/>
        <v>1013.33333333333</v>
      </c>
      <c r="IH19" s="116">
        <f t="shared" si="1"/>
        <v>1062</v>
      </c>
      <c r="II19" s="116">
        <f t="shared" si="1"/>
        <v>1222.6666666666699</v>
      </c>
      <c r="IJ19" s="116">
        <f t="shared" si="1"/>
        <v>1249.95</v>
      </c>
      <c r="IK19" s="116">
        <f t="shared" si="1"/>
        <v>1275</v>
      </c>
      <c r="IL19" s="116">
        <f t="shared" si="1"/>
        <v>1469.6</v>
      </c>
      <c r="IM19" s="116">
        <f t="shared" si="1"/>
        <v>1424.5</v>
      </c>
      <c r="IN19" s="116">
        <f t="shared" si="1"/>
        <v>1389</v>
      </c>
      <c r="IO19" s="116">
        <f t="shared" si="1"/>
        <v>1459.1</v>
      </c>
      <c r="IP19" s="116">
        <f t="shared" si="1"/>
        <v>1449</v>
      </c>
      <c r="IQ19" s="116">
        <f t="shared" si="1"/>
        <v>1606.7</v>
      </c>
      <c r="IR19" s="116">
        <f t="shared" si="1"/>
        <v>1591.6</v>
      </c>
      <c r="IS19" s="116">
        <f t="shared" si="1"/>
        <v>1495.95</v>
      </c>
      <c r="IT19" s="116">
        <f t="shared" si="1"/>
        <v>1383.85</v>
      </c>
      <c r="IU19" s="116">
        <f t="shared" si="1"/>
        <v>995</v>
      </c>
      <c r="IV19" s="116">
        <f t="shared" si="1"/>
        <v>1024.95</v>
      </c>
      <c r="IW19" s="116">
        <f t="shared" si="1"/>
        <v>1338.4</v>
      </c>
      <c r="IX19" s="116">
        <f t="shared" si="1"/>
        <v>1593</v>
      </c>
      <c r="IY19" s="116">
        <f t="shared" si="1"/>
        <v>1582.65</v>
      </c>
      <c r="IZ19" s="116">
        <f t="shared" si="1"/>
        <v>1810</v>
      </c>
      <c r="JA19" s="116">
        <f t="shared" si="1"/>
        <v>1982.95</v>
      </c>
      <c r="JB19" s="116">
        <f t="shared" si="1"/>
        <v>2078.1999999999998</v>
      </c>
      <c r="JC19" s="116">
        <f t="shared" si="1"/>
        <v>1860</v>
      </c>
      <c r="JD19" s="116">
        <f t="shared" si="1"/>
        <v>1995</v>
      </c>
      <c r="JE19" s="116">
        <f t="shared" si="1"/>
        <v>2210.5</v>
      </c>
      <c r="JF19" s="116">
        <f t="shared" si="1"/>
        <v>2297.3000000000002</v>
      </c>
      <c r="JG19" s="116">
        <f t="shared" si="1"/>
        <v>2482.9499999999998</v>
      </c>
      <c r="JH19" s="116">
        <f t="shared" si="1"/>
        <v>3057</v>
      </c>
      <c r="JI19" s="116">
        <f t="shared" si="1"/>
        <v>3559.75</v>
      </c>
      <c r="JJ19" s="116">
        <f t="shared" ref="JJ19:JJ21" si="2">+IF(JJ14=0,JJ7,JJ14)</f>
        <v>3812</v>
      </c>
      <c r="JK19" s="116">
        <f t="shared" ref="JK19" si="3">+IF(JK14=0,JK7,JK14)</f>
        <v>3948.6</v>
      </c>
      <c r="JL19" s="116">
        <f t="shared" ref="JL19:JM19" si="4">+IF(JL14=0,JL7,JL14)</f>
        <v>3838</v>
      </c>
      <c r="JM19" s="116">
        <f t="shared" si="4"/>
        <v>3963</v>
      </c>
      <c r="JN19" s="116">
        <f t="shared" ref="JN19:JO19" si="5">+IF(JN14=0,JN7,JN14)</f>
        <v>3724</v>
      </c>
      <c r="JO19" s="116">
        <f t="shared" si="5"/>
        <v>3730</v>
      </c>
      <c r="JP19" s="116">
        <f t="shared" ref="JP19" si="6">+IF(JP14=0,JP7,JP14)</f>
        <v>3794.7</v>
      </c>
      <c r="JQ19" s="116">
        <f t="shared" ref="JQ19:KH19" si="7">+IF(JQ14=0,JQ7,JQ14)</f>
        <v>4139</v>
      </c>
      <c r="JR19" s="116">
        <f t="shared" si="7"/>
        <v>4440</v>
      </c>
      <c r="JS19" s="116">
        <f t="shared" si="7"/>
        <v>4235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581.33333333333303</v>
      </c>
      <c r="HQ20" s="116">
        <f t="shared" si="8"/>
        <v>683.2</v>
      </c>
      <c r="HR20" s="116">
        <f t="shared" si="8"/>
        <v>591.555555555556</v>
      </c>
      <c r="HS20" s="116">
        <f t="shared" si="8"/>
        <v>583.64444444444496</v>
      </c>
      <c r="HT20" s="116">
        <f t="shared" si="8"/>
        <v>452.066666666667</v>
      </c>
      <c r="HU20" s="116">
        <f t="shared" si="8"/>
        <v>518.06666666666695</v>
      </c>
      <c r="HV20" s="116">
        <f t="shared" si="8"/>
        <v>634.4</v>
      </c>
      <c r="HW20" s="116">
        <f t="shared" si="8"/>
        <v>828.3</v>
      </c>
      <c r="HX20" s="116">
        <f t="shared" si="8"/>
        <v>956.9</v>
      </c>
      <c r="HY20" s="116">
        <f t="shared" si="8"/>
        <v>933.33333333333303</v>
      </c>
      <c r="HZ20" s="116">
        <f t="shared" si="8"/>
        <v>991.03333333333296</v>
      </c>
      <c r="IA20" s="116">
        <f t="shared" si="8"/>
        <v>1030.2333333333299</v>
      </c>
      <c r="IB20" s="116">
        <f t="shared" si="8"/>
        <v>942.1</v>
      </c>
      <c r="IC20" s="116">
        <f t="shared" si="8"/>
        <v>843.66666666666697</v>
      </c>
      <c r="ID20" s="116">
        <f t="shared" si="8"/>
        <v>677.73333333333301</v>
      </c>
      <c r="IE20" s="116">
        <f t="shared" si="8"/>
        <v>784.66666666666697</v>
      </c>
      <c r="IF20" s="116">
        <f t="shared" si="1"/>
        <v>941.7</v>
      </c>
      <c r="IG20" s="116">
        <f t="shared" si="1"/>
        <v>863.53333333333296</v>
      </c>
      <c r="IH20" s="116">
        <f t="shared" si="1"/>
        <v>900</v>
      </c>
      <c r="II20" s="116">
        <f t="shared" si="1"/>
        <v>1052</v>
      </c>
      <c r="IJ20" s="116">
        <f t="shared" si="1"/>
        <v>1114</v>
      </c>
      <c r="IK20" s="116">
        <f t="shared" si="1"/>
        <v>1124.5</v>
      </c>
      <c r="IL20" s="116">
        <f t="shared" si="1"/>
        <v>1243.1500000000001</v>
      </c>
      <c r="IM20" s="116">
        <f t="shared" si="1"/>
        <v>1205.5999999999999</v>
      </c>
      <c r="IN20" s="116">
        <f t="shared" si="1"/>
        <v>1226.05</v>
      </c>
      <c r="IO20" s="116">
        <f t="shared" si="1"/>
        <v>1183.4000000000001</v>
      </c>
      <c r="IP20" s="116">
        <f t="shared" si="1"/>
        <v>1202.3</v>
      </c>
      <c r="IQ20" s="116">
        <f t="shared" si="1"/>
        <v>1284.9000000000001</v>
      </c>
      <c r="IR20" s="116">
        <f t="shared" si="1"/>
        <v>1274.0999999999999</v>
      </c>
      <c r="IS20" s="116">
        <f t="shared" si="1"/>
        <v>1255.5999999999999</v>
      </c>
      <c r="IT20" s="116">
        <f t="shared" si="1"/>
        <v>661.05</v>
      </c>
      <c r="IU20" s="116">
        <f t="shared" si="1"/>
        <v>763</v>
      </c>
      <c r="IV20" s="116">
        <f t="shared" si="1"/>
        <v>842.5</v>
      </c>
      <c r="IW20" s="116">
        <f t="shared" si="1"/>
        <v>876.25</v>
      </c>
      <c r="IX20" s="116">
        <f t="shared" si="1"/>
        <v>1281</v>
      </c>
      <c r="IY20" s="116">
        <f t="shared" si="1"/>
        <v>1306.4000000000001</v>
      </c>
      <c r="IZ20" s="116">
        <f t="shared" si="1"/>
        <v>1475.85</v>
      </c>
      <c r="JA20" s="116">
        <f t="shared" si="1"/>
        <v>1684.4</v>
      </c>
      <c r="JB20" s="116">
        <f t="shared" si="1"/>
        <v>1595</v>
      </c>
      <c r="JC20" s="116">
        <f t="shared" si="1"/>
        <v>1456.8</v>
      </c>
      <c r="JD20" s="116">
        <f t="shared" si="1"/>
        <v>1535</v>
      </c>
      <c r="JE20" s="116">
        <f t="shared" si="1"/>
        <v>1814</v>
      </c>
      <c r="JF20" s="116">
        <f t="shared" si="1"/>
        <v>2058.1</v>
      </c>
      <c r="JG20" s="116">
        <f t="shared" si="1"/>
        <v>2155.5500000000002</v>
      </c>
      <c r="JH20" s="116">
        <f t="shared" si="1"/>
        <v>2419.9499999999998</v>
      </c>
      <c r="JI20" s="116">
        <f t="shared" si="1"/>
        <v>2856.85</v>
      </c>
      <c r="JJ20" s="116">
        <f t="shared" si="2"/>
        <v>3264</v>
      </c>
      <c r="JK20" s="116">
        <f t="shared" ref="JK20" si="9">+IF(JK15=0,JK8,JK15)</f>
        <v>3175.5</v>
      </c>
      <c r="JL20" s="116">
        <f t="shared" ref="JL20:JM20" si="10">+IF(JL15=0,JL8,JL15)</f>
        <v>3401.05</v>
      </c>
      <c r="JM20" s="116">
        <f t="shared" si="10"/>
        <v>3262.95</v>
      </c>
      <c r="JN20" s="116">
        <f t="shared" ref="JN20:JO20" si="11">+IF(JN15=0,JN8,JN15)</f>
        <v>3141.3</v>
      </c>
      <c r="JO20" s="116">
        <f t="shared" si="11"/>
        <v>2967.65</v>
      </c>
      <c r="JP20" s="116">
        <f t="shared" ref="JP20" si="12">+IF(JP15=0,JP8,JP15)</f>
        <v>3405.3</v>
      </c>
      <c r="JQ20" s="116">
        <f t="shared" ref="JQ20:KH20" si="13">+IF(JQ15=0,JQ8,JQ15)</f>
        <v>3614.8</v>
      </c>
      <c r="JR20" s="116">
        <f t="shared" si="13"/>
        <v>3288.65</v>
      </c>
      <c r="JS20" s="116">
        <f t="shared" si="13"/>
        <v>3470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709.66666666666697</v>
      </c>
      <c r="HQ21" s="116">
        <f t="shared" si="1"/>
        <v>713.71111111111099</v>
      </c>
      <c r="HR21" s="116">
        <f t="shared" si="1"/>
        <v>606.62222222222204</v>
      </c>
      <c r="HS21" s="116">
        <f t="shared" si="1"/>
        <v>624.06666666666695</v>
      </c>
      <c r="HT21" s="116">
        <f t="shared" si="1"/>
        <v>525.73333333333301</v>
      </c>
      <c r="HU21" s="116">
        <f t="shared" si="1"/>
        <v>713.26666666666699</v>
      </c>
      <c r="HV21" s="116">
        <f t="shared" si="1"/>
        <v>848.43333333333305</v>
      </c>
      <c r="HW21" s="116">
        <f t="shared" si="1"/>
        <v>1134.4000000000001</v>
      </c>
      <c r="HX21" s="116">
        <f t="shared" si="1"/>
        <v>971.63333333333298</v>
      </c>
      <c r="HY21" s="116">
        <f t="shared" si="1"/>
        <v>997.66666666666697</v>
      </c>
      <c r="HZ21" s="116">
        <f t="shared" si="1"/>
        <v>1146</v>
      </c>
      <c r="IA21" s="116">
        <f t="shared" si="1"/>
        <v>1188.5</v>
      </c>
      <c r="IB21" s="116">
        <f t="shared" si="1"/>
        <v>977.8</v>
      </c>
      <c r="IC21" s="116">
        <f t="shared" si="1"/>
        <v>850.43333333333305</v>
      </c>
      <c r="ID21" s="116">
        <f t="shared" si="1"/>
        <v>810.8</v>
      </c>
      <c r="IE21" s="116">
        <f t="shared" si="1"/>
        <v>997.46666666666704</v>
      </c>
      <c r="IF21" s="116">
        <f t="shared" si="1"/>
        <v>954.43333333333305</v>
      </c>
      <c r="IG21" s="116">
        <f t="shared" si="1"/>
        <v>899.6</v>
      </c>
      <c r="IH21" s="116">
        <f t="shared" si="1"/>
        <v>1051.7333333333299</v>
      </c>
      <c r="II21" s="116">
        <f t="shared" si="1"/>
        <v>1125.2</v>
      </c>
      <c r="IJ21" s="116">
        <f t="shared" si="1"/>
        <v>1141.2</v>
      </c>
      <c r="IK21" s="116">
        <f t="shared" si="1"/>
        <v>1256.95</v>
      </c>
      <c r="IL21" s="116">
        <f t="shared" si="1"/>
        <v>1311.9</v>
      </c>
      <c r="IM21" s="116">
        <f t="shared" si="1"/>
        <v>1271.3</v>
      </c>
      <c r="IN21" s="116">
        <f t="shared" si="1"/>
        <v>1266.6500000000001</v>
      </c>
      <c r="IO21" s="116">
        <f t="shared" si="1"/>
        <v>1438.5</v>
      </c>
      <c r="IP21" s="116">
        <f t="shared" si="1"/>
        <v>1384.05</v>
      </c>
      <c r="IQ21" s="116">
        <f t="shared" si="1"/>
        <v>1553.05</v>
      </c>
      <c r="IR21" s="116">
        <f t="shared" si="1"/>
        <v>1476.6</v>
      </c>
      <c r="IS21" s="116">
        <f t="shared" si="1"/>
        <v>1298.95</v>
      </c>
      <c r="IT21" s="116">
        <f t="shared" si="1"/>
        <v>806.85</v>
      </c>
      <c r="IU21" s="116">
        <f t="shared" si="1"/>
        <v>944.05</v>
      </c>
      <c r="IV21" s="116">
        <f t="shared" si="1"/>
        <v>902.45</v>
      </c>
      <c r="IW21" s="116">
        <f t="shared" si="1"/>
        <v>1287.55</v>
      </c>
      <c r="IX21" s="116">
        <f t="shared" si="1"/>
        <v>1418.35</v>
      </c>
      <c r="IY21" s="116">
        <f t="shared" si="1"/>
        <v>1501.25</v>
      </c>
      <c r="IZ21" s="116">
        <f t="shared" si="1"/>
        <v>1703.15</v>
      </c>
      <c r="JA21" s="116">
        <f t="shared" si="1"/>
        <v>1895</v>
      </c>
      <c r="JB21" s="116">
        <f t="shared" si="1"/>
        <v>1767.45</v>
      </c>
      <c r="JC21" s="116">
        <f t="shared" si="1"/>
        <v>1557.05</v>
      </c>
      <c r="JD21" s="116">
        <f t="shared" si="1"/>
        <v>1848.7</v>
      </c>
      <c r="JE21" s="116">
        <f t="shared" si="1"/>
        <v>2086.3000000000002</v>
      </c>
      <c r="JF21" s="116">
        <f t="shared" si="1"/>
        <v>2164.75</v>
      </c>
      <c r="JG21" s="116">
        <f t="shared" si="1"/>
        <v>2474.5</v>
      </c>
      <c r="JH21" s="116">
        <f t="shared" si="1"/>
        <v>3021.95</v>
      </c>
      <c r="JI21" s="116">
        <f t="shared" si="1"/>
        <v>3527.05</v>
      </c>
      <c r="JJ21" s="116">
        <f t="shared" si="2"/>
        <v>3774.1</v>
      </c>
      <c r="JK21" s="116">
        <f t="shared" ref="JK21" si="14">+IF(JK16=0,JK9,JK16)</f>
        <v>3549.4</v>
      </c>
      <c r="JL21" s="116">
        <f t="shared" ref="JL21:JM21" si="15">+IF(JL16=0,JL9,JL16)</f>
        <v>3675.5</v>
      </c>
      <c r="JM21" s="116">
        <f t="shared" si="15"/>
        <v>3608</v>
      </c>
      <c r="JN21" s="116">
        <f t="shared" ref="JN21:JO21" si="16">+IF(JN16=0,JN9,JN16)</f>
        <v>3491</v>
      </c>
      <c r="JO21" s="116">
        <f t="shared" si="16"/>
        <v>3668.55</v>
      </c>
      <c r="JP21" s="116">
        <f t="shared" ref="JP21" si="17">+IF(JP16=0,JP9,JP16)</f>
        <v>3658.8</v>
      </c>
      <c r="JQ21" s="116">
        <f t="shared" ref="JQ21:KH21" si="18">+IF(JQ16=0,JQ9,JQ16)</f>
        <v>4083.1</v>
      </c>
      <c r="JR21" s="116">
        <f t="shared" si="18"/>
        <v>3504.3</v>
      </c>
      <c r="JS21" s="116">
        <f t="shared" si="18"/>
        <v>4185.7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100510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612779461</v>
      </c>
      <c r="D6" cm="1">
        <f t="array" ref="D6">_xll.EQNXTDZ($A$1,$B6,D$1)</f>
        <v>613810633</v>
      </c>
      <c r="E6" cm="1">
        <f t="array" ref="E6">_xll.EQNXTDZ($A$1,$B6,E$1)</f>
        <v>614923903</v>
      </c>
      <c r="F6" cm="1">
        <f t="array" ref="F6">_xll.EQNXTDZ($A$1,$B6,F$1)</f>
        <v>615385981</v>
      </c>
      <c r="G6" cm="1">
        <f t="array" ref="G6">_xll.EQNXTDZ($A$1,$B6,G$1)</f>
        <v>616227540</v>
      </c>
      <c r="H6" cm="1">
        <f t="array" ref="H6">_xll.EQNXTDZ($A$1,$B6,H$1)</f>
        <v>925256379</v>
      </c>
      <c r="I6" cm="1">
        <f t="array" ref="I6">_xll.EQNXTDZ($A$1,$B6,I$1)</f>
        <v>926068994</v>
      </c>
      <c r="J6" cm="1">
        <f t="array" ref="J6">_xll.EQNXTDZ($A$1,$B6,J$1)</f>
        <v>926912658</v>
      </c>
      <c r="K6" cm="1">
        <f t="array" ref="K6">_xll.EQNXTDZ($A$1,$B6,K$1)</f>
        <v>927710470</v>
      </c>
      <c r="L6" cm="1">
        <f t="array" ref="L6">_xll.EQNXTDZ($A$1,$B6,L$1)</f>
        <v>928232651</v>
      </c>
      <c r="M6" cm="1">
        <f t="array" ref="M6">_xll.EQNXTDZ($A$1,$B6,M$1)</f>
        <v>928849239</v>
      </c>
      <c r="N6" cm="1">
        <f t="array" ref="N6">_xll.EQNXTDZ($A$1,$B6,N$1)</f>
        <v>929562061</v>
      </c>
      <c r="O6" cm="1">
        <f t="array" ref="O6">_xll.EQNXTDZ($A$1,$B6,O$1)</f>
        <v>930298999</v>
      </c>
      <c r="P6" cm="1">
        <f t="array" ref="P6">_xll.EQNXTDZ($A$1,$B6,P$1)</f>
        <v>930661995</v>
      </c>
      <c r="Q6" cm="1">
        <f t="array" ref="Q6">_xll.EQNXTDZ($A$1,$B6,Q$1)</f>
        <v>931214737</v>
      </c>
      <c r="R6" cm="1">
        <f t="array" ref="R6">_xll.EQNXTDZ($A$1,$B6,R$1)</f>
        <v>931478845</v>
      </c>
      <c r="S6" cm="1">
        <f t="array" ref="S6">_xll.EQNXTDZ($A$1,$B6,S$1)</f>
        <v>932007993</v>
      </c>
      <c r="T6" cm="1">
        <f t="array" ref="T6">_xll.EQNXTDZ($A$1,$B6,T$1)</f>
        <v>932334222</v>
      </c>
      <c r="U6" cm="1">
        <f t="array" ref="U6">_xll.EQNXTDZ($A$1,$B6,U$1)</f>
        <v>932676944</v>
      </c>
      <c r="V6" cm="1">
        <f t="array" ref="V6">_xll.EQNXTDZ($A$1,$B6,V$1)</f>
        <v>932965803</v>
      </c>
      <c r="W6" cm="1">
        <f t="array" ref="W6">_xll.EQNXTDZ($A$1,$B6,W$1)</f>
        <v>933416457</v>
      </c>
      <c r="X6" cm="1">
        <f t="array" ref="X6">_xll.EQNXTDZ($A$1,$B6,X$1)</f>
        <v>1400545562</v>
      </c>
      <c r="Y6" cm="1">
        <f t="array" ref="Y6">_xll.EQNXTDZ($A$1,$B6,Y$1)</f>
        <v>1401031621</v>
      </c>
      <c r="Z6" cm="1">
        <f t="array" ref="Z6">_xll.EQNXTDZ($A$1,$B6,Z$1)</f>
        <v>1401369456</v>
      </c>
      <c r="AA6" cm="1">
        <f t="array" ref="AA6">_xll.EQNXTDZ($A$1,$B6,AA$1)</f>
        <v>1401727601</v>
      </c>
      <c r="AB6" cm="1">
        <f t="array" ref="AB6">_xll.EQNXTDZ($A$1,$B6,AB$1)</f>
        <v>1402220289</v>
      </c>
      <c r="AC6" cm="1">
        <f t="array" ref="AC6">_xll.EQNXTDZ($A$1,$B6,AC$1)</f>
        <v>1402220289</v>
      </c>
      <c r="AD6" cm="1">
        <f t="array" ref="AD6">_xll.EQNXTDZ($A$1,$B6,AD$1)</f>
        <v>1402729385</v>
      </c>
      <c r="AE6" cm="1">
        <f t="array" ref="AE6">_xll.EQNXTDZ($A$1,$B6,AE$1)</f>
        <v>1403091278</v>
      </c>
      <c r="AF6" cm="1">
        <f t="array" ref="AF6">_xll.EQNXTDZ($A$1,$B6,AF$1)</f>
        <v>1403265582</v>
      </c>
      <c r="AG6" cm="1">
        <f t="array" ref="AG6">_xll.EQNXTDZ($A$1,$B6,AG$1)</f>
        <v>1403581376</v>
      </c>
      <c r="AH6" cm="1">
        <f t="array" ref="AH6">_xll.EQNXTDZ($A$1,$B6,AH$1)</f>
        <v>1403892022</v>
      </c>
      <c r="AI6" cm="1">
        <f t="array" ref="AI6">_xll.EQNXTDZ($A$1,$B6,AI$1)</f>
        <v>1403992234</v>
      </c>
      <c r="AJ6" cm="1">
        <f t="array" ref="AJ6">_xll.EQNXTDZ($A$1,$B6,AJ$1)</f>
        <v>1404034846</v>
      </c>
      <c r="AK6" cm="1">
        <f t="array" ref="AK6">_xll.EQNXTDZ($A$1,$B6,AK$1)</f>
        <v>1404256696</v>
      </c>
      <c r="AL6" cm="1">
        <f t="array" ref="AL6">_xll.EQNXTDZ($A$1,$B6,AL$1)</f>
        <v>1404555297</v>
      </c>
      <c r="AM6" cm="1">
        <f t="array" ref="AM6">_xll.EQNXTDZ($A$1,$B6,AM$1)</f>
        <v>1404604911</v>
      </c>
      <c r="AN6" cm="1">
        <f t="array" ref="AN6">_xll.EQNXTDZ($A$1,$B6,AN$1)</f>
        <v>1404656010</v>
      </c>
      <c r="AO6" cm="1">
        <f t="array" ref="AO6">_xll.EQNXTDZ($A$1,$B6,AO$1)</f>
        <v>1404839267</v>
      </c>
      <c r="AP6" cm="1">
        <f t="array" ref="AP6">_xll.EQNXTDZ($A$1,$B6,AP$1)</f>
        <v>1405029123</v>
      </c>
      <c r="AQ6" cm="1">
        <f t="array" ref="AQ6">_xll.EQNXTDZ($A$1,$B6,AQ$1)</f>
        <v>1405145221</v>
      </c>
      <c r="AR6" cm="1">
        <f t="array" ref="AR6">_xll.EQNXTDZ($A$1,$B6,AR$1)</f>
        <v>1405191199</v>
      </c>
      <c r="AS6" cm="1">
        <f t="array" ref="AS6">_xll.EQNXTDZ($A$1,$B6,AS$1)</f>
        <v>1405364127</v>
      </c>
      <c r="AT6" cm="1">
        <f t="array" ref="AT6">_xll.EQNXTDZ($A$1,$B6,AT$1)</f>
        <v>1405482190</v>
      </c>
      <c r="AU6" cm="1">
        <f t="array" ref="AU6">_xll.EQNXTDZ($A$1,$B6,AU$1)</f>
        <v>1405572753</v>
      </c>
      <c r="AV6" cm="1">
        <f t="array" ref="AV6">_xll.EQNXTDZ($A$1,$B6,AV$1)</f>
        <v>1374398717</v>
      </c>
      <c r="AW6" cm="1">
        <f t="array" ref="AW6">_xll.EQNXTDZ($A$1,$B6,AW$1)</f>
        <v>1374548315</v>
      </c>
      <c r="AX6" cm="1">
        <f t="array" ref="AX6">_xll.EQNXTDZ($A$1,$B6,AX$1)</f>
        <v>1374668619</v>
      </c>
      <c r="AY6" cm="1">
        <f t="array" ref="AY6">_xll.EQNXTDZ($A$1,$B6,AY$1)</f>
        <v>1374848104</v>
      </c>
    </row>
    <row r="7" spans="1:51" x14ac:dyDescent="0.25">
      <c r="B7" t="s">
        <v>429</v>
      </c>
      <c r="C7" s="100">
        <f>+C6/10^7</f>
        <v>61.277946100000001</v>
      </c>
      <c r="D7" s="100">
        <f t="shared" ref="D7:X7" si="0">+D6/10^7</f>
        <v>61.381063300000001</v>
      </c>
      <c r="E7" s="100">
        <f t="shared" si="0"/>
        <v>61.492390299999997</v>
      </c>
      <c r="F7" s="100">
        <f t="shared" si="0"/>
        <v>61.538598100000002</v>
      </c>
      <c r="G7" s="100">
        <f t="shared" si="0"/>
        <v>61.622754</v>
      </c>
      <c r="H7" s="100">
        <f t="shared" si="0"/>
        <v>92.525637900000007</v>
      </c>
      <c r="I7" s="100">
        <f t="shared" si="0"/>
        <v>92.606899400000003</v>
      </c>
      <c r="J7" s="100">
        <f t="shared" si="0"/>
        <v>92.691265799999996</v>
      </c>
      <c r="K7" s="100">
        <f t="shared" si="0"/>
        <v>92.771046999999996</v>
      </c>
      <c r="L7" s="100">
        <f t="shared" si="0"/>
        <v>92.8232651</v>
      </c>
      <c r="M7" s="100">
        <f t="shared" si="0"/>
        <v>92.884923900000004</v>
      </c>
      <c r="N7" s="100">
        <f t="shared" si="0"/>
        <v>92.956206100000003</v>
      </c>
      <c r="O7" s="100">
        <f t="shared" si="0"/>
        <v>93.029899900000004</v>
      </c>
      <c r="P7" s="100">
        <f t="shared" si="0"/>
        <v>93.066199499999996</v>
      </c>
      <c r="Q7" s="100">
        <f t="shared" si="0"/>
        <v>93.121473699999996</v>
      </c>
      <c r="R7" s="100">
        <f t="shared" si="0"/>
        <v>93.147884500000004</v>
      </c>
      <c r="S7" s="100">
        <f t="shared" si="0"/>
        <v>93.2007993</v>
      </c>
      <c r="T7" s="100">
        <f t="shared" si="0"/>
        <v>93.233422200000007</v>
      </c>
      <c r="U7" s="100">
        <f t="shared" si="0"/>
        <v>93.267694399999996</v>
      </c>
      <c r="V7" s="100">
        <f t="shared" si="0"/>
        <v>93.296580300000002</v>
      </c>
      <c r="W7" s="100">
        <f t="shared" si="0"/>
        <v>93.341645700000001</v>
      </c>
      <c r="X7" s="100">
        <f t="shared" si="0"/>
        <v>140.05455620000001</v>
      </c>
      <c r="Y7" s="100">
        <f t="shared" ref="Y7:AS7" si="1">+Y6/10^7</f>
        <v>140.10316209999999</v>
      </c>
      <c r="Z7" s="100">
        <f t="shared" si="1"/>
        <v>140.13694559999999</v>
      </c>
      <c r="AA7" s="100">
        <f t="shared" si="1"/>
        <v>140.1727601</v>
      </c>
      <c r="AB7" s="100">
        <f t="shared" si="1"/>
        <v>140.2220289</v>
      </c>
      <c r="AC7" s="100">
        <f t="shared" si="1"/>
        <v>140.2220289</v>
      </c>
      <c r="AD7" s="100">
        <f t="shared" si="1"/>
        <v>140.27293850000001</v>
      </c>
      <c r="AE7" s="100">
        <f t="shared" si="1"/>
        <v>140.3091278</v>
      </c>
      <c r="AF7" s="100">
        <f t="shared" si="1"/>
        <v>140.32655819999999</v>
      </c>
      <c r="AG7" s="100">
        <f t="shared" si="1"/>
        <v>140.35813759999999</v>
      </c>
      <c r="AH7" s="100">
        <f t="shared" si="1"/>
        <v>140.3892022</v>
      </c>
      <c r="AI7" s="100">
        <f t="shared" si="1"/>
        <v>140.39922340000001</v>
      </c>
      <c r="AJ7" s="100">
        <f t="shared" si="1"/>
        <v>140.40348460000001</v>
      </c>
      <c r="AK7" s="100">
        <f t="shared" si="1"/>
        <v>140.42566959999999</v>
      </c>
      <c r="AL7" s="100">
        <f t="shared" si="1"/>
        <v>140.4555297</v>
      </c>
      <c r="AM7" s="100">
        <f t="shared" si="1"/>
        <v>140.46049110000001</v>
      </c>
      <c r="AN7" s="100">
        <f t="shared" si="1"/>
        <v>140.46560099999999</v>
      </c>
      <c r="AO7" s="100">
        <f t="shared" si="1"/>
        <v>140.48392670000001</v>
      </c>
      <c r="AP7" s="100">
        <f t="shared" si="1"/>
        <v>140.50291229999999</v>
      </c>
      <c r="AQ7" s="100">
        <f t="shared" si="1"/>
        <v>140.51452209999999</v>
      </c>
      <c r="AR7" s="100">
        <f t="shared" si="1"/>
        <v>140.51911989999999</v>
      </c>
      <c r="AS7" s="100">
        <f t="shared" si="1"/>
        <v>140.5364127</v>
      </c>
      <c r="AT7" s="100">
        <f t="shared" ref="AT7:AX7" si="2">+AT6/10^7</f>
        <v>140.54821899999999</v>
      </c>
      <c r="AU7" s="100">
        <f t="shared" si="2"/>
        <v>140.55727529999999</v>
      </c>
      <c r="AV7" s="100">
        <f t="shared" si="2"/>
        <v>137.4398717</v>
      </c>
      <c r="AW7" s="100">
        <f t="shared" si="2"/>
        <v>137.45483150000001</v>
      </c>
      <c r="AX7" s="100">
        <f t="shared" si="2"/>
        <v>137.4668619</v>
      </c>
      <c r="AY7" s="100">
        <f t="shared" ref="AY7" si="3">+AY6/10^7</f>
        <v>137.48481039999999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3" workbookViewId="0">
      <pane xSplit="1" ySplit="1" topLeftCell="B2713" activePane="bottomRight" state="frozen"/>
      <selection activeCell="A3" sqref="A3"/>
      <selection pane="topRight" activeCell="B3" sqref="B3"/>
      <selection pane="bottomLeft" activeCell="A4" sqref="A4"/>
      <selection pane="bottomRight" activeCell="B2730" sqref="B2730:B2747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100510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1004.0666666666666</v>
      </c>
      <c r="C4" s="116">
        <v>1001.5333333333333</v>
      </c>
      <c r="D4" s="116">
        <v>994.80000000000007</v>
      </c>
      <c r="E4" s="116">
        <v>995.6</v>
      </c>
      <c r="F4" s="116">
        <v>1502.3</v>
      </c>
      <c r="G4">
        <v>69174</v>
      </c>
      <c r="H4" s="116"/>
      <c r="I4" s="116"/>
      <c r="L4" s="170">
        <v>42005</v>
      </c>
      <c r="M4" s="116">
        <v>1001.9666666666667</v>
      </c>
      <c r="N4" s="116">
        <v>1004.6</v>
      </c>
      <c r="O4" s="116">
        <v>994.66666666666663</v>
      </c>
      <c r="P4" s="116">
        <v>995.86666666666667</v>
      </c>
      <c r="Q4" s="116">
        <v>1502.95</v>
      </c>
      <c r="R4">
        <v>449532</v>
      </c>
    </row>
    <row r="5" spans="1:18" x14ac:dyDescent="0.25">
      <c r="A5" s="170">
        <v>42006</v>
      </c>
      <c r="B5" s="116">
        <v>1026.3333333333333</v>
      </c>
      <c r="C5" s="116">
        <v>1023.1333333333333</v>
      </c>
      <c r="D5" s="116">
        <v>1001.3333333333334</v>
      </c>
      <c r="E5" s="116">
        <v>1001.3333333333334</v>
      </c>
      <c r="F5" s="116">
        <v>1534.7</v>
      </c>
      <c r="G5">
        <v>161638</v>
      </c>
      <c r="H5" s="116"/>
      <c r="I5" s="116"/>
      <c r="L5" s="170">
        <v>42006</v>
      </c>
      <c r="M5" s="116">
        <v>1023.1</v>
      </c>
      <c r="N5" s="116">
        <v>1026</v>
      </c>
      <c r="O5" s="116">
        <v>1001</v>
      </c>
      <c r="P5" s="116">
        <v>1001</v>
      </c>
      <c r="Q5" s="116">
        <v>1534.65</v>
      </c>
      <c r="R5">
        <v>1291056</v>
      </c>
    </row>
    <row r="6" spans="1:18" x14ac:dyDescent="0.25">
      <c r="A6" s="170">
        <v>42009</v>
      </c>
      <c r="B6" s="116">
        <v>1046.6666666666667</v>
      </c>
      <c r="C6" s="116">
        <v>1037.6666666666667</v>
      </c>
      <c r="D6" s="116">
        <v>1028.2</v>
      </c>
      <c r="E6" s="116">
        <v>1028.2</v>
      </c>
      <c r="F6" s="116">
        <v>1556.5</v>
      </c>
      <c r="G6">
        <v>219899</v>
      </c>
      <c r="H6" s="116"/>
      <c r="I6" s="116"/>
      <c r="L6" s="170">
        <v>42009</v>
      </c>
      <c r="M6" s="116">
        <v>1037.3333333333333</v>
      </c>
      <c r="N6" s="116">
        <v>1047.3333333333333</v>
      </c>
      <c r="O6" s="116">
        <v>1030.2333333333333</v>
      </c>
      <c r="P6" s="116">
        <v>1030.2333333333333</v>
      </c>
      <c r="Q6" s="116">
        <v>1556</v>
      </c>
      <c r="R6">
        <v>1451018</v>
      </c>
    </row>
    <row r="7" spans="1:18" x14ac:dyDescent="0.25">
      <c r="A7" s="170">
        <v>42010</v>
      </c>
      <c r="B7" s="116">
        <v>1027.3333333333333</v>
      </c>
      <c r="C7" s="116">
        <v>1002.5666666666666</v>
      </c>
      <c r="D7" s="116">
        <v>997.33333333333337</v>
      </c>
      <c r="E7" s="116">
        <v>1027.2666666666667</v>
      </c>
      <c r="F7" s="116">
        <v>1503.85</v>
      </c>
      <c r="G7">
        <v>298634</v>
      </c>
      <c r="H7" s="116"/>
      <c r="I7" s="116"/>
      <c r="L7" s="170">
        <v>42010</v>
      </c>
      <c r="M7" s="116">
        <v>1002.7333333333332</v>
      </c>
      <c r="N7" s="116">
        <v>1029.8333333333333</v>
      </c>
      <c r="O7" s="116">
        <v>997.36666666666667</v>
      </c>
      <c r="P7" s="116">
        <v>1027.3333333333333</v>
      </c>
      <c r="Q7" s="116">
        <v>1504.1</v>
      </c>
      <c r="R7">
        <v>2032017</v>
      </c>
    </row>
    <row r="8" spans="1:18" x14ac:dyDescent="0.25">
      <c r="A8" s="170">
        <v>42011</v>
      </c>
      <c r="B8" s="116">
        <v>1006.5</v>
      </c>
      <c r="C8" s="116">
        <v>1000.0333333333333</v>
      </c>
      <c r="D8" s="116">
        <v>991.0333333333333</v>
      </c>
      <c r="E8" s="116">
        <v>1000</v>
      </c>
      <c r="F8" s="116">
        <v>1500.05</v>
      </c>
      <c r="G8">
        <v>196238</v>
      </c>
      <c r="H8" s="116"/>
      <c r="I8" s="116"/>
      <c r="L8" s="170">
        <v>42011</v>
      </c>
      <c r="M8" s="116">
        <v>1000.3333333333334</v>
      </c>
      <c r="N8" s="116">
        <v>1006.6666666666666</v>
      </c>
      <c r="O8" s="116">
        <v>990.36666666666667</v>
      </c>
      <c r="P8" s="116">
        <v>999.16666666666663</v>
      </c>
      <c r="Q8" s="116">
        <v>1500.5</v>
      </c>
      <c r="R8">
        <v>1375757</v>
      </c>
    </row>
    <row r="9" spans="1:18" x14ac:dyDescent="0.25">
      <c r="A9" s="170">
        <v>42012</v>
      </c>
      <c r="B9" s="116">
        <v>1016.6</v>
      </c>
      <c r="C9" s="116">
        <v>1006.4</v>
      </c>
      <c r="D9" s="116">
        <v>1003.3666666666667</v>
      </c>
      <c r="E9" s="116">
        <v>1009.3333333333334</v>
      </c>
      <c r="F9" s="116">
        <v>1509.6</v>
      </c>
      <c r="G9">
        <v>113249</v>
      </c>
      <c r="H9" s="116"/>
      <c r="I9" s="116"/>
      <c r="L9" s="170">
        <v>42012</v>
      </c>
      <c r="M9" s="116">
        <v>1006.6999999999999</v>
      </c>
      <c r="N9" s="116">
        <v>1015.6666666666666</v>
      </c>
      <c r="O9" s="116">
        <v>1002.7666666666668</v>
      </c>
      <c r="P9" s="116">
        <v>1013</v>
      </c>
      <c r="Q9" s="116">
        <v>1510.05</v>
      </c>
      <c r="R9">
        <v>970636</v>
      </c>
    </row>
    <row r="10" spans="1:18" x14ac:dyDescent="0.25">
      <c r="A10" s="170">
        <v>42013</v>
      </c>
      <c r="B10" s="116">
        <v>1015.2333333333332</v>
      </c>
      <c r="C10" s="116">
        <v>1000.2666666666668</v>
      </c>
      <c r="D10" s="116">
        <v>992.23333333333323</v>
      </c>
      <c r="E10" s="116">
        <v>1012.6666666666666</v>
      </c>
      <c r="F10" s="116">
        <v>1500.4</v>
      </c>
      <c r="G10">
        <v>146275</v>
      </c>
      <c r="H10" s="116"/>
      <c r="I10" s="116"/>
      <c r="L10" s="170">
        <v>42013</v>
      </c>
      <c r="M10" s="116">
        <v>1000.1666666666666</v>
      </c>
      <c r="N10" s="116">
        <v>1016</v>
      </c>
      <c r="O10" s="116">
        <v>992</v>
      </c>
      <c r="P10" s="116">
        <v>1014.6666666666666</v>
      </c>
      <c r="Q10" s="116">
        <v>1500.25</v>
      </c>
      <c r="R10">
        <v>1157153</v>
      </c>
    </row>
    <row r="11" spans="1:18" x14ac:dyDescent="0.25">
      <c r="A11" s="170">
        <v>42016</v>
      </c>
      <c r="B11" s="116">
        <v>1026</v>
      </c>
      <c r="C11" s="116">
        <v>1023.1333333333333</v>
      </c>
      <c r="D11" s="116">
        <v>996.66666666666663</v>
      </c>
      <c r="E11" s="116">
        <v>1002.4666666666667</v>
      </c>
      <c r="F11" s="116">
        <v>1534.7</v>
      </c>
      <c r="G11">
        <v>153180</v>
      </c>
      <c r="H11" s="116"/>
      <c r="I11" s="116"/>
      <c r="L11" s="170">
        <v>42016</v>
      </c>
      <c r="M11" s="116">
        <v>1022.8000000000001</v>
      </c>
      <c r="N11" s="116">
        <v>1024.6666666666667</v>
      </c>
      <c r="O11" s="116">
        <v>996.73333333333323</v>
      </c>
      <c r="P11" s="116">
        <v>1002.6</v>
      </c>
      <c r="Q11" s="116">
        <v>1534.2</v>
      </c>
      <c r="R11">
        <v>1023547</v>
      </c>
    </row>
    <row r="12" spans="1:18" x14ac:dyDescent="0.25">
      <c r="A12" s="170">
        <v>42017</v>
      </c>
      <c r="B12" s="116">
        <v>1031.4666666666667</v>
      </c>
      <c r="C12" s="116">
        <v>1013.6</v>
      </c>
      <c r="D12" s="116">
        <v>1011.3333333333334</v>
      </c>
      <c r="E12" s="116">
        <v>1026.8999999999999</v>
      </c>
      <c r="F12" s="116">
        <v>1520.4</v>
      </c>
      <c r="G12">
        <v>131435</v>
      </c>
      <c r="H12" s="116"/>
      <c r="I12" s="116"/>
      <c r="L12" s="170">
        <v>42017</v>
      </c>
      <c r="M12" s="116">
        <v>1013</v>
      </c>
      <c r="N12" s="116">
        <v>1031.4333333333334</v>
      </c>
      <c r="O12" s="116">
        <v>1010.8000000000001</v>
      </c>
      <c r="P12" s="116">
        <v>1029.9666666666667</v>
      </c>
      <c r="Q12" s="116">
        <v>1519.5</v>
      </c>
      <c r="R12">
        <v>878899</v>
      </c>
    </row>
    <row r="13" spans="1:18" x14ac:dyDescent="0.25">
      <c r="A13" s="170">
        <v>42018</v>
      </c>
      <c r="B13" s="116">
        <v>1022.5</v>
      </c>
      <c r="C13" s="116">
        <v>1011.7666666666668</v>
      </c>
      <c r="D13" s="116">
        <v>1000</v>
      </c>
      <c r="E13" s="116">
        <v>1016.4666666666667</v>
      </c>
      <c r="F13" s="116">
        <v>1517.65</v>
      </c>
      <c r="G13">
        <v>145908</v>
      </c>
      <c r="H13" s="116"/>
      <c r="I13" s="116"/>
      <c r="L13" s="170">
        <v>42018</v>
      </c>
      <c r="M13" s="116">
        <v>1012</v>
      </c>
      <c r="N13" s="116">
        <v>1022.7333333333332</v>
      </c>
      <c r="O13" s="116">
        <v>1000</v>
      </c>
      <c r="P13" s="116">
        <v>1015</v>
      </c>
      <c r="Q13" s="116">
        <v>1518</v>
      </c>
      <c r="R13">
        <v>984594</v>
      </c>
    </row>
    <row r="14" spans="1:18" x14ac:dyDescent="0.25">
      <c r="A14" s="170">
        <v>42019</v>
      </c>
      <c r="B14" s="116">
        <v>1057.3333333333333</v>
      </c>
      <c r="C14" s="116">
        <v>1048.2666666666667</v>
      </c>
      <c r="D14" s="116">
        <v>1023.9</v>
      </c>
      <c r="E14" s="116">
        <v>1033.5</v>
      </c>
      <c r="F14" s="116">
        <v>1572.4</v>
      </c>
      <c r="G14">
        <v>301272</v>
      </c>
      <c r="H14" s="116"/>
      <c r="I14" s="116"/>
      <c r="L14" s="170">
        <v>42019</v>
      </c>
      <c r="M14" s="116">
        <v>1049.1333333333334</v>
      </c>
      <c r="N14" s="116">
        <v>1057.4666666666667</v>
      </c>
      <c r="O14" s="116">
        <v>1023.6666666666666</v>
      </c>
      <c r="P14" s="116">
        <v>1030</v>
      </c>
      <c r="Q14" s="116">
        <v>1573.7</v>
      </c>
      <c r="R14">
        <v>2279394</v>
      </c>
    </row>
    <row r="15" spans="1:18" x14ac:dyDescent="0.25">
      <c r="A15" s="170">
        <v>42020</v>
      </c>
      <c r="B15" s="116">
        <v>1074</v>
      </c>
      <c r="C15" s="116">
        <v>1061.9333333333334</v>
      </c>
      <c r="D15" s="116">
        <v>1043.3333333333333</v>
      </c>
      <c r="E15" s="116">
        <v>1053.3333333333333</v>
      </c>
      <c r="F15" s="116">
        <v>1592.9</v>
      </c>
      <c r="G15">
        <v>247695</v>
      </c>
      <c r="H15" s="116"/>
      <c r="I15" s="116"/>
      <c r="L15" s="170">
        <v>42020</v>
      </c>
      <c r="M15" s="116">
        <v>1061.1666666666667</v>
      </c>
      <c r="N15" s="116">
        <v>1074.6666666666667</v>
      </c>
      <c r="O15" s="116">
        <v>1040</v>
      </c>
      <c r="P15" s="116">
        <v>1055</v>
      </c>
      <c r="Q15" s="116">
        <v>1591.75</v>
      </c>
      <c r="R15">
        <v>2796685</v>
      </c>
    </row>
    <row r="16" spans="1:18" x14ac:dyDescent="0.25">
      <c r="A16" s="170">
        <v>42023</v>
      </c>
      <c r="B16" s="116">
        <v>1081.3333333333333</v>
      </c>
      <c r="C16" s="116">
        <v>1076.6000000000001</v>
      </c>
      <c r="D16" s="116">
        <v>1067.8333333333333</v>
      </c>
      <c r="E16" s="116">
        <v>1068.3666666666666</v>
      </c>
      <c r="F16" s="116">
        <v>1614.9</v>
      </c>
      <c r="G16">
        <v>165099</v>
      </c>
      <c r="H16" s="116"/>
      <c r="I16" s="116"/>
      <c r="L16" s="170">
        <v>42023</v>
      </c>
      <c r="M16" s="116">
        <v>1076.5666666666666</v>
      </c>
      <c r="N16" s="116">
        <v>1082</v>
      </c>
      <c r="O16" s="116">
        <v>1067.9333333333334</v>
      </c>
      <c r="P16" s="116">
        <v>1068.6666666666667</v>
      </c>
      <c r="Q16" s="116">
        <v>1614.85</v>
      </c>
      <c r="R16">
        <v>1391965</v>
      </c>
    </row>
    <row r="17" spans="1:18" x14ac:dyDescent="0.25">
      <c r="A17" s="170">
        <v>42024</v>
      </c>
      <c r="B17" s="116">
        <v>1088.6333333333334</v>
      </c>
      <c r="C17" s="116">
        <v>1085.5</v>
      </c>
      <c r="D17" s="116">
        <v>1068</v>
      </c>
      <c r="E17" s="116">
        <v>1078.2</v>
      </c>
      <c r="F17" s="116">
        <v>1628.25</v>
      </c>
      <c r="G17">
        <v>156181</v>
      </c>
      <c r="H17" s="116"/>
      <c r="I17" s="116"/>
      <c r="L17" s="170">
        <v>42024</v>
      </c>
      <c r="M17" s="116">
        <v>1086.3666666666666</v>
      </c>
      <c r="N17" s="116">
        <v>1089.3333333333333</v>
      </c>
      <c r="O17" s="116">
        <v>1067.3333333333333</v>
      </c>
      <c r="P17" s="116">
        <v>1081.2666666666667</v>
      </c>
      <c r="Q17" s="116">
        <v>1629.55</v>
      </c>
      <c r="R17">
        <v>1392519</v>
      </c>
    </row>
    <row r="18" spans="1:18" x14ac:dyDescent="0.25">
      <c r="A18" s="170">
        <v>42025</v>
      </c>
      <c r="B18" s="116">
        <v>1110</v>
      </c>
      <c r="C18" s="116">
        <v>1099.2666666666667</v>
      </c>
      <c r="D18" s="116">
        <v>1088</v>
      </c>
      <c r="E18" s="116">
        <v>1088.2</v>
      </c>
      <c r="F18" s="116">
        <v>1648.9</v>
      </c>
      <c r="G18">
        <v>597072</v>
      </c>
      <c r="H18" s="116"/>
      <c r="I18" s="116"/>
      <c r="L18" s="170">
        <v>42025</v>
      </c>
      <c r="M18" s="116">
        <v>1103.0333333333333</v>
      </c>
      <c r="N18" s="116">
        <v>1112.1333333333334</v>
      </c>
      <c r="O18" s="116">
        <v>1087.1666666666667</v>
      </c>
      <c r="P18" s="116">
        <v>1089.2</v>
      </c>
      <c r="Q18" s="116">
        <v>1654.55</v>
      </c>
      <c r="R18">
        <v>2470158</v>
      </c>
    </row>
    <row r="19" spans="1:18" x14ac:dyDescent="0.25">
      <c r="A19" s="170">
        <v>42026</v>
      </c>
      <c r="B19" s="116">
        <v>1112</v>
      </c>
      <c r="C19" s="116">
        <v>1108.7333333333333</v>
      </c>
      <c r="D19" s="116">
        <v>1102</v>
      </c>
      <c r="E19" s="116">
        <v>1104.2</v>
      </c>
      <c r="F19" s="116">
        <v>1663.1</v>
      </c>
      <c r="G19">
        <v>138508</v>
      </c>
      <c r="H19" s="116"/>
      <c r="I19" s="116"/>
      <c r="L19" s="170">
        <v>42026</v>
      </c>
      <c r="M19" s="116">
        <v>1108.8666666666666</v>
      </c>
      <c r="N19" s="116">
        <v>1112.6666666666667</v>
      </c>
      <c r="O19" s="116">
        <v>1102.2333333333333</v>
      </c>
      <c r="P19" s="116">
        <v>1104</v>
      </c>
      <c r="Q19" s="116">
        <v>1663.3</v>
      </c>
      <c r="R19">
        <v>1207449</v>
      </c>
    </row>
    <row r="20" spans="1:18" x14ac:dyDescent="0.25">
      <c r="A20" s="170">
        <v>42027</v>
      </c>
      <c r="B20" s="116">
        <v>1141.9666666666667</v>
      </c>
      <c r="C20" s="116">
        <v>1137.3666666666666</v>
      </c>
      <c r="D20" s="116">
        <v>1115.3999999999999</v>
      </c>
      <c r="E20" s="116">
        <v>1116.9333333333334</v>
      </c>
      <c r="F20" s="116">
        <v>1706.05</v>
      </c>
      <c r="G20">
        <v>342566</v>
      </c>
      <c r="H20" s="116"/>
      <c r="I20" s="116"/>
      <c r="L20" s="170">
        <v>42027</v>
      </c>
      <c r="M20" s="116">
        <v>1140.8666666666666</v>
      </c>
      <c r="N20" s="116">
        <v>1143.9666666666667</v>
      </c>
      <c r="O20" s="116">
        <v>1116.6666666666667</v>
      </c>
      <c r="P20" s="116">
        <v>1116.6666666666667</v>
      </c>
      <c r="Q20" s="116">
        <v>1711.3</v>
      </c>
      <c r="R20">
        <v>2916141</v>
      </c>
    </row>
    <row r="21" spans="1:18" x14ac:dyDescent="0.25">
      <c r="A21" s="170">
        <v>42031</v>
      </c>
      <c r="B21" s="116">
        <v>1166.3333333333333</v>
      </c>
      <c r="C21" s="116">
        <v>1160.9333333333334</v>
      </c>
      <c r="D21" s="116">
        <v>1145.3333333333333</v>
      </c>
      <c r="E21" s="116">
        <v>1146.6666666666667</v>
      </c>
      <c r="F21" s="116">
        <v>1741.4</v>
      </c>
      <c r="G21">
        <v>262199</v>
      </c>
      <c r="H21" s="116"/>
      <c r="I21" s="116"/>
      <c r="L21" s="170">
        <v>42031</v>
      </c>
      <c r="M21" s="116">
        <v>1161.3333333333333</v>
      </c>
      <c r="N21" s="116">
        <v>1166.6666666666667</v>
      </c>
      <c r="O21" s="116">
        <v>1145.3333333333333</v>
      </c>
      <c r="P21" s="116">
        <v>1146.6666666666667</v>
      </c>
      <c r="Q21" s="116">
        <v>1742</v>
      </c>
      <c r="R21">
        <v>2260406</v>
      </c>
    </row>
    <row r="22" spans="1:18" x14ac:dyDescent="0.25">
      <c r="A22" s="170">
        <v>42032</v>
      </c>
      <c r="B22" s="116">
        <v>1160</v>
      </c>
      <c r="C22" s="116">
        <v>1131.7666666666667</v>
      </c>
      <c r="D22" s="116">
        <v>1123.3666666666666</v>
      </c>
      <c r="E22" s="116">
        <v>1160</v>
      </c>
      <c r="F22" s="116">
        <v>1697.65</v>
      </c>
      <c r="G22">
        <v>207711</v>
      </c>
      <c r="H22" s="116"/>
      <c r="I22" s="116"/>
      <c r="L22" s="170">
        <v>42032</v>
      </c>
      <c r="M22" s="116">
        <v>1132.2333333333333</v>
      </c>
      <c r="N22" s="116">
        <v>1160.3333333333333</v>
      </c>
      <c r="O22" s="116">
        <v>1123.3333333333333</v>
      </c>
      <c r="P22" s="116">
        <v>1156.8</v>
      </c>
      <c r="Q22" s="116">
        <v>1698.35</v>
      </c>
      <c r="R22">
        <v>2309016</v>
      </c>
    </row>
    <row r="23" spans="1:18" x14ac:dyDescent="0.25">
      <c r="A23" s="170">
        <v>42033</v>
      </c>
      <c r="B23" s="116">
        <v>1151.6666666666667</v>
      </c>
      <c r="C23" s="116">
        <v>1146.2</v>
      </c>
      <c r="D23" s="116">
        <v>1126.6666666666667</v>
      </c>
      <c r="E23" s="116">
        <v>1130</v>
      </c>
      <c r="F23" s="116">
        <v>1719.3</v>
      </c>
      <c r="G23">
        <v>143347</v>
      </c>
      <c r="H23" s="116"/>
      <c r="I23" s="116"/>
      <c r="L23" s="170">
        <v>42033</v>
      </c>
      <c r="M23" s="116">
        <v>1149.2666666666667</v>
      </c>
      <c r="N23" s="116">
        <v>1155.8</v>
      </c>
      <c r="O23" s="116">
        <v>1125.5</v>
      </c>
      <c r="P23" s="116">
        <v>1128.2333333333333</v>
      </c>
      <c r="Q23" s="116">
        <v>1723.9</v>
      </c>
      <c r="R23">
        <v>2306675</v>
      </c>
    </row>
    <row r="24" spans="1:18" x14ac:dyDescent="0.25">
      <c r="A24" s="170">
        <v>42034</v>
      </c>
      <c r="B24" s="116">
        <v>1160</v>
      </c>
      <c r="C24" s="116">
        <v>1133.3999999999999</v>
      </c>
      <c r="D24" s="116">
        <v>1123.3333333333333</v>
      </c>
      <c r="E24" s="116">
        <v>1153.3333333333333</v>
      </c>
      <c r="F24" s="116">
        <v>1700.1</v>
      </c>
      <c r="G24">
        <v>216010</v>
      </c>
      <c r="H24" s="116"/>
      <c r="I24" s="116"/>
      <c r="L24" s="170">
        <v>42034</v>
      </c>
      <c r="M24" s="116">
        <v>1133.7</v>
      </c>
      <c r="N24" s="116">
        <v>1160.5333333333333</v>
      </c>
      <c r="O24" s="116">
        <v>1122.2333333333333</v>
      </c>
      <c r="P24" s="116">
        <v>1152.3999999999999</v>
      </c>
      <c r="Q24" s="116">
        <v>1700.55</v>
      </c>
      <c r="R24">
        <v>1521663</v>
      </c>
    </row>
    <row r="25" spans="1:18" x14ac:dyDescent="0.25">
      <c r="A25" s="170">
        <v>42037</v>
      </c>
      <c r="B25" s="116">
        <v>1159.6666666666667</v>
      </c>
      <c r="C25" s="116">
        <v>1155.5</v>
      </c>
      <c r="D25" s="116">
        <v>1130</v>
      </c>
      <c r="E25" s="116">
        <v>1130</v>
      </c>
      <c r="F25" s="116">
        <v>1733.25</v>
      </c>
      <c r="G25">
        <v>168978</v>
      </c>
      <c r="H25" s="116"/>
      <c r="I25" s="116"/>
      <c r="L25" s="170">
        <v>42037</v>
      </c>
      <c r="M25" s="116">
        <v>1156.7333333333333</v>
      </c>
      <c r="N25" s="116">
        <v>1159.8999999999999</v>
      </c>
      <c r="O25" s="116">
        <v>1130.6666666666667</v>
      </c>
      <c r="P25" s="116">
        <v>1130.6666666666667</v>
      </c>
      <c r="Q25" s="116">
        <v>1735.1</v>
      </c>
      <c r="R25">
        <v>1417138</v>
      </c>
    </row>
    <row r="26" spans="1:18" x14ac:dyDescent="0.25">
      <c r="A26" s="170">
        <v>42038</v>
      </c>
      <c r="B26" s="116">
        <v>1165.3333333333333</v>
      </c>
      <c r="C26" s="116">
        <v>1148.4666666666667</v>
      </c>
      <c r="D26" s="116">
        <v>1140</v>
      </c>
      <c r="E26" s="116">
        <v>1160.3999999999999</v>
      </c>
      <c r="F26" s="116">
        <v>1722.7</v>
      </c>
      <c r="G26">
        <v>143792</v>
      </c>
      <c r="H26" s="116"/>
      <c r="I26" s="116"/>
      <c r="L26" s="170">
        <v>42038</v>
      </c>
      <c r="M26" s="116">
        <v>1148.3333333333333</v>
      </c>
      <c r="N26" s="116">
        <v>1166.6000000000001</v>
      </c>
      <c r="O26" s="116">
        <v>1138.2333333333333</v>
      </c>
      <c r="P26" s="116">
        <v>1161.3333333333333</v>
      </c>
      <c r="Q26" s="116">
        <v>1722.5</v>
      </c>
      <c r="R26">
        <v>1953815</v>
      </c>
    </row>
    <row r="27" spans="1:18" x14ac:dyDescent="0.25">
      <c r="A27" s="170">
        <v>42039</v>
      </c>
      <c r="B27" s="116">
        <v>1154.0333333333333</v>
      </c>
      <c r="C27" s="116">
        <v>1126.6333333333334</v>
      </c>
      <c r="D27" s="116">
        <v>1123.3333333333333</v>
      </c>
      <c r="E27" s="116">
        <v>1150.4333333333334</v>
      </c>
      <c r="F27" s="116">
        <v>1689.95</v>
      </c>
      <c r="G27">
        <v>147513</v>
      </c>
      <c r="H27" s="116"/>
      <c r="I27" s="116"/>
      <c r="L27" s="170">
        <v>42039</v>
      </c>
      <c r="M27" s="116">
        <v>1125.6000000000001</v>
      </c>
      <c r="N27" s="116">
        <v>1154.8</v>
      </c>
      <c r="O27" s="116">
        <v>1121.6000000000001</v>
      </c>
      <c r="P27" s="116">
        <v>1153.0333333333333</v>
      </c>
      <c r="Q27" s="116">
        <v>1688.4</v>
      </c>
      <c r="R27">
        <v>1230675</v>
      </c>
    </row>
    <row r="28" spans="1:18" x14ac:dyDescent="0.25">
      <c r="A28" s="170">
        <v>42040</v>
      </c>
      <c r="B28" s="116">
        <v>1136.6666666666667</v>
      </c>
      <c r="C28" s="116">
        <v>1122.3999999999999</v>
      </c>
      <c r="D28" s="116">
        <v>1116.6666666666667</v>
      </c>
      <c r="E28" s="116">
        <v>1129</v>
      </c>
      <c r="F28" s="116">
        <v>1683.6</v>
      </c>
      <c r="G28">
        <v>142298</v>
      </c>
      <c r="H28" s="116"/>
      <c r="I28" s="116"/>
      <c r="L28" s="170">
        <v>42040</v>
      </c>
      <c r="M28" s="116">
        <v>1121.6000000000001</v>
      </c>
      <c r="N28" s="116">
        <v>1137.3333333333333</v>
      </c>
      <c r="O28" s="116">
        <v>1116.0666666666666</v>
      </c>
      <c r="P28" s="116">
        <v>1127.3</v>
      </c>
      <c r="Q28" s="116">
        <v>1682.4</v>
      </c>
      <c r="R28">
        <v>1343965</v>
      </c>
    </row>
    <row r="29" spans="1:18" x14ac:dyDescent="0.25">
      <c r="A29" s="170">
        <v>42041</v>
      </c>
      <c r="B29" s="116">
        <v>1129.6000000000001</v>
      </c>
      <c r="C29" s="116">
        <v>1122.8999999999999</v>
      </c>
      <c r="D29" s="116">
        <v>1109.3666666666666</v>
      </c>
      <c r="E29" s="116">
        <v>1120</v>
      </c>
      <c r="F29" s="116">
        <v>1684.35</v>
      </c>
      <c r="G29">
        <v>149673</v>
      </c>
      <c r="H29" s="116"/>
      <c r="I29" s="116"/>
      <c r="L29" s="170">
        <v>42041</v>
      </c>
      <c r="M29" s="116">
        <v>1122.3666666666666</v>
      </c>
      <c r="N29" s="116">
        <v>1129.3333333333333</v>
      </c>
      <c r="O29" s="116">
        <v>1108.6666666666667</v>
      </c>
      <c r="P29" s="116">
        <v>1121.3333333333333</v>
      </c>
      <c r="Q29" s="116">
        <v>1683.55</v>
      </c>
      <c r="R29">
        <v>1473747</v>
      </c>
    </row>
    <row r="30" spans="1:18" x14ac:dyDescent="0.25">
      <c r="A30" s="170">
        <v>42044</v>
      </c>
      <c r="B30" s="116">
        <v>1115.5333333333333</v>
      </c>
      <c r="C30" s="116">
        <v>1048.6666666666667</v>
      </c>
      <c r="D30" s="116">
        <v>1033.2333333333333</v>
      </c>
      <c r="E30" s="116">
        <v>1115.5333333333333</v>
      </c>
      <c r="F30" s="116">
        <v>1573</v>
      </c>
      <c r="G30">
        <v>504744</v>
      </c>
      <c r="H30" s="116"/>
      <c r="I30" s="116"/>
      <c r="L30" s="170">
        <v>42044</v>
      </c>
      <c r="M30" s="116">
        <v>1048.3</v>
      </c>
      <c r="N30" s="116">
        <v>1112.6666666666667</v>
      </c>
      <c r="O30" s="116">
        <v>1033.3333333333333</v>
      </c>
      <c r="P30" s="116">
        <v>1108.8666666666666</v>
      </c>
      <c r="Q30" s="116">
        <v>1572.45</v>
      </c>
      <c r="R30">
        <v>3559882</v>
      </c>
    </row>
    <row r="31" spans="1:18" x14ac:dyDescent="0.25">
      <c r="A31" s="170">
        <v>42045</v>
      </c>
      <c r="B31" s="116">
        <v>1074.6666666666667</v>
      </c>
      <c r="C31" s="116">
        <v>1049.2</v>
      </c>
      <c r="D31" s="116">
        <v>1021.3333333333334</v>
      </c>
      <c r="E31" s="116">
        <v>1033.8666666666666</v>
      </c>
      <c r="F31" s="116">
        <v>1573.8</v>
      </c>
      <c r="G31">
        <v>706143</v>
      </c>
      <c r="H31" s="116"/>
      <c r="I31" s="116"/>
      <c r="L31" s="170">
        <v>42045</v>
      </c>
      <c r="M31" s="116">
        <v>1047.8</v>
      </c>
      <c r="N31" s="116">
        <v>1074</v>
      </c>
      <c r="O31" s="116">
        <v>1021.4333333333334</v>
      </c>
      <c r="P31" s="116">
        <v>1030.0666666666666</v>
      </c>
      <c r="Q31" s="116">
        <v>1571.7</v>
      </c>
      <c r="R31">
        <v>6981365</v>
      </c>
    </row>
    <row r="32" spans="1:18" x14ac:dyDescent="0.25">
      <c r="A32" s="170">
        <v>42046</v>
      </c>
      <c r="B32" s="116">
        <v>1082.6333333333334</v>
      </c>
      <c r="C32" s="116">
        <v>1076.1333333333334</v>
      </c>
      <c r="D32" s="116">
        <v>1057.3999999999999</v>
      </c>
      <c r="E32" s="116">
        <v>1057.3999999999999</v>
      </c>
      <c r="F32" s="116">
        <v>1614.2</v>
      </c>
      <c r="G32">
        <v>247149</v>
      </c>
      <c r="H32" s="116"/>
      <c r="I32" s="116"/>
      <c r="L32" s="170">
        <v>42046</v>
      </c>
      <c r="M32" s="116">
        <v>1075.1333333333334</v>
      </c>
      <c r="N32" s="116">
        <v>1082.4666666666667</v>
      </c>
      <c r="O32" s="116">
        <v>1055.8</v>
      </c>
      <c r="P32" s="116">
        <v>1058</v>
      </c>
      <c r="Q32" s="116">
        <v>1612.7</v>
      </c>
      <c r="R32">
        <v>3117098</v>
      </c>
    </row>
    <row r="33" spans="1:18" x14ac:dyDescent="0.25">
      <c r="A33" s="170">
        <v>42047</v>
      </c>
      <c r="B33" s="116">
        <v>1104.5</v>
      </c>
      <c r="C33" s="116">
        <v>1097.8666666666666</v>
      </c>
      <c r="D33" s="116">
        <v>1070.8333333333333</v>
      </c>
      <c r="E33" s="116">
        <v>1080</v>
      </c>
      <c r="F33" s="116">
        <v>1646.8</v>
      </c>
      <c r="G33">
        <v>258449</v>
      </c>
      <c r="H33" s="116"/>
      <c r="I33" s="116"/>
      <c r="L33" s="170">
        <v>42047</v>
      </c>
      <c r="M33" s="116">
        <v>1100.0333333333333</v>
      </c>
      <c r="N33" s="116">
        <v>1106</v>
      </c>
      <c r="O33" s="116">
        <v>1070.1333333333334</v>
      </c>
      <c r="P33" s="116">
        <v>1078.6666666666667</v>
      </c>
      <c r="Q33" s="116">
        <v>1650.05</v>
      </c>
      <c r="R33">
        <v>2108189</v>
      </c>
    </row>
    <row r="34" spans="1:18" x14ac:dyDescent="0.25">
      <c r="A34" s="170">
        <v>42048</v>
      </c>
      <c r="B34" s="116">
        <v>1116.1666666666667</v>
      </c>
      <c r="C34" s="116">
        <v>1107.8333333333333</v>
      </c>
      <c r="D34" s="116">
        <v>1100.6666666666667</v>
      </c>
      <c r="E34" s="116">
        <v>1106.8999999999999</v>
      </c>
      <c r="F34" s="116">
        <v>1661.75</v>
      </c>
      <c r="G34">
        <v>158553</v>
      </c>
      <c r="H34" s="116"/>
      <c r="I34" s="116"/>
      <c r="L34" s="170">
        <v>42048</v>
      </c>
      <c r="M34" s="116">
        <v>1108.1000000000001</v>
      </c>
      <c r="N34" s="116">
        <v>1116</v>
      </c>
      <c r="O34" s="116">
        <v>1100</v>
      </c>
      <c r="P34" s="116">
        <v>1106.6666666666667</v>
      </c>
      <c r="Q34" s="116">
        <v>1662.15</v>
      </c>
      <c r="R34">
        <v>1575712</v>
      </c>
    </row>
    <row r="35" spans="1:18" x14ac:dyDescent="0.25">
      <c r="A35" s="170">
        <v>42051</v>
      </c>
      <c r="B35" s="116">
        <v>1118.9666666666667</v>
      </c>
      <c r="C35" s="116">
        <v>1099.9666666666667</v>
      </c>
      <c r="D35" s="116">
        <v>1095.3</v>
      </c>
      <c r="E35" s="116">
        <v>1108.6666666666667</v>
      </c>
      <c r="F35" s="116">
        <v>1649.95</v>
      </c>
      <c r="G35">
        <v>126368</v>
      </c>
      <c r="H35" s="116"/>
      <c r="I35" s="116"/>
      <c r="L35" s="170">
        <v>42051</v>
      </c>
      <c r="M35" s="116">
        <v>1098.9666666666667</v>
      </c>
      <c r="N35" s="116">
        <v>1118.6666666666667</v>
      </c>
      <c r="O35" s="116">
        <v>1093.3999999999999</v>
      </c>
      <c r="P35" s="116">
        <v>1110</v>
      </c>
      <c r="Q35" s="116">
        <v>1648.45</v>
      </c>
      <c r="R35">
        <v>1117688</v>
      </c>
    </row>
    <row r="36" spans="1:18" x14ac:dyDescent="0.25">
      <c r="A36" s="170">
        <v>42053</v>
      </c>
      <c r="B36" s="116">
        <v>1116</v>
      </c>
      <c r="C36" s="116">
        <v>1109.3999999999999</v>
      </c>
      <c r="D36" s="116">
        <v>1100</v>
      </c>
      <c r="E36" s="116">
        <v>1100</v>
      </c>
      <c r="F36" s="116">
        <v>1664.1</v>
      </c>
      <c r="G36">
        <v>172718</v>
      </c>
      <c r="H36" s="116"/>
      <c r="I36" s="116"/>
      <c r="L36" s="170">
        <v>42053</v>
      </c>
      <c r="M36" s="116">
        <v>1108.8999999999999</v>
      </c>
      <c r="N36" s="116">
        <v>1116.6000000000001</v>
      </c>
      <c r="O36" s="116">
        <v>1102.6666666666667</v>
      </c>
      <c r="P36" s="116">
        <v>1103.2</v>
      </c>
      <c r="Q36" s="116">
        <v>1663.35</v>
      </c>
      <c r="R36">
        <v>1458528</v>
      </c>
    </row>
    <row r="37" spans="1:18" x14ac:dyDescent="0.25">
      <c r="A37" s="170">
        <v>42054</v>
      </c>
      <c r="B37" s="116">
        <v>1140</v>
      </c>
      <c r="C37" s="116">
        <v>1133</v>
      </c>
      <c r="D37" s="116">
        <v>1108.3333333333333</v>
      </c>
      <c r="E37" s="116">
        <v>1113.3333333333333</v>
      </c>
      <c r="F37" s="116">
        <v>1699.5</v>
      </c>
      <c r="G37">
        <v>210833</v>
      </c>
      <c r="H37" s="116"/>
      <c r="I37" s="116"/>
      <c r="L37" s="170">
        <v>42054</v>
      </c>
      <c r="M37" s="116">
        <v>1132.3666666666666</v>
      </c>
      <c r="N37" s="116">
        <v>1140</v>
      </c>
      <c r="O37" s="116">
        <v>1108.2666666666667</v>
      </c>
      <c r="P37" s="116">
        <v>1112.5333333333333</v>
      </c>
      <c r="Q37" s="116">
        <v>1698.55</v>
      </c>
      <c r="R37">
        <v>1872581</v>
      </c>
    </row>
    <row r="38" spans="1:18" x14ac:dyDescent="0.25">
      <c r="A38" s="170">
        <v>42055</v>
      </c>
      <c r="B38" s="116">
        <v>1143.3333333333333</v>
      </c>
      <c r="C38" s="116">
        <v>1118.5333333333333</v>
      </c>
      <c r="D38" s="116">
        <v>1115.3999999999999</v>
      </c>
      <c r="E38" s="116">
        <v>1136.6666666666667</v>
      </c>
      <c r="F38" s="116">
        <v>1677.8</v>
      </c>
      <c r="G38">
        <v>178849</v>
      </c>
      <c r="H38" s="116"/>
      <c r="I38" s="116"/>
      <c r="L38" s="170">
        <v>42055</v>
      </c>
      <c r="M38" s="116">
        <v>1118.3999999999999</v>
      </c>
      <c r="N38" s="116">
        <v>1143.2</v>
      </c>
      <c r="O38" s="116">
        <v>1114.3333333333333</v>
      </c>
      <c r="P38" s="116">
        <v>1133.3333333333333</v>
      </c>
      <c r="Q38" s="116">
        <v>1677.6</v>
      </c>
      <c r="R38">
        <v>3581711</v>
      </c>
    </row>
    <row r="39" spans="1:18" x14ac:dyDescent="0.25">
      <c r="A39" s="170">
        <v>42058</v>
      </c>
      <c r="B39" s="116">
        <v>1141.2</v>
      </c>
      <c r="C39" s="116">
        <v>1123.9666666666667</v>
      </c>
      <c r="D39" s="116">
        <v>1120</v>
      </c>
      <c r="E39" s="116">
        <v>1121.5666666666666</v>
      </c>
      <c r="F39" s="116">
        <v>1685.95</v>
      </c>
      <c r="G39">
        <v>201293</v>
      </c>
      <c r="H39" s="116"/>
      <c r="I39" s="116"/>
      <c r="L39" s="170">
        <v>42058</v>
      </c>
      <c r="M39" s="116">
        <v>1124.6666666666667</v>
      </c>
      <c r="N39" s="116">
        <v>1141.2666666666667</v>
      </c>
      <c r="O39" s="116">
        <v>1119.5666666666666</v>
      </c>
      <c r="P39" s="116">
        <v>1124.3</v>
      </c>
      <c r="Q39" s="116">
        <v>1687</v>
      </c>
      <c r="R39">
        <v>2372609</v>
      </c>
    </row>
    <row r="40" spans="1:18" x14ac:dyDescent="0.25">
      <c r="A40" s="170">
        <v>42059</v>
      </c>
      <c r="B40" s="116">
        <v>1149.3333333333333</v>
      </c>
      <c r="C40" s="116">
        <v>1146.8333333333333</v>
      </c>
      <c r="D40" s="116">
        <v>1126.7333333333333</v>
      </c>
      <c r="E40" s="116">
        <v>1126.8666666666666</v>
      </c>
      <c r="F40" s="116">
        <v>1720.25</v>
      </c>
      <c r="G40">
        <v>227206</v>
      </c>
      <c r="H40" s="116"/>
      <c r="I40" s="116"/>
      <c r="L40" s="170">
        <v>42059</v>
      </c>
      <c r="M40" s="116">
        <v>1147.3999999999999</v>
      </c>
      <c r="N40" s="116">
        <v>1149.6666666666667</v>
      </c>
      <c r="O40" s="116">
        <v>1126.7</v>
      </c>
      <c r="P40" s="116">
        <v>1127.6333333333334</v>
      </c>
      <c r="Q40" s="116">
        <v>1721.1</v>
      </c>
      <c r="R40">
        <v>2124338</v>
      </c>
    </row>
    <row r="41" spans="1:18" x14ac:dyDescent="0.25">
      <c r="A41" s="170">
        <v>42060</v>
      </c>
      <c r="B41" s="116">
        <v>1156</v>
      </c>
      <c r="C41" s="116">
        <v>1131.8</v>
      </c>
      <c r="D41" s="116">
        <v>1123.3333333333333</v>
      </c>
      <c r="E41" s="116">
        <v>1150</v>
      </c>
      <c r="F41" s="116">
        <v>1697.7</v>
      </c>
      <c r="G41">
        <v>162377</v>
      </c>
      <c r="H41" s="116"/>
      <c r="I41" s="116"/>
      <c r="L41" s="170">
        <v>42060</v>
      </c>
      <c r="M41" s="116">
        <v>1131.9333333333334</v>
      </c>
      <c r="N41" s="116">
        <v>1156.5333333333333</v>
      </c>
      <c r="O41" s="116">
        <v>1124</v>
      </c>
      <c r="P41" s="116">
        <v>1150</v>
      </c>
      <c r="Q41" s="116">
        <v>1697.9</v>
      </c>
      <c r="R41">
        <v>1840117</v>
      </c>
    </row>
    <row r="42" spans="1:18" x14ac:dyDescent="0.25">
      <c r="A42" s="170">
        <v>42061</v>
      </c>
      <c r="B42" s="116">
        <v>1134.7333333333333</v>
      </c>
      <c r="C42" s="116">
        <v>1120.0333333333333</v>
      </c>
      <c r="D42" s="116">
        <v>1114.6666666666667</v>
      </c>
      <c r="E42" s="116">
        <v>1134.0666666666666</v>
      </c>
      <c r="F42" s="116">
        <v>1680.05</v>
      </c>
      <c r="G42">
        <v>176939</v>
      </c>
      <c r="H42" s="116"/>
      <c r="I42" s="116"/>
      <c r="L42" s="170">
        <v>42061</v>
      </c>
      <c r="M42" s="116">
        <v>1118.7</v>
      </c>
      <c r="N42" s="116">
        <v>1133.8333333333333</v>
      </c>
      <c r="O42" s="116">
        <v>1113.3333333333333</v>
      </c>
      <c r="P42" s="116">
        <v>1132.6666666666667</v>
      </c>
      <c r="Q42" s="116">
        <v>1678.05</v>
      </c>
      <c r="R42">
        <v>1911784</v>
      </c>
    </row>
    <row r="43" spans="1:18" x14ac:dyDescent="0.25">
      <c r="A43" s="170">
        <v>42062</v>
      </c>
      <c r="B43" s="116">
        <v>1176.6666666666667</v>
      </c>
      <c r="C43" s="116">
        <v>1172.3666666666666</v>
      </c>
      <c r="D43" s="116">
        <v>1133.3333333333333</v>
      </c>
      <c r="E43" s="116">
        <v>1134</v>
      </c>
      <c r="F43" s="116">
        <v>1758.55</v>
      </c>
      <c r="G43">
        <v>540803</v>
      </c>
      <c r="H43" s="116"/>
      <c r="I43" s="116"/>
      <c r="L43" s="170">
        <v>42062</v>
      </c>
      <c r="M43" s="116">
        <v>1172.6333333333334</v>
      </c>
      <c r="N43" s="116">
        <v>1176.6666666666667</v>
      </c>
      <c r="O43" s="116">
        <v>1133.3333333333333</v>
      </c>
      <c r="P43" s="116">
        <v>1135.2</v>
      </c>
      <c r="Q43" s="116">
        <v>1758.95</v>
      </c>
      <c r="R43">
        <v>4269703</v>
      </c>
    </row>
    <row r="44" spans="1:18" x14ac:dyDescent="0.25">
      <c r="A44" s="170">
        <v>42063</v>
      </c>
      <c r="B44" s="116">
        <v>1200</v>
      </c>
      <c r="C44" s="116">
        <v>1177.9333333333334</v>
      </c>
      <c r="D44" s="116">
        <v>1145.7</v>
      </c>
      <c r="E44" s="116">
        <v>1185.3333333333333</v>
      </c>
      <c r="F44" s="116">
        <v>1766.9</v>
      </c>
      <c r="G44">
        <v>750523</v>
      </c>
      <c r="H44" s="116"/>
      <c r="I44" s="116"/>
      <c r="L44" s="170">
        <v>42063</v>
      </c>
      <c r="M44" s="116">
        <v>1178.7333333333333</v>
      </c>
      <c r="N44" s="116">
        <v>1199.9333333333334</v>
      </c>
      <c r="O44" s="116">
        <v>1144</v>
      </c>
      <c r="P44" s="116">
        <v>1186.6666666666667</v>
      </c>
      <c r="Q44" s="116">
        <v>1768.1</v>
      </c>
      <c r="R44">
        <v>4728380</v>
      </c>
    </row>
    <row r="45" spans="1:18" x14ac:dyDescent="0.25">
      <c r="A45" s="170">
        <v>42065</v>
      </c>
      <c r="B45" s="116">
        <v>1232</v>
      </c>
      <c r="C45" s="116">
        <v>1229</v>
      </c>
      <c r="D45" s="116">
        <v>1186.8333333333333</v>
      </c>
      <c r="E45" s="116">
        <v>1186.9333333333334</v>
      </c>
      <c r="F45" s="116">
        <v>1843.5</v>
      </c>
      <c r="G45">
        <v>912254</v>
      </c>
      <c r="H45" s="116"/>
      <c r="I45" s="116"/>
      <c r="L45" s="170">
        <v>42065</v>
      </c>
      <c r="M45" s="116">
        <v>1230.7333333333333</v>
      </c>
      <c r="N45" s="116">
        <v>1233.3333333333333</v>
      </c>
      <c r="O45" s="116">
        <v>1188</v>
      </c>
      <c r="P45" s="116">
        <v>1188</v>
      </c>
      <c r="Q45" s="116">
        <v>1846.1</v>
      </c>
      <c r="R45">
        <v>4851329</v>
      </c>
    </row>
    <row r="46" spans="1:18" x14ac:dyDescent="0.25">
      <c r="A46" s="170">
        <v>42066</v>
      </c>
      <c r="B46" s="116">
        <v>1238.6666666666667</v>
      </c>
      <c r="C46" s="116">
        <v>1232.6000000000001</v>
      </c>
      <c r="D46" s="116">
        <v>1218.7333333333333</v>
      </c>
      <c r="E46" s="116">
        <v>1233.3333333333333</v>
      </c>
      <c r="F46" s="116">
        <v>1848.9</v>
      </c>
      <c r="G46">
        <v>286651</v>
      </c>
      <c r="H46" s="116"/>
      <c r="I46" s="116"/>
      <c r="L46" s="170">
        <v>42066</v>
      </c>
      <c r="M46" s="116">
        <v>1234.4333333333334</v>
      </c>
      <c r="N46" s="116">
        <v>1239.3333333333333</v>
      </c>
      <c r="O46" s="116">
        <v>1218.7333333333333</v>
      </c>
      <c r="P46" s="116">
        <v>1233.3333333333333</v>
      </c>
      <c r="Q46" s="116">
        <v>1851.65</v>
      </c>
      <c r="R46">
        <v>2377803</v>
      </c>
    </row>
    <row r="47" spans="1:18" x14ac:dyDescent="0.25">
      <c r="A47" s="170">
        <v>42067</v>
      </c>
      <c r="B47" s="116">
        <v>1261.9666666666667</v>
      </c>
      <c r="C47" s="116">
        <v>1225.9333333333334</v>
      </c>
      <c r="D47" s="116">
        <v>1211.7666666666667</v>
      </c>
      <c r="E47" s="116">
        <v>1243.3333333333333</v>
      </c>
      <c r="F47" s="116">
        <v>1838.9</v>
      </c>
      <c r="G47">
        <v>304529</v>
      </c>
      <c r="H47" s="116"/>
      <c r="I47" s="116"/>
      <c r="L47" s="170">
        <v>42067</v>
      </c>
      <c r="M47" s="116">
        <v>1225.2666666666667</v>
      </c>
      <c r="N47" s="116">
        <v>1262.5333333333333</v>
      </c>
      <c r="O47" s="116">
        <v>1211.3333333333333</v>
      </c>
      <c r="P47" s="116">
        <v>1246.6666666666667</v>
      </c>
      <c r="Q47" s="116">
        <v>1837.9</v>
      </c>
      <c r="R47">
        <v>3304664</v>
      </c>
    </row>
    <row r="48" spans="1:18" x14ac:dyDescent="0.25">
      <c r="A48" s="170">
        <v>42068</v>
      </c>
      <c r="B48" s="116">
        <v>1233.3333333333333</v>
      </c>
      <c r="C48" s="116">
        <v>1216.8</v>
      </c>
      <c r="D48" s="116">
        <v>1197.5666666666666</v>
      </c>
      <c r="E48" s="116">
        <v>1230.6666666666667</v>
      </c>
      <c r="F48" s="116">
        <v>1825.2</v>
      </c>
      <c r="G48">
        <v>230101</v>
      </c>
      <c r="H48" s="116"/>
      <c r="I48" s="116"/>
      <c r="L48" s="170">
        <v>42068</v>
      </c>
      <c r="M48" s="116">
        <v>1217.3666666666666</v>
      </c>
      <c r="N48" s="116">
        <v>1230.9666666666667</v>
      </c>
      <c r="O48" s="116">
        <v>1196.6666666666667</v>
      </c>
      <c r="P48" s="116">
        <v>1228.1666666666667</v>
      </c>
      <c r="Q48" s="116">
        <v>1826.05</v>
      </c>
      <c r="R48">
        <v>1887700</v>
      </c>
    </row>
    <row r="49" spans="1:18" x14ac:dyDescent="0.25">
      <c r="A49" s="170">
        <v>42072</v>
      </c>
      <c r="B49" s="116">
        <v>1214</v>
      </c>
      <c r="C49" s="116">
        <v>1175.1000000000001</v>
      </c>
      <c r="D49" s="116">
        <v>1170.6666666666667</v>
      </c>
      <c r="E49" s="116">
        <v>1209.7333333333333</v>
      </c>
      <c r="F49" s="116">
        <v>1762.65</v>
      </c>
      <c r="G49">
        <v>225715</v>
      </c>
      <c r="H49" s="116"/>
      <c r="I49" s="116"/>
      <c r="L49" s="170">
        <v>42072</v>
      </c>
      <c r="M49" s="116">
        <v>1174.8666666666666</v>
      </c>
      <c r="N49" s="116">
        <v>1214.3999999999999</v>
      </c>
      <c r="O49" s="116">
        <v>1170</v>
      </c>
      <c r="P49" s="116">
        <v>1211.4666666666667</v>
      </c>
      <c r="Q49" s="116">
        <v>1762.3</v>
      </c>
      <c r="R49">
        <v>1577677</v>
      </c>
    </row>
    <row r="50" spans="1:18" x14ac:dyDescent="0.25">
      <c r="A50" s="170">
        <v>42073</v>
      </c>
      <c r="B50" s="116">
        <v>1193.1333333333334</v>
      </c>
      <c r="C50" s="116">
        <v>1168.5666666666666</v>
      </c>
      <c r="D50" s="116">
        <v>1149.3666666666666</v>
      </c>
      <c r="E50" s="116">
        <v>1182.3333333333333</v>
      </c>
      <c r="F50" s="116">
        <v>1752.85</v>
      </c>
      <c r="G50">
        <v>225463</v>
      </c>
      <c r="H50" s="116"/>
      <c r="I50" s="116"/>
      <c r="L50" s="170">
        <v>42073</v>
      </c>
      <c r="M50" s="116">
        <v>1168.3</v>
      </c>
      <c r="N50" s="116">
        <v>1193.0666666666666</v>
      </c>
      <c r="O50" s="116">
        <v>1149.3666666666666</v>
      </c>
      <c r="P50" s="116">
        <v>1179.3333333333333</v>
      </c>
      <c r="Q50" s="116">
        <v>1752.45</v>
      </c>
      <c r="R50">
        <v>1778953</v>
      </c>
    </row>
    <row r="51" spans="1:18" x14ac:dyDescent="0.25">
      <c r="A51" s="170">
        <v>42074</v>
      </c>
      <c r="B51" s="116">
        <v>1177.5333333333333</v>
      </c>
      <c r="C51" s="116">
        <v>1160.2</v>
      </c>
      <c r="D51" s="116">
        <v>1155.4666666666667</v>
      </c>
      <c r="E51" s="116">
        <v>1176.6666666666667</v>
      </c>
      <c r="F51" s="116">
        <v>1740.3</v>
      </c>
      <c r="G51">
        <v>148247</v>
      </c>
      <c r="H51" s="116"/>
      <c r="I51" s="116"/>
      <c r="L51" s="170">
        <v>42074</v>
      </c>
      <c r="M51" s="116">
        <v>1159.8</v>
      </c>
      <c r="N51" s="116">
        <v>1177</v>
      </c>
      <c r="O51" s="116">
        <v>1154.8</v>
      </c>
      <c r="P51" s="116">
        <v>1176.5666666666666</v>
      </c>
      <c r="Q51" s="116">
        <v>1739.7</v>
      </c>
      <c r="R51">
        <v>1878349</v>
      </c>
    </row>
    <row r="52" spans="1:18" x14ac:dyDescent="0.25">
      <c r="A52" s="170">
        <v>42075</v>
      </c>
      <c r="B52" s="116">
        <v>1176.5666666666666</v>
      </c>
      <c r="C52" s="116">
        <v>1165.3333333333333</v>
      </c>
      <c r="D52" s="116">
        <v>1161.3999999999999</v>
      </c>
      <c r="E52" s="116">
        <v>1168</v>
      </c>
      <c r="F52" s="116">
        <v>1748</v>
      </c>
      <c r="G52">
        <v>144466</v>
      </c>
      <c r="H52" s="116"/>
      <c r="I52" s="116"/>
      <c r="L52" s="170">
        <v>42075</v>
      </c>
      <c r="M52" s="116">
        <v>1164.9333333333334</v>
      </c>
      <c r="N52" s="116">
        <v>1176.6666666666667</v>
      </c>
      <c r="O52" s="116">
        <v>1160.1000000000001</v>
      </c>
      <c r="P52" s="116">
        <v>1166.6666666666667</v>
      </c>
      <c r="Q52" s="116">
        <v>1747.4</v>
      </c>
      <c r="R52">
        <v>1658911</v>
      </c>
    </row>
    <row r="53" spans="1:18" x14ac:dyDescent="0.25">
      <c r="A53" s="170">
        <v>42076</v>
      </c>
      <c r="B53" s="116">
        <v>1179.6666666666667</v>
      </c>
      <c r="C53" s="116">
        <v>1129.0333333333333</v>
      </c>
      <c r="D53" s="116">
        <v>1123.3999999999999</v>
      </c>
      <c r="E53" s="116">
        <v>1177.7</v>
      </c>
      <c r="F53" s="116">
        <v>1693.55</v>
      </c>
      <c r="G53">
        <v>279474</v>
      </c>
      <c r="H53" s="116"/>
      <c r="I53" s="116"/>
      <c r="L53" s="170">
        <v>42076</v>
      </c>
      <c r="M53" s="116">
        <v>1128.1000000000001</v>
      </c>
      <c r="N53" s="116">
        <v>1179.5666666666666</v>
      </c>
      <c r="O53" s="116">
        <v>1122.1333333333334</v>
      </c>
      <c r="P53" s="116">
        <v>1177.5333333333333</v>
      </c>
      <c r="Q53" s="116">
        <v>1692.15</v>
      </c>
      <c r="R53">
        <v>2320083</v>
      </c>
    </row>
    <row r="54" spans="1:18" x14ac:dyDescent="0.25">
      <c r="A54" s="170">
        <v>42079</v>
      </c>
      <c r="B54" s="116">
        <v>1139.8</v>
      </c>
      <c r="C54" s="116">
        <v>1120.6666666666667</v>
      </c>
      <c r="D54" s="116">
        <v>1115.3333333333333</v>
      </c>
      <c r="E54" s="116">
        <v>1132.6666666666667</v>
      </c>
      <c r="F54" s="116">
        <v>1681</v>
      </c>
      <c r="G54">
        <v>169240</v>
      </c>
      <c r="H54" s="116"/>
      <c r="I54" s="116"/>
      <c r="L54" s="170">
        <v>42079</v>
      </c>
      <c r="M54" s="116">
        <v>1119.8666666666666</v>
      </c>
      <c r="N54" s="116">
        <v>1139.9333333333334</v>
      </c>
      <c r="O54" s="116">
        <v>1114.2</v>
      </c>
      <c r="P54" s="116">
        <v>1132</v>
      </c>
      <c r="Q54" s="116">
        <v>1679.8</v>
      </c>
      <c r="R54">
        <v>1329919</v>
      </c>
    </row>
    <row r="55" spans="1:18" x14ac:dyDescent="0.25">
      <c r="A55" s="170">
        <v>42080</v>
      </c>
      <c r="B55" s="116">
        <v>1146.7</v>
      </c>
      <c r="C55" s="116">
        <v>1142.2666666666667</v>
      </c>
      <c r="D55" s="116">
        <v>1122.1000000000001</v>
      </c>
      <c r="E55" s="116">
        <v>1132</v>
      </c>
      <c r="F55" s="116">
        <v>1713.4</v>
      </c>
      <c r="G55">
        <v>174011</v>
      </c>
      <c r="H55" s="116"/>
      <c r="I55" s="116"/>
      <c r="L55" s="170">
        <v>42080</v>
      </c>
      <c r="M55" s="116">
        <v>1143.7666666666667</v>
      </c>
      <c r="N55" s="116">
        <v>1148.6666666666667</v>
      </c>
      <c r="O55" s="116">
        <v>1122.1333333333334</v>
      </c>
      <c r="P55" s="116">
        <v>1130.6666666666667</v>
      </c>
      <c r="Q55" s="116">
        <v>1715.65</v>
      </c>
      <c r="R55">
        <v>1452061</v>
      </c>
    </row>
    <row r="56" spans="1:18" x14ac:dyDescent="0.25">
      <c r="A56" s="170">
        <v>42081</v>
      </c>
      <c r="B56" s="116">
        <v>1151.1000000000001</v>
      </c>
      <c r="C56" s="116">
        <v>1133.7666666666667</v>
      </c>
      <c r="D56" s="116">
        <v>1129.3333333333333</v>
      </c>
      <c r="E56" s="116">
        <v>1147.5333333333333</v>
      </c>
      <c r="F56" s="116">
        <v>1700.65</v>
      </c>
      <c r="G56">
        <v>180338</v>
      </c>
      <c r="H56" s="116"/>
      <c r="I56" s="116"/>
      <c r="L56" s="170">
        <v>42081</v>
      </c>
      <c r="M56" s="116">
        <v>1132.7</v>
      </c>
      <c r="N56" s="116">
        <v>1151.6666666666667</v>
      </c>
      <c r="O56" s="116">
        <v>1128.4666666666667</v>
      </c>
      <c r="P56" s="116">
        <v>1150.0333333333333</v>
      </c>
      <c r="Q56" s="116">
        <v>1699.05</v>
      </c>
      <c r="R56">
        <v>1287386</v>
      </c>
    </row>
    <row r="57" spans="1:18" x14ac:dyDescent="0.25">
      <c r="A57" s="170">
        <v>42082</v>
      </c>
      <c r="B57" s="116">
        <v>1159.6666666666667</v>
      </c>
      <c r="C57" s="116">
        <v>1122.0333333333333</v>
      </c>
      <c r="D57" s="116">
        <v>1114</v>
      </c>
      <c r="E57" s="116">
        <v>1144.0666666666666</v>
      </c>
      <c r="F57" s="116">
        <v>1683.05</v>
      </c>
      <c r="G57">
        <v>310949</v>
      </c>
      <c r="H57" s="116"/>
      <c r="I57" s="116"/>
      <c r="L57" s="170">
        <v>42082</v>
      </c>
      <c r="M57" s="116">
        <v>1121.6000000000001</v>
      </c>
      <c r="N57" s="116">
        <v>1159.3</v>
      </c>
      <c r="O57" s="116">
        <v>1113.3333333333333</v>
      </c>
      <c r="P57" s="116">
        <v>1147.3666666666666</v>
      </c>
      <c r="Q57" s="116">
        <v>1682.4</v>
      </c>
      <c r="R57">
        <v>2097375</v>
      </c>
    </row>
    <row r="58" spans="1:18" x14ac:dyDescent="0.25">
      <c r="A58" s="170">
        <v>42083</v>
      </c>
      <c r="B58" s="116">
        <v>1131.6666666666667</v>
      </c>
      <c r="C58" s="116">
        <v>1113.3</v>
      </c>
      <c r="D58" s="116">
        <v>1103.3333333333333</v>
      </c>
      <c r="E58" s="116">
        <v>1118.6666666666667</v>
      </c>
      <c r="F58" s="116">
        <v>1669.95</v>
      </c>
      <c r="G58">
        <v>214515</v>
      </c>
      <c r="H58" s="116"/>
      <c r="I58" s="116"/>
      <c r="L58" s="170">
        <v>42083</v>
      </c>
      <c r="M58" s="116">
        <v>1113.5666666666666</v>
      </c>
      <c r="N58" s="116">
        <v>1131.6333333333334</v>
      </c>
      <c r="O58" s="116">
        <v>1102.0333333333333</v>
      </c>
      <c r="P58" s="116">
        <v>1122.1333333333334</v>
      </c>
      <c r="Q58" s="116">
        <v>1670.35</v>
      </c>
      <c r="R58">
        <v>1685674</v>
      </c>
    </row>
    <row r="59" spans="1:18" x14ac:dyDescent="0.25">
      <c r="A59" s="170">
        <v>42086</v>
      </c>
      <c r="B59" s="116">
        <v>1125.8999999999999</v>
      </c>
      <c r="C59" s="116">
        <v>1114.3333333333333</v>
      </c>
      <c r="D59" s="116">
        <v>1109.2</v>
      </c>
      <c r="E59" s="116">
        <v>1118.2</v>
      </c>
      <c r="F59" s="116">
        <v>1671.5</v>
      </c>
      <c r="G59">
        <v>118044</v>
      </c>
      <c r="H59" s="116"/>
      <c r="I59" s="116"/>
      <c r="L59" s="170">
        <v>42086</v>
      </c>
      <c r="M59" s="116">
        <v>1115.2333333333333</v>
      </c>
      <c r="N59" s="116">
        <v>1126.6666666666667</v>
      </c>
      <c r="O59" s="116">
        <v>1108.6666666666667</v>
      </c>
      <c r="P59" s="116">
        <v>1121.5333333333333</v>
      </c>
      <c r="Q59" s="116">
        <v>1672.85</v>
      </c>
      <c r="R59">
        <v>1121588</v>
      </c>
    </row>
    <row r="60" spans="1:18" x14ac:dyDescent="0.25">
      <c r="A60" s="170">
        <v>42087</v>
      </c>
      <c r="B60" s="116">
        <v>1125.3333333333333</v>
      </c>
      <c r="C60" s="116">
        <v>1114.5</v>
      </c>
      <c r="D60" s="116">
        <v>1104.0666666666666</v>
      </c>
      <c r="E60" s="116">
        <v>1116.6666666666667</v>
      </c>
      <c r="F60" s="116">
        <v>1671.75</v>
      </c>
      <c r="G60">
        <v>186424</v>
      </c>
      <c r="H60" s="116"/>
      <c r="I60" s="116"/>
      <c r="L60" s="170">
        <v>42087</v>
      </c>
      <c r="M60" s="116">
        <v>1114.7666666666667</v>
      </c>
      <c r="N60" s="116">
        <v>1125.8666666666666</v>
      </c>
      <c r="O60" s="116">
        <v>1104</v>
      </c>
      <c r="P60" s="116">
        <v>1115.7</v>
      </c>
      <c r="Q60" s="116">
        <v>1672.15</v>
      </c>
      <c r="R60">
        <v>1395832</v>
      </c>
    </row>
    <row r="61" spans="1:18" x14ac:dyDescent="0.25">
      <c r="A61" s="170">
        <v>42088</v>
      </c>
      <c r="B61" s="116">
        <v>1118.3999999999999</v>
      </c>
      <c r="C61" s="116">
        <v>1088.7333333333333</v>
      </c>
      <c r="D61" s="116">
        <v>1084</v>
      </c>
      <c r="E61" s="116">
        <v>1116.6666666666667</v>
      </c>
      <c r="F61" s="116">
        <v>1633.1</v>
      </c>
      <c r="G61">
        <v>184651</v>
      </c>
      <c r="H61" s="116"/>
      <c r="I61" s="116"/>
      <c r="L61" s="170">
        <v>42088</v>
      </c>
      <c r="M61" s="116">
        <v>1088.5</v>
      </c>
      <c r="N61" s="116">
        <v>1117.8999999999999</v>
      </c>
      <c r="O61" s="116">
        <v>1084.2333333333333</v>
      </c>
      <c r="P61" s="116">
        <v>1115.3333333333333</v>
      </c>
      <c r="Q61" s="116">
        <v>1632.75</v>
      </c>
      <c r="R61">
        <v>1682841</v>
      </c>
    </row>
    <row r="62" spans="1:18" x14ac:dyDescent="0.25">
      <c r="A62" s="170">
        <v>42089</v>
      </c>
      <c r="B62" s="116">
        <v>1109.1000000000001</v>
      </c>
      <c r="C62" s="116">
        <v>1090.6666666666667</v>
      </c>
      <c r="D62" s="116">
        <v>1077.5666666666666</v>
      </c>
      <c r="E62" s="116">
        <v>1081.3333333333333</v>
      </c>
      <c r="F62" s="116">
        <v>1636</v>
      </c>
      <c r="G62">
        <v>243540</v>
      </c>
      <c r="H62" s="116"/>
      <c r="I62" s="116"/>
      <c r="L62" s="170">
        <v>42089</v>
      </c>
      <c r="M62" s="116">
        <v>1089.6333333333334</v>
      </c>
      <c r="N62" s="116">
        <v>1110</v>
      </c>
      <c r="O62" s="116">
        <v>1075.6333333333334</v>
      </c>
      <c r="P62" s="116">
        <v>1081.3333333333333</v>
      </c>
      <c r="Q62" s="116">
        <v>1634.45</v>
      </c>
      <c r="R62">
        <v>3488192</v>
      </c>
    </row>
    <row r="63" spans="1:18" x14ac:dyDescent="0.25">
      <c r="A63" s="170">
        <v>42090</v>
      </c>
      <c r="B63" s="116">
        <v>1121.5333333333333</v>
      </c>
      <c r="C63" s="116">
        <v>1117.8999999999999</v>
      </c>
      <c r="D63" s="116">
        <v>1094.3999999999999</v>
      </c>
      <c r="E63" s="116">
        <v>1098</v>
      </c>
      <c r="F63" s="116">
        <v>1676.85</v>
      </c>
      <c r="G63">
        <v>342846</v>
      </c>
      <c r="H63" s="116"/>
      <c r="I63" s="116"/>
      <c r="L63" s="170">
        <v>42090</v>
      </c>
      <c r="M63" s="116">
        <v>1118.5</v>
      </c>
      <c r="N63" s="116">
        <v>1123.7333333333333</v>
      </c>
      <c r="O63" s="116">
        <v>1094.6666666666667</v>
      </c>
      <c r="P63" s="116">
        <v>1100.0666666666666</v>
      </c>
      <c r="Q63" s="116">
        <v>1677.75</v>
      </c>
      <c r="R63">
        <v>3183228</v>
      </c>
    </row>
    <row r="64" spans="1:18" x14ac:dyDescent="0.25">
      <c r="A64" s="170">
        <v>42093</v>
      </c>
      <c r="B64" s="116">
        <v>1156.6666666666667</v>
      </c>
      <c r="C64" s="116">
        <v>1152.1333333333334</v>
      </c>
      <c r="D64" s="116">
        <v>1122.6666666666667</v>
      </c>
      <c r="E64" s="116">
        <v>1126.6666666666667</v>
      </c>
      <c r="F64" s="116">
        <v>1728.2</v>
      </c>
      <c r="G64">
        <v>228798</v>
      </c>
      <c r="H64" s="116"/>
      <c r="I64" s="116"/>
      <c r="L64" s="170">
        <v>42093</v>
      </c>
      <c r="M64" s="116">
        <v>1152.5</v>
      </c>
      <c r="N64" s="116">
        <v>1156</v>
      </c>
      <c r="O64" s="116">
        <v>1122.3333333333333</v>
      </c>
      <c r="P64" s="116">
        <v>1126.6666666666667</v>
      </c>
      <c r="Q64" s="116">
        <v>1728.75</v>
      </c>
      <c r="R64">
        <v>2239339</v>
      </c>
    </row>
    <row r="65" spans="1:18" x14ac:dyDescent="0.25">
      <c r="A65" s="170">
        <v>42094</v>
      </c>
      <c r="B65" s="116">
        <v>1164.5</v>
      </c>
      <c r="C65" s="116">
        <v>1146</v>
      </c>
      <c r="D65" s="116">
        <v>1141.8333333333333</v>
      </c>
      <c r="E65" s="116">
        <v>1156.6666666666667</v>
      </c>
      <c r="F65" s="116">
        <v>1719</v>
      </c>
      <c r="G65">
        <v>141949</v>
      </c>
      <c r="H65" s="116"/>
      <c r="I65" s="116"/>
      <c r="L65" s="170">
        <v>42094</v>
      </c>
      <c r="M65" s="116">
        <v>1146.4333333333334</v>
      </c>
      <c r="N65" s="116">
        <v>1164.6666666666667</v>
      </c>
      <c r="O65" s="116">
        <v>1140.8333333333333</v>
      </c>
      <c r="P65" s="116">
        <v>1156.7</v>
      </c>
      <c r="Q65" s="116">
        <v>1719.65</v>
      </c>
      <c r="R65">
        <v>1875722</v>
      </c>
    </row>
    <row r="66" spans="1:18" x14ac:dyDescent="0.25">
      <c r="A66" s="170">
        <v>42095</v>
      </c>
      <c r="B66" s="116">
        <v>1159.3333333333333</v>
      </c>
      <c r="C66" s="116">
        <v>1156.1333333333334</v>
      </c>
      <c r="D66" s="116">
        <v>1145.5</v>
      </c>
      <c r="E66" s="116">
        <v>1149.9333333333334</v>
      </c>
      <c r="F66" s="116">
        <v>1734.2</v>
      </c>
      <c r="G66">
        <v>107394</v>
      </c>
      <c r="H66" s="116"/>
      <c r="I66" s="116"/>
      <c r="L66" s="170">
        <v>42095</v>
      </c>
      <c r="M66" s="116">
        <v>1156.1666666666667</v>
      </c>
      <c r="N66" s="116">
        <v>1159.3999999999999</v>
      </c>
      <c r="O66" s="116">
        <v>1145.3333333333333</v>
      </c>
      <c r="P66" s="116">
        <v>1147.7666666666667</v>
      </c>
      <c r="Q66" s="116">
        <v>1734.25</v>
      </c>
      <c r="R66">
        <v>1000220</v>
      </c>
    </row>
    <row r="67" spans="1:18" x14ac:dyDescent="0.25">
      <c r="A67" s="170">
        <v>42100</v>
      </c>
      <c r="B67" s="116">
        <v>1174.6000000000001</v>
      </c>
      <c r="C67" s="116">
        <v>1170.5333333333333</v>
      </c>
      <c r="D67" s="116">
        <v>1148.5666666666666</v>
      </c>
      <c r="E67" s="116">
        <v>1158</v>
      </c>
      <c r="F67" s="116">
        <v>1755.8</v>
      </c>
      <c r="G67">
        <v>172907</v>
      </c>
      <c r="H67" s="116"/>
      <c r="I67" s="116"/>
      <c r="L67" s="170">
        <v>42100</v>
      </c>
      <c r="M67" s="116">
        <v>1171.9333333333334</v>
      </c>
      <c r="N67" s="116">
        <v>1176.2</v>
      </c>
      <c r="O67" s="116">
        <v>1148.1333333333334</v>
      </c>
      <c r="P67" s="116">
        <v>1157.7</v>
      </c>
      <c r="Q67" s="116">
        <v>1757.9</v>
      </c>
      <c r="R67">
        <v>1821386</v>
      </c>
    </row>
    <row r="68" spans="1:18" x14ac:dyDescent="0.25">
      <c r="A68" s="170">
        <v>42101</v>
      </c>
      <c r="B68" s="116">
        <v>1188.6666666666667</v>
      </c>
      <c r="C68" s="116">
        <v>1179.7333333333333</v>
      </c>
      <c r="D68" s="116">
        <v>1166.8999999999999</v>
      </c>
      <c r="E68" s="116">
        <v>1180</v>
      </c>
      <c r="F68" s="116">
        <v>1769.6</v>
      </c>
      <c r="G68">
        <v>152792</v>
      </c>
      <c r="H68" s="116"/>
      <c r="I68" s="116"/>
      <c r="L68" s="170">
        <v>42101</v>
      </c>
      <c r="M68" s="116">
        <v>1179.8</v>
      </c>
      <c r="N68" s="116">
        <v>1188.4666666666667</v>
      </c>
      <c r="O68" s="116">
        <v>1165.5</v>
      </c>
      <c r="P68" s="116">
        <v>1180.1666666666667</v>
      </c>
      <c r="Q68" s="116">
        <v>1769.7</v>
      </c>
      <c r="R68">
        <v>1428322</v>
      </c>
    </row>
    <row r="69" spans="1:18" x14ac:dyDescent="0.25">
      <c r="A69" s="170">
        <v>42102</v>
      </c>
      <c r="B69" s="116">
        <v>1190.7</v>
      </c>
      <c r="C69" s="116">
        <v>1183.9666666666667</v>
      </c>
      <c r="D69" s="116">
        <v>1174.0666666666666</v>
      </c>
      <c r="E69" s="116">
        <v>1184.0666666666666</v>
      </c>
      <c r="F69" s="116">
        <v>1775.95</v>
      </c>
      <c r="G69">
        <v>210273</v>
      </c>
      <c r="H69" s="116"/>
      <c r="I69" s="116"/>
      <c r="L69" s="170">
        <v>42102</v>
      </c>
      <c r="M69" s="116">
        <v>1186.3</v>
      </c>
      <c r="N69" s="116">
        <v>1191.5</v>
      </c>
      <c r="O69" s="116">
        <v>1174.1333333333334</v>
      </c>
      <c r="P69" s="116">
        <v>1183.2666666666667</v>
      </c>
      <c r="Q69" s="116">
        <v>1779.45</v>
      </c>
      <c r="R69">
        <v>1377962</v>
      </c>
    </row>
    <row r="70" spans="1:18" x14ac:dyDescent="0.25">
      <c r="A70" s="170">
        <v>42103</v>
      </c>
      <c r="B70" s="116">
        <v>1192.0333333333333</v>
      </c>
      <c r="C70" s="116">
        <v>1179.9333333333334</v>
      </c>
      <c r="D70" s="116">
        <v>1170.1333333333334</v>
      </c>
      <c r="E70" s="116">
        <v>1191.5333333333333</v>
      </c>
      <c r="F70" s="116">
        <v>1769.9</v>
      </c>
      <c r="G70">
        <v>114451</v>
      </c>
      <c r="H70" s="116"/>
      <c r="I70" s="116"/>
      <c r="L70" s="170">
        <v>42103</v>
      </c>
      <c r="M70" s="116">
        <v>1180.5333333333333</v>
      </c>
      <c r="N70" s="116">
        <v>1192</v>
      </c>
      <c r="O70" s="116">
        <v>1170.3999999999999</v>
      </c>
      <c r="P70" s="116">
        <v>1190</v>
      </c>
      <c r="Q70" s="116">
        <v>1770.8</v>
      </c>
      <c r="R70">
        <v>1135253</v>
      </c>
    </row>
    <row r="71" spans="1:18" x14ac:dyDescent="0.25">
      <c r="A71" s="170">
        <v>42104</v>
      </c>
      <c r="B71" s="116">
        <v>1186.6666666666667</v>
      </c>
      <c r="C71" s="116">
        <v>1174.3</v>
      </c>
      <c r="D71" s="116">
        <v>1167.3333333333333</v>
      </c>
      <c r="E71" s="116">
        <v>1186.6666666666667</v>
      </c>
      <c r="F71" s="116">
        <v>1761.45</v>
      </c>
      <c r="G71">
        <v>91314</v>
      </c>
      <c r="H71" s="116"/>
      <c r="I71" s="116"/>
      <c r="L71" s="170">
        <v>42104</v>
      </c>
      <c r="M71" s="116">
        <v>1176</v>
      </c>
      <c r="N71" s="116">
        <v>1185.3333333333333</v>
      </c>
      <c r="O71" s="116">
        <v>1166.6666666666667</v>
      </c>
      <c r="P71" s="116">
        <v>1180</v>
      </c>
      <c r="Q71" s="116">
        <v>1764</v>
      </c>
      <c r="R71">
        <v>943728</v>
      </c>
    </row>
    <row r="72" spans="1:18" x14ac:dyDescent="0.25">
      <c r="A72" s="170">
        <v>42107</v>
      </c>
      <c r="B72" s="116">
        <v>1202.6666666666667</v>
      </c>
      <c r="C72" s="116">
        <v>1201.3</v>
      </c>
      <c r="D72" s="116">
        <v>1182</v>
      </c>
      <c r="E72" s="116">
        <v>1186.6666666666667</v>
      </c>
      <c r="F72" s="116">
        <v>1801.95</v>
      </c>
      <c r="G72">
        <v>282993</v>
      </c>
      <c r="H72" s="116"/>
      <c r="I72" s="116"/>
      <c r="L72" s="170">
        <v>42107</v>
      </c>
      <c r="M72" s="116">
        <v>1202.3333333333333</v>
      </c>
      <c r="N72" s="116">
        <v>1204.6666666666667</v>
      </c>
      <c r="O72" s="116">
        <v>1180.8333333333333</v>
      </c>
      <c r="P72" s="116">
        <v>1186.8333333333333</v>
      </c>
      <c r="Q72" s="116">
        <v>1803.5</v>
      </c>
      <c r="R72">
        <v>1572209</v>
      </c>
    </row>
    <row r="73" spans="1:18" x14ac:dyDescent="0.25">
      <c r="A73" s="170">
        <v>42109</v>
      </c>
      <c r="B73" s="116">
        <v>1213.3333333333333</v>
      </c>
      <c r="C73" s="116">
        <v>1192.2333333333333</v>
      </c>
      <c r="D73" s="116">
        <v>1181.3333333333333</v>
      </c>
      <c r="E73" s="116">
        <v>1205.9333333333334</v>
      </c>
      <c r="F73" s="116">
        <v>1788.35</v>
      </c>
      <c r="G73">
        <v>297704</v>
      </c>
      <c r="H73" s="116"/>
      <c r="I73" s="116"/>
      <c r="L73" s="170">
        <v>42109</v>
      </c>
      <c r="M73" s="116">
        <v>1191.7666666666667</v>
      </c>
      <c r="N73" s="116">
        <v>1213.3</v>
      </c>
      <c r="O73" s="116">
        <v>1178.6000000000001</v>
      </c>
      <c r="P73" s="116">
        <v>1202.6666666666667</v>
      </c>
      <c r="Q73" s="116">
        <v>1787.65</v>
      </c>
      <c r="R73">
        <v>1520329</v>
      </c>
    </row>
    <row r="74" spans="1:18" x14ac:dyDescent="0.25">
      <c r="A74" s="170">
        <v>42110</v>
      </c>
      <c r="B74" s="116">
        <v>1193.3</v>
      </c>
      <c r="C74" s="116">
        <v>1168.3333333333333</v>
      </c>
      <c r="D74" s="116">
        <v>1157.0666666666666</v>
      </c>
      <c r="E74" s="116">
        <v>1193.3</v>
      </c>
      <c r="F74" s="116">
        <v>1752.5</v>
      </c>
      <c r="G74">
        <v>216037</v>
      </c>
      <c r="H74" s="116"/>
      <c r="I74" s="116"/>
      <c r="L74" s="170">
        <v>42110</v>
      </c>
      <c r="M74" s="116">
        <v>1169.5333333333333</v>
      </c>
      <c r="N74" s="116">
        <v>1192</v>
      </c>
      <c r="O74" s="116">
        <v>1160</v>
      </c>
      <c r="P74" s="116">
        <v>1192</v>
      </c>
      <c r="Q74" s="116">
        <v>1754.3</v>
      </c>
      <c r="R74">
        <v>1501255</v>
      </c>
    </row>
    <row r="75" spans="1:18" x14ac:dyDescent="0.25">
      <c r="A75" s="170">
        <v>42111</v>
      </c>
      <c r="B75" s="116">
        <v>1177.3333333333333</v>
      </c>
      <c r="C75" s="116">
        <v>1161.5</v>
      </c>
      <c r="D75" s="116">
        <v>1156.3333333333333</v>
      </c>
      <c r="E75" s="116">
        <v>1176.6000000000001</v>
      </c>
      <c r="F75" s="116">
        <v>1742.25</v>
      </c>
      <c r="G75">
        <v>96759</v>
      </c>
      <c r="H75" s="116"/>
      <c r="I75" s="116"/>
      <c r="L75" s="170">
        <v>42111</v>
      </c>
      <c r="M75" s="116">
        <v>1159.8333333333333</v>
      </c>
      <c r="N75" s="116">
        <v>1177.6000000000001</v>
      </c>
      <c r="O75" s="116">
        <v>1153.3999999999999</v>
      </c>
      <c r="P75" s="116">
        <v>1173.3999999999999</v>
      </c>
      <c r="Q75" s="116">
        <v>1739.75</v>
      </c>
      <c r="R75">
        <v>998665</v>
      </c>
    </row>
    <row r="76" spans="1:18" x14ac:dyDescent="0.25">
      <c r="A76" s="170">
        <v>42114</v>
      </c>
      <c r="B76" s="116">
        <v>1164.8666666666666</v>
      </c>
      <c r="C76" s="116">
        <v>1132.3333333333333</v>
      </c>
      <c r="D76" s="116">
        <v>1114.2666666666667</v>
      </c>
      <c r="E76" s="116">
        <v>1163.3333333333333</v>
      </c>
      <c r="F76" s="116">
        <v>1698.5</v>
      </c>
      <c r="G76">
        <v>188572</v>
      </c>
      <c r="H76" s="116"/>
      <c r="I76" s="116"/>
      <c r="L76" s="170">
        <v>42114</v>
      </c>
      <c r="M76" s="116">
        <v>1132.3</v>
      </c>
      <c r="N76" s="116">
        <v>1161.2666666666667</v>
      </c>
      <c r="O76" s="116">
        <v>1112.6666666666667</v>
      </c>
      <c r="P76" s="116">
        <v>1161.2666666666667</v>
      </c>
      <c r="Q76" s="116">
        <v>1698.45</v>
      </c>
      <c r="R76">
        <v>1583554</v>
      </c>
    </row>
    <row r="77" spans="1:18" x14ac:dyDescent="0.25">
      <c r="A77" s="170">
        <v>42115</v>
      </c>
      <c r="B77" s="116">
        <v>1146.9666666666667</v>
      </c>
      <c r="C77" s="116">
        <v>1126.2666666666667</v>
      </c>
      <c r="D77" s="116">
        <v>1121.3333333333333</v>
      </c>
      <c r="E77" s="116">
        <v>1134.0333333333333</v>
      </c>
      <c r="F77" s="116">
        <v>1689.4</v>
      </c>
      <c r="G77">
        <v>148578</v>
      </c>
      <c r="H77" s="116"/>
      <c r="I77" s="116"/>
      <c r="L77" s="170">
        <v>42115</v>
      </c>
      <c r="M77" s="116">
        <v>1125.8333333333333</v>
      </c>
      <c r="N77" s="116">
        <v>1146.9333333333334</v>
      </c>
      <c r="O77" s="116">
        <v>1120</v>
      </c>
      <c r="P77" s="116">
        <v>1132</v>
      </c>
      <c r="Q77" s="116">
        <v>1688.75</v>
      </c>
      <c r="R77">
        <v>1378194</v>
      </c>
    </row>
    <row r="78" spans="1:18" x14ac:dyDescent="0.25">
      <c r="A78" s="170">
        <v>42116</v>
      </c>
      <c r="B78" s="116">
        <v>1167.6333333333334</v>
      </c>
      <c r="C78" s="116">
        <v>1163.2666666666667</v>
      </c>
      <c r="D78" s="116">
        <v>1124</v>
      </c>
      <c r="E78" s="116">
        <v>1133.2666666666667</v>
      </c>
      <c r="F78" s="116">
        <v>1744.9</v>
      </c>
      <c r="G78">
        <v>175112</v>
      </c>
      <c r="H78" s="116"/>
      <c r="I78" s="116"/>
      <c r="L78" s="170">
        <v>42116</v>
      </c>
      <c r="M78" s="116">
        <v>1163.7333333333333</v>
      </c>
      <c r="N78" s="116">
        <v>1168</v>
      </c>
      <c r="O78" s="116">
        <v>1123.8333333333333</v>
      </c>
      <c r="P78" s="116">
        <v>1129.8666666666666</v>
      </c>
      <c r="Q78" s="116">
        <v>1745.6</v>
      </c>
      <c r="R78">
        <v>1850766</v>
      </c>
    </row>
    <row r="79" spans="1:18" x14ac:dyDescent="0.25">
      <c r="A79" s="170">
        <v>42117</v>
      </c>
      <c r="B79" s="116">
        <v>1174</v>
      </c>
      <c r="C79" s="116">
        <v>1149.9666666666667</v>
      </c>
      <c r="D79" s="116">
        <v>1142.3333333333333</v>
      </c>
      <c r="E79" s="116">
        <v>1165.8666666666666</v>
      </c>
      <c r="F79" s="116">
        <v>1724.95</v>
      </c>
      <c r="G79">
        <v>193633</v>
      </c>
      <c r="H79" s="116"/>
      <c r="I79" s="116"/>
      <c r="L79" s="170">
        <v>42117</v>
      </c>
      <c r="M79" s="116">
        <v>1149.3999999999999</v>
      </c>
      <c r="N79" s="116">
        <v>1174.9333333333334</v>
      </c>
      <c r="O79" s="116">
        <v>1142.0333333333333</v>
      </c>
      <c r="P79" s="116">
        <v>1170</v>
      </c>
      <c r="Q79" s="116">
        <v>1724.1</v>
      </c>
      <c r="R79">
        <v>1698155</v>
      </c>
    </row>
    <row r="80" spans="1:18" x14ac:dyDescent="0.25">
      <c r="A80" s="170">
        <v>42118</v>
      </c>
      <c r="B80" s="116">
        <v>1153.3333333333333</v>
      </c>
      <c r="C80" s="116">
        <v>1119.7333333333333</v>
      </c>
      <c r="D80" s="116">
        <v>1114.2666666666667</v>
      </c>
      <c r="E80" s="116">
        <v>1153.3333333333333</v>
      </c>
      <c r="F80" s="116">
        <v>1679.6</v>
      </c>
      <c r="G80">
        <v>174426</v>
      </c>
      <c r="H80" s="116"/>
      <c r="I80" s="116"/>
      <c r="L80" s="170">
        <v>42118</v>
      </c>
      <c r="M80" s="116">
        <v>1119.0666666666666</v>
      </c>
      <c r="N80" s="116">
        <v>1150.5333333333333</v>
      </c>
      <c r="O80" s="116">
        <v>1113.3333333333333</v>
      </c>
      <c r="P80" s="116">
        <v>1148</v>
      </c>
      <c r="Q80" s="116">
        <v>1678.6</v>
      </c>
      <c r="R80">
        <v>1458168</v>
      </c>
    </row>
    <row r="81" spans="1:18" x14ac:dyDescent="0.25">
      <c r="A81" s="170">
        <v>42121</v>
      </c>
      <c r="B81" s="116">
        <v>1131.2</v>
      </c>
      <c r="C81" s="116">
        <v>1111.6000000000001</v>
      </c>
      <c r="D81" s="116">
        <v>1105.3333333333333</v>
      </c>
      <c r="E81" s="116">
        <v>1122.5333333333333</v>
      </c>
      <c r="F81" s="116">
        <v>1667.4</v>
      </c>
      <c r="G81">
        <v>193637</v>
      </c>
      <c r="H81" s="116"/>
      <c r="I81" s="116"/>
      <c r="L81" s="170">
        <v>42121</v>
      </c>
      <c r="M81" s="116">
        <v>1111.8</v>
      </c>
      <c r="N81" s="116">
        <v>1130.5666666666666</v>
      </c>
      <c r="O81" s="116">
        <v>1105</v>
      </c>
      <c r="P81" s="116">
        <v>1119.9666666666667</v>
      </c>
      <c r="Q81" s="116">
        <v>1667.7</v>
      </c>
      <c r="R81">
        <v>1850014</v>
      </c>
    </row>
    <row r="82" spans="1:18" x14ac:dyDescent="0.25">
      <c r="A82" s="170">
        <v>42122</v>
      </c>
      <c r="B82" s="116">
        <v>1119</v>
      </c>
      <c r="C82" s="116">
        <v>1110.2333333333333</v>
      </c>
      <c r="D82" s="116">
        <v>1092.3</v>
      </c>
      <c r="E82" s="116">
        <v>1110</v>
      </c>
      <c r="F82" s="116">
        <v>1665.35</v>
      </c>
      <c r="G82">
        <v>200857</v>
      </c>
      <c r="H82" s="116"/>
      <c r="I82" s="116"/>
      <c r="L82" s="170">
        <v>42122</v>
      </c>
      <c r="M82" s="116">
        <v>1110.3</v>
      </c>
      <c r="N82" s="116">
        <v>1123</v>
      </c>
      <c r="O82" s="116">
        <v>1090.6666666666667</v>
      </c>
      <c r="P82" s="116">
        <v>1123</v>
      </c>
      <c r="Q82" s="116">
        <v>1665.45</v>
      </c>
      <c r="R82">
        <v>2207257</v>
      </c>
    </row>
    <row r="83" spans="1:18" x14ac:dyDescent="0.25">
      <c r="A83" s="170">
        <v>42123</v>
      </c>
      <c r="B83" s="116">
        <v>1114.6666666666667</v>
      </c>
      <c r="C83" s="116">
        <v>1103.2</v>
      </c>
      <c r="D83" s="116">
        <v>1097.3333333333333</v>
      </c>
      <c r="E83" s="116">
        <v>1109.1333333333334</v>
      </c>
      <c r="F83" s="116">
        <v>1654.8</v>
      </c>
      <c r="G83">
        <v>171259</v>
      </c>
      <c r="H83" s="116"/>
      <c r="I83" s="116"/>
      <c r="L83" s="170">
        <v>42123</v>
      </c>
      <c r="M83" s="116">
        <v>1103.5</v>
      </c>
      <c r="N83" s="116">
        <v>1114.8333333333333</v>
      </c>
      <c r="O83" s="116">
        <v>1097.3333333333333</v>
      </c>
      <c r="P83" s="116">
        <v>1107.7333333333333</v>
      </c>
      <c r="Q83" s="116">
        <v>1655.25</v>
      </c>
      <c r="R83">
        <v>1416757</v>
      </c>
    </row>
    <row r="84" spans="1:18" x14ac:dyDescent="0.25">
      <c r="A84" s="170">
        <v>42124</v>
      </c>
      <c r="B84" s="116">
        <v>1106.6666666666667</v>
      </c>
      <c r="C84" s="116">
        <v>1088.3333333333333</v>
      </c>
      <c r="D84" s="116">
        <v>1084.5</v>
      </c>
      <c r="E84" s="116">
        <v>1105.2666666666667</v>
      </c>
      <c r="F84" s="116">
        <v>1632.5</v>
      </c>
      <c r="G84">
        <v>197593</v>
      </c>
      <c r="H84" s="116"/>
      <c r="I84" s="116"/>
      <c r="L84" s="170">
        <v>42124</v>
      </c>
      <c r="M84" s="116">
        <v>1087.5333333333333</v>
      </c>
      <c r="N84" s="116">
        <v>1104.4666666666667</v>
      </c>
      <c r="O84" s="116">
        <v>1083.7333333333333</v>
      </c>
      <c r="P84" s="116">
        <v>1103.8666666666666</v>
      </c>
      <c r="Q84" s="116">
        <v>1631.3</v>
      </c>
      <c r="R84">
        <v>2491685</v>
      </c>
    </row>
    <row r="85" spans="1:18" x14ac:dyDescent="0.25">
      <c r="A85" s="170">
        <v>42128</v>
      </c>
      <c r="B85" s="116">
        <v>1100</v>
      </c>
      <c r="C85" s="116">
        <v>1087</v>
      </c>
      <c r="D85" s="116">
        <v>1080.0333333333333</v>
      </c>
      <c r="E85" s="116">
        <v>1100</v>
      </c>
      <c r="F85" s="116">
        <v>1630.5</v>
      </c>
      <c r="G85">
        <v>218438</v>
      </c>
      <c r="H85" s="116"/>
      <c r="I85" s="116"/>
      <c r="L85" s="170">
        <v>42128</v>
      </c>
      <c r="M85" s="116">
        <v>1086.2</v>
      </c>
      <c r="N85" s="116">
        <v>1100.3</v>
      </c>
      <c r="O85" s="116">
        <v>1078.7333333333333</v>
      </c>
      <c r="P85" s="116">
        <v>1093.8333333333333</v>
      </c>
      <c r="Q85" s="116">
        <v>1629.3</v>
      </c>
      <c r="R85">
        <v>1637032</v>
      </c>
    </row>
    <row r="86" spans="1:18" x14ac:dyDescent="0.25">
      <c r="A86" s="170">
        <v>42129</v>
      </c>
      <c r="B86" s="116">
        <v>1109.7333333333333</v>
      </c>
      <c r="C86" s="116">
        <v>1094.2666666666667</v>
      </c>
      <c r="D86" s="116">
        <v>1085.1000000000001</v>
      </c>
      <c r="E86" s="116">
        <v>1090.0666666666666</v>
      </c>
      <c r="F86" s="116">
        <v>1641.4</v>
      </c>
      <c r="G86">
        <v>188647</v>
      </c>
      <c r="H86" s="116"/>
      <c r="I86" s="116"/>
      <c r="L86" s="170">
        <v>42129</v>
      </c>
      <c r="M86" s="116">
        <v>1094.9333333333334</v>
      </c>
      <c r="N86" s="116">
        <v>1110</v>
      </c>
      <c r="O86" s="116">
        <v>1084.5</v>
      </c>
      <c r="P86" s="116">
        <v>1090</v>
      </c>
      <c r="Q86" s="116">
        <v>1642.4</v>
      </c>
      <c r="R86">
        <v>1423615</v>
      </c>
    </row>
    <row r="87" spans="1:18" x14ac:dyDescent="0.25">
      <c r="A87" s="170">
        <v>42130</v>
      </c>
      <c r="B87" s="116">
        <v>1095.3333333333333</v>
      </c>
      <c r="C87" s="116">
        <v>1043.1000000000001</v>
      </c>
      <c r="D87" s="116">
        <v>1039.5</v>
      </c>
      <c r="E87" s="116">
        <v>1095.3333333333333</v>
      </c>
      <c r="F87" s="116">
        <v>1564.65</v>
      </c>
      <c r="G87">
        <v>493410</v>
      </c>
      <c r="H87" s="116"/>
      <c r="I87" s="116"/>
      <c r="L87" s="170">
        <v>42130</v>
      </c>
      <c r="M87" s="116">
        <v>1043.1000000000001</v>
      </c>
      <c r="N87" s="116">
        <v>1095.9333333333334</v>
      </c>
      <c r="O87" s="116">
        <v>1038.8</v>
      </c>
      <c r="P87" s="116">
        <v>1095</v>
      </c>
      <c r="Q87" s="116">
        <v>1564.65</v>
      </c>
      <c r="R87">
        <v>3229157</v>
      </c>
    </row>
    <row r="88" spans="1:18" x14ac:dyDescent="0.25">
      <c r="A88" s="170">
        <v>42131</v>
      </c>
      <c r="B88" s="116">
        <v>1056</v>
      </c>
      <c r="C88" s="116">
        <v>1045.3333333333333</v>
      </c>
      <c r="D88" s="116">
        <v>1030.2333333333333</v>
      </c>
      <c r="E88" s="116">
        <v>1043.1000000000001</v>
      </c>
      <c r="F88" s="116">
        <v>1568</v>
      </c>
      <c r="G88">
        <v>266907</v>
      </c>
      <c r="H88" s="116"/>
      <c r="I88" s="116"/>
      <c r="L88" s="170">
        <v>42131</v>
      </c>
      <c r="M88" s="116">
        <v>1045.9333333333334</v>
      </c>
      <c r="N88" s="116">
        <v>1056.6666666666667</v>
      </c>
      <c r="O88" s="116">
        <v>1029.0666666666666</v>
      </c>
      <c r="P88" s="116">
        <v>1040</v>
      </c>
      <c r="Q88" s="116">
        <v>1568.9</v>
      </c>
      <c r="R88">
        <v>2652013</v>
      </c>
    </row>
    <row r="89" spans="1:18" x14ac:dyDescent="0.25">
      <c r="A89" s="170">
        <v>42132</v>
      </c>
      <c r="B89" s="116">
        <v>1074.6666666666667</v>
      </c>
      <c r="C89" s="116">
        <v>1064.8666666666666</v>
      </c>
      <c r="D89" s="116">
        <v>1056.3333333333333</v>
      </c>
      <c r="E89" s="116">
        <v>1059.7666666666667</v>
      </c>
      <c r="F89" s="116">
        <v>1597.3</v>
      </c>
      <c r="G89">
        <v>171908</v>
      </c>
      <c r="H89" s="116"/>
      <c r="I89" s="116"/>
      <c r="L89" s="170">
        <v>42132</v>
      </c>
      <c r="M89" s="116">
        <v>1067.5</v>
      </c>
      <c r="N89" s="116">
        <v>1076.6666666666667</v>
      </c>
      <c r="O89" s="116">
        <v>1054.3666666666666</v>
      </c>
      <c r="P89" s="116">
        <v>1059.3333333333333</v>
      </c>
      <c r="Q89" s="116">
        <v>1601.25</v>
      </c>
      <c r="R89">
        <v>2561524</v>
      </c>
    </row>
    <row r="90" spans="1:18" x14ac:dyDescent="0.25">
      <c r="A90" s="170">
        <v>42135</v>
      </c>
      <c r="B90" s="116">
        <v>1086</v>
      </c>
      <c r="C90" s="116">
        <v>1076.3333333333333</v>
      </c>
      <c r="D90" s="116">
        <v>1071.3333333333333</v>
      </c>
      <c r="E90" s="116">
        <v>1071.3333333333333</v>
      </c>
      <c r="F90" s="116">
        <v>1614.5</v>
      </c>
      <c r="G90">
        <v>161816</v>
      </c>
      <c r="H90" s="116"/>
      <c r="I90" s="116"/>
      <c r="L90" s="170">
        <v>42135</v>
      </c>
      <c r="M90" s="116">
        <v>1076.8666666666666</v>
      </c>
      <c r="N90" s="116">
        <v>1088</v>
      </c>
      <c r="O90" s="116">
        <v>1071.8333333333333</v>
      </c>
      <c r="P90" s="116">
        <v>1074.2</v>
      </c>
      <c r="Q90" s="116">
        <v>1615.3</v>
      </c>
      <c r="R90">
        <v>2058533</v>
      </c>
    </row>
    <row r="91" spans="1:18" x14ac:dyDescent="0.25">
      <c r="A91" s="170">
        <v>42136</v>
      </c>
      <c r="B91" s="116">
        <v>1078.5333333333333</v>
      </c>
      <c r="C91" s="116">
        <v>1039.7333333333333</v>
      </c>
      <c r="D91" s="116">
        <v>1036.6666666666667</v>
      </c>
      <c r="E91" s="116">
        <v>1078.5333333333333</v>
      </c>
      <c r="F91" s="116">
        <v>1559.6</v>
      </c>
      <c r="G91">
        <v>224666</v>
      </c>
      <c r="H91" s="116"/>
      <c r="I91" s="116"/>
      <c r="L91" s="170">
        <v>42136</v>
      </c>
      <c r="M91" s="116">
        <v>1039.6000000000001</v>
      </c>
      <c r="N91" s="116">
        <v>1076.6000000000001</v>
      </c>
      <c r="O91" s="116">
        <v>1036.6666666666667</v>
      </c>
      <c r="P91" s="116">
        <v>1076.6000000000001</v>
      </c>
      <c r="Q91" s="116">
        <v>1559.4</v>
      </c>
      <c r="R91">
        <v>2191857</v>
      </c>
    </row>
    <row r="92" spans="1:18" x14ac:dyDescent="0.25">
      <c r="A92" s="170">
        <v>42137</v>
      </c>
      <c r="B92" s="116">
        <v>1065.3333333333333</v>
      </c>
      <c r="C92" s="116">
        <v>1060.7333333333333</v>
      </c>
      <c r="D92" s="116">
        <v>1041.3333333333333</v>
      </c>
      <c r="E92" s="116">
        <v>1044.2</v>
      </c>
      <c r="F92" s="116">
        <v>1591.1</v>
      </c>
      <c r="G92">
        <v>207872</v>
      </c>
      <c r="H92" s="116"/>
      <c r="I92" s="116"/>
      <c r="L92" s="170">
        <v>42137</v>
      </c>
      <c r="M92" s="116">
        <v>1059.8</v>
      </c>
      <c r="N92" s="116">
        <v>1063.3333333333333</v>
      </c>
      <c r="O92" s="116">
        <v>1040.5333333333333</v>
      </c>
      <c r="P92" s="116">
        <v>1046.7</v>
      </c>
      <c r="Q92" s="116">
        <v>1589.7</v>
      </c>
      <c r="R92">
        <v>1626373</v>
      </c>
    </row>
    <row r="93" spans="1:18" x14ac:dyDescent="0.25">
      <c r="A93" s="170">
        <v>42138</v>
      </c>
      <c r="B93" s="116">
        <v>1061.3666666666666</v>
      </c>
      <c r="C93" s="116">
        <v>1053.8</v>
      </c>
      <c r="D93" s="116">
        <v>1048</v>
      </c>
      <c r="E93" s="116">
        <v>1058.6666666666667</v>
      </c>
      <c r="F93" s="116">
        <v>1580.7</v>
      </c>
      <c r="G93">
        <v>131323</v>
      </c>
      <c r="H93" s="116"/>
      <c r="I93" s="116"/>
      <c r="L93" s="170">
        <v>42138</v>
      </c>
      <c r="M93" s="116">
        <v>1051.2333333333333</v>
      </c>
      <c r="N93" s="116">
        <v>1061.2666666666667</v>
      </c>
      <c r="O93" s="116">
        <v>1046.9333333333334</v>
      </c>
      <c r="P93" s="116">
        <v>1057.4333333333334</v>
      </c>
      <c r="Q93" s="116">
        <v>1576.85</v>
      </c>
      <c r="R93">
        <v>1184764</v>
      </c>
    </row>
    <row r="94" spans="1:18" x14ac:dyDescent="0.25">
      <c r="A94" s="170">
        <v>42139</v>
      </c>
      <c r="B94" s="116">
        <v>1067.8</v>
      </c>
      <c r="C94" s="116">
        <v>1060.6333333333334</v>
      </c>
      <c r="D94" s="116">
        <v>1051.4666666666667</v>
      </c>
      <c r="E94" s="116">
        <v>1057.7666666666667</v>
      </c>
      <c r="F94" s="116">
        <v>1590.95</v>
      </c>
      <c r="G94">
        <v>150074</v>
      </c>
      <c r="H94" s="116"/>
      <c r="I94" s="116"/>
      <c r="L94" s="170">
        <v>42139</v>
      </c>
      <c r="M94" s="116">
        <v>1061.3</v>
      </c>
      <c r="N94" s="116">
        <v>1068</v>
      </c>
      <c r="O94" s="116">
        <v>1050.3333333333333</v>
      </c>
      <c r="P94" s="116">
        <v>1057.8999999999999</v>
      </c>
      <c r="Q94" s="116">
        <v>1591.95</v>
      </c>
      <c r="R94">
        <v>1841374</v>
      </c>
    </row>
    <row r="95" spans="1:18" x14ac:dyDescent="0.25">
      <c r="A95" s="170">
        <v>42142</v>
      </c>
      <c r="B95" s="116">
        <v>1076.3999999999999</v>
      </c>
      <c r="C95" s="116">
        <v>1073.7333333333333</v>
      </c>
      <c r="D95" s="116">
        <v>1060.0666666666666</v>
      </c>
      <c r="E95" s="116">
        <v>1063.1000000000001</v>
      </c>
      <c r="F95" s="116">
        <v>1610.6</v>
      </c>
      <c r="G95">
        <v>179924</v>
      </c>
      <c r="H95" s="116"/>
      <c r="I95" s="116"/>
      <c r="L95" s="170">
        <v>42142</v>
      </c>
      <c r="M95" s="116">
        <v>1074.8999999999999</v>
      </c>
      <c r="N95" s="116">
        <v>1077.5333333333333</v>
      </c>
      <c r="O95" s="116">
        <v>1059.3333333333333</v>
      </c>
      <c r="P95" s="116">
        <v>1064.9333333333334</v>
      </c>
      <c r="Q95" s="116">
        <v>1612.35</v>
      </c>
      <c r="R95">
        <v>1194770</v>
      </c>
    </row>
    <row r="96" spans="1:18" x14ac:dyDescent="0.25">
      <c r="A96" s="170">
        <v>42143</v>
      </c>
      <c r="B96" s="116">
        <v>1089.1333333333334</v>
      </c>
      <c r="C96" s="116">
        <v>1079.3999999999999</v>
      </c>
      <c r="D96" s="116">
        <v>1072.8333333333333</v>
      </c>
      <c r="E96" s="116">
        <v>1075.2</v>
      </c>
      <c r="F96" s="116">
        <v>1619.1</v>
      </c>
      <c r="G96">
        <v>244014</v>
      </c>
      <c r="H96" s="116"/>
      <c r="I96" s="116"/>
      <c r="L96" s="170">
        <v>42143</v>
      </c>
      <c r="M96" s="116">
        <v>1080.4666666666667</v>
      </c>
      <c r="N96" s="116">
        <v>1090</v>
      </c>
      <c r="O96" s="116">
        <v>1072.6666666666667</v>
      </c>
      <c r="P96" s="116">
        <v>1076.6333333333334</v>
      </c>
      <c r="Q96" s="116">
        <v>1620.7</v>
      </c>
      <c r="R96">
        <v>1521198</v>
      </c>
    </row>
    <row r="97" spans="1:18" x14ac:dyDescent="0.25">
      <c r="A97" s="170">
        <v>42144</v>
      </c>
      <c r="B97" s="116">
        <v>1090</v>
      </c>
      <c r="C97" s="116">
        <v>1075.7</v>
      </c>
      <c r="D97" s="116">
        <v>1072</v>
      </c>
      <c r="E97" s="116">
        <v>1083.3666666666666</v>
      </c>
      <c r="F97" s="116">
        <v>1613.55</v>
      </c>
      <c r="G97">
        <v>131969</v>
      </c>
      <c r="H97" s="116"/>
      <c r="I97" s="116"/>
      <c r="L97" s="170">
        <v>42144</v>
      </c>
      <c r="M97" s="116">
        <v>1075.0333333333333</v>
      </c>
      <c r="N97" s="116">
        <v>1090.3</v>
      </c>
      <c r="O97" s="116">
        <v>1072</v>
      </c>
      <c r="P97" s="116">
        <v>1085.3</v>
      </c>
      <c r="Q97" s="116">
        <v>1612.55</v>
      </c>
      <c r="R97">
        <v>961762</v>
      </c>
    </row>
    <row r="98" spans="1:18" x14ac:dyDescent="0.25">
      <c r="A98" s="170">
        <v>42145</v>
      </c>
      <c r="B98" s="116">
        <v>1091.9333333333334</v>
      </c>
      <c r="C98" s="116">
        <v>1089.3</v>
      </c>
      <c r="D98" s="116">
        <v>1073.6333333333334</v>
      </c>
      <c r="E98" s="116">
        <v>1080.2333333333333</v>
      </c>
      <c r="F98" s="116">
        <v>1633.95</v>
      </c>
      <c r="G98">
        <v>146107</v>
      </c>
      <c r="H98" s="116"/>
      <c r="I98" s="116"/>
      <c r="L98" s="170">
        <v>42145</v>
      </c>
      <c r="M98" s="116">
        <v>1092.2</v>
      </c>
      <c r="N98" s="116">
        <v>1094</v>
      </c>
      <c r="O98" s="116">
        <v>1072.8999999999999</v>
      </c>
      <c r="P98" s="116">
        <v>1080</v>
      </c>
      <c r="Q98" s="116">
        <v>1638.3</v>
      </c>
      <c r="R98">
        <v>1634186</v>
      </c>
    </row>
    <row r="99" spans="1:18" x14ac:dyDescent="0.25">
      <c r="A99" s="170">
        <v>42146</v>
      </c>
      <c r="B99" s="116">
        <v>1105.0333333333333</v>
      </c>
      <c r="C99" s="116">
        <v>1100.6666666666667</v>
      </c>
      <c r="D99" s="116">
        <v>1089.6000000000001</v>
      </c>
      <c r="E99" s="116">
        <v>1091.3333333333333</v>
      </c>
      <c r="F99" s="116">
        <v>1651</v>
      </c>
      <c r="G99">
        <v>226227</v>
      </c>
      <c r="H99" s="116"/>
      <c r="I99" s="116"/>
      <c r="L99" s="170">
        <v>42146</v>
      </c>
      <c r="M99" s="116">
        <v>1102.3</v>
      </c>
      <c r="N99" s="116">
        <v>1108</v>
      </c>
      <c r="O99" s="116">
        <v>1088.5333333333333</v>
      </c>
      <c r="P99" s="116">
        <v>1093.3333333333333</v>
      </c>
      <c r="Q99" s="116">
        <v>1653.45</v>
      </c>
      <c r="R99">
        <v>1765110</v>
      </c>
    </row>
    <row r="100" spans="1:18" x14ac:dyDescent="0.25">
      <c r="A100" s="170">
        <v>42149</v>
      </c>
      <c r="B100" s="116">
        <v>1102.6666666666667</v>
      </c>
      <c r="C100" s="116">
        <v>1086.1000000000001</v>
      </c>
      <c r="D100" s="116">
        <v>1083.3333333333333</v>
      </c>
      <c r="E100" s="116">
        <v>1101.3333333333333</v>
      </c>
      <c r="F100" s="116">
        <v>1629.15</v>
      </c>
      <c r="G100">
        <v>89865</v>
      </c>
      <c r="H100" s="116"/>
      <c r="I100" s="116"/>
      <c r="L100" s="170">
        <v>42149</v>
      </c>
      <c r="M100" s="116">
        <v>1086.8333333333333</v>
      </c>
      <c r="N100" s="116">
        <v>1099.8666666666666</v>
      </c>
      <c r="O100" s="116">
        <v>1083.3333333333333</v>
      </c>
      <c r="P100" s="116">
        <v>1099.8666666666666</v>
      </c>
      <c r="Q100" s="116">
        <v>1630.25</v>
      </c>
      <c r="R100">
        <v>931623</v>
      </c>
    </row>
    <row r="101" spans="1:18" x14ac:dyDescent="0.25">
      <c r="A101" s="170">
        <v>42150</v>
      </c>
      <c r="B101" s="116">
        <v>1090.6666666666667</v>
      </c>
      <c r="C101" s="116">
        <v>1078.8666666666666</v>
      </c>
      <c r="D101" s="116">
        <v>1072.8</v>
      </c>
      <c r="E101" s="116">
        <v>1090</v>
      </c>
      <c r="F101" s="116">
        <v>1618.3</v>
      </c>
      <c r="G101">
        <v>135545</v>
      </c>
      <c r="H101" s="116"/>
      <c r="I101" s="116"/>
      <c r="L101" s="170">
        <v>42150</v>
      </c>
      <c r="M101" s="116">
        <v>1078.9333333333334</v>
      </c>
      <c r="N101" s="116">
        <v>1091.1333333333334</v>
      </c>
      <c r="O101" s="116">
        <v>1072.3333333333333</v>
      </c>
      <c r="P101" s="116">
        <v>1091.1333333333334</v>
      </c>
      <c r="Q101" s="116">
        <v>1618.4</v>
      </c>
      <c r="R101">
        <v>1373020</v>
      </c>
    </row>
    <row r="102" spans="1:18" x14ac:dyDescent="0.25">
      <c r="A102" s="170">
        <v>42151</v>
      </c>
      <c r="B102" s="116">
        <v>1096.6333333333334</v>
      </c>
      <c r="C102" s="116">
        <v>1089.2333333333333</v>
      </c>
      <c r="D102" s="116">
        <v>1074.2</v>
      </c>
      <c r="E102" s="116">
        <v>1077.3999999999999</v>
      </c>
      <c r="F102" s="116">
        <v>1633.85</v>
      </c>
      <c r="G102">
        <v>144183</v>
      </c>
      <c r="H102" s="116"/>
      <c r="I102" s="116"/>
      <c r="L102" s="170">
        <v>42151</v>
      </c>
      <c r="M102" s="116">
        <v>1090.2666666666667</v>
      </c>
      <c r="N102" s="116">
        <v>1097.2666666666667</v>
      </c>
      <c r="O102" s="116">
        <v>1072.8333333333333</v>
      </c>
      <c r="P102" s="116">
        <v>1080</v>
      </c>
      <c r="Q102" s="116">
        <v>1635.4</v>
      </c>
      <c r="R102">
        <v>1050392</v>
      </c>
    </row>
    <row r="103" spans="1:18" x14ac:dyDescent="0.25">
      <c r="A103" s="170">
        <v>42152</v>
      </c>
      <c r="B103" s="116">
        <v>1093.8333333333333</v>
      </c>
      <c r="C103" s="116">
        <v>1085.7</v>
      </c>
      <c r="D103" s="116">
        <v>1071.3</v>
      </c>
      <c r="E103" s="116">
        <v>1092.5333333333333</v>
      </c>
      <c r="F103" s="116">
        <v>1628.55</v>
      </c>
      <c r="G103">
        <v>111621</v>
      </c>
      <c r="H103" s="116"/>
      <c r="I103" s="116"/>
      <c r="L103" s="170">
        <v>42152</v>
      </c>
      <c r="M103" s="116">
        <v>1084.5</v>
      </c>
      <c r="N103" s="116">
        <v>1093.8999999999999</v>
      </c>
      <c r="O103" s="116">
        <v>1070</v>
      </c>
      <c r="P103" s="116">
        <v>1091.3999999999999</v>
      </c>
      <c r="Q103" s="116">
        <v>1626.75</v>
      </c>
      <c r="R103">
        <v>1755497</v>
      </c>
    </row>
    <row r="104" spans="1:18" x14ac:dyDescent="0.25">
      <c r="A104" s="170">
        <v>42153</v>
      </c>
      <c r="B104" s="116">
        <v>1112.2333333333333</v>
      </c>
      <c r="C104" s="116">
        <v>1103.5666666666666</v>
      </c>
      <c r="D104" s="116">
        <v>1084.3333333333333</v>
      </c>
      <c r="E104" s="116">
        <v>1086.6666666666667</v>
      </c>
      <c r="F104" s="116">
        <v>1655.35</v>
      </c>
      <c r="G104">
        <v>213759</v>
      </c>
      <c r="H104" s="116"/>
      <c r="I104" s="116"/>
      <c r="L104" s="170">
        <v>42153</v>
      </c>
      <c r="M104" s="116">
        <v>1102.9666666666667</v>
      </c>
      <c r="N104" s="116">
        <v>1113.1666666666667</v>
      </c>
      <c r="O104" s="116">
        <v>1083.8</v>
      </c>
      <c r="P104" s="116">
        <v>1087</v>
      </c>
      <c r="Q104" s="116">
        <v>1654.45</v>
      </c>
      <c r="R104">
        <v>2794379</v>
      </c>
    </row>
    <row r="105" spans="1:18" x14ac:dyDescent="0.25">
      <c r="A105" s="170">
        <v>42156</v>
      </c>
      <c r="B105" s="116">
        <v>1139.8666666666666</v>
      </c>
      <c r="C105" s="116">
        <v>1137</v>
      </c>
      <c r="D105" s="116">
        <v>1094.7333333333333</v>
      </c>
      <c r="E105" s="116">
        <v>1110</v>
      </c>
      <c r="F105" s="116">
        <v>1705.5</v>
      </c>
      <c r="G105">
        <v>338627</v>
      </c>
      <c r="H105" s="116"/>
      <c r="I105" s="116"/>
      <c r="L105" s="170">
        <v>42156</v>
      </c>
      <c r="M105" s="116">
        <v>1137.0333333333333</v>
      </c>
      <c r="N105" s="116">
        <v>1139.3333333333333</v>
      </c>
      <c r="O105" s="116">
        <v>1095.3333333333333</v>
      </c>
      <c r="P105" s="116">
        <v>1116</v>
      </c>
      <c r="Q105" s="116">
        <v>1705.55</v>
      </c>
      <c r="R105">
        <v>3591205</v>
      </c>
    </row>
    <row r="106" spans="1:18" x14ac:dyDescent="0.25">
      <c r="A106" s="170">
        <v>42157</v>
      </c>
      <c r="B106" s="116">
        <v>1143.3999999999999</v>
      </c>
      <c r="C106" s="116">
        <v>1114.8666666666666</v>
      </c>
      <c r="D106" s="116">
        <v>1107.3333333333333</v>
      </c>
      <c r="E106" s="116">
        <v>1138.8</v>
      </c>
      <c r="F106" s="116">
        <v>1672.3</v>
      </c>
      <c r="G106">
        <v>243944</v>
      </c>
      <c r="H106" s="116"/>
      <c r="I106" s="116"/>
      <c r="L106" s="170">
        <v>42157</v>
      </c>
      <c r="M106" s="116">
        <v>1115.7</v>
      </c>
      <c r="N106" s="116">
        <v>1145.2</v>
      </c>
      <c r="O106" s="116">
        <v>1111.3333333333333</v>
      </c>
      <c r="P106" s="116">
        <v>1140.6666666666667</v>
      </c>
      <c r="Q106" s="116">
        <v>1673.55</v>
      </c>
      <c r="R106">
        <v>2915736</v>
      </c>
    </row>
    <row r="107" spans="1:18" x14ac:dyDescent="0.25">
      <c r="A107" s="170">
        <v>42158</v>
      </c>
      <c r="B107" s="116">
        <v>1124.4333333333334</v>
      </c>
      <c r="C107" s="116">
        <v>1101.9333333333334</v>
      </c>
      <c r="D107" s="116">
        <v>1096</v>
      </c>
      <c r="E107" s="116">
        <v>1116.6666666666667</v>
      </c>
      <c r="F107" s="116">
        <v>1652.9</v>
      </c>
      <c r="G107">
        <v>174410</v>
      </c>
      <c r="H107" s="116"/>
      <c r="I107" s="116"/>
      <c r="L107" s="170">
        <v>42158</v>
      </c>
      <c r="M107" s="116">
        <v>1102.4333333333334</v>
      </c>
      <c r="N107" s="116">
        <v>1125.0333333333333</v>
      </c>
      <c r="O107" s="116">
        <v>1096</v>
      </c>
      <c r="P107" s="116">
        <v>1116.6666666666667</v>
      </c>
      <c r="Q107" s="116">
        <v>1653.65</v>
      </c>
      <c r="R107">
        <v>2139998</v>
      </c>
    </row>
    <row r="108" spans="1:18" x14ac:dyDescent="0.25">
      <c r="A108" s="170">
        <v>42159</v>
      </c>
      <c r="B108" s="116">
        <v>1117.1666666666667</v>
      </c>
      <c r="C108" s="116">
        <v>1107.3</v>
      </c>
      <c r="D108" s="116">
        <v>1097.3666666666666</v>
      </c>
      <c r="E108" s="116">
        <v>1109.3333333333333</v>
      </c>
      <c r="F108" s="116">
        <v>1660.95</v>
      </c>
      <c r="G108">
        <v>133868</v>
      </c>
      <c r="H108" s="116"/>
      <c r="I108" s="116"/>
      <c r="L108" s="170">
        <v>42159</v>
      </c>
      <c r="M108" s="116">
        <v>1108.3</v>
      </c>
      <c r="N108" s="116">
        <v>1120</v>
      </c>
      <c r="O108" s="116">
        <v>1097.0333333333333</v>
      </c>
      <c r="P108" s="116">
        <v>1105.3333333333333</v>
      </c>
      <c r="Q108" s="116">
        <v>1662.45</v>
      </c>
      <c r="R108">
        <v>1311447</v>
      </c>
    </row>
    <row r="109" spans="1:18" x14ac:dyDescent="0.25">
      <c r="A109" s="170">
        <v>42160</v>
      </c>
      <c r="B109" s="116">
        <v>1134.1666666666667</v>
      </c>
      <c r="C109" s="116">
        <v>1121.5333333333333</v>
      </c>
      <c r="D109" s="116">
        <v>1104.6666666666667</v>
      </c>
      <c r="E109" s="116">
        <v>1104.6666666666667</v>
      </c>
      <c r="F109" s="116">
        <v>1682.3</v>
      </c>
      <c r="G109">
        <v>145950</v>
      </c>
      <c r="H109" s="116"/>
      <c r="I109" s="116"/>
      <c r="L109" s="170">
        <v>42160</v>
      </c>
      <c r="M109" s="116">
        <v>1122.3999999999999</v>
      </c>
      <c r="N109" s="116">
        <v>1136</v>
      </c>
      <c r="O109" s="116">
        <v>1105.8333333333333</v>
      </c>
      <c r="P109" s="116">
        <v>1106.6666666666667</v>
      </c>
      <c r="Q109" s="116">
        <v>1683.6</v>
      </c>
      <c r="R109">
        <v>1603220</v>
      </c>
    </row>
    <row r="110" spans="1:18" x14ac:dyDescent="0.25">
      <c r="A110" s="170">
        <v>42163</v>
      </c>
      <c r="B110" s="116">
        <v>1136.6666666666667</v>
      </c>
      <c r="C110" s="116">
        <v>1118.3666666666666</v>
      </c>
      <c r="D110" s="116">
        <v>1114</v>
      </c>
      <c r="E110" s="116">
        <v>1122</v>
      </c>
      <c r="F110" s="116">
        <v>1677.55</v>
      </c>
      <c r="G110">
        <v>116847</v>
      </c>
      <c r="H110" s="116"/>
      <c r="I110" s="116"/>
      <c r="L110" s="170">
        <v>42163</v>
      </c>
      <c r="M110" s="116">
        <v>1119.1666666666667</v>
      </c>
      <c r="N110" s="116">
        <v>1137.3333333333333</v>
      </c>
      <c r="O110" s="116">
        <v>1114.0666666666666</v>
      </c>
      <c r="P110" s="116">
        <v>1122.4666666666667</v>
      </c>
      <c r="Q110" s="116">
        <v>1678.75</v>
      </c>
      <c r="R110">
        <v>1419688</v>
      </c>
    </row>
    <row r="111" spans="1:18" x14ac:dyDescent="0.25">
      <c r="A111" s="170">
        <v>42164</v>
      </c>
      <c r="B111" s="116">
        <v>1123.3333333333333</v>
      </c>
      <c r="C111" s="116">
        <v>1111.4333333333334</v>
      </c>
      <c r="D111" s="116">
        <v>1104.6666666666667</v>
      </c>
      <c r="E111" s="116">
        <v>1116.6666666666667</v>
      </c>
      <c r="F111" s="116">
        <v>1667.15</v>
      </c>
      <c r="G111">
        <v>76104</v>
      </c>
      <c r="H111" s="116"/>
      <c r="I111" s="116"/>
      <c r="L111" s="170">
        <v>42164</v>
      </c>
      <c r="M111" s="116">
        <v>1111.2666666666667</v>
      </c>
      <c r="N111" s="116">
        <v>1123.8666666666666</v>
      </c>
      <c r="O111" s="116">
        <v>1104</v>
      </c>
      <c r="P111" s="116">
        <v>1117.3</v>
      </c>
      <c r="Q111" s="116">
        <v>1666.9</v>
      </c>
      <c r="R111">
        <v>944487</v>
      </c>
    </row>
    <row r="112" spans="1:18" x14ac:dyDescent="0.25">
      <c r="A112" s="170">
        <v>42165</v>
      </c>
      <c r="B112" s="116">
        <v>1144</v>
      </c>
      <c r="C112" s="116">
        <v>1137.7666666666667</v>
      </c>
      <c r="D112" s="116">
        <v>1112.1333333333334</v>
      </c>
      <c r="E112" s="116">
        <v>1112.1333333333334</v>
      </c>
      <c r="F112" s="116">
        <v>1706.65</v>
      </c>
      <c r="G112">
        <v>280159</v>
      </c>
      <c r="H112" s="116"/>
      <c r="I112" s="116"/>
      <c r="L112" s="170">
        <v>42165</v>
      </c>
      <c r="M112" s="116">
        <v>1137.3666666666666</v>
      </c>
      <c r="N112" s="116">
        <v>1145.2666666666667</v>
      </c>
      <c r="O112" s="116">
        <v>1113.3333333333333</v>
      </c>
      <c r="P112" s="116">
        <v>1114</v>
      </c>
      <c r="Q112" s="116">
        <v>1706.05</v>
      </c>
      <c r="R112">
        <v>1592872</v>
      </c>
    </row>
    <row r="113" spans="1:18" x14ac:dyDescent="0.25">
      <c r="A113" s="170">
        <v>42166</v>
      </c>
      <c r="B113" s="116">
        <v>1149.9333333333334</v>
      </c>
      <c r="C113" s="116">
        <v>1116.5333333333333</v>
      </c>
      <c r="D113" s="116">
        <v>1113.3666666666666</v>
      </c>
      <c r="E113" s="116">
        <v>1142.6666666666667</v>
      </c>
      <c r="F113" s="116">
        <v>1674.8</v>
      </c>
      <c r="G113">
        <v>185227</v>
      </c>
      <c r="H113" s="116"/>
      <c r="I113" s="116"/>
      <c r="L113" s="170">
        <v>42166</v>
      </c>
      <c r="M113" s="116">
        <v>1117.4333333333334</v>
      </c>
      <c r="N113" s="116">
        <v>1149.6333333333334</v>
      </c>
      <c r="O113" s="116">
        <v>1113.5</v>
      </c>
      <c r="P113" s="116">
        <v>1143.2666666666667</v>
      </c>
      <c r="Q113" s="116">
        <v>1676.15</v>
      </c>
      <c r="R113">
        <v>1987530</v>
      </c>
    </row>
    <row r="114" spans="1:18" x14ac:dyDescent="0.25">
      <c r="A114" s="170">
        <v>42167</v>
      </c>
      <c r="B114" s="116">
        <v>1121.3999999999999</v>
      </c>
      <c r="C114" s="116">
        <v>1106.1333333333334</v>
      </c>
      <c r="D114" s="116">
        <v>1100</v>
      </c>
      <c r="E114" s="116">
        <v>1116.5333333333333</v>
      </c>
      <c r="F114" s="116">
        <v>1659.2</v>
      </c>
      <c r="G114">
        <v>135244</v>
      </c>
      <c r="H114" s="116"/>
      <c r="I114" s="116"/>
      <c r="L114" s="170">
        <v>42167</v>
      </c>
      <c r="M114" s="116">
        <v>1104.9666666666667</v>
      </c>
      <c r="N114" s="116">
        <v>1122.1333333333334</v>
      </c>
      <c r="O114" s="116">
        <v>1100</v>
      </c>
      <c r="P114" s="116">
        <v>1116.3999999999999</v>
      </c>
      <c r="Q114" s="116">
        <v>1657.45</v>
      </c>
      <c r="R114">
        <v>1223406</v>
      </c>
    </row>
    <row r="115" spans="1:18" x14ac:dyDescent="0.25">
      <c r="A115" s="170">
        <v>42170</v>
      </c>
      <c r="B115" s="116">
        <v>1128.6000000000001</v>
      </c>
      <c r="C115" s="116">
        <v>1113.8333333333333</v>
      </c>
      <c r="D115" s="116">
        <v>1101.8999999999999</v>
      </c>
      <c r="E115" s="116">
        <v>1113.1333333333334</v>
      </c>
      <c r="F115" s="116">
        <v>1670.75</v>
      </c>
      <c r="G115">
        <v>134247</v>
      </c>
      <c r="H115" s="116"/>
      <c r="I115" s="116"/>
      <c r="L115" s="170">
        <v>42170</v>
      </c>
      <c r="M115" s="116">
        <v>1112.2666666666667</v>
      </c>
      <c r="N115" s="116">
        <v>1129.6000000000001</v>
      </c>
      <c r="O115" s="116">
        <v>1101.3333333333333</v>
      </c>
      <c r="P115" s="116">
        <v>1110.1333333333334</v>
      </c>
      <c r="Q115" s="116">
        <v>1668.4</v>
      </c>
      <c r="R115">
        <v>1133848</v>
      </c>
    </row>
    <row r="116" spans="1:18" x14ac:dyDescent="0.25">
      <c r="A116" s="170">
        <v>42171</v>
      </c>
      <c r="B116" s="116">
        <v>1123.3333333333333</v>
      </c>
      <c r="C116" s="116">
        <v>1117.7666666666667</v>
      </c>
      <c r="D116" s="116">
        <v>1104.0666666666666</v>
      </c>
      <c r="E116" s="116">
        <v>1113.3333333333333</v>
      </c>
      <c r="F116" s="116">
        <v>1676.65</v>
      </c>
      <c r="G116">
        <v>148145</v>
      </c>
      <c r="H116" s="116"/>
      <c r="I116" s="116"/>
      <c r="L116" s="170">
        <v>42171</v>
      </c>
      <c r="M116" s="116">
        <v>1118.2666666666667</v>
      </c>
      <c r="N116" s="116">
        <v>1123.3333333333333</v>
      </c>
      <c r="O116" s="116">
        <v>1103.8999999999999</v>
      </c>
      <c r="P116" s="116">
        <v>1113.3333333333333</v>
      </c>
      <c r="Q116" s="116">
        <v>1677.4</v>
      </c>
      <c r="R116">
        <v>1362420</v>
      </c>
    </row>
    <row r="117" spans="1:18" x14ac:dyDescent="0.25">
      <c r="A117" s="170">
        <v>42172</v>
      </c>
      <c r="B117" s="116">
        <v>1144.6666666666667</v>
      </c>
      <c r="C117" s="116">
        <v>1136.8666666666666</v>
      </c>
      <c r="D117" s="116">
        <v>1117.7666666666667</v>
      </c>
      <c r="E117" s="116">
        <v>1120</v>
      </c>
      <c r="F117" s="116">
        <v>1705.3</v>
      </c>
      <c r="G117">
        <v>220511</v>
      </c>
      <c r="H117" s="116"/>
      <c r="I117" s="116"/>
      <c r="L117" s="170">
        <v>42172</v>
      </c>
      <c r="M117" s="116">
        <v>1140.5666666666666</v>
      </c>
      <c r="N117" s="116">
        <v>1148.3333333333333</v>
      </c>
      <c r="O117" s="116">
        <v>1117.3333333333333</v>
      </c>
      <c r="P117" s="116">
        <v>1124</v>
      </c>
      <c r="Q117" s="116">
        <v>1710.85</v>
      </c>
      <c r="R117">
        <v>2656072</v>
      </c>
    </row>
    <row r="118" spans="1:18" x14ac:dyDescent="0.25">
      <c r="A118" s="170">
        <v>42173</v>
      </c>
      <c r="B118" s="116">
        <v>1151.9666666666667</v>
      </c>
      <c r="C118" s="116">
        <v>1142.3666666666666</v>
      </c>
      <c r="D118" s="116">
        <v>1138.2</v>
      </c>
      <c r="E118" s="116">
        <v>1146.6666666666667</v>
      </c>
      <c r="F118" s="116">
        <v>1713.55</v>
      </c>
      <c r="G118">
        <v>204514</v>
      </c>
      <c r="H118" s="116"/>
      <c r="I118" s="116"/>
      <c r="L118" s="170">
        <v>42173</v>
      </c>
      <c r="M118" s="116">
        <v>1144.7666666666667</v>
      </c>
      <c r="N118" s="116">
        <v>1153</v>
      </c>
      <c r="O118" s="116">
        <v>1139.1666666666667</v>
      </c>
      <c r="P118" s="116">
        <v>1143.3333333333333</v>
      </c>
      <c r="Q118" s="116">
        <v>1717.15</v>
      </c>
      <c r="R118">
        <v>1894773</v>
      </c>
    </row>
    <row r="119" spans="1:18" x14ac:dyDescent="0.25">
      <c r="A119" s="170">
        <v>42174</v>
      </c>
      <c r="B119" s="116">
        <v>1161.1666666666667</v>
      </c>
      <c r="C119" s="116">
        <v>1146.1000000000001</v>
      </c>
      <c r="D119" s="116">
        <v>1141.0666666666666</v>
      </c>
      <c r="E119" s="116">
        <v>1147.3333333333333</v>
      </c>
      <c r="F119" s="116">
        <v>1719.15</v>
      </c>
      <c r="G119">
        <v>153401</v>
      </c>
      <c r="H119" s="116"/>
      <c r="I119" s="116"/>
      <c r="L119" s="170">
        <v>42174</v>
      </c>
      <c r="M119" s="116">
        <v>1144.0666666666666</v>
      </c>
      <c r="N119" s="116">
        <v>1161.3999999999999</v>
      </c>
      <c r="O119" s="116">
        <v>1138.1666666666667</v>
      </c>
      <c r="P119" s="116">
        <v>1150</v>
      </c>
      <c r="Q119" s="116">
        <v>1716.1</v>
      </c>
      <c r="R119">
        <v>1417488</v>
      </c>
    </row>
    <row r="120" spans="1:18" x14ac:dyDescent="0.25">
      <c r="A120" s="170">
        <v>42177</v>
      </c>
      <c r="B120" s="116">
        <v>1158.2666666666667</v>
      </c>
      <c r="C120" s="116">
        <v>1154.0333333333333</v>
      </c>
      <c r="D120" s="116">
        <v>1144.7333333333333</v>
      </c>
      <c r="E120" s="116">
        <v>1148.6666666666667</v>
      </c>
      <c r="F120" s="116">
        <v>1731.05</v>
      </c>
      <c r="G120">
        <v>167331</v>
      </c>
      <c r="H120" s="116"/>
      <c r="I120" s="116"/>
      <c r="L120" s="170">
        <v>42177</v>
      </c>
      <c r="M120" s="116">
        <v>1155</v>
      </c>
      <c r="N120" s="116">
        <v>1159.3333333333333</v>
      </c>
      <c r="O120" s="116">
        <v>1144.3666666666666</v>
      </c>
      <c r="P120" s="116">
        <v>1150</v>
      </c>
      <c r="Q120" s="116">
        <v>1732.5</v>
      </c>
      <c r="R120">
        <v>1075654</v>
      </c>
    </row>
    <row r="121" spans="1:18" x14ac:dyDescent="0.25">
      <c r="A121" s="170">
        <v>42178</v>
      </c>
      <c r="B121" s="116">
        <v>1180</v>
      </c>
      <c r="C121" s="116">
        <v>1176.7</v>
      </c>
      <c r="D121" s="116">
        <v>1157.9333333333334</v>
      </c>
      <c r="E121" s="116">
        <v>1158.3333333333333</v>
      </c>
      <c r="F121" s="116">
        <v>1765.05</v>
      </c>
      <c r="G121">
        <v>223204</v>
      </c>
      <c r="H121" s="116"/>
      <c r="I121" s="116"/>
      <c r="L121" s="170">
        <v>42178</v>
      </c>
      <c r="M121" s="116">
        <v>1177.7</v>
      </c>
      <c r="N121" s="116">
        <v>1181.3333333333333</v>
      </c>
      <c r="O121" s="116">
        <v>1158.3333333333333</v>
      </c>
      <c r="P121" s="116">
        <v>1160.6666666666667</v>
      </c>
      <c r="Q121" s="116">
        <v>1766.55</v>
      </c>
      <c r="R121">
        <v>1567152</v>
      </c>
    </row>
    <row r="122" spans="1:18" x14ac:dyDescent="0.25">
      <c r="A122" s="170">
        <v>42179</v>
      </c>
      <c r="B122" s="116">
        <v>1182.6333333333334</v>
      </c>
      <c r="C122" s="116">
        <v>1166.3999999999999</v>
      </c>
      <c r="D122" s="116">
        <v>1160.7</v>
      </c>
      <c r="E122" s="116">
        <v>1178.7333333333333</v>
      </c>
      <c r="F122" s="116">
        <v>1749.6</v>
      </c>
      <c r="G122">
        <v>146794</v>
      </c>
      <c r="H122" s="116"/>
      <c r="I122" s="116"/>
      <c r="L122" s="170">
        <v>42179</v>
      </c>
      <c r="M122" s="116">
        <v>1168.8333333333333</v>
      </c>
      <c r="N122" s="116">
        <v>1183.1333333333334</v>
      </c>
      <c r="O122" s="116">
        <v>1163.3333333333333</v>
      </c>
      <c r="P122" s="116">
        <v>1178.6666666666667</v>
      </c>
      <c r="Q122" s="116">
        <v>1753.25</v>
      </c>
      <c r="R122">
        <v>1211062</v>
      </c>
    </row>
    <row r="123" spans="1:18" x14ac:dyDescent="0.25">
      <c r="A123" s="170">
        <v>42180</v>
      </c>
      <c r="B123" s="116">
        <v>1211.2666666666667</v>
      </c>
      <c r="C123" s="116">
        <v>1204.6000000000001</v>
      </c>
      <c r="D123" s="116">
        <v>1162.2</v>
      </c>
      <c r="E123" s="116">
        <v>1163.2666666666667</v>
      </c>
      <c r="F123" s="116">
        <v>1806.9</v>
      </c>
      <c r="G123">
        <v>523799</v>
      </c>
      <c r="H123" s="116"/>
      <c r="I123" s="116"/>
      <c r="L123" s="170">
        <v>42180</v>
      </c>
      <c r="M123" s="116">
        <v>1206.5</v>
      </c>
      <c r="N123" s="116">
        <v>1211.3333333333333</v>
      </c>
      <c r="O123" s="116">
        <v>1160.0666666666666</v>
      </c>
      <c r="P123" s="116">
        <v>1160.0666666666666</v>
      </c>
      <c r="Q123" s="116">
        <v>1809.75</v>
      </c>
      <c r="R123">
        <v>2801164</v>
      </c>
    </row>
    <row r="124" spans="1:18" x14ac:dyDescent="0.25">
      <c r="A124" s="170">
        <v>42181</v>
      </c>
      <c r="B124" s="116">
        <v>1203.2333333333333</v>
      </c>
      <c r="C124" s="116">
        <v>1186.6333333333334</v>
      </c>
      <c r="D124" s="116">
        <v>1183.5</v>
      </c>
      <c r="E124" s="116">
        <v>1203.2333333333333</v>
      </c>
      <c r="F124" s="116">
        <v>1779.95</v>
      </c>
      <c r="G124">
        <v>175401</v>
      </c>
      <c r="H124" s="116"/>
      <c r="I124" s="116"/>
      <c r="L124" s="170">
        <v>42181</v>
      </c>
      <c r="M124" s="116">
        <v>1187.1333333333334</v>
      </c>
      <c r="N124" s="116">
        <v>1202.6666666666667</v>
      </c>
      <c r="O124" s="116">
        <v>1183.3333333333333</v>
      </c>
      <c r="P124" s="116">
        <v>1202.3999999999999</v>
      </c>
      <c r="Q124" s="116">
        <v>1780.7</v>
      </c>
      <c r="R124">
        <v>1212036</v>
      </c>
    </row>
    <row r="125" spans="1:18" x14ac:dyDescent="0.25">
      <c r="A125" s="170">
        <v>42184</v>
      </c>
      <c r="B125" s="116">
        <v>1195.1333333333334</v>
      </c>
      <c r="C125" s="116">
        <v>1191.8666666666666</v>
      </c>
      <c r="D125" s="116">
        <v>1146.6666666666667</v>
      </c>
      <c r="E125" s="116">
        <v>1165.3333333333333</v>
      </c>
      <c r="F125" s="116">
        <v>1787.8</v>
      </c>
      <c r="G125">
        <v>254864</v>
      </c>
      <c r="H125" s="116"/>
      <c r="I125" s="116"/>
      <c r="L125" s="170">
        <v>42184</v>
      </c>
      <c r="M125" s="116">
        <v>1193.7</v>
      </c>
      <c r="N125" s="116">
        <v>1196.6666666666667</v>
      </c>
      <c r="O125" s="116">
        <v>1146</v>
      </c>
      <c r="P125" s="116">
        <v>1164.6666666666667</v>
      </c>
      <c r="Q125" s="116">
        <v>1790.55</v>
      </c>
      <c r="R125">
        <v>2073535</v>
      </c>
    </row>
    <row r="126" spans="1:18" x14ac:dyDescent="0.25">
      <c r="A126" s="170">
        <v>42185</v>
      </c>
      <c r="B126" s="116">
        <v>1205.2666666666667</v>
      </c>
      <c r="C126" s="116">
        <v>1188.5</v>
      </c>
      <c r="D126" s="116">
        <v>1178.7666666666667</v>
      </c>
      <c r="E126" s="116">
        <v>1192.6666666666667</v>
      </c>
      <c r="F126" s="116">
        <v>1782.75</v>
      </c>
      <c r="G126">
        <v>206857</v>
      </c>
      <c r="H126" s="116"/>
      <c r="I126" s="116"/>
      <c r="L126" s="170">
        <v>42185</v>
      </c>
      <c r="M126" s="116">
        <v>1188.5333333333333</v>
      </c>
      <c r="N126" s="116">
        <v>1205.9333333333334</v>
      </c>
      <c r="O126" s="116">
        <v>1178.6666666666667</v>
      </c>
      <c r="P126" s="116">
        <v>1190.3999999999999</v>
      </c>
      <c r="Q126" s="116">
        <v>1782.8</v>
      </c>
      <c r="R126">
        <v>2051118</v>
      </c>
    </row>
    <row r="127" spans="1:18" x14ac:dyDescent="0.25">
      <c r="A127" s="170">
        <v>42186</v>
      </c>
      <c r="B127" s="116">
        <v>1212.1000000000001</v>
      </c>
      <c r="C127" s="116">
        <v>1206.5333333333333</v>
      </c>
      <c r="D127" s="116">
        <v>1188.6666666666667</v>
      </c>
      <c r="E127" s="116">
        <v>1189.2</v>
      </c>
      <c r="F127" s="116">
        <v>1809.8</v>
      </c>
      <c r="G127">
        <v>198777</v>
      </c>
      <c r="H127" s="116"/>
      <c r="I127" s="116"/>
      <c r="L127" s="170">
        <v>42186</v>
      </c>
      <c r="M127" s="116">
        <v>1207.8</v>
      </c>
      <c r="N127" s="116">
        <v>1212.6666666666667</v>
      </c>
      <c r="O127" s="116">
        <v>1188.6333333333334</v>
      </c>
      <c r="P127" s="116">
        <v>1188.6333333333334</v>
      </c>
      <c r="Q127" s="116">
        <v>1811.7</v>
      </c>
      <c r="R127">
        <v>1647528</v>
      </c>
    </row>
    <row r="128" spans="1:18" x14ac:dyDescent="0.25">
      <c r="A128" s="170">
        <v>42187</v>
      </c>
      <c r="B128" s="116">
        <v>1211.7333333333333</v>
      </c>
      <c r="C128" s="116">
        <v>1197.9666666666667</v>
      </c>
      <c r="D128" s="116">
        <v>1194.7666666666667</v>
      </c>
      <c r="E128" s="116">
        <v>1206.6666666666667</v>
      </c>
      <c r="F128" s="116">
        <v>1796.95</v>
      </c>
      <c r="G128">
        <v>112459</v>
      </c>
      <c r="H128" s="116"/>
      <c r="I128" s="116"/>
      <c r="L128" s="170">
        <v>42187</v>
      </c>
      <c r="M128" s="116">
        <v>1200.2333333333333</v>
      </c>
      <c r="N128" s="116">
        <v>1212</v>
      </c>
      <c r="O128" s="116">
        <v>1194.6666666666667</v>
      </c>
      <c r="P128" s="116">
        <v>1208</v>
      </c>
      <c r="Q128" s="116">
        <v>1800.35</v>
      </c>
      <c r="R128">
        <v>890505</v>
      </c>
    </row>
    <row r="129" spans="1:18" x14ac:dyDescent="0.25">
      <c r="A129" s="170">
        <v>42188</v>
      </c>
      <c r="B129" s="116">
        <v>1215.8666666666666</v>
      </c>
      <c r="C129" s="116">
        <v>1205.1666666666667</v>
      </c>
      <c r="D129" s="116">
        <v>1194.8666666666666</v>
      </c>
      <c r="E129" s="116">
        <v>1200</v>
      </c>
      <c r="F129" s="116">
        <v>1807.75</v>
      </c>
      <c r="G129">
        <v>211607</v>
      </c>
      <c r="H129" s="116"/>
      <c r="I129" s="116"/>
      <c r="L129" s="170">
        <v>42188</v>
      </c>
      <c r="M129" s="116">
        <v>1204.8666666666666</v>
      </c>
      <c r="N129" s="116">
        <v>1216.6666666666667</v>
      </c>
      <c r="O129" s="116">
        <v>1195</v>
      </c>
      <c r="P129" s="116">
        <v>1200</v>
      </c>
      <c r="Q129" s="116">
        <v>1807.3</v>
      </c>
      <c r="R129">
        <v>1220634</v>
      </c>
    </row>
    <row r="130" spans="1:18" x14ac:dyDescent="0.25">
      <c r="A130" s="170">
        <v>42191</v>
      </c>
      <c r="B130" s="116">
        <v>1214.6666666666667</v>
      </c>
      <c r="C130" s="116">
        <v>1210.7333333333333</v>
      </c>
      <c r="D130" s="116">
        <v>1184.3999999999999</v>
      </c>
      <c r="E130" s="116">
        <v>1189.2666666666667</v>
      </c>
      <c r="F130" s="116">
        <v>1816.1</v>
      </c>
      <c r="G130">
        <v>130486</v>
      </c>
      <c r="H130" s="116"/>
      <c r="I130" s="116"/>
      <c r="L130" s="170">
        <v>42191</v>
      </c>
      <c r="M130" s="116">
        <v>1210.7</v>
      </c>
      <c r="N130" s="116">
        <v>1214.3333333333333</v>
      </c>
      <c r="O130" s="116">
        <v>1183.3333333333333</v>
      </c>
      <c r="P130" s="116">
        <v>1183.3666666666666</v>
      </c>
      <c r="Q130" s="116">
        <v>1816.05</v>
      </c>
      <c r="R130">
        <v>1353008</v>
      </c>
    </row>
    <row r="131" spans="1:18" x14ac:dyDescent="0.25">
      <c r="A131" s="170">
        <v>42192</v>
      </c>
      <c r="B131" s="116">
        <v>1216.3333333333333</v>
      </c>
      <c r="C131" s="116">
        <v>1207.2666666666667</v>
      </c>
      <c r="D131" s="116">
        <v>1197.4666666666667</v>
      </c>
      <c r="E131" s="116">
        <v>1211.3333333333333</v>
      </c>
      <c r="F131" s="116">
        <v>1810.9</v>
      </c>
      <c r="G131">
        <v>104980</v>
      </c>
      <c r="H131" s="116"/>
      <c r="I131" s="116"/>
      <c r="L131" s="170">
        <v>42192</v>
      </c>
      <c r="M131" s="116">
        <v>1207.5666666666666</v>
      </c>
      <c r="N131" s="116">
        <v>1216</v>
      </c>
      <c r="O131" s="116">
        <v>1196.8</v>
      </c>
      <c r="P131" s="116">
        <v>1211.3</v>
      </c>
      <c r="Q131" s="116">
        <v>1811.35</v>
      </c>
      <c r="R131">
        <v>1152655</v>
      </c>
    </row>
    <row r="132" spans="1:18" x14ac:dyDescent="0.25">
      <c r="A132" s="170">
        <v>42193</v>
      </c>
      <c r="B132" s="116">
        <v>1208.6666666666667</v>
      </c>
      <c r="C132" s="116">
        <v>1202.8666666666666</v>
      </c>
      <c r="D132" s="116">
        <v>1180</v>
      </c>
      <c r="E132" s="116">
        <v>1200</v>
      </c>
      <c r="F132" s="116">
        <v>1804.3</v>
      </c>
      <c r="G132">
        <v>169685</v>
      </c>
      <c r="H132" s="116"/>
      <c r="I132" s="116"/>
      <c r="L132" s="170">
        <v>42193</v>
      </c>
      <c r="M132" s="116">
        <v>1204.3</v>
      </c>
      <c r="N132" s="116">
        <v>1209.8</v>
      </c>
      <c r="O132" s="116">
        <v>1180</v>
      </c>
      <c r="P132" s="116">
        <v>1193.3333333333333</v>
      </c>
      <c r="Q132" s="116">
        <v>1806.45</v>
      </c>
      <c r="R132">
        <v>1590594</v>
      </c>
    </row>
    <row r="133" spans="1:18" x14ac:dyDescent="0.25">
      <c r="A133" s="170">
        <v>42194</v>
      </c>
      <c r="B133" s="116">
        <v>1233.3333333333333</v>
      </c>
      <c r="C133" s="116">
        <v>1231.6666666666667</v>
      </c>
      <c r="D133" s="116">
        <v>1208</v>
      </c>
      <c r="E133" s="116">
        <v>1208</v>
      </c>
      <c r="F133" s="116">
        <v>1847.5</v>
      </c>
      <c r="G133">
        <v>237230</v>
      </c>
      <c r="H133" s="116"/>
      <c r="I133" s="116"/>
      <c r="L133" s="170">
        <v>42194</v>
      </c>
      <c r="M133" s="116">
        <v>1232.6000000000001</v>
      </c>
      <c r="N133" s="116">
        <v>1234</v>
      </c>
      <c r="O133" s="116">
        <v>1210.1666666666667</v>
      </c>
      <c r="P133" s="116">
        <v>1210.1666666666667</v>
      </c>
      <c r="Q133" s="116">
        <v>1848.9</v>
      </c>
      <c r="R133">
        <v>1925539</v>
      </c>
    </row>
    <row r="134" spans="1:18" x14ac:dyDescent="0.25">
      <c r="A134" s="170">
        <v>42195</v>
      </c>
      <c r="B134" s="116">
        <v>1250</v>
      </c>
      <c r="C134" s="116">
        <v>1247.8999999999999</v>
      </c>
      <c r="D134" s="116">
        <v>1232.3999999999999</v>
      </c>
      <c r="E134" s="116">
        <v>1233.3333333333333</v>
      </c>
      <c r="F134" s="116">
        <v>1871.85</v>
      </c>
      <c r="G134">
        <v>202539</v>
      </c>
      <c r="H134" s="116"/>
      <c r="I134" s="116"/>
      <c r="L134" s="170">
        <v>42195</v>
      </c>
      <c r="M134" s="116">
        <v>1250.9333333333334</v>
      </c>
      <c r="N134" s="116">
        <v>1253.3333333333333</v>
      </c>
      <c r="O134" s="116">
        <v>1233.0333333333333</v>
      </c>
      <c r="P134" s="116">
        <v>1233.3333333333333</v>
      </c>
      <c r="Q134" s="116">
        <v>1876.4</v>
      </c>
      <c r="R134">
        <v>1797940</v>
      </c>
    </row>
    <row r="135" spans="1:18" x14ac:dyDescent="0.25">
      <c r="A135" s="170">
        <v>42198</v>
      </c>
      <c r="B135" s="116">
        <v>1253.3333333333333</v>
      </c>
      <c r="C135" s="116">
        <v>1238.5333333333333</v>
      </c>
      <c r="D135" s="116">
        <v>1229.6333333333334</v>
      </c>
      <c r="E135" s="116">
        <v>1250</v>
      </c>
      <c r="F135" s="116">
        <v>1857.8</v>
      </c>
      <c r="G135">
        <v>160784</v>
      </c>
      <c r="H135" s="116"/>
      <c r="I135" s="116"/>
      <c r="L135" s="170">
        <v>42198</v>
      </c>
      <c r="M135" s="116">
        <v>1238.4666666666667</v>
      </c>
      <c r="N135" s="116">
        <v>1253.3333333333333</v>
      </c>
      <c r="O135" s="116">
        <v>1229.3333333333333</v>
      </c>
      <c r="P135" s="116">
        <v>1250.9333333333334</v>
      </c>
      <c r="Q135" s="116">
        <v>1857.7</v>
      </c>
      <c r="R135">
        <v>1440265</v>
      </c>
    </row>
    <row r="136" spans="1:18" x14ac:dyDescent="0.25">
      <c r="A136" s="170">
        <v>42199</v>
      </c>
      <c r="B136" s="116">
        <v>1248</v>
      </c>
      <c r="C136" s="116">
        <v>1238.5333333333333</v>
      </c>
      <c r="D136" s="116">
        <v>1233.3333333333333</v>
      </c>
      <c r="E136" s="116">
        <v>1241.3333333333333</v>
      </c>
      <c r="F136" s="116">
        <v>1857.8</v>
      </c>
      <c r="G136">
        <v>103005</v>
      </c>
      <c r="H136" s="116"/>
      <c r="I136" s="116"/>
      <c r="L136" s="170">
        <v>42199</v>
      </c>
      <c r="M136" s="116">
        <v>1238.3666666666666</v>
      </c>
      <c r="N136" s="116">
        <v>1247.9666666666667</v>
      </c>
      <c r="O136" s="116">
        <v>1234.0666666666666</v>
      </c>
      <c r="P136" s="116">
        <v>1239.8</v>
      </c>
      <c r="Q136" s="116">
        <v>1857.55</v>
      </c>
      <c r="R136">
        <v>1113052</v>
      </c>
    </row>
    <row r="137" spans="1:18" x14ac:dyDescent="0.25">
      <c r="A137" s="170">
        <v>42200</v>
      </c>
      <c r="B137" s="116">
        <v>1253.0333333333333</v>
      </c>
      <c r="C137" s="116">
        <v>1246.1333333333334</v>
      </c>
      <c r="D137" s="116">
        <v>1240.6666666666667</v>
      </c>
      <c r="E137" s="116">
        <v>1240.6666666666667</v>
      </c>
      <c r="F137" s="116">
        <v>1869.2</v>
      </c>
      <c r="G137">
        <v>82957</v>
      </c>
      <c r="H137" s="116"/>
      <c r="I137" s="116"/>
      <c r="L137" s="170">
        <v>42200</v>
      </c>
      <c r="M137" s="116">
        <v>1246.2666666666667</v>
      </c>
      <c r="N137" s="116">
        <v>1253.3333333333333</v>
      </c>
      <c r="O137" s="116">
        <v>1241.6333333333334</v>
      </c>
      <c r="P137" s="116">
        <v>1243.3333333333333</v>
      </c>
      <c r="Q137" s="116">
        <v>1869.4</v>
      </c>
      <c r="R137">
        <v>1171674</v>
      </c>
    </row>
    <row r="138" spans="1:18" x14ac:dyDescent="0.25">
      <c r="A138" s="170">
        <v>42201</v>
      </c>
      <c r="B138" s="116">
        <v>1252.3</v>
      </c>
      <c r="C138" s="116">
        <v>1245.6000000000001</v>
      </c>
      <c r="D138" s="116">
        <v>1238.7666666666667</v>
      </c>
      <c r="E138" s="116">
        <v>1246.6666666666667</v>
      </c>
      <c r="F138" s="116">
        <v>1868.4</v>
      </c>
      <c r="G138">
        <v>121826</v>
      </c>
      <c r="H138" s="116"/>
      <c r="I138" s="116"/>
      <c r="L138" s="170">
        <v>42201</v>
      </c>
      <c r="M138" s="116">
        <v>1245.3666666666666</v>
      </c>
      <c r="N138" s="116">
        <v>1251.3333333333333</v>
      </c>
      <c r="O138" s="116">
        <v>1238</v>
      </c>
      <c r="P138" s="116">
        <v>1246.6666666666667</v>
      </c>
      <c r="Q138" s="116">
        <v>1868.05</v>
      </c>
      <c r="R138">
        <v>1416271</v>
      </c>
    </row>
    <row r="139" spans="1:18" x14ac:dyDescent="0.25">
      <c r="A139" s="170">
        <v>42202</v>
      </c>
      <c r="B139" s="116">
        <v>1257.5</v>
      </c>
      <c r="C139" s="116">
        <v>1247.6333333333334</v>
      </c>
      <c r="D139" s="116">
        <v>1243.4333333333334</v>
      </c>
      <c r="E139" s="116">
        <v>1248.6666666666667</v>
      </c>
      <c r="F139" s="116">
        <v>1871.45</v>
      </c>
      <c r="G139">
        <v>116296</v>
      </c>
      <c r="H139" s="116"/>
      <c r="I139" s="116"/>
      <c r="L139" s="170">
        <v>42202</v>
      </c>
      <c r="M139" s="116">
        <v>1247.7333333333333</v>
      </c>
      <c r="N139" s="116">
        <v>1258.6666666666667</v>
      </c>
      <c r="O139" s="116">
        <v>1242.7</v>
      </c>
      <c r="P139" s="116">
        <v>1247.2666666666667</v>
      </c>
      <c r="Q139" s="116">
        <v>1871.6</v>
      </c>
      <c r="R139">
        <v>1675686</v>
      </c>
    </row>
    <row r="140" spans="1:18" x14ac:dyDescent="0.25">
      <c r="A140" s="170">
        <v>42205</v>
      </c>
      <c r="B140" s="116">
        <v>1253.2666666666667</v>
      </c>
      <c r="C140" s="116">
        <v>1245.6000000000001</v>
      </c>
      <c r="D140" s="116">
        <v>1233.7333333333333</v>
      </c>
      <c r="E140" s="116">
        <v>1247.6333333333334</v>
      </c>
      <c r="F140" s="116">
        <v>1868.4</v>
      </c>
      <c r="G140">
        <v>85140</v>
      </c>
      <c r="H140" s="116"/>
      <c r="I140" s="116"/>
      <c r="L140" s="170">
        <v>42205</v>
      </c>
      <c r="M140" s="116">
        <v>1244.8666666666666</v>
      </c>
      <c r="N140" s="116">
        <v>1253.2666666666667</v>
      </c>
      <c r="O140" s="116">
        <v>1233.3333333333333</v>
      </c>
      <c r="P140" s="116">
        <v>1248.6666666666667</v>
      </c>
      <c r="Q140" s="116">
        <v>1867.3</v>
      </c>
      <c r="R140">
        <v>1103150</v>
      </c>
    </row>
    <row r="141" spans="1:18" x14ac:dyDescent="0.25">
      <c r="A141" s="170">
        <v>42206</v>
      </c>
      <c r="B141" s="116">
        <v>1254.9666666666667</v>
      </c>
      <c r="C141" s="116">
        <v>1230.5666666666666</v>
      </c>
      <c r="D141" s="116">
        <v>1223.3666666666666</v>
      </c>
      <c r="E141" s="116">
        <v>1244</v>
      </c>
      <c r="F141" s="116">
        <v>1845.85</v>
      </c>
      <c r="G141">
        <v>86340</v>
      </c>
      <c r="H141" s="116"/>
      <c r="I141" s="116"/>
      <c r="L141" s="170">
        <v>42206</v>
      </c>
      <c r="M141" s="116">
        <v>1229.9666666666667</v>
      </c>
      <c r="N141" s="116">
        <v>1255.3333333333333</v>
      </c>
      <c r="O141" s="116">
        <v>1225.3999999999999</v>
      </c>
      <c r="P141" s="116">
        <v>1246.6000000000001</v>
      </c>
      <c r="Q141" s="116">
        <v>1844.95</v>
      </c>
      <c r="R141">
        <v>870388</v>
      </c>
    </row>
    <row r="142" spans="1:18" x14ac:dyDescent="0.25">
      <c r="A142" s="170">
        <v>42207</v>
      </c>
      <c r="B142" s="116">
        <v>1244.7</v>
      </c>
      <c r="C142" s="116">
        <v>1236.6333333333334</v>
      </c>
      <c r="D142" s="116">
        <v>1221.3333333333333</v>
      </c>
      <c r="E142" s="116">
        <v>1226.6666666666667</v>
      </c>
      <c r="F142" s="116">
        <v>1854.95</v>
      </c>
      <c r="G142">
        <v>99507</v>
      </c>
      <c r="H142" s="116"/>
      <c r="I142" s="116"/>
      <c r="L142" s="170">
        <v>42207</v>
      </c>
      <c r="M142" s="116">
        <v>1236.3</v>
      </c>
      <c r="N142" s="116">
        <v>1245.3333333333333</v>
      </c>
      <c r="O142" s="116">
        <v>1220.7</v>
      </c>
      <c r="P142" s="116">
        <v>1229.0666666666666</v>
      </c>
      <c r="Q142" s="116">
        <v>1854.45</v>
      </c>
      <c r="R142">
        <v>1095483</v>
      </c>
    </row>
    <row r="143" spans="1:18" x14ac:dyDescent="0.25">
      <c r="A143" s="170">
        <v>42208</v>
      </c>
      <c r="B143" s="116">
        <v>1241.3</v>
      </c>
      <c r="C143" s="116">
        <v>1220.8999999999999</v>
      </c>
      <c r="D143" s="116">
        <v>1216.6666666666667</v>
      </c>
      <c r="E143" s="116">
        <v>1239.9666666666667</v>
      </c>
      <c r="F143" s="116">
        <v>1831.35</v>
      </c>
      <c r="G143">
        <v>123467</v>
      </c>
      <c r="H143" s="116"/>
      <c r="I143" s="116"/>
      <c r="L143" s="170">
        <v>42208</v>
      </c>
      <c r="M143" s="116">
        <v>1220.7</v>
      </c>
      <c r="N143" s="116">
        <v>1243.0333333333333</v>
      </c>
      <c r="O143" s="116">
        <v>1215.3333333333333</v>
      </c>
      <c r="P143" s="116">
        <v>1240</v>
      </c>
      <c r="Q143" s="116">
        <v>1831.05</v>
      </c>
      <c r="R143">
        <v>1340930</v>
      </c>
    </row>
    <row r="144" spans="1:18" x14ac:dyDescent="0.25">
      <c r="A144" s="170">
        <v>42209</v>
      </c>
      <c r="B144" s="116">
        <v>1225.8333333333333</v>
      </c>
      <c r="C144" s="116">
        <v>1201.8999999999999</v>
      </c>
      <c r="D144" s="116">
        <v>1198.3666666666666</v>
      </c>
      <c r="E144" s="116">
        <v>1223.3333333333333</v>
      </c>
      <c r="F144" s="116">
        <v>1802.85</v>
      </c>
      <c r="G144">
        <v>130647</v>
      </c>
      <c r="H144" s="116"/>
      <c r="I144" s="116"/>
      <c r="L144" s="170">
        <v>42209</v>
      </c>
      <c r="M144" s="116">
        <v>1201.5666666666666</v>
      </c>
      <c r="N144" s="116">
        <v>1224.6333333333334</v>
      </c>
      <c r="O144" s="116">
        <v>1198.0333333333333</v>
      </c>
      <c r="P144" s="116">
        <v>1223.3333333333333</v>
      </c>
      <c r="Q144" s="116">
        <v>1802.35</v>
      </c>
      <c r="R144">
        <v>1324186</v>
      </c>
    </row>
    <row r="145" spans="1:18" x14ac:dyDescent="0.25">
      <c r="A145" s="170">
        <v>42212</v>
      </c>
      <c r="B145" s="116">
        <v>1200</v>
      </c>
      <c r="C145" s="116">
        <v>1164.7</v>
      </c>
      <c r="D145" s="116">
        <v>1160.7</v>
      </c>
      <c r="E145" s="116">
        <v>1200</v>
      </c>
      <c r="F145" s="116">
        <v>1747.05</v>
      </c>
      <c r="G145">
        <v>182256</v>
      </c>
      <c r="H145" s="116"/>
      <c r="I145" s="116"/>
      <c r="L145" s="170">
        <v>42212</v>
      </c>
      <c r="M145" s="116">
        <v>1162.2333333333333</v>
      </c>
      <c r="N145" s="116">
        <v>1198.6666666666667</v>
      </c>
      <c r="O145" s="116">
        <v>1158.5666666666666</v>
      </c>
      <c r="P145" s="116">
        <v>1198.0666666666666</v>
      </c>
      <c r="Q145" s="116">
        <v>1743.35</v>
      </c>
      <c r="R145">
        <v>2371187</v>
      </c>
    </row>
    <row r="146" spans="1:18" x14ac:dyDescent="0.25">
      <c r="A146" s="170">
        <v>42213</v>
      </c>
      <c r="B146" s="116">
        <v>1182</v>
      </c>
      <c r="C146" s="116">
        <v>1172.5666666666666</v>
      </c>
      <c r="D146" s="116">
        <v>1163.3333333333333</v>
      </c>
      <c r="E146" s="116">
        <v>1166</v>
      </c>
      <c r="F146" s="116">
        <v>1758.85</v>
      </c>
      <c r="G146">
        <v>98956</v>
      </c>
      <c r="H146" s="116"/>
      <c r="I146" s="116"/>
      <c r="L146" s="170">
        <v>42213</v>
      </c>
      <c r="M146" s="116">
        <v>1172.6333333333334</v>
      </c>
      <c r="N146" s="116">
        <v>1181.3333333333333</v>
      </c>
      <c r="O146" s="116">
        <v>1162.4333333333334</v>
      </c>
      <c r="P146" s="116">
        <v>1166.6666666666667</v>
      </c>
      <c r="Q146" s="116">
        <v>1758.95</v>
      </c>
      <c r="R146">
        <v>1237631</v>
      </c>
    </row>
    <row r="147" spans="1:18" x14ac:dyDescent="0.25">
      <c r="A147" s="170">
        <v>42214</v>
      </c>
      <c r="B147" s="116">
        <v>1198</v>
      </c>
      <c r="C147" s="116">
        <v>1193.1000000000001</v>
      </c>
      <c r="D147" s="116">
        <v>1167.3333333333333</v>
      </c>
      <c r="E147" s="116">
        <v>1176.6666666666667</v>
      </c>
      <c r="F147" s="116">
        <v>1789.65</v>
      </c>
      <c r="G147">
        <v>119291</v>
      </c>
      <c r="H147" s="116"/>
      <c r="I147" s="116"/>
      <c r="L147" s="170">
        <v>42214</v>
      </c>
      <c r="M147" s="116">
        <v>1193.5333333333333</v>
      </c>
      <c r="N147" s="116">
        <v>1198.9666666666667</v>
      </c>
      <c r="O147" s="116">
        <v>1166.7</v>
      </c>
      <c r="P147" s="116">
        <v>1177.8666666666666</v>
      </c>
      <c r="Q147" s="116">
        <v>1790.3</v>
      </c>
      <c r="R147">
        <v>1125141</v>
      </c>
    </row>
    <row r="148" spans="1:18" x14ac:dyDescent="0.25">
      <c r="A148" s="170">
        <v>42215</v>
      </c>
      <c r="B148" s="116">
        <v>1206.6666666666667</v>
      </c>
      <c r="C148" s="116">
        <v>1184.1000000000001</v>
      </c>
      <c r="D148" s="116">
        <v>1181.3666666666666</v>
      </c>
      <c r="E148" s="116">
        <v>1202.2</v>
      </c>
      <c r="F148" s="116">
        <v>1776.15</v>
      </c>
      <c r="G148">
        <v>118557</v>
      </c>
      <c r="H148" s="116"/>
      <c r="I148" s="116"/>
      <c r="L148" s="170">
        <v>42215</v>
      </c>
      <c r="M148" s="116">
        <v>1182.5</v>
      </c>
      <c r="N148" s="116">
        <v>1206.6666666666667</v>
      </c>
      <c r="O148" s="116">
        <v>1178.9666666666667</v>
      </c>
      <c r="P148" s="116">
        <v>1203.3333333333333</v>
      </c>
      <c r="Q148" s="116">
        <v>1773.75</v>
      </c>
      <c r="R148">
        <v>1747469</v>
      </c>
    </row>
    <row r="149" spans="1:18" x14ac:dyDescent="0.25">
      <c r="A149" s="170">
        <v>42216</v>
      </c>
      <c r="B149" s="116">
        <v>1209.3</v>
      </c>
      <c r="C149" s="116">
        <v>1193.0333333333333</v>
      </c>
      <c r="D149" s="116">
        <v>1178.1000000000001</v>
      </c>
      <c r="E149" s="116">
        <v>1186.6666666666667</v>
      </c>
      <c r="F149" s="116">
        <v>1789.55</v>
      </c>
      <c r="G149">
        <v>208663</v>
      </c>
      <c r="H149" s="116"/>
      <c r="I149" s="116"/>
      <c r="L149" s="170">
        <v>42216</v>
      </c>
      <c r="M149" s="116">
        <v>1194.1666666666667</v>
      </c>
      <c r="N149" s="116">
        <v>1210.5666666666666</v>
      </c>
      <c r="O149" s="116">
        <v>1177.3333333333333</v>
      </c>
      <c r="P149" s="116">
        <v>1189.6666666666667</v>
      </c>
      <c r="Q149" s="116">
        <v>1791.25</v>
      </c>
      <c r="R149">
        <v>1921782</v>
      </c>
    </row>
    <row r="150" spans="1:18" x14ac:dyDescent="0.25">
      <c r="A150" s="170">
        <v>42219</v>
      </c>
      <c r="B150" s="116">
        <v>1189.1000000000001</v>
      </c>
      <c r="C150" s="116">
        <v>1186.2666666666667</v>
      </c>
      <c r="D150" s="116">
        <v>1140.1333333333334</v>
      </c>
      <c r="E150" s="116">
        <v>1147.3333333333333</v>
      </c>
      <c r="F150" s="116">
        <v>1779.4</v>
      </c>
      <c r="G150">
        <v>293558</v>
      </c>
      <c r="H150" s="116"/>
      <c r="I150" s="116"/>
      <c r="L150" s="170">
        <v>42219</v>
      </c>
      <c r="M150" s="116">
        <v>1186.2666666666667</v>
      </c>
      <c r="N150" s="116">
        <v>1189.3333333333333</v>
      </c>
      <c r="O150" s="116">
        <v>1136.0333333333333</v>
      </c>
      <c r="P150" s="116">
        <v>1140.0333333333333</v>
      </c>
      <c r="Q150" s="116">
        <v>1779.4</v>
      </c>
      <c r="R150">
        <v>3302208</v>
      </c>
    </row>
    <row r="151" spans="1:18" x14ac:dyDescent="0.25">
      <c r="A151" s="170">
        <v>42220</v>
      </c>
      <c r="B151" s="116">
        <v>1195.3333333333333</v>
      </c>
      <c r="C151" s="116">
        <v>1182.7333333333333</v>
      </c>
      <c r="D151" s="116">
        <v>1172.3666666666666</v>
      </c>
      <c r="E151" s="116">
        <v>1187.3333333333333</v>
      </c>
      <c r="F151" s="116">
        <v>1774.1</v>
      </c>
      <c r="G151">
        <v>131201</v>
      </c>
      <c r="H151" s="116"/>
      <c r="I151" s="116"/>
      <c r="L151" s="170">
        <v>42220</v>
      </c>
      <c r="M151" s="116">
        <v>1183.1666666666667</v>
      </c>
      <c r="N151" s="116">
        <v>1196.5333333333333</v>
      </c>
      <c r="O151" s="116">
        <v>1172.6666666666667</v>
      </c>
      <c r="P151" s="116">
        <v>1186.6666666666667</v>
      </c>
      <c r="Q151" s="116">
        <v>1774.75</v>
      </c>
      <c r="R151">
        <v>1403479</v>
      </c>
    </row>
    <row r="152" spans="1:18" x14ac:dyDescent="0.25">
      <c r="A152" s="170">
        <v>42221</v>
      </c>
      <c r="B152" s="116">
        <v>1194.5</v>
      </c>
      <c r="C152" s="116">
        <v>1185.6666666666667</v>
      </c>
      <c r="D152" s="116">
        <v>1180.6000000000001</v>
      </c>
      <c r="E152" s="116">
        <v>1186.6000000000001</v>
      </c>
      <c r="F152" s="116">
        <v>1778.5</v>
      </c>
      <c r="G152">
        <v>107169</v>
      </c>
      <c r="H152" s="116"/>
      <c r="I152" s="116"/>
      <c r="L152" s="170">
        <v>42221</v>
      </c>
      <c r="M152" s="116">
        <v>1186.3999999999999</v>
      </c>
      <c r="N152" s="116">
        <v>1194.6000000000001</v>
      </c>
      <c r="O152" s="116">
        <v>1179.3999999999999</v>
      </c>
      <c r="P152" s="116">
        <v>1183.1666666666667</v>
      </c>
      <c r="Q152" s="116">
        <v>1779.6</v>
      </c>
      <c r="R152">
        <v>1034768</v>
      </c>
    </row>
    <row r="153" spans="1:18" x14ac:dyDescent="0.25">
      <c r="A153" s="170">
        <v>42222</v>
      </c>
      <c r="B153" s="116">
        <v>1222.5</v>
      </c>
      <c r="C153" s="116">
        <v>1218.2</v>
      </c>
      <c r="D153" s="116">
        <v>1183.3666666666666</v>
      </c>
      <c r="E153" s="116">
        <v>1185.3333333333333</v>
      </c>
      <c r="F153" s="116">
        <v>1827.3</v>
      </c>
      <c r="G153">
        <v>196297</v>
      </c>
      <c r="H153" s="116"/>
      <c r="I153" s="116"/>
      <c r="L153" s="170">
        <v>42222</v>
      </c>
      <c r="M153" s="116">
        <v>1220.5</v>
      </c>
      <c r="N153" s="116">
        <v>1224.5333333333333</v>
      </c>
      <c r="O153" s="116">
        <v>1183.3333333333333</v>
      </c>
      <c r="P153" s="116">
        <v>1184.7333333333333</v>
      </c>
      <c r="Q153" s="116">
        <v>1830.75</v>
      </c>
      <c r="R153">
        <v>1873194</v>
      </c>
    </row>
    <row r="154" spans="1:18" x14ac:dyDescent="0.25">
      <c r="A154" s="170">
        <v>42223</v>
      </c>
      <c r="B154" s="116">
        <v>1227.9666666666667</v>
      </c>
      <c r="C154" s="116">
        <v>1222.5</v>
      </c>
      <c r="D154" s="116">
        <v>1210</v>
      </c>
      <c r="E154" s="116">
        <v>1216.6666666666667</v>
      </c>
      <c r="F154" s="116">
        <v>1833.75</v>
      </c>
      <c r="G154">
        <v>128954</v>
      </c>
      <c r="H154" s="116"/>
      <c r="I154" s="116"/>
      <c r="L154" s="170">
        <v>42223</v>
      </c>
      <c r="M154" s="116">
        <v>1222.3</v>
      </c>
      <c r="N154" s="116">
        <v>1229.3333333333333</v>
      </c>
      <c r="O154" s="116">
        <v>1210.7333333333333</v>
      </c>
      <c r="P154" s="116">
        <v>1220</v>
      </c>
      <c r="Q154" s="116">
        <v>1833.45</v>
      </c>
      <c r="R154">
        <v>1578900</v>
      </c>
    </row>
    <row r="155" spans="1:18" x14ac:dyDescent="0.25">
      <c r="A155" s="170">
        <v>42226</v>
      </c>
      <c r="B155" s="116">
        <v>1229.4333333333334</v>
      </c>
      <c r="C155" s="116">
        <v>1211.1000000000001</v>
      </c>
      <c r="D155" s="116">
        <v>1202.5</v>
      </c>
      <c r="E155" s="116">
        <v>1222.5</v>
      </c>
      <c r="F155" s="116">
        <v>1816.65</v>
      </c>
      <c r="G155">
        <v>100277</v>
      </c>
      <c r="H155" s="116"/>
      <c r="I155" s="116"/>
      <c r="L155" s="170">
        <v>42226</v>
      </c>
      <c r="M155" s="116">
        <v>1213.8333333333333</v>
      </c>
      <c r="N155" s="116">
        <v>1229.4666666666667</v>
      </c>
      <c r="O155" s="116">
        <v>1204.0666666666666</v>
      </c>
      <c r="P155" s="116">
        <v>1221.0333333333333</v>
      </c>
      <c r="Q155" s="116">
        <v>1820.75</v>
      </c>
      <c r="R155">
        <v>1444650</v>
      </c>
    </row>
    <row r="156" spans="1:18" x14ac:dyDescent="0.25">
      <c r="A156" s="170">
        <v>42227</v>
      </c>
      <c r="B156" s="116">
        <v>1215.8666666666666</v>
      </c>
      <c r="C156" s="116">
        <v>1198.1333333333334</v>
      </c>
      <c r="D156" s="116">
        <v>1188.6666666666667</v>
      </c>
      <c r="E156" s="116">
        <v>1210.6666666666667</v>
      </c>
      <c r="F156" s="116">
        <v>1797.2</v>
      </c>
      <c r="G156">
        <v>138467</v>
      </c>
      <c r="H156" s="116"/>
      <c r="I156" s="116"/>
      <c r="L156" s="170">
        <v>42227</v>
      </c>
      <c r="M156" s="116">
        <v>1200.7666666666667</v>
      </c>
      <c r="N156" s="116">
        <v>1216.6000000000001</v>
      </c>
      <c r="O156" s="116">
        <v>1188</v>
      </c>
      <c r="P156" s="116">
        <v>1214.8</v>
      </c>
      <c r="Q156" s="116">
        <v>1801.15</v>
      </c>
      <c r="R156">
        <v>1105902</v>
      </c>
    </row>
    <row r="157" spans="1:18" x14ac:dyDescent="0.25">
      <c r="A157" s="170">
        <v>42228</v>
      </c>
      <c r="B157" s="116">
        <v>1196.7333333333333</v>
      </c>
      <c r="C157" s="116">
        <v>1175</v>
      </c>
      <c r="D157" s="116">
        <v>1168.0333333333333</v>
      </c>
      <c r="E157" s="116">
        <v>1196.6000000000001</v>
      </c>
      <c r="F157" s="116">
        <v>1762.5</v>
      </c>
      <c r="G157">
        <v>143464</v>
      </c>
      <c r="H157" s="116"/>
      <c r="I157" s="116"/>
      <c r="L157" s="170">
        <v>42228</v>
      </c>
      <c r="M157" s="116">
        <v>1175</v>
      </c>
      <c r="N157" s="116">
        <v>1195.1333333333334</v>
      </c>
      <c r="O157" s="116">
        <v>1168</v>
      </c>
      <c r="P157" s="116">
        <v>1195.0333333333333</v>
      </c>
      <c r="Q157" s="116">
        <v>1762.5</v>
      </c>
      <c r="R157">
        <v>1652542</v>
      </c>
    </row>
    <row r="158" spans="1:18" x14ac:dyDescent="0.25">
      <c r="A158" s="170">
        <v>42229</v>
      </c>
      <c r="B158" s="116">
        <v>1195.8</v>
      </c>
      <c r="C158" s="116">
        <v>1173.8333333333333</v>
      </c>
      <c r="D158" s="116">
        <v>1166.6666666666667</v>
      </c>
      <c r="E158" s="116">
        <v>1180</v>
      </c>
      <c r="F158" s="116">
        <v>1760.75</v>
      </c>
      <c r="G158">
        <v>140330</v>
      </c>
      <c r="H158" s="116"/>
      <c r="I158" s="116"/>
      <c r="L158" s="170">
        <v>42229</v>
      </c>
      <c r="M158" s="116">
        <v>1173.4333333333334</v>
      </c>
      <c r="N158" s="116">
        <v>1195.9666666666667</v>
      </c>
      <c r="O158" s="116">
        <v>1165.3333333333333</v>
      </c>
      <c r="P158" s="116">
        <v>1175</v>
      </c>
      <c r="Q158" s="116">
        <v>1760.15</v>
      </c>
      <c r="R158">
        <v>2417447</v>
      </c>
    </row>
    <row r="159" spans="1:18" x14ac:dyDescent="0.25">
      <c r="A159" s="170">
        <v>42230</v>
      </c>
      <c r="B159" s="116">
        <v>1202.6666666666667</v>
      </c>
      <c r="C159" s="116">
        <v>1199.7666666666667</v>
      </c>
      <c r="D159" s="116">
        <v>1167.4333333333334</v>
      </c>
      <c r="E159" s="116">
        <v>1180.6666666666667</v>
      </c>
      <c r="F159" s="116">
        <v>1799.65</v>
      </c>
      <c r="G159">
        <v>154605</v>
      </c>
      <c r="H159" s="116"/>
      <c r="I159" s="116"/>
      <c r="L159" s="170">
        <v>42230</v>
      </c>
      <c r="M159" s="116">
        <v>1199.6666666666667</v>
      </c>
      <c r="N159" s="116">
        <v>1203.1666666666667</v>
      </c>
      <c r="O159" s="116">
        <v>1166.7</v>
      </c>
      <c r="P159" s="116">
        <v>1185.8333333333333</v>
      </c>
      <c r="Q159" s="116">
        <v>1799.5</v>
      </c>
      <c r="R159">
        <v>1303972</v>
      </c>
    </row>
    <row r="160" spans="1:18" x14ac:dyDescent="0.25">
      <c r="A160" s="170">
        <v>42233</v>
      </c>
      <c r="B160" s="116">
        <v>1200.6666666666667</v>
      </c>
      <c r="C160" s="116">
        <v>1185.1333333333334</v>
      </c>
      <c r="D160" s="116">
        <v>1177.8</v>
      </c>
      <c r="E160" s="116">
        <v>1198.5333333333333</v>
      </c>
      <c r="F160" s="116">
        <v>1777.7</v>
      </c>
      <c r="G160">
        <v>108899</v>
      </c>
      <c r="H160" s="116"/>
      <c r="I160" s="116"/>
      <c r="L160" s="170">
        <v>42233</v>
      </c>
      <c r="M160" s="116">
        <v>1186.8999999999999</v>
      </c>
      <c r="N160" s="116">
        <v>1200</v>
      </c>
      <c r="O160" s="116">
        <v>1177.0333333333333</v>
      </c>
      <c r="P160" s="116">
        <v>1195.2666666666667</v>
      </c>
      <c r="Q160" s="116">
        <v>1780.35</v>
      </c>
      <c r="R160">
        <v>1005817</v>
      </c>
    </row>
    <row r="161" spans="1:18" x14ac:dyDescent="0.25">
      <c r="A161" s="170">
        <v>42234</v>
      </c>
      <c r="B161" s="116">
        <v>1208</v>
      </c>
      <c r="C161" s="116">
        <v>1198.5666666666666</v>
      </c>
      <c r="D161" s="116">
        <v>1189.5</v>
      </c>
      <c r="E161" s="116">
        <v>1192</v>
      </c>
      <c r="F161" s="116">
        <v>1797.85</v>
      </c>
      <c r="G161">
        <v>129948</v>
      </c>
      <c r="H161" s="116"/>
      <c r="I161" s="116"/>
      <c r="L161" s="170">
        <v>42234</v>
      </c>
      <c r="M161" s="116">
        <v>1200.1000000000001</v>
      </c>
      <c r="N161" s="116">
        <v>1209.9666666666667</v>
      </c>
      <c r="O161" s="116">
        <v>1188.7333333333333</v>
      </c>
      <c r="P161" s="116">
        <v>1195.4666666666667</v>
      </c>
      <c r="Q161" s="116">
        <v>1800.15</v>
      </c>
      <c r="R161">
        <v>1382582</v>
      </c>
    </row>
    <row r="162" spans="1:18" x14ac:dyDescent="0.25">
      <c r="A162" s="170">
        <v>42235</v>
      </c>
      <c r="B162" s="116">
        <v>1212.5666666666666</v>
      </c>
      <c r="C162" s="116">
        <v>1207.5</v>
      </c>
      <c r="D162" s="116">
        <v>1190.6666666666667</v>
      </c>
      <c r="E162" s="116">
        <v>1199.9333333333334</v>
      </c>
      <c r="F162" s="116">
        <v>1811.25</v>
      </c>
      <c r="G162">
        <v>114957</v>
      </c>
      <c r="H162" s="116"/>
      <c r="I162" s="116"/>
      <c r="L162" s="170">
        <v>42235</v>
      </c>
      <c r="M162" s="116">
        <v>1209.8</v>
      </c>
      <c r="N162" s="116">
        <v>1213.3333333333333</v>
      </c>
      <c r="O162" s="116">
        <v>1190.6666666666667</v>
      </c>
      <c r="P162" s="116">
        <v>1199.9333333333334</v>
      </c>
      <c r="Q162" s="116">
        <v>1814.7</v>
      </c>
      <c r="R162">
        <v>1084061</v>
      </c>
    </row>
    <row r="163" spans="1:18" x14ac:dyDescent="0.25">
      <c r="A163" s="170">
        <v>42236</v>
      </c>
      <c r="B163" s="116">
        <v>1212.1333333333334</v>
      </c>
      <c r="C163" s="116">
        <v>1188.2333333333333</v>
      </c>
      <c r="D163" s="116">
        <v>1177.2333333333333</v>
      </c>
      <c r="E163" s="116">
        <v>1200</v>
      </c>
      <c r="F163" s="116">
        <v>1782.35</v>
      </c>
      <c r="G163">
        <v>157730</v>
      </c>
      <c r="H163" s="116"/>
      <c r="I163" s="116"/>
      <c r="L163" s="170">
        <v>42236</v>
      </c>
      <c r="M163" s="116">
        <v>1187.8999999999999</v>
      </c>
      <c r="N163" s="116">
        <v>1212.6666666666667</v>
      </c>
      <c r="O163" s="116">
        <v>1176</v>
      </c>
      <c r="P163" s="116">
        <v>1196.6666666666667</v>
      </c>
      <c r="Q163" s="116">
        <v>1781.85</v>
      </c>
      <c r="R163">
        <v>1355292</v>
      </c>
    </row>
    <row r="164" spans="1:18" x14ac:dyDescent="0.25">
      <c r="A164" s="170">
        <v>42237</v>
      </c>
      <c r="B164" s="116">
        <v>1173.3333333333333</v>
      </c>
      <c r="C164" s="116">
        <v>1160.0666666666666</v>
      </c>
      <c r="D164" s="116">
        <v>1151.3333333333333</v>
      </c>
      <c r="E164" s="116">
        <v>1171.8666666666666</v>
      </c>
      <c r="F164" s="116">
        <v>1740.1</v>
      </c>
      <c r="G164">
        <v>174297</v>
      </c>
      <c r="H164" s="116"/>
      <c r="I164" s="116"/>
      <c r="L164" s="170">
        <v>42237</v>
      </c>
      <c r="M164" s="116">
        <v>1160</v>
      </c>
      <c r="N164" s="116">
        <v>1170</v>
      </c>
      <c r="O164" s="116">
        <v>1150</v>
      </c>
      <c r="P164" s="116">
        <v>1170</v>
      </c>
      <c r="Q164" s="116">
        <v>1740</v>
      </c>
      <c r="R164">
        <v>2058603</v>
      </c>
    </row>
    <row r="165" spans="1:18" x14ac:dyDescent="0.25">
      <c r="A165" s="170">
        <v>42240</v>
      </c>
      <c r="B165" s="116">
        <v>1133.3333333333333</v>
      </c>
      <c r="C165" s="116">
        <v>1088.9333333333334</v>
      </c>
      <c r="D165" s="116">
        <v>1073.3999999999999</v>
      </c>
      <c r="E165" s="116">
        <v>1132.6666666666667</v>
      </c>
      <c r="F165" s="116">
        <v>1633.4</v>
      </c>
      <c r="G165">
        <v>338419</v>
      </c>
      <c r="H165" s="116"/>
      <c r="I165" s="116"/>
      <c r="L165" s="170">
        <v>42240</v>
      </c>
      <c r="M165" s="116">
        <v>1087.7</v>
      </c>
      <c r="N165" s="116">
        <v>1132</v>
      </c>
      <c r="O165" s="116">
        <v>1070</v>
      </c>
      <c r="P165" s="116">
        <v>1132</v>
      </c>
      <c r="Q165" s="116">
        <v>1631.55</v>
      </c>
      <c r="R165">
        <v>3206595</v>
      </c>
    </row>
    <row r="166" spans="1:18" x14ac:dyDescent="0.25">
      <c r="A166" s="170">
        <v>42241</v>
      </c>
      <c r="B166" s="116">
        <v>1110.6666666666667</v>
      </c>
      <c r="C166" s="116">
        <v>1083.7333333333333</v>
      </c>
      <c r="D166" s="116">
        <v>1050</v>
      </c>
      <c r="E166" s="116">
        <v>1094.6666666666667</v>
      </c>
      <c r="F166" s="116">
        <v>1625.6</v>
      </c>
      <c r="G166">
        <v>408288</v>
      </c>
      <c r="H166" s="116"/>
      <c r="I166" s="116"/>
      <c r="L166" s="170">
        <v>42241</v>
      </c>
      <c r="M166" s="116">
        <v>1083.1000000000001</v>
      </c>
      <c r="N166" s="116">
        <v>1110.3333333333333</v>
      </c>
      <c r="O166" s="116">
        <v>1050</v>
      </c>
      <c r="P166" s="116">
        <v>1099.9666666666667</v>
      </c>
      <c r="Q166" s="116">
        <v>1624.65</v>
      </c>
      <c r="R166">
        <v>3624377</v>
      </c>
    </row>
    <row r="167" spans="1:18" x14ac:dyDescent="0.25">
      <c r="A167" s="170">
        <v>42242</v>
      </c>
      <c r="B167" s="116">
        <v>1096</v>
      </c>
      <c r="C167" s="116">
        <v>1061.6666666666667</v>
      </c>
      <c r="D167" s="116">
        <v>1057.0333333333333</v>
      </c>
      <c r="E167" s="116">
        <v>1093.3333333333333</v>
      </c>
      <c r="F167" s="116">
        <v>1592.5</v>
      </c>
      <c r="G167">
        <v>281045</v>
      </c>
      <c r="H167" s="116"/>
      <c r="I167" s="116"/>
      <c r="L167" s="170">
        <v>42242</v>
      </c>
      <c r="M167" s="116">
        <v>1061.4666666666667</v>
      </c>
      <c r="N167" s="116">
        <v>1095</v>
      </c>
      <c r="O167" s="116">
        <v>1056.3999999999999</v>
      </c>
      <c r="P167" s="116">
        <v>1085.2666666666667</v>
      </c>
      <c r="Q167" s="116">
        <v>1592.2</v>
      </c>
      <c r="R167">
        <v>2279245</v>
      </c>
    </row>
    <row r="168" spans="1:18" x14ac:dyDescent="0.25">
      <c r="A168" s="170">
        <v>42243</v>
      </c>
      <c r="B168" s="116">
        <v>1089.6666666666667</v>
      </c>
      <c r="C168" s="116">
        <v>1080.5</v>
      </c>
      <c r="D168" s="116">
        <v>1060.1666666666667</v>
      </c>
      <c r="E168" s="116">
        <v>1081.3333333333333</v>
      </c>
      <c r="F168" s="116">
        <v>1620.75</v>
      </c>
      <c r="G168">
        <v>269137</v>
      </c>
      <c r="H168" s="116"/>
      <c r="I168" s="116"/>
      <c r="L168" s="170">
        <v>42243</v>
      </c>
      <c r="M168" s="116">
        <v>1080.0333333333333</v>
      </c>
      <c r="N168" s="116">
        <v>1092</v>
      </c>
      <c r="O168" s="116">
        <v>1060.0666666666666</v>
      </c>
      <c r="P168" s="116">
        <v>1086.6666666666667</v>
      </c>
      <c r="Q168" s="116">
        <v>1620.05</v>
      </c>
      <c r="R168">
        <v>4324511</v>
      </c>
    </row>
    <row r="169" spans="1:18" x14ac:dyDescent="0.25">
      <c r="A169" s="170">
        <v>42244</v>
      </c>
      <c r="B169" s="116">
        <v>1103.3333333333333</v>
      </c>
      <c r="C169" s="116">
        <v>1077.9333333333334</v>
      </c>
      <c r="D169" s="116">
        <v>1071.5</v>
      </c>
      <c r="E169" s="116">
        <v>1093.3333333333333</v>
      </c>
      <c r="F169" s="116">
        <v>1616.9</v>
      </c>
      <c r="G169">
        <v>201888</v>
      </c>
      <c r="H169" s="116"/>
      <c r="I169" s="116"/>
      <c r="L169" s="170">
        <v>42244</v>
      </c>
      <c r="M169" s="116">
        <v>1077.6333333333334</v>
      </c>
      <c r="N169" s="116">
        <v>1103.3333333333333</v>
      </c>
      <c r="O169" s="116">
        <v>1070.1333333333334</v>
      </c>
      <c r="P169" s="116">
        <v>1093.2666666666667</v>
      </c>
      <c r="Q169" s="116">
        <v>1616.45</v>
      </c>
      <c r="R169">
        <v>2371554</v>
      </c>
    </row>
    <row r="170" spans="1:18" x14ac:dyDescent="0.25">
      <c r="A170" s="170">
        <v>42247</v>
      </c>
      <c r="B170" s="116">
        <v>1086.6000000000001</v>
      </c>
      <c r="C170" s="116">
        <v>1070.2</v>
      </c>
      <c r="D170" s="116">
        <v>1066.7333333333333</v>
      </c>
      <c r="E170" s="116">
        <v>1077.3333333333333</v>
      </c>
      <c r="F170" s="116">
        <v>1605.3</v>
      </c>
      <c r="G170">
        <v>127761</v>
      </c>
      <c r="H170" s="116"/>
      <c r="I170" s="116"/>
      <c r="L170" s="170">
        <v>42247</v>
      </c>
      <c r="M170" s="116">
        <v>1068.6000000000001</v>
      </c>
      <c r="N170" s="116">
        <v>1086.6666666666667</v>
      </c>
      <c r="O170" s="116">
        <v>1066</v>
      </c>
      <c r="P170" s="116">
        <v>1078</v>
      </c>
      <c r="Q170" s="116">
        <v>1602.9</v>
      </c>
      <c r="R170">
        <v>1697449</v>
      </c>
    </row>
    <row r="171" spans="1:18" x14ac:dyDescent="0.25">
      <c r="A171" s="170">
        <v>42248</v>
      </c>
      <c r="B171" s="116">
        <v>1058.6666666666667</v>
      </c>
      <c r="C171" s="116">
        <v>1038.8999999999999</v>
      </c>
      <c r="D171" s="116">
        <v>1025.9333333333334</v>
      </c>
      <c r="E171" s="116">
        <v>1054.6666666666667</v>
      </c>
      <c r="F171" s="116">
        <v>1558.35</v>
      </c>
      <c r="G171">
        <v>397573</v>
      </c>
      <c r="H171" s="116"/>
      <c r="I171" s="116"/>
      <c r="L171" s="170">
        <v>42248</v>
      </c>
      <c r="M171" s="116">
        <v>1038.6000000000001</v>
      </c>
      <c r="N171" s="116">
        <v>1058</v>
      </c>
      <c r="O171" s="116">
        <v>1025.6666666666667</v>
      </c>
      <c r="P171" s="116">
        <v>1053.3333333333333</v>
      </c>
      <c r="Q171" s="116">
        <v>1557.9</v>
      </c>
      <c r="R171">
        <v>3194059</v>
      </c>
    </row>
    <row r="172" spans="1:18" x14ac:dyDescent="0.25">
      <c r="A172" s="170">
        <v>42249</v>
      </c>
      <c r="B172" s="116">
        <v>1056.6666666666667</v>
      </c>
      <c r="C172" s="116">
        <v>1019.2666666666668</v>
      </c>
      <c r="D172" s="116">
        <v>1014.9</v>
      </c>
      <c r="E172" s="116">
        <v>1053.3333333333333</v>
      </c>
      <c r="F172" s="116">
        <v>1528.9</v>
      </c>
      <c r="G172">
        <v>301370</v>
      </c>
      <c r="H172" s="116"/>
      <c r="I172" s="116"/>
      <c r="L172" s="170">
        <v>42249</v>
      </c>
      <c r="M172" s="116">
        <v>1018.4333333333334</v>
      </c>
      <c r="N172" s="116">
        <v>1056</v>
      </c>
      <c r="O172" s="116">
        <v>1013.3000000000001</v>
      </c>
      <c r="P172" s="116">
        <v>1056</v>
      </c>
      <c r="Q172" s="116">
        <v>1527.65</v>
      </c>
      <c r="R172">
        <v>3104767</v>
      </c>
    </row>
    <row r="173" spans="1:18" x14ac:dyDescent="0.25">
      <c r="A173" s="170">
        <v>42250</v>
      </c>
      <c r="B173" s="116">
        <v>1046.3333333333333</v>
      </c>
      <c r="C173" s="116">
        <v>1044.1000000000001</v>
      </c>
      <c r="D173" s="116">
        <v>1025.3333333333333</v>
      </c>
      <c r="E173" s="116">
        <v>1029.2</v>
      </c>
      <c r="F173" s="116">
        <v>1566.15</v>
      </c>
      <c r="G173">
        <v>164597</v>
      </c>
      <c r="H173" s="116"/>
      <c r="I173" s="116"/>
      <c r="L173" s="170">
        <v>42250</v>
      </c>
      <c r="M173" s="116">
        <v>1045.8666666666666</v>
      </c>
      <c r="N173" s="116">
        <v>1048</v>
      </c>
      <c r="O173" s="116">
        <v>1025.0666666666666</v>
      </c>
      <c r="P173" s="116">
        <v>1028.2</v>
      </c>
      <c r="Q173" s="116">
        <v>1568.8</v>
      </c>
      <c r="R173">
        <v>2340133</v>
      </c>
    </row>
    <row r="174" spans="1:18" x14ac:dyDescent="0.25">
      <c r="A174" s="170">
        <v>42251</v>
      </c>
      <c r="B174" s="116">
        <v>1042.4333333333334</v>
      </c>
      <c r="C174" s="116">
        <v>1022.5666666666666</v>
      </c>
      <c r="D174" s="116">
        <v>1013.3333333333334</v>
      </c>
      <c r="E174" s="116">
        <v>1040</v>
      </c>
      <c r="F174" s="116">
        <v>1533.85</v>
      </c>
      <c r="G174">
        <v>229495</v>
      </c>
      <c r="H174" s="116"/>
      <c r="I174" s="116"/>
      <c r="L174" s="170">
        <v>42251</v>
      </c>
      <c r="M174" s="116">
        <v>1022.5666666666666</v>
      </c>
      <c r="N174" s="116">
        <v>1043.1333333333334</v>
      </c>
      <c r="O174" s="116">
        <v>1013.3333333333334</v>
      </c>
      <c r="P174" s="116">
        <v>1039.2666666666667</v>
      </c>
      <c r="Q174" s="116">
        <v>1533.85</v>
      </c>
      <c r="R174">
        <v>2175139</v>
      </c>
    </row>
    <row r="175" spans="1:18" x14ac:dyDescent="0.25">
      <c r="A175" s="170">
        <v>42254</v>
      </c>
      <c r="B175" s="116">
        <v>1033.3333333333333</v>
      </c>
      <c r="C175" s="116">
        <v>1006.6999999999999</v>
      </c>
      <c r="D175" s="116">
        <v>1001.6666666666666</v>
      </c>
      <c r="E175" s="116">
        <v>1031.3333333333333</v>
      </c>
      <c r="F175" s="116">
        <v>1510.05</v>
      </c>
      <c r="G175">
        <v>184283</v>
      </c>
      <c r="H175" s="116"/>
      <c r="I175" s="116"/>
      <c r="L175" s="170">
        <v>42254</v>
      </c>
      <c r="M175" s="116">
        <v>1006.3333333333334</v>
      </c>
      <c r="N175" s="116">
        <v>1034</v>
      </c>
      <c r="O175" s="116">
        <v>1002.6666666666666</v>
      </c>
      <c r="P175" s="116">
        <v>1026.3666666666666</v>
      </c>
      <c r="Q175" s="116">
        <v>1509.5</v>
      </c>
      <c r="R175">
        <v>1221088</v>
      </c>
    </row>
    <row r="176" spans="1:18" x14ac:dyDescent="0.25">
      <c r="A176" s="170">
        <v>42255</v>
      </c>
      <c r="B176" s="116">
        <v>1046</v>
      </c>
      <c r="C176" s="116">
        <v>1043.0666666666666</v>
      </c>
      <c r="D176" s="116">
        <v>995.33333333333337</v>
      </c>
      <c r="E176" s="116">
        <v>1011.3333333333334</v>
      </c>
      <c r="F176" s="116">
        <v>1564.6</v>
      </c>
      <c r="G176">
        <v>241874</v>
      </c>
      <c r="H176" s="116"/>
      <c r="I176" s="116"/>
      <c r="L176" s="170">
        <v>42255</v>
      </c>
      <c r="M176" s="116">
        <v>1043</v>
      </c>
      <c r="N176" s="116">
        <v>1046</v>
      </c>
      <c r="O176" s="116">
        <v>993.33333333333337</v>
      </c>
      <c r="P176" s="116">
        <v>1010</v>
      </c>
      <c r="Q176" s="116">
        <v>1564.5</v>
      </c>
      <c r="R176">
        <v>1848169</v>
      </c>
    </row>
    <row r="177" spans="1:18" x14ac:dyDescent="0.25">
      <c r="A177" s="170">
        <v>42256</v>
      </c>
      <c r="B177" s="116">
        <v>1064.6666666666667</v>
      </c>
      <c r="C177" s="116">
        <v>1061.6333333333334</v>
      </c>
      <c r="D177" s="116">
        <v>1040.3666666666666</v>
      </c>
      <c r="E177" s="116">
        <v>1057.5333333333333</v>
      </c>
      <c r="F177" s="116">
        <v>1592.45</v>
      </c>
      <c r="G177">
        <v>225540</v>
      </c>
      <c r="H177" s="116"/>
      <c r="I177" s="116"/>
      <c r="L177" s="170">
        <v>42256</v>
      </c>
      <c r="M177" s="116">
        <v>1061.6666666666667</v>
      </c>
      <c r="N177" s="116">
        <v>1065</v>
      </c>
      <c r="O177" s="116">
        <v>1040</v>
      </c>
      <c r="P177" s="116">
        <v>1057</v>
      </c>
      <c r="Q177" s="116">
        <v>1592.5</v>
      </c>
      <c r="R177">
        <v>2313243</v>
      </c>
    </row>
    <row r="178" spans="1:18" x14ac:dyDescent="0.25">
      <c r="A178" s="170">
        <v>42257</v>
      </c>
      <c r="B178" s="116">
        <v>1083</v>
      </c>
      <c r="C178" s="116">
        <v>1075.5</v>
      </c>
      <c r="D178" s="116">
        <v>1037.4333333333334</v>
      </c>
      <c r="E178" s="116">
        <v>1051.3333333333333</v>
      </c>
      <c r="F178" s="116">
        <v>1613.25</v>
      </c>
      <c r="G178">
        <v>219081</v>
      </c>
      <c r="H178" s="116"/>
      <c r="I178" s="116"/>
      <c r="L178" s="170">
        <v>42257</v>
      </c>
      <c r="M178" s="116">
        <v>1076.8999999999999</v>
      </c>
      <c r="N178" s="116">
        <v>1083.3333333333333</v>
      </c>
      <c r="O178" s="116">
        <v>1036.9666666666667</v>
      </c>
      <c r="P178" s="116">
        <v>1047.6000000000001</v>
      </c>
      <c r="Q178" s="116">
        <v>1615.35</v>
      </c>
      <c r="R178">
        <v>1960302</v>
      </c>
    </row>
    <row r="179" spans="1:18" x14ac:dyDescent="0.25">
      <c r="A179" s="170">
        <v>42258</v>
      </c>
      <c r="B179" s="116">
        <v>1086.6666666666667</v>
      </c>
      <c r="C179" s="116">
        <v>1066.1000000000001</v>
      </c>
      <c r="D179" s="116">
        <v>1061.3333333333333</v>
      </c>
      <c r="E179" s="116">
        <v>1085.8666666666666</v>
      </c>
      <c r="F179" s="116">
        <v>1599.15</v>
      </c>
      <c r="G179">
        <v>199458</v>
      </c>
      <c r="H179" s="116"/>
      <c r="I179" s="116"/>
      <c r="L179" s="170">
        <v>42258</v>
      </c>
      <c r="M179" s="116">
        <v>1068.6333333333334</v>
      </c>
      <c r="N179" s="116">
        <v>1086.3999999999999</v>
      </c>
      <c r="O179" s="116">
        <v>1061.7</v>
      </c>
      <c r="P179" s="116">
        <v>1083.3333333333333</v>
      </c>
      <c r="Q179" s="116">
        <v>1602.95</v>
      </c>
      <c r="R179">
        <v>1580470</v>
      </c>
    </row>
    <row r="180" spans="1:18" x14ac:dyDescent="0.25">
      <c r="A180" s="170">
        <v>42261</v>
      </c>
      <c r="B180" s="116">
        <v>1074.6666666666667</v>
      </c>
      <c r="C180" s="116">
        <v>1069.1666666666667</v>
      </c>
      <c r="D180" s="116">
        <v>1059.5333333333333</v>
      </c>
      <c r="E180" s="116">
        <v>1070.3999999999999</v>
      </c>
      <c r="F180" s="116">
        <v>1603.75</v>
      </c>
      <c r="G180">
        <v>140236</v>
      </c>
      <c r="H180" s="116"/>
      <c r="I180" s="116"/>
      <c r="L180" s="170">
        <v>42261</v>
      </c>
      <c r="M180" s="116">
        <v>1070.6333333333334</v>
      </c>
      <c r="N180" s="116">
        <v>1079.3333333333333</v>
      </c>
      <c r="O180" s="116">
        <v>1058.6666666666667</v>
      </c>
      <c r="P180" s="116">
        <v>1071.1000000000001</v>
      </c>
      <c r="Q180" s="116">
        <v>1605.95</v>
      </c>
      <c r="R180">
        <v>1042741</v>
      </c>
    </row>
    <row r="181" spans="1:18" x14ac:dyDescent="0.25">
      <c r="A181" s="170">
        <v>42262</v>
      </c>
      <c r="B181" s="116">
        <v>1076.3333333333333</v>
      </c>
      <c r="C181" s="116">
        <v>1037.9666666666667</v>
      </c>
      <c r="D181" s="116">
        <v>1033.3333333333333</v>
      </c>
      <c r="E181" s="116">
        <v>1071.3333333333333</v>
      </c>
      <c r="F181" s="116">
        <v>1556.95</v>
      </c>
      <c r="G181">
        <v>254221</v>
      </c>
      <c r="H181" s="116"/>
      <c r="I181" s="116"/>
      <c r="L181" s="170">
        <v>42262</v>
      </c>
      <c r="M181" s="116">
        <v>1038.7666666666667</v>
      </c>
      <c r="N181" s="116">
        <v>1076.2666666666667</v>
      </c>
      <c r="O181" s="116">
        <v>1033.3333333333333</v>
      </c>
      <c r="P181" s="116">
        <v>1070.6666666666667</v>
      </c>
      <c r="Q181" s="116">
        <v>1558.15</v>
      </c>
      <c r="R181">
        <v>2781264</v>
      </c>
    </row>
    <row r="182" spans="1:18" x14ac:dyDescent="0.25">
      <c r="A182" s="170">
        <v>42263</v>
      </c>
      <c r="B182" s="116">
        <v>1048.6666666666667</v>
      </c>
      <c r="C182" s="116">
        <v>1031.8999999999999</v>
      </c>
      <c r="D182" s="116">
        <v>1023.4666666666667</v>
      </c>
      <c r="E182" s="116">
        <v>1046.8666666666666</v>
      </c>
      <c r="F182" s="116">
        <v>1547.85</v>
      </c>
      <c r="G182">
        <v>260344</v>
      </c>
      <c r="H182" s="116"/>
      <c r="I182" s="116"/>
      <c r="L182" s="170">
        <v>42263</v>
      </c>
      <c r="M182" s="116">
        <v>1032.4666666666667</v>
      </c>
      <c r="N182" s="116">
        <v>1048.3999999999999</v>
      </c>
      <c r="O182" s="116">
        <v>1023.4666666666667</v>
      </c>
      <c r="P182" s="116">
        <v>1048</v>
      </c>
      <c r="Q182" s="116">
        <v>1548.7</v>
      </c>
      <c r="R182">
        <v>2516215</v>
      </c>
    </row>
    <row r="183" spans="1:18" x14ac:dyDescent="0.25">
      <c r="A183" s="170">
        <v>42265</v>
      </c>
      <c r="B183" s="116">
        <v>1056</v>
      </c>
      <c r="C183" s="116">
        <v>1026.6666666666667</v>
      </c>
      <c r="D183" s="116">
        <v>1023.4666666666667</v>
      </c>
      <c r="E183" s="116">
        <v>1040</v>
      </c>
      <c r="F183" s="116">
        <v>1540</v>
      </c>
      <c r="G183">
        <v>251466</v>
      </c>
      <c r="H183" s="116"/>
      <c r="I183" s="116"/>
      <c r="L183" s="170">
        <v>42265</v>
      </c>
      <c r="M183" s="116">
        <v>1027.0666666666666</v>
      </c>
      <c r="N183" s="116">
        <v>1056</v>
      </c>
      <c r="O183" s="116">
        <v>1023.3666666666667</v>
      </c>
      <c r="P183" s="116">
        <v>1040.6666666666667</v>
      </c>
      <c r="Q183" s="116">
        <v>1540.6</v>
      </c>
      <c r="R183">
        <v>2015815</v>
      </c>
    </row>
    <row r="184" spans="1:18" x14ac:dyDescent="0.25">
      <c r="A184" s="170">
        <v>42268</v>
      </c>
      <c r="B184" s="116">
        <v>1038.3333333333333</v>
      </c>
      <c r="C184" s="116">
        <v>1034.5</v>
      </c>
      <c r="D184" s="116">
        <v>1018.7333333333332</v>
      </c>
      <c r="E184" s="116">
        <v>1023.3333333333334</v>
      </c>
      <c r="F184" s="116">
        <v>1551.75</v>
      </c>
      <c r="G184">
        <v>217599</v>
      </c>
      <c r="H184" s="116"/>
      <c r="I184" s="116"/>
      <c r="L184" s="170">
        <v>42268</v>
      </c>
      <c r="M184" s="116">
        <v>1033.5</v>
      </c>
      <c r="N184" s="116">
        <v>1038.2333333333333</v>
      </c>
      <c r="O184" s="116">
        <v>1018.3333333333334</v>
      </c>
      <c r="P184" s="116">
        <v>1020</v>
      </c>
      <c r="Q184" s="116">
        <v>1550.25</v>
      </c>
      <c r="R184">
        <v>1614030</v>
      </c>
    </row>
    <row r="185" spans="1:18" x14ac:dyDescent="0.25">
      <c r="A185" s="170">
        <v>42269</v>
      </c>
      <c r="B185" s="116">
        <v>1041.9666666666667</v>
      </c>
      <c r="C185" s="116">
        <v>989.6</v>
      </c>
      <c r="D185" s="116">
        <v>987.06666666666661</v>
      </c>
      <c r="E185" s="116">
        <v>1037.3333333333333</v>
      </c>
      <c r="F185" s="116">
        <v>1484.4</v>
      </c>
      <c r="G185">
        <v>428077</v>
      </c>
      <c r="H185" s="116"/>
      <c r="I185" s="116"/>
      <c r="L185" s="170">
        <v>42269</v>
      </c>
      <c r="M185" s="116">
        <v>989.9666666666667</v>
      </c>
      <c r="N185" s="116">
        <v>1041.2666666666667</v>
      </c>
      <c r="O185" s="116">
        <v>986.83333333333337</v>
      </c>
      <c r="P185" s="116">
        <v>1040.2</v>
      </c>
      <c r="Q185" s="116">
        <v>1484.95</v>
      </c>
      <c r="R185">
        <v>3283591</v>
      </c>
    </row>
    <row r="186" spans="1:18" x14ac:dyDescent="0.25">
      <c r="A186" s="170">
        <v>42270</v>
      </c>
      <c r="B186" s="116">
        <v>1002</v>
      </c>
      <c r="C186" s="116">
        <v>997.30000000000007</v>
      </c>
      <c r="D186" s="116">
        <v>966.66666666666663</v>
      </c>
      <c r="E186" s="116">
        <v>983.33333333333337</v>
      </c>
      <c r="F186" s="116">
        <v>1495.95</v>
      </c>
      <c r="G186">
        <v>324516</v>
      </c>
      <c r="H186" s="116"/>
      <c r="I186" s="116"/>
      <c r="L186" s="170">
        <v>42270</v>
      </c>
      <c r="M186" s="116">
        <v>996.86666666666667</v>
      </c>
      <c r="N186" s="116">
        <v>1002.6666666666666</v>
      </c>
      <c r="O186" s="116">
        <v>964.83333333333337</v>
      </c>
      <c r="P186" s="116">
        <v>982</v>
      </c>
      <c r="Q186" s="116">
        <v>1495.3</v>
      </c>
      <c r="R186">
        <v>2765642</v>
      </c>
    </row>
    <row r="187" spans="1:18" x14ac:dyDescent="0.25">
      <c r="A187" s="170">
        <v>42271</v>
      </c>
      <c r="B187" s="116">
        <v>992.66666666666663</v>
      </c>
      <c r="C187" s="116">
        <v>974.83333333333337</v>
      </c>
      <c r="D187" s="116">
        <v>973.36666666666667</v>
      </c>
      <c r="E187" s="116">
        <v>992.5333333333333</v>
      </c>
      <c r="F187" s="116">
        <v>1462.25</v>
      </c>
      <c r="G187">
        <v>313625</v>
      </c>
      <c r="H187" s="116"/>
      <c r="I187" s="116"/>
      <c r="L187" s="170">
        <v>42271</v>
      </c>
      <c r="M187" s="116">
        <v>974.9666666666667</v>
      </c>
      <c r="N187" s="116">
        <v>991.6</v>
      </c>
      <c r="O187" s="116">
        <v>973.33333333333337</v>
      </c>
      <c r="P187" s="116">
        <v>991.6</v>
      </c>
      <c r="Q187" s="116">
        <v>1462.45</v>
      </c>
      <c r="R187">
        <v>2225169</v>
      </c>
    </row>
    <row r="188" spans="1:18" x14ac:dyDescent="0.25">
      <c r="A188" s="170">
        <v>42275</v>
      </c>
      <c r="B188" s="116">
        <v>979.33333333333337</v>
      </c>
      <c r="C188" s="116">
        <v>953.4</v>
      </c>
      <c r="D188" s="116">
        <v>950</v>
      </c>
      <c r="E188" s="116">
        <v>979.19999999999993</v>
      </c>
      <c r="F188" s="116">
        <v>1430.1</v>
      </c>
      <c r="G188">
        <v>345251</v>
      </c>
      <c r="H188" s="116"/>
      <c r="I188" s="116"/>
      <c r="L188" s="170">
        <v>42275</v>
      </c>
      <c r="M188" s="116">
        <v>953.36666666666667</v>
      </c>
      <c r="N188" s="116">
        <v>979.36666666666667</v>
      </c>
      <c r="O188" s="116">
        <v>950.4</v>
      </c>
      <c r="P188" s="116">
        <v>976</v>
      </c>
      <c r="Q188" s="116">
        <v>1430.05</v>
      </c>
      <c r="R188">
        <v>2494585</v>
      </c>
    </row>
    <row r="189" spans="1:18" x14ac:dyDescent="0.25">
      <c r="A189" s="170">
        <v>42276</v>
      </c>
      <c r="B189" s="116">
        <v>977.26666666666677</v>
      </c>
      <c r="C189" s="116">
        <v>965.5</v>
      </c>
      <c r="D189" s="116">
        <v>942.1</v>
      </c>
      <c r="E189" s="116">
        <v>949.93333333333339</v>
      </c>
      <c r="F189" s="116">
        <v>1448.25</v>
      </c>
      <c r="G189">
        <v>444317</v>
      </c>
      <c r="H189" s="116"/>
      <c r="I189" s="116"/>
      <c r="L189" s="170">
        <v>42276</v>
      </c>
      <c r="M189" s="116">
        <v>964.16666666666663</v>
      </c>
      <c r="N189" s="116">
        <v>976.66666666666663</v>
      </c>
      <c r="O189" s="116">
        <v>941.56666666666661</v>
      </c>
      <c r="P189" s="116">
        <v>946.66666666666663</v>
      </c>
      <c r="Q189" s="116">
        <v>1446.25</v>
      </c>
      <c r="R189">
        <v>3051244</v>
      </c>
    </row>
    <row r="190" spans="1:18" x14ac:dyDescent="0.25">
      <c r="A190" s="170">
        <v>42277</v>
      </c>
      <c r="B190" s="116">
        <v>979.33333333333337</v>
      </c>
      <c r="C190" s="116">
        <v>977.80000000000007</v>
      </c>
      <c r="D190" s="116">
        <v>966</v>
      </c>
      <c r="E190" s="116">
        <v>973.33333333333337</v>
      </c>
      <c r="F190" s="116">
        <v>1466.7</v>
      </c>
      <c r="G190">
        <v>207543</v>
      </c>
      <c r="H190" s="116"/>
      <c r="I190" s="116"/>
      <c r="L190" s="170">
        <v>42277</v>
      </c>
      <c r="M190" s="116">
        <v>977.5</v>
      </c>
      <c r="N190" s="116">
        <v>979.33333333333337</v>
      </c>
      <c r="O190" s="116">
        <v>964.26666666666677</v>
      </c>
      <c r="P190" s="116">
        <v>976.5333333333333</v>
      </c>
      <c r="Q190" s="116">
        <v>1466.25</v>
      </c>
      <c r="R190">
        <v>2191752</v>
      </c>
    </row>
    <row r="191" spans="1:18" x14ac:dyDescent="0.25">
      <c r="A191" s="170">
        <v>42278</v>
      </c>
      <c r="B191" s="116">
        <v>995.19999999999993</v>
      </c>
      <c r="C191" s="116">
        <v>992.86666666666667</v>
      </c>
      <c r="D191" s="116">
        <v>975.5333333333333</v>
      </c>
      <c r="E191" s="116">
        <v>986.66666666666663</v>
      </c>
      <c r="F191" s="116">
        <v>1489.3</v>
      </c>
      <c r="G191">
        <v>252071</v>
      </c>
      <c r="H191" s="116"/>
      <c r="I191" s="116"/>
      <c r="L191" s="170">
        <v>42278</v>
      </c>
      <c r="M191" s="116">
        <v>993.4</v>
      </c>
      <c r="N191" s="116">
        <v>996.43333333333339</v>
      </c>
      <c r="O191" s="116">
        <v>974.73333333333323</v>
      </c>
      <c r="P191" s="116">
        <v>988.66666666666663</v>
      </c>
      <c r="Q191" s="116">
        <v>1490.1</v>
      </c>
      <c r="R191">
        <v>1804581</v>
      </c>
    </row>
    <row r="192" spans="1:18" x14ac:dyDescent="0.25">
      <c r="A192" s="170">
        <v>42282</v>
      </c>
      <c r="B192" s="116">
        <v>1036</v>
      </c>
      <c r="C192" s="116">
        <v>1033.8</v>
      </c>
      <c r="D192" s="116">
        <v>1003.3333333333334</v>
      </c>
      <c r="E192" s="116">
        <v>1005.3333333333334</v>
      </c>
      <c r="F192" s="116">
        <v>1550.7</v>
      </c>
      <c r="G192">
        <v>306089</v>
      </c>
      <c r="H192" s="116"/>
      <c r="I192" s="116"/>
      <c r="L192" s="170">
        <v>42282</v>
      </c>
      <c r="M192" s="116">
        <v>1033.7666666666667</v>
      </c>
      <c r="N192" s="116">
        <v>1036</v>
      </c>
      <c r="O192" s="116">
        <v>1002.7333333333332</v>
      </c>
      <c r="P192" s="116">
        <v>1002.7333333333332</v>
      </c>
      <c r="Q192" s="116">
        <v>1550.65</v>
      </c>
      <c r="R192">
        <v>2637180</v>
      </c>
    </row>
    <row r="193" spans="1:18" x14ac:dyDescent="0.25">
      <c r="A193" s="170">
        <v>42283</v>
      </c>
      <c r="B193" s="116">
        <v>1043.3333333333333</v>
      </c>
      <c r="C193" s="116">
        <v>1035.7333333333333</v>
      </c>
      <c r="D193" s="116">
        <v>1026.6666666666667</v>
      </c>
      <c r="E193" s="116">
        <v>1042.4666666666667</v>
      </c>
      <c r="F193" s="116">
        <v>1553.6</v>
      </c>
      <c r="G193">
        <v>188499</v>
      </c>
      <c r="H193" s="116"/>
      <c r="I193" s="116"/>
      <c r="L193" s="170">
        <v>42283</v>
      </c>
      <c r="M193" s="116">
        <v>1036.5666666666666</v>
      </c>
      <c r="N193" s="116">
        <v>1042.4666666666667</v>
      </c>
      <c r="O193" s="116">
        <v>1026.3333333333333</v>
      </c>
      <c r="P193" s="116">
        <v>1042.4666666666667</v>
      </c>
      <c r="Q193" s="116">
        <v>1554.85</v>
      </c>
      <c r="R193">
        <v>2430941</v>
      </c>
    </row>
    <row r="194" spans="1:18" x14ac:dyDescent="0.25">
      <c r="A194" s="170">
        <v>42284</v>
      </c>
      <c r="B194" s="116">
        <v>1039.3333333333333</v>
      </c>
      <c r="C194" s="116">
        <v>1029.5666666666666</v>
      </c>
      <c r="D194" s="116">
        <v>1026.6666666666667</v>
      </c>
      <c r="E194" s="116">
        <v>1039.3333333333333</v>
      </c>
      <c r="F194" s="116">
        <v>1544.35</v>
      </c>
      <c r="G194">
        <v>117710</v>
      </c>
      <c r="H194" s="116"/>
      <c r="I194" s="116"/>
      <c r="L194" s="170">
        <v>42284</v>
      </c>
      <c r="M194" s="116">
        <v>1029.8333333333333</v>
      </c>
      <c r="N194" s="116">
        <v>1037.2666666666667</v>
      </c>
      <c r="O194" s="116">
        <v>1026.6666666666667</v>
      </c>
      <c r="P194" s="116">
        <v>1033.3333333333333</v>
      </c>
      <c r="Q194" s="116">
        <v>1544.75</v>
      </c>
      <c r="R194">
        <v>932686</v>
      </c>
    </row>
    <row r="195" spans="1:18" x14ac:dyDescent="0.25">
      <c r="A195" s="170">
        <v>42285</v>
      </c>
      <c r="B195" s="116">
        <v>1033.3333333333333</v>
      </c>
      <c r="C195" s="116">
        <v>1022.4</v>
      </c>
      <c r="D195" s="116">
        <v>1014</v>
      </c>
      <c r="E195" s="116">
        <v>1031.2</v>
      </c>
      <c r="F195" s="116">
        <v>1533.6</v>
      </c>
      <c r="G195">
        <v>140937</v>
      </c>
      <c r="H195" s="116"/>
      <c r="I195" s="116"/>
      <c r="L195" s="170">
        <v>42285</v>
      </c>
      <c r="M195" s="116">
        <v>1022.4666666666667</v>
      </c>
      <c r="N195" s="116">
        <v>1032.6000000000001</v>
      </c>
      <c r="O195" s="116">
        <v>1013.6333333333333</v>
      </c>
      <c r="P195" s="116">
        <v>1028.6666666666667</v>
      </c>
      <c r="Q195" s="116">
        <v>1533.7</v>
      </c>
      <c r="R195">
        <v>1089602</v>
      </c>
    </row>
    <row r="196" spans="1:18" x14ac:dyDescent="0.25">
      <c r="A196" s="170">
        <v>42286</v>
      </c>
      <c r="B196" s="116">
        <v>1042.4333333333334</v>
      </c>
      <c r="C196" s="116">
        <v>1030.7333333333333</v>
      </c>
      <c r="D196" s="116">
        <v>1026.5666666666666</v>
      </c>
      <c r="E196" s="116">
        <v>1033.0666666666666</v>
      </c>
      <c r="F196" s="116">
        <v>1546.1</v>
      </c>
      <c r="G196">
        <v>119101</v>
      </c>
      <c r="H196" s="116"/>
      <c r="I196" s="116"/>
      <c r="L196" s="170">
        <v>42286</v>
      </c>
      <c r="M196" s="116">
        <v>1030.9333333333334</v>
      </c>
      <c r="N196" s="116">
        <v>1043.3</v>
      </c>
      <c r="O196" s="116">
        <v>1025.3333333333333</v>
      </c>
      <c r="P196" s="116">
        <v>1031.5333333333333</v>
      </c>
      <c r="Q196" s="116">
        <v>1546.4</v>
      </c>
      <c r="R196">
        <v>1364314</v>
      </c>
    </row>
    <row r="197" spans="1:18" x14ac:dyDescent="0.25">
      <c r="A197" s="170">
        <v>42289</v>
      </c>
      <c r="B197" s="116">
        <v>1043.4666666666667</v>
      </c>
      <c r="C197" s="116">
        <v>1034.5666666666666</v>
      </c>
      <c r="D197" s="116">
        <v>1032.0666666666666</v>
      </c>
      <c r="E197" s="116">
        <v>1036.6666666666667</v>
      </c>
      <c r="F197" s="116">
        <v>1551.85</v>
      </c>
      <c r="G197">
        <v>84770</v>
      </c>
      <c r="H197" s="116"/>
      <c r="I197" s="116"/>
      <c r="L197" s="170">
        <v>42289</v>
      </c>
      <c r="M197" s="116">
        <v>1036</v>
      </c>
      <c r="N197" s="116">
        <v>1044.1666666666667</v>
      </c>
      <c r="O197" s="116">
        <v>1033</v>
      </c>
      <c r="P197" s="116">
        <v>1036.6666666666667</v>
      </c>
      <c r="Q197" s="116">
        <v>1554</v>
      </c>
      <c r="R197">
        <v>792217</v>
      </c>
    </row>
    <row r="198" spans="1:18" x14ac:dyDescent="0.25">
      <c r="A198" s="170">
        <v>42290</v>
      </c>
      <c r="B198" s="116">
        <v>1044</v>
      </c>
      <c r="C198" s="116">
        <v>1028.8333333333333</v>
      </c>
      <c r="D198" s="116">
        <v>1022</v>
      </c>
      <c r="E198" s="116">
        <v>1041.2</v>
      </c>
      <c r="F198" s="116">
        <v>1543.25</v>
      </c>
      <c r="G198">
        <v>129229</v>
      </c>
      <c r="H198" s="116"/>
      <c r="I198" s="116"/>
      <c r="L198" s="170">
        <v>42290</v>
      </c>
      <c r="M198" s="116">
        <v>1030.5333333333333</v>
      </c>
      <c r="N198" s="116">
        <v>1044.4666666666667</v>
      </c>
      <c r="O198" s="116">
        <v>1021.6666666666666</v>
      </c>
      <c r="P198" s="116">
        <v>1040</v>
      </c>
      <c r="Q198" s="116">
        <v>1545.8</v>
      </c>
      <c r="R198">
        <v>1209264</v>
      </c>
    </row>
    <row r="199" spans="1:18" x14ac:dyDescent="0.25">
      <c r="A199" s="170">
        <v>42291</v>
      </c>
      <c r="B199" s="116">
        <v>1035.8666666666666</v>
      </c>
      <c r="C199" s="116">
        <v>1026.8333333333333</v>
      </c>
      <c r="D199" s="116">
        <v>1022.6666666666666</v>
      </c>
      <c r="E199" s="116">
        <v>1026.6666666666667</v>
      </c>
      <c r="F199" s="116">
        <v>1540.25</v>
      </c>
      <c r="G199">
        <v>123929</v>
      </c>
      <c r="H199" s="116"/>
      <c r="I199" s="116"/>
      <c r="L199" s="170">
        <v>42291</v>
      </c>
      <c r="M199" s="116">
        <v>1026.8999999999999</v>
      </c>
      <c r="N199" s="116">
        <v>1035.9333333333334</v>
      </c>
      <c r="O199" s="116">
        <v>1023.3666666666667</v>
      </c>
      <c r="P199" s="116">
        <v>1025.9333333333334</v>
      </c>
      <c r="Q199" s="116">
        <v>1540.35</v>
      </c>
      <c r="R199">
        <v>1129074</v>
      </c>
    </row>
    <row r="200" spans="1:18" x14ac:dyDescent="0.25">
      <c r="A200" s="170">
        <v>42292</v>
      </c>
      <c r="B200" s="116">
        <v>1042</v>
      </c>
      <c r="C200" s="116">
        <v>1040.3333333333333</v>
      </c>
      <c r="D200" s="116">
        <v>1030.2333333333333</v>
      </c>
      <c r="E200" s="116">
        <v>1033.3333333333333</v>
      </c>
      <c r="F200" s="116">
        <v>1560.5</v>
      </c>
      <c r="G200">
        <v>117733</v>
      </c>
      <c r="H200" s="116"/>
      <c r="I200" s="116"/>
      <c r="L200" s="170">
        <v>42292</v>
      </c>
      <c r="M200" s="116">
        <v>1040.3333333333333</v>
      </c>
      <c r="N200" s="116">
        <v>1042.3333333333333</v>
      </c>
      <c r="O200" s="116">
        <v>1030.0666666666666</v>
      </c>
      <c r="P200" s="116">
        <v>1033.4333333333334</v>
      </c>
      <c r="Q200" s="116">
        <v>1560.5</v>
      </c>
      <c r="R200">
        <v>1256201</v>
      </c>
    </row>
    <row r="201" spans="1:18" x14ac:dyDescent="0.25">
      <c r="A201" s="170">
        <v>42293</v>
      </c>
      <c r="B201" s="116">
        <v>1072.3333333333333</v>
      </c>
      <c r="C201" s="116">
        <v>1069.7333333333333</v>
      </c>
      <c r="D201" s="116">
        <v>1035.7333333333333</v>
      </c>
      <c r="E201" s="116">
        <v>1043.3333333333333</v>
      </c>
      <c r="F201" s="116">
        <v>1604.6</v>
      </c>
      <c r="G201">
        <v>227105</v>
      </c>
      <c r="H201" s="116"/>
      <c r="I201" s="116"/>
      <c r="L201" s="170">
        <v>42293</v>
      </c>
      <c r="M201" s="116">
        <v>1069.9666666666667</v>
      </c>
      <c r="N201" s="116">
        <v>1072.6000000000001</v>
      </c>
      <c r="O201" s="116">
        <v>1035.0333333333333</v>
      </c>
      <c r="P201" s="116">
        <v>1043.6666666666667</v>
      </c>
      <c r="Q201" s="116">
        <v>1604.95</v>
      </c>
      <c r="R201">
        <v>1720475</v>
      </c>
    </row>
    <row r="202" spans="1:18" x14ac:dyDescent="0.25">
      <c r="A202" s="170">
        <v>42296</v>
      </c>
      <c r="B202" s="116">
        <v>1073.6000000000001</v>
      </c>
      <c r="C202" s="116">
        <v>1053.7666666666667</v>
      </c>
      <c r="D202" s="116">
        <v>1050.4333333333334</v>
      </c>
      <c r="E202" s="116">
        <v>1073.3333333333333</v>
      </c>
      <c r="F202" s="116">
        <v>1580.65</v>
      </c>
      <c r="G202">
        <v>115254</v>
      </c>
      <c r="H202" s="116"/>
      <c r="I202" s="116"/>
      <c r="L202" s="170">
        <v>42296</v>
      </c>
      <c r="M202" s="116">
        <v>1053.8666666666666</v>
      </c>
      <c r="N202" s="116">
        <v>1073.3333333333333</v>
      </c>
      <c r="O202" s="116">
        <v>1050.2</v>
      </c>
      <c r="P202" s="116">
        <v>1071.9333333333334</v>
      </c>
      <c r="Q202" s="116">
        <v>1580.8</v>
      </c>
      <c r="R202">
        <v>1262166</v>
      </c>
    </row>
    <row r="203" spans="1:18" x14ac:dyDescent="0.25">
      <c r="A203" s="170">
        <v>42297</v>
      </c>
      <c r="B203" s="116">
        <v>1064.3333333333333</v>
      </c>
      <c r="C203" s="116">
        <v>1048.6333333333334</v>
      </c>
      <c r="D203" s="116">
        <v>1044.9666666666667</v>
      </c>
      <c r="E203" s="116">
        <v>1056.6666666666667</v>
      </c>
      <c r="F203" s="116">
        <v>1572.95</v>
      </c>
      <c r="G203">
        <v>123478</v>
      </c>
      <c r="H203" s="116"/>
      <c r="I203" s="116"/>
      <c r="L203" s="170">
        <v>42297</v>
      </c>
      <c r="M203" s="116">
        <v>1049.0333333333333</v>
      </c>
      <c r="N203" s="116">
        <v>1064.5333333333333</v>
      </c>
      <c r="O203" s="116">
        <v>1045.3999999999999</v>
      </c>
      <c r="P203" s="116">
        <v>1057.1333333333334</v>
      </c>
      <c r="Q203" s="116">
        <v>1573.55</v>
      </c>
      <c r="R203">
        <v>1462864</v>
      </c>
    </row>
    <row r="204" spans="1:18" x14ac:dyDescent="0.25">
      <c r="A204" s="170">
        <v>42298</v>
      </c>
      <c r="B204" s="116">
        <v>1051.3333333333333</v>
      </c>
      <c r="C204" s="116">
        <v>1033.5666666666666</v>
      </c>
      <c r="D204" s="116">
        <v>1030.6666666666667</v>
      </c>
      <c r="E204" s="116">
        <v>1048</v>
      </c>
      <c r="F204" s="116">
        <v>1550.35</v>
      </c>
      <c r="G204">
        <v>137474</v>
      </c>
      <c r="H204" s="116"/>
      <c r="I204" s="116"/>
      <c r="L204" s="170">
        <v>42298</v>
      </c>
      <c r="M204" s="116">
        <v>1033.6333333333334</v>
      </c>
      <c r="N204" s="116">
        <v>1051.7</v>
      </c>
      <c r="O204" s="116">
        <v>1030.7</v>
      </c>
      <c r="P204" s="116">
        <v>1050.6333333333334</v>
      </c>
      <c r="Q204" s="116">
        <v>1550.45</v>
      </c>
      <c r="R204">
        <v>1390739</v>
      </c>
    </row>
    <row r="205" spans="1:18" x14ac:dyDescent="0.25">
      <c r="A205" s="170">
        <v>42300</v>
      </c>
      <c r="B205" s="116">
        <v>1046.8999999999999</v>
      </c>
      <c r="C205" s="116">
        <v>1006.8666666666667</v>
      </c>
      <c r="D205" s="116">
        <v>1004.3333333333334</v>
      </c>
      <c r="E205" s="116">
        <v>1043.3333333333333</v>
      </c>
      <c r="F205" s="116">
        <v>1510.3</v>
      </c>
      <c r="G205">
        <v>261739</v>
      </c>
      <c r="H205" s="116"/>
      <c r="I205" s="116"/>
      <c r="L205" s="170">
        <v>42300</v>
      </c>
      <c r="M205" s="116">
        <v>1006.8666666666667</v>
      </c>
      <c r="N205" s="116">
        <v>1046.5666666666666</v>
      </c>
      <c r="O205" s="116">
        <v>1004.1666666666666</v>
      </c>
      <c r="P205" s="116">
        <v>1041.3666666666666</v>
      </c>
      <c r="Q205" s="116">
        <v>1510.3</v>
      </c>
      <c r="R205">
        <v>2864712</v>
      </c>
    </row>
    <row r="206" spans="1:18" x14ac:dyDescent="0.25">
      <c r="A206" s="170">
        <v>42303</v>
      </c>
      <c r="B206" s="116">
        <v>1020</v>
      </c>
      <c r="C206" s="116">
        <v>1005.4333333333334</v>
      </c>
      <c r="D206" s="116">
        <v>1003.3333333333334</v>
      </c>
      <c r="E206" s="116">
        <v>1015.6666666666666</v>
      </c>
      <c r="F206" s="116">
        <v>1508.15</v>
      </c>
      <c r="G206">
        <v>160620</v>
      </c>
      <c r="H206" s="116"/>
      <c r="I206" s="116"/>
      <c r="L206" s="170">
        <v>42303</v>
      </c>
      <c r="M206" s="116">
        <v>1005.6333333333333</v>
      </c>
      <c r="N206" s="116">
        <v>1020</v>
      </c>
      <c r="O206" s="116">
        <v>1002.6666666666666</v>
      </c>
      <c r="P206" s="116">
        <v>1013.3666666666667</v>
      </c>
      <c r="Q206" s="116">
        <v>1508.45</v>
      </c>
      <c r="R206">
        <v>1757340</v>
      </c>
    </row>
    <row r="207" spans="1:18" x14ac:dyDescent="0.25">
      <c r="A207" s="170">
        <v>42304</v>
      </c>
      <c r="B207" s="116">
        <v>1015.2666666666668</v>
      </c>
      <c r="C207" s="116">
        <v>996.19999999999993</v>
      </c>
      <c r="D207" s="116">
        <v>993.69999999999993</v>
      </c>
      <c r="E207" s="116">
        <v>1003.3333333333334</v>
      </c>
      <c r="F207" s="116">
        <v>1494.3</v>
      </c>
      <c r="G207">
        <v>224500</v>
      </c>
      <c r="H207" s="116"/>
      <c r="I207" s="116"/>
      <c r="L207" s="170">
        <v>42304</v>
      </c>
      <c r="M207" s="116">
        <v>996.5</v>
      </c>
      <c r="N207" s="116">
        <v>1015.3333333333334</v>
      </c>
      <c r="O207" s="116">
        <v>993.4</v>
      </c>
      <c r="P207" s="116">
        <v>1003.4</v>
      </c>
      <c r="Q207" s="116">
        <v>1494.75</v>
      </c>
      <c r="R207">
        <v>2534153</v>
      </c>
    </row>
    <row r="208" spans="1:18" x14ac:dyDescent="0.25">
      <c r="A208" s="170">
        <v>42305</v>
      </c>
      <c r="B208" s="116">
        <v>999.66666666666663</v>
      </c>
      <c r="C208" s="116">
        <v>994.26666666666677</v>
      </c>
      <c r="D208" s="116">
        <v>989.26666666666677</v>
      </c>
      <c r="E208" s="116">
        <v>993.33333333333337</v>
      </c>
      <c r="F208" s="116">
        <v>1491.4</v>
      </c>
      <c r="G208">
        <v>170086</v>
      </c>
      <c r="H208" s="116"/>
      <c r="I208" s="116"/>
      <c r="L208" s="170">
        <v>42305</v>
      </c>
      <c r="M208" s="116">
        <v>995.16666666666663</v>
      </c>
      <c r="N208" s="116">
        <v>999.33333333333337</v>
      </c>
      <c r="O208" s="116">
        <v>988.66666666666663</v>
      </c>
      <c r="P208" s="116">
        <v>993.26666666666677</v>
      </c>
      <c r="Q208" s="116">
        <v>1492.75</v>
      </c>
      <c r="R208">
        <v>1681474</v>
      </c>
    </row>
    <row r="209" spans="1:18" x14ac:dyDescent="0.25">
      <c r="A209" s="170">
        <v>42306</v>
      </c>
      <c r="B209" s="116">
        <v>998.76666666666677</v>
      </c>
      <c r="C209" s="116">
        <v>981.06666666666661</v>
      </c>
      <c r="D209" s="116">
        <v>978</v>
      </c>
      <c r="E209" s="116">
        <v>998.5333333333333</v>
      </c>
      <c r="F209" s="116">
        <v>1471.6</v>
      </c>
      <c r="G209">
        <v>241803</v>
      </c>
      <c r="H209" s="116"/>
      <c r="I209" s="116"/>
      <c r="L209" s="170">
        <v>42306</v>
      </c>
      <c r="M209" s="116">
        <v>980.5</v>
      </c>
      <c r="N209" s="116">
        <v>997.30000000000007</v>
      </c>
      <c r="O209" s="116">
        <v>977.73333333333323</v>
      </c>
      <c r="P209" s="116">
        <v>996.66666666666663</v>
      </c>
      <c r="Q209" s="116">
        <v>1470.75</v>
      </c>
      <c r="R209">
        <v>1934401</v>
      </c>
    </row>
    <row r="210" spans="1:18" x14ac:dyDescent="0.25">
      <c r="A210" s="170">
        <v>42307</v>
      </c>
      <c r="B210" s="116">
        <v>998.66666666666663</v>
      </c>
      <c r="C210" s="116">
        <v>940.76666666666677</v>
      </c>
      <c r="D210" s="116">
        <v>933.33333333333337</v>
      </c>
      <c r="E210" s="116">
        <v>982.66666666666663</v>
      </c>
      <c r="F210" s="116">
        <v>1411.15</v>
      </c>
      <c r="G210">
        <v>1028765</v>
      </c>
      <c r="H210" s="116"/>
      <c r="I210" s="116"/>
      <c r="L210" s="170">
        <v>42307</v>
      </c>
      <c r="M210" s="116">
        <v>940.5</v>
      </c>
      <c r="N210" s="116">
        <v>998.4666666666667</v>
      </c>
      <c r="O210" s="116">
        <v>933.33333333333337</v>
      </c>
      <c r="P210" s="116">
        <v>982</v>
      </c>
      <c r="Q210" s="116">
        <v>1410.75</v>
      </c>
      <c r="R210">
        <v>7609622</v>
      </c>
    </row>
    <row r="211" spans="1:18" x14ac:dyDescent="0.25">
      <c r="A211" s="170">
        <v>42310</v>
      </c>
      <c r="B211" s="116">
        <v>936</v>
      </c>
      <c r="C211" s="116">
        <v>925.6</v>
      </c>
      <c r="D211" s="116">
        <v>917</v>
      </c>
      <c r="E211" s="116">
        <v>935.33333333333337</v>
      </c>
      <c r="F211" s="116">
        <v>1388.4</v>
      </c>
      <c r="G211">
        <v>491347</v>
      </c>
      <c r="H211" s="116"/>
      <c r="I211" s="116"/>
      <c r="L211" s="170">
        <v>42310</v>
      </c>
      <c r="M211" s="116">
        <v>925.76666666666677</v>
      </c>
      <c r="N211" s="116">
        <v>936</v>
      </c>
      <c r="O211" s="116">
        <v>916.16666666666663</v>
      </c>
      <c r="P211" s="116">
        <v>933.33333333333337</v>
      </c>
      <c r="Q211" s="116">
        <v>1388.65</v>
      </c>
      <c r="R211">
        <v>4948639</v>
      </c>
    </row>
    <row r="212" spans="1:18" x14ac:dyDescent="0.25">
      <c r="A212" s="170">
        <v>42311</v>
      </c>
      <c r="B212" s="116">
        <v>932</v>
      </c>
      <c r="C212" s="116">
        <v>914.80000000000007</v>
      </c>
      <c r="D212" s="116">
        <v>911.6</v>
      </c>
      <c r="E212" s="116">
        <v>932</v>
      </c>
      <c r="F212" s="116">
        <v>1372.2</v>
      </c>
      <c r="G212">
        <v>415388</v>
      </c>
      <c r="H212" s="116"/>
      <c r="I212" s="116"/>
      <c r="L212" s="170">
        <v>42311</v>
      </c>
      <c r="M212" s="116">
        <v>915.5333333333333</v>
      </c>
      <c r="N212" s="116">
        <v>931.26666666666677</v>
      </c>
      <c r="O212" s="116">
        <v>911.73333333333323</v>
      </c>
      <c r="P212" s="116">
        <v>931.26666666666677</v>
      </c>
      <c r="Q212" s="116">
        <v>1373.3</v>
      </c>
      <c r="R212">
        <v>3477277</v>
      </c>
    </row>
    <row r="213" spans="1:18" x14ac:dyDescent="0.25">
      <c r="A213" s="170">
        <v>42312</v>
      </c>
      <c r="B213" s="116">
        <v>926</v>
      </c>
      <c r="C213" s="116">
        <v>913.66666666666663</v>
      </c>
      <c r="D213" s="116">
        <v>911.33333333333337</v>
      </c>
      <c r="E213" s="116">
        <v>923.33333333333337</v>
      </c>
      <c r="F213" s="116">
        <v>1370.5</v>
      </c>
      <c r="G213">
        <v>242155</v>
      </c>
      <c r="H213" s="116"/>
      <c r="I213" s="116"/>
      <c r="L213" s="170">
        <v>42312</v>
      </c>
      <c r="M213" s="116">
        <v>912.06666666666661</v>
      </c>
      <c r="N213" s="116">
        <v>925.33333333333337</v>
      </c>
      <c r="O213" s="116">
        <v>910</v>
      </c>
      <c r="P213" s="116">
        <v>925.33333333333337</v>
      </c>
      <c r="Q213" s="116">
        <v>1368.1</v>
      </c>
      <c r="R213">
        <v>2591003</v>
      </c>
    </row>
    <row r="214" spans="1:18" x14ac:dyDescent="0.25">
      <c r="A214" s="170">
        <v>42313</v>
      </c>
      <c r="B214" s="116">
        <v>920.63333333333333</v>
      </c>
      <c r="C214" s="116">
        <v>912.9</v>
      </c>
      <c r="D214" s="116">
        <v>909.4</v>
      </c>
      <c r="E214" s="116">
        <v>918</v>
      </c>
      <c r="F214" s="116">
        <v>1369.35</v>
      </c>
      <c r="G214">
        <v>312742</v>
      </c>
      <c r="H214" s="116"/>
      <c r="I214" s="116"/>
      <c r="L214" s="170">
        <v>42313</v>
      </c>
      <c r="M214" s="116">
        <v>912.63333333333333</v>
      </c>
      <c r="N214" s="116">
        <v>919.69999999999993</v>
      </c>
      <c r="O214" s="116">
        <v>909.33333333333337</v>
      </c>
      <c r="P214" s="116">
        <v>913.33333333333337</v>
      </c>
      <c r="Q214" s="116">
        <v>1368.95</v>
      </c>
      <c r="R214">
        <v>2482285</v>
      </c>
    </row>
    <row r="215" spans="1:18" x14ac:dyDescent="0.25">
      <c r="A215" s="170">
        <v>42314</v>
      </c>
      <c r="B215" s="116">
        <v>924.63333333333333</v>
      </c>
      <c r="C215" s="116">
        <v>918.26666666666677</v>
      </c>
      <c r="D215" s="116">
        <v>914.66666666666663</v>
      </c>
      <c r="E215" s="116">
        <v>914.66666666666663</v>
      </c>
      <c r="F215" s="116">
        <v>1377.4</v>
      </c>
      <c r="G215">
        <v>210143</v>
      </c>
      <c r="H215" s="116"/>
      <c r="I215" s="116"/>
      <c r="L215" s="170">
        <v>42314</v>
      </c>
      <c r="M215" s="116">
        <v>918.16666666666663</v>
      </c>
      <c r="N215" s="116">
        <v>924.33333333333337</v>
      </c>
      <c r="O215" s="116">
        <v>914.73333333333323</v>
      </c>
      <c r="P215" s="116">
        <v>915.33333333333337</v>
      </c>
      <c r="Q215" s="116">
        <v>1377.25</v>
      </c>
      <c r="R215">
        <v>1878548</v>
      </c>
    </row>
    <row r="216" spans="1:18" x14ac:dyDescent="0.25">
      <c r="A216" s="170">
        <v>42317</v>
      </c>
      <c r="B216" s="116">
        <v>909.6</v>
      </c>
      <c r="C216" s="116">
        <v>905.9</v>
      </c>
      <c r="D216" s="116">
        <v>888</v>
      </c>
      <c r="E216" s="116">
        <v>900.06666666666661</v>
      </c>
      <c r="F216" s="116">
        <v>1358.85</v>
      </c>
      <c r="G216">
        <v>320991</v>
      </c>
      <c r="H216" s="116"/>
      <c r="I216" s="116"/>
      <c r="L216" s="170">
        <v>42317</v>
      </c>
      <c r="M216" s="116">
        <v>906.0333333333333</v>
      </c>
      <c r="N216" s="116">
        <v>909.33333333333337</v>
      </c>
      <c r="O216" s="116">
        <v>887.4</v>
      </c>
      <c r="P216" s="116">
        <v>900</v>
      </c>
      <c r="Q216" s="116">
        <v>1359.05</v>
      </c>
      <c r="R216">
        <v>2596587</v>
      </c>
    </row>
    <row r="217" spans="1:18" x14ac:dyDescent="0.25">
      <c r="A217" s="170">
        <v>42318</v>
      </c>
      <c r="B217" s="116">
        <v>911.5333333333333</v>
      </c>
      <c r="C217" s="116">
        <v>898.30000000000007</v>
      </c>
      <c r="D217" s="116">
        <v>895.19999999999993</v>
      </c>
      <c r="E217" s="116">
        <v>905.19999999999993</v>
      </c>
      <c r="F217" s="116">
        <v>1347.45</v>
      </c>
      <c r="G217">
        <v>218967</v>
      </c>
      <c r="H217" s="116"/>
      <c r="I217" s="116"/>
      <c r="L217" s="170">
        <v>42318</v>
      </c>
      <c r="M217" s="116">
        <v>898.93333333333339</v>
      </c>
      <c r="N217" s="116">
        <v>911.66666666666663</v>
      </c>
      <c r="O217" s="116">
        <v>895.33333333333337</v>
      </c>
      <c r="P217" s="116">
        <v>903.36666666666667</v>
      </c>
      <c r="Q217" s="116">
        <v>1348.4</v>
      </c>
      <c r="R217">
        <v>2368611</v>
      </c>
    </row>
    <row r="218" spans="1:18" x14ac:dyDescent="0.25">
      <c r="A218" s="170">
        <v>42319</v>
      </c>
      <c r="B218" s="116">
        <v>913.26666666666677</v>
      </c>
      <c r="C218" s="116">
        <v>911</v>
      </c>
      <c r="D218" s="116">
        <v>905.66666666666663</v>
      </c>
      <c r="E218" s="116">
        <v>913.26666666666677</v>
      </c>
      <c r="F218" s="116">
        <v>1366.5</v>
      </c>
      <c r="G218">
        <v>97541</v>
      </c>
      <c r="H218" s="116"/>
      <c r="I218" s="116"/>
      <c r="L218" s="170">
        <v>42319</v>
      </c>
      <c r="M218" s="116">
        <v>910.56666666666661</v>
      </c>
      <c r="N218" s="116">
        <v>912.6</v>
      </c>
      <c r="O218" s="116">
        <v>904.66666666666663</v>
      </c>
      <c r="P218" s="116">
        <v>909.33333333333337</v>
      </c>
      <c r="Q218" s="116">
        <v>1365.85</v>
      </c>
      <c r="R218">
        <v>424334</v>
      </c>
    </row>
    <row r="219" spans="1:18" x14ac:dyDescent="0.25">
      <c r="A219" s="170">
        <v>42321</v>
      </c>
      <c r="B219" s="116">
        <v>908</v>
      </c>
      <c r="C219" s="116">
        <v>887.9666666666667</v>
      </c>
      <c r="D219" s="116">
        <v>886.66666666666663</v>
      </c>
      <c r="E219" s="116">
        <v>908</v>
      </c>
      <c r="F219" s="116">
        <v>1331.95</v>
      </c>
      <c r="G219">
        <v>237577</v>
      </c>
      <c r="H219" s="116"/>
      <c r="I219" s="116"/>
      <c r="L219" s="170">
        <v>42321</v>
      </c>
      <c r="M219" s="116">
        <v>887.4666666666667</v>
      </c>
      <c r="N219" s="116">
        <v>906</v>
      </c>
      <c r="O219" s="116">
        <v>886.66666666666663</v>
      </c>
      <c r="P219" s="116">
        <v>906</v>
      </c>
      <c r="Q219" s="116">
        <v>1331.2</v>
      </c>
      <c r="R219">
        <v>1819277</v>
      </c>
    </row>
    <row r="220" spans="1:18" x14ac:dyDescent="0.25">
      <c r="A220" s="170">
        <v>42324</v>
      </c>
      <c r="B220" s="116">
        <v>908.66666666666663</v>
      </c>
      <c r="C220" s="116">
        <v>904.80000000000007</v>
      </c>
      <c r="D220" s="116">
        <v>883.69999999999993</v>
      </c>
      <c r="E220" s="116">
        <v>887.9666666666667</v>
      </c>
      <c r="F220" s="116">
        <v>1357.2</v>
      </c>
      <c r="G220">
        <v>260377</v>
      </c>
      <c r="H220" s="116"/>
      <c r="I220" s="116"/>
      <c r="L220" s="170">
        <v>42324</v>
      </c>
      <c r="M220" s="116">
        <v>904.76666666666677</v>
      </c>
      <c r="N220" s="116">
        <v>908.5333333333333</v>
      </c>
      <c r="O220" s="116">
        <v>884</v>
      </c>
      <c r="P220" s="116">
        <v>886.33333333333337</v>
      </c>
      <c r="Q220" s="116">
        <v>1357.15</v>
      </c>
      <c r="R220">
        <v>2302006</v>
      </c>
    </row>
    <row r="221" spans="1:18" x14ac:dyDescent="0.25">
      <c r="A221" s="170">
        <v>42325</v>
      </c>
      <c r="B221" s="116">
        <v>914.66666666666663</v>
      </c>
      <c r="C221" s="116">
        <v>902.36666666666667</v>
      </c>
      <c r="D221" s="116">
        <v>897.23333333333323</v>
      </c>
      <c r="E221" s="116">
        <v>913.33333333333337</v>
      </c>
      <c r="F221" s="116">
        <v>1353.55</v>
      </c>
      <c r="G221">
        <v>192842</v>
      </c>
      <c r="H221" s="116"/>
      <c r="I221" s="116"/>
      <c r="L221" s="170">
        <v>42325</v>
      </c>
      <c r="M221" s="116">
        <v>901.16666666666663</v>
      </c>
      <c r="N221" s="116">
        <v>915</v>
      </c>
      <c r="O221" s="116">
        <v>896.66666666666663</v>
      </c>
      <c r="P221" s="116">
        <v>912.33333333333337</v>
      </c>
      <c r="Q221" s="116">
        <v>1351.75</v>
      </c>
      <c r="R221">
        <v>1863485</v>
      </c>
    </row>
    <row r="222" spans="1:18" x14ac:dyDescent="0.25">
      <c r="A222" s="170">
        <v>42326</v>
      </c>
      <c r="B222" s="116">
        <v>912.66666666666663</v>
      </c>
      <c r="C222" s="116">
        <v>895.6</v>
      </c>
      <c r="D222" s="116">
        <v>893.33333333333337</v>
      </c>
      <c r="E222" s="116">
        <v>904.4666666666667</v>
      </c>
      <c r="F222" s="116">
        <v>1343.4</v>
      </c>
      <c r="G222">
        <v>240860</v>
      </c>
      <c r="H222" s="116"/>
      <c r="I222" s="116"/>
      <c r="L222" s="170">
        <v>42326</v>
      </c>
      <c r="M222" s="116">
        <v>896.30000000000007</v>
      </c>
      <c r="N222" s="116">
        <v>912.66666666666663</v>
      </c>
      <c r="O222" s="116">
        <v>894</v>
      </c>
      <c r="P222" s="116">
        <v>902.66666666666663</v>
      </c>
      <c r="Q222" s="116">
        <v>1344.45</v>
      </c>
      <c r="R222">
        <v>1691665</v>
      </c>
    </row>
    <row r="223" spans="1:18" x14ac:dyDescent="0.25">
      <c r="A223" s="170">
        <v>42327</v>
      </c>
      <c r="B223" s="116">
        <v>910</v>
      </c>
      <c r="C223" s="116">
        <v>905.9666666666667</v>
      </c>
      <c r="D223" s="116">
        <v>901</v>
      </c>
      <c r="E223" s="116">
        <v>904.80000000000007</v>
      </c>
      <c r="F223" s="116">
        <v>1358.95</v>
      </c>
      <c r="G223">
        <v>151163</v>
      </c>
      <c r="H223" s="116"/>
      <c r="I223" s="116"/>
      <c r="L223" s="170">
        <v>42327</v>
      </c>
      <c r="M223" s="116">
        <v>905.9666666666667</v>
      </c>
      <c r="N223" s="116">
        <v>910</v>
      </c>
      <c r="O223" s="116">
        <v>900.06666666666661</v>
      </c>
      <c r="P223" s="116">
        <v>905.33333333333337</v>
      </c>
      <c r="Q223" s="116">
        <v>1358.95</v>
      </c>
      <c r="R223">
        <v>1204470</v>
      </c>
    </row>
    <row r="224" spans="1:18" x14ac:dyDescent="0.25">
      <c r="A224" s="170">
        <v>42328</v>
      </c>
      <c r="B224" s="116">
        <v>915.6</v>
      </c>
      <c r="C224" s="116">
        <v>910.76666666666677</v>
      </c>
      <c r="D224" s="116">
        <v>896.66666666666663</v>
      </c>
      <c r="E224" s="116">
        <v>906.86666666666667</v>
      </c>
      <c r="F224" s="116">
        <v>1366.15</v>
      </c>
      <c r="G224">
        <v>177592</v>
      </c>
      <c r="H224" s="116"/>
      <c r="I224" s="116"/>
      <c r="L224" s="170">
        <v>42328</v>
      </c>
      <c r="M224" s="116">
        <v>911.23333333333323</v>
      </c>
      <c r="N224" s="116">
        <v>915.6</v>
      </c>
      <c r="O224" s="116">
        <v>896.33333333333337</v>
      </c>
      <c r="P224" s="116">
        <v>908.26666666666677</v>
      </c>
      <c r="Q224" s="116">
        <v>1366.85</v>
      </c>
      <c r="R224">
        <v>1695777</v>
      </c>
    </row>
    <row r="225" spans="1:18" x14ac:dyDescent="0.25">
      <c r="A225" s="170">
        <v>42331</v>
      </c>
      <c r="B225" s="116">
        <v>922</v>
      </c>
      <c r="C225" s="116">
        <v>912.6</v>
      </c>
      <c r="D225" s="116">
        <v>910.06666666666661</v>
      </c>
      <c r="E225" s="116">
        <v>916.5333333333333</v>
      </c>
      <c r="F225" s="116">
        <v>1368.9</v>
      </c>
      <c r="G225">
        <v>135101</v>
      </c>
      <c r="H225" s="116"/>
      <c r="I225" s="116"/>
      <c r="L225" s="170">
        <v>42331</v>
      </c>
      <c r="M225" s="116">
        <v>912.6</v>
      </c>
      <c r="N225" s="116">
        <v>922.6</v>
      </c>
      <c r="O225" s="116">
        <v>910.0333333333333</v>
      </c>
      <c r="P225" s="116">
        <v>913.33333333333337</v>
      </c>
      <c r="Q225" s="116">
        <v>1368.9</v>
      </c>
      <c r="R225">
        <v>1452043</v>
      </c>
    </row>
    <row r="226" spans="1:18" x14ac:dyDescent="0.25">
      <c r="A226" s="170">
        <v>42332</v>
      </c>
      <c r="B226" s="116">
        <v>912.6</v>
      </c>
      <c r="C226" s="116">
        <v>894.9</v>
      </c>
      <c r="D226" s="116">
        <v>893.33333333333337</v>
      </c>
      <c r="E226" s="116">
        <v>911.19999999999993</v>
      </c>
      <c r="F226" s="116">
        <v>1342.35</v>
      </c>
      <c r="G226">
        <v>316003</v>
      </c>
      <c r="H226" s="116"/>
      <c r="I226" s="116"/>
      <c r="L226" s="170">
        <v>42332</v>
      </c>
      <c r="M226" s="116">
        <v>894.36666666666667</v>
      </c>
      <c r="N226" s="116">
        <v>912.6</v>
      </c>
      <c r="O226" s="116">
        <v>891.66666666666663</v>
      </c>
      <c r="P226" s="116">
        <v>908.66666666666663</v>
      </c>
      <c r="Q226" s="116">
        <v>1341.55</v>
      </c>
      <c r="R226">
        <v>1741236</v>
      </c>
    </row>
    <row r="227" spans="1:18" x14ac:dyDescent="0.25">
      <c r="A227" s="170">
        <v>42334</v>
      </c>
      <c r="B227" s="116">
        <v>902.73333333333323</v>
      </c>
      <c r="C227" s="116">
        <v>889.33333333333337</v>
      </c>
      <c r="D227" s="116">
        <v>887.4</v>
      </c>
      <c r="E227" s="116">
        <v>897.33333333333337</v>
      </c>
      <c r="F227" s="116">
        <v>1334</v>
      </c>
      <c r="G227">
        <v>221674</v>
      </c>
      <c r="H227" s="116"/>
      <c r="I227" s="116"/>
      <c r="L227" s="170">
        <v>42334</v>
      </c>
      <c r="M227" s="116">
        <v>888.43333333333339</v>
      </c>
      <c r="N227" s="116">
        <v>902.86666666666667</v>
      </c>
      <c r="O227" s="116">
        <v>886.76666666666677</v>
      </c>
      <c r="P227" s="116">
        <v>899.83333333333337</v>
      </c>
      <c r="Q227" s="116">
        <v>1332.65</v>
      </c>
      <c r="R227">
        <v>2717972</v>
      </c>
    </row>
    <row r="228" spans="1:18" x14ac:dyDescent="0.25">
      <c r="A228" s="170">
        <v>42335</v>
      </c>
      <c r="B228" s="116">
        <v>910.66666666666663</v>
      </c>
      <c r="C228" s="116">
        <v>909.19999999999993</v>
      </c>
      <c r="D228" s="116">
        <v>891.19999999999993</v>
      </c>
      <c r="E228" s="116">
        <v>893.30000000000007</v>
      </c>
      <c r="F228" s="116">
        <v>1363.8</v>
      </c>
      <c r="G228">
        <v>234839</v>
      </c>
      <c r="H228" s="116"/>
      <c r="I228" s="116"/>
      <c r="L228" s="170">
        <v>42335</v>
      </c>
      <c r="M228" s="116">
        <v>910</v>
      </c>
      <c r="N228" s="116">
        <v>911.66666666666663</v>
      </c>
      <c r="O228" s="116">
        <v>890.66666666666663</v>
      </c>
      <c r="P228" s="116">
        <v>890.93333333333339</v>
      </c>
      <c r="Q228" s="116">
        <v>1365</v>
      </c>
      <c r="R228">
        <v>2308646</v>
      </c>
    </row>
    <row r="229" spans="1:18" x14ac:dyDescent="0.25">
      <c r="A229" s="170">
        <v>42338</v>
      </c>
      <c r="B229" s="116">
        <v>921.66666666666663</v>
      </c>
      <c r="C229" s="116">
        <v>916.0333333333333</v>
      </c>
      <c r="D229" s="116">
        <v>910.66666666666663</v>
      </c>
      <c r="E229" s="116">
        <v>911.33333333333337</v>
      </c>
      <c r="F229" s="116">
        <v>1374.05</v>
      </c>
      <c r="G229">
        <v>166441</v>
      </c>
      <c r="H229" s="116"/>
      <c r="I229" s="116"/>
      <c r="L229" s="170">
        <v>42338</v>
      </c>
      <c r="M229" s="116">
        <v>916.4</v>
      </c>
      <c r="N229" s="116">
        <v>922.63333333333333</v>
      </c>
      <c r="O229" s="116">
        <v>909.33333333333337</v>
      </c>
      <c r="P229" s="116">
        <v>909.9</v>
      </c>
      <c r="Q229" s="116">
        <v>1374.6</v>
      </c>
      <c r="R229">
        <v>2408927</v>
      </c>
    </row>
    <row r="230" spans="1:18" x14ac:dyDescent="0.25">
      <c r="A230" s="170">
        <v>42339</v>
      </c>
      <c r="B230" s="116">
        <v>922</v>
      </c>
      <c r="C230" s="116">
        <v>910.0333333333333</v>
      </c>
      <c r="D230" s="116">
        <v>908</v>
      </c>
      <c r="E230" s="116">
        <v>918.30000000000007</v>
      </c>
      <c r="F230" s="116">
        <v>1365.05</v>
      </c>
      <c r="G230">
        <v>114452</v>
      </c>
      <c r="H230" s="116"/>
      <c r="I230" s="116"/>
      <c r="L230" s="170">
        <v>42339</v>
      </c>
      <c r="M230" s="116">
        <v>909.9</v>
      </c>
      <c r="N230" s="116">
        <v>921.93333333333339</v>
      </c>
      <c r="O230" s="116">
        <v>907.0333333333333</v>
      </c>
      <c r="P230" s="116">
        <v>916.66666666666663</v>
      </c>
      <c r="Q230" s="116">
        <v>1364.85</v>
      </c>
      <c r="R230">
        <v>918083</v>
      </c>
    </row>
    <row r="231" spans="1:18" x14ac:dyDescent="0.25">
      <c r="A231" s="170">
        <v>42340</v>
      </c>
      <c r="B231" s="116">
        <v>915.93333333333339</v>
      </c>
      <c r="C231" s="116">
        <v>902.80000000000007</v>
      </c>
      <c r="D231" s="116">
        <v>900.66666666666663</v>
      </c>
      <c r="E231" s="116">
        <v>913.33333333333337</v>
      </c>
      <c r="F231" s="116">
        <v>1354.2</v>
      </c>
      <c r="G231">
        <v>156202</v>
      </c>
      <c r="H231" s="116"/>
      <c r="I231" s="116"/>
      <c r="L231" s="170">
        <v>42340</v>
      </c>
      <c r="M231" s="116">
        <v>902.66666666666663</v>
      </c>
      <c r="N231" s="116">
        <v>916</v>
      </c>
      <c r="O231" s="116">
        <v>901.23333333333323</v>
      </c>
      <c r="P231" s="116">
        <v>912</v>
      </c>
      <c r="Q231" s="116">
        <v>1354</v>
      </c>
      <c r="R231">
        <v>1187481</v>
      </c>
    </row>
    <row r="232" spans="1:18" x14ac:dyDescent="0.25">
      <c r="A232" s="170">
        <v>42341</v>
      </c>
      <c r="B232" s="116">
        <v>909.66666666666663</v>
      </c>
      <c r="C232" s="116">
        <v>898.76666666666677</v>
      </c>
      <c r="D232" s="116">
        <v>895.33333333333337</v>
      </c>
      <c r="E232" s="116">
        <v>900</v>
      </c>
      <c r="F232" s="116">
        <v>1348.15</v>
      </c>
      <c r="G232">
        <v>143178</v>
      </c>
      <c r="H232" s="116"/>
      <c r="I232" s="116"/>
      <c r="L232" s="170">
        <v>42341</v>
      </c>
      <c r="M232" s="116">
        <v>898.56666666666661</v>
      </c>
      <c r="N232" s="116">
        <v>909.93333333333339</v>
      </c>
      <c r="O232" s="116">
        <v>896.16666666666663</v>
      </c>
      <c r="P232" s="116">
        <v>900.33333333333337</v>
      </c>
      <c r="Q232" s="116">
        <v>1347.85</v>
      </c>
      <c r="R232">
        <v>1184154</v>
      </c>
    </row>
    <row r="233" spans="1:18" x14ac:dyDescent="0.25">
      <c r="A233" s="170">
        <v>42342</v>
      </c>
      <c r="B233" s="116">
        <v>901.16666666666663</v>
      </c>
      <c r="C233" s="116">
        <v>893.9666666666667</v>
      </c>
      <c r="D233" s="116">
        <v>892.83333333333337</v>
      </c>
      <c r="E233" s="116">
        <v>896</v>
      </c>
      <c r="F233" s="116">
        <v>1340.95</v>
      </c>
      <c r="G233">
        <v>147621</v>
      </c>
      <c r="H233" s="116"/>
      <c r="I233" s="116"/>
      <c r="L233" s="170">
        <v>42342</v>
      </c>
      <c r="M233" s="116">
        <v>893.23333333333323</v>
      </c>
      <c r="N233" s="116">
        <v>900.86666666666667</v>
      </c>
      <c r="O233" s="116">
        <v>892</v>
      </c>
      <c r="P233" s="116">
        <v>893.69999999999993</v>
      </c>
      <c r="Q233" s="116">
        <v>1339.85</v>
      </c>
      <c r="R233">
        <v>1467437</v>
      </c>
    </row>
    <row r="234" spans="1:18" x14ac:dyDescent="0.25">
      <c r="A234" s="170">
        <v>42345</v>
      </c>
      <c r="B234" s="116">
        <v>901.6</v>
      </c>
      <c r="C234" s="116">
        <v>893.9</v>
      </c>
      <c r="D234" s="116">
        <v>890.13333333333333</v>
      </c>
      <c r="E234" s="116">
        <v>900</v>
      </c>
      <c r="F234" s="116">
        <v>1340.85</v>
      </c>
      <c r="G234">
        <v>123090</v>
      </c>
      <c r="H234" s="116"/>
      <c r="I234" s="116"/>
      <c r="L234" s="170">
        <v>42345</v>
      </c>
      <c r="M234" s="116">
        <v>894.1</v>
      </c>
      <c r="N234" s="116">
        <v>901</v>
      </c>
      <c r="O234" s="116">
        <v>890.73333333333323</v>
      </c>
      <c r="P234" s="116">
        <v>896.9666666666667</v>
      </c>
      <c r="Q234" s="116">
        <v>1341.15</v>
      </c>
      <c r="R234">
        <v>1099343</v>
      </c>
    </row>
    <row r="235" spans="1:18" x14ac:dyDescent="0.25">
      <c r="A235" s="170">
        <v>42346</v>
      </c>
      <c r="B235" s="116">
        <v>893.86666666666667</v>
      </c>
      <c r="C235" s="116">
        <v>881.30000000000007</v>
      </c>
      <c r="D235" s="116">
        <v>876.13333333333333</v>
      </c>
      <c r="E235" s="116">
        <v>893.33333333333337</v>
      </c>
      <c r="F235" s="116">
        <v>1321.95</v>
      </c>
      <c r="G235">
        <v>190379</v>
      </c>
      <c r="H235" s="116"/>
      <c r="I235" s="116"/>
      <c r="L235" s="170">
        <v>42346</v>
      </c>
      <c r="M235" s="116">
        <v>881.4</v>
      </c>
      <c r="N235" s="116">
        <v>893.33333333333337</v>
      </c>
      <c r="O235" s="116">
        <v>876</v>
      </c>
      <c r="P235" s="116">
        <v>891.9666666666667</v>
      </c>
      <c r="Q235" s="116">
        <v>1322.1</v>
      </c>
      <c r="R235">
        <v>1478559</v>
      </c>
    </row>
    <row r="236" spans="1:18" x14ac:dyDescent="0.25">
      <c r="A236" s="170">
        <v>42347</v>
      </c>
      <c r="B236" s="116">
        <v>883.36666666666667</v>
      </c>
      <c r="C236" s="116">
        <v>867.0333333333333</v>
      </c>
      <c r="D236" s="116">
        <v>865.33333333333337</v>
      </c>
      <c r="E236" s="116">
        <v>880</v>
      </c>
      <c r="F236" s="116">
        <v>1300.55</v>
      </c>
      <c r="G236">
        <v>256789</v>
      </c>
      <c r="H236" s="116"/>
      <c r="I236" s="116"/>
      <c r="L236" s="170">
        <v>42347</v>
      </c>
      <c r="M236" s="116">
        <v>867.13333333333333</v>
      </c>
      <c r="N236" s="116">
        <v>883.30000000000007</v>
      </c>
      <c r="O236" s="116">
        <v>865.6</v>
      </c>
      <c r="P236" s="116">
        <v>880.06666666666661</v>
      </c>
      <c r="Q236" s="116">
        <v>1300.7</v>
      </c>
      <c r="R236">
        <v>2218455</v>
      </c>
    </row>
    <row r="237" spans="1:18" x14ac:dyDescent="0.25">
      <c r="A237" s="170">
        <v>42348</v>
      </c>
      <c r="B237" s="116">
        <v>878.36666666666667</v>
      </c>
      <c r="C237" s="116">
        <v>873.66666666666663</v>
      </c>
      <c r="D237" s="116">
        <v>867.93333333333339</v>
      </c>
      <c r="E237" s="116">
        <v>870.80000000000007</v>
      </c>
      <c r="F237" s="116">
        <v>1310.5</v>
      </c>
      <c r="G237">
        <v>209607</v>
      </c>
      <c r="H237" s="116"/>
      <c r="I237" s="116"/>
      <c r="L237" s="170">
        <v>42348</v>
      </c>
      <c r="M237" s="116">
        <v>873.9666666666667</v>
      </c>
      <c r="N237" s="116">
        <v>878.5</v>
      </c>
      <c r="O237" s="116">
        <v>867.33333333333337</v>
      </c>
      <c r="P237" s="116">
        <v>873.06666666666661</v>
      </c>
      <c r="Q237" s="116">
        <v>1310.95</v>
      </c>
      <c r="R237">
        <v>1928874</v>
      </c>
    </row>
    <row r="238" spans="1:18" x14ac:dyDescent="0.25">
      <c r="A238" s="170">
        <v>42349</v>
      </c>
      <c r="B238" s="116">
        <v>876</v>
      </c>
      <c r="C238" s="116">
        <v>856.26666666666677</v>
      </c>
      <c r="D238" s="116">
        <v>851.76666666666677</v>
      </c>
      <c r="E238" s="116">
        <v>875.33333333333337</v>
      </c>
      <c r="F238" s="116">
        <v>1284.4000000000001</v>
      </c>
      <c r="G238">
        <v>385109</v>
      </c>
      <c r="H238" s="116"/>
      <c r="I238" s="116"/>
      <c r="L238" s="170">
        <v>42349</v>
      </c>
      <c r="M238" s="116">
        <v>857.16666666666663</v>
      </c>
      <c r="N238" s="116">
        <v>875.83333333333337</v>
      </c>
      <c r="O238" s="116">
        <v>851.0333333333333</v>
      </c>
      <c r="P238" s="116">
        <v>874.06666666666661</v>
      </c>
      <c r="Q238" s="116">
        <v>1285.75</v>
      </c>
      <c r="R238">
        <v>2742679</v>
      </c>
    </row>
    <row r="239" spans="1:18" x14ac:dyDescent="0.25">
      <c r="A239" s="170">
        <v>42352</v>
      </c>
      <c r="B239" s="116">
        <v>861.30000000000007</v>
      </c>
      <c r="C239" s="116">
        <v>849.63333333333333</v>
      </c>
      <c r="D239" s="116">
        <v>843.73333333333323</v>
      </c>
      <c r="E239" s="116">
        <v>859.33333333333337</v>
      </c>
      <c r="F239" s="116">
        <v>1274.45</v>
      </c>
      <c r="G239">
        <v>254218</v>
      </c>
      <c r="H239" s="116"/>
      <c r="I239" s="116"/>
      <c r="L239" s="170">
        <v>42352</v>
      </c>
      <c r="M239" s="116">
        <v>849.6</v>
      </c>
      <c r="N239" s="116">
        <v>861.56666666666661</v>
      </c>
      <c r="O239" s="116">
        <v>843</v>
      </c>
      <c r="P239" s="116">
        <v>856.26666666666677</v>
      </c>
      <c r="Q239" s="116">
        <v>1274.4000000000001</v>
      </c>
      <c r="R239">
        <v>2673504</v>
      </c>
    </row>
    <row r="240" spans="1:18" x14ac:dyDescent="0.25">
      <c r="A240" s="170">
        <v>42353</v>
      </c>
      <c r="B240" s="116">
        <v>859.33333333333337</v>
      </c>
      <c r="C240" s="116">
        <v>855.33333333333337</v>
      </c>
      <c r="D240" s="116">
        <v>843.66666666666663</v>
      </c>
      <c r="E240" s="116">
        <v>850</v>
      </c>
      <c r="F240" s="116">
        <v>1283</v>
      </c>
      <c r="G240">
        <v>247618</v>
      </c>
      <c r="H240" s="116"/>
      <c r="I240" s="116"/>
      <c r="L240" s="170">
        <v>42353</v>
      </c>
      <c r="M240" s="116">
        <v>855.4666666666667</v>
      </c>
      <c r="N240" s="116">
        <v>859.5333333333333</v>
      </c>
      <c r="O240" s="116">
        <v>843.4</v>
      </c>
      <c r="P240" s="116">
        <v>850</v>
      </c>
      <c r="Q240" s="116">
        <v>1283.2</v>
      </c>
      <c r="R240">
        <v>2222164</v>
      </c>
    </row>
    <row r="241" spans="1:18" x14ac:dyDescent="0.25">
      <c r="A241" s="170">
        <v>42354</v>
      </c>
      <c r="B241" s="116">
        <v>865.69999999999993</v>
      </c>
      <c r="C241" s="116">
        <v>854.13333333333333</v>
      </c>
      <c r="D241" s="116">
        <v>851.4</v>
      </c>
      <c r="E241" s="116">
        <v>860</v>
      </c>
      <c r="F241" s="116">
        <v>1281.2</v>
      </c>
      <c r="G241">
        <v>230047</v>
      </c>
      <c r="H241" s="116"/>
      <c r="I241" s="116"/>
      <c r="L241" s="170">
        <v>42354</v>
      </c>
      <c r="M241" s="116">
        <v>853.93333333333339</v>
      </c>
      <c r="N241" s="116">
        <v>866</v>
      </c>
      <c r="O241" s="116">
        <v>850.66666666666663</v>
      </c>
      <c r="P241" s="116">
        <v>860.5</v>
      </c>
      <c r="Q241" s="116">
        <v>1280.9000000000001</v>
      </c>
      <c r="R241">
        <v>2234035</v>
      </c>
    </row>
    <row r="242" spans="1:18" x14ac:dyDescent="0.25">
      <c r="A242" s="170">
        <v>42355</v>
      </c>
      <c r="B242" s="116">
        <v>866.13333333333333</v>
      </c>
      <c r="C242" s="116">
        <v>864.56666666666661</v>
      </c>
      <c r="D242" s="116">
        <v>854.9666666666667</v>
      </c>
      <c r="E242" s="116">
        <v>860</v>
      </c>
      <c r="F242" s="116">
        <v>1296.8499999999999</v>
      </c>
      <c r="G242">
        <v>229121</v>
      </c>
      <c r="H242" s="116"/>
      <c r="I242" s="116"/>
      <c r="L242" s="170">
        <v>42355</v>
      </c>
      <c r="M242" s="116">
        <v>864.13333333333333</v>
      </c>
      <c r="N242" s="116">
        <v>866.4666666666667</v>
      </c>
      <c r="O242" s="116">
        <v>854.36666666666667</v>
      </c>
      <c r="P242" s="116">
        <v>859.33333333333337</v>
      </c>
      <c r="Q242" s="116">
        <v>1296.2</v>
      </c>
      <c r="R242">
        <v>2509524</v>
      </c>
    </row>
    <row r="243" spans="1:18" x14ac:dyDescent="0.25">
      <c r="A243" s="170">
        <v>42356</v>
      </c>
      <c r="B243" s="116">
        <v>872.30000000000007</v>
      </c>
      <c r="C243" s="116">
        <v>858.73333333333323</v>
      </c>
      <c r="D243" s="116">
        <v>856.73333333333323</v>
      </c>
      <c r="E243" s="116">
        <v>863.19999999999993</v>
      </c>
      <c r="F243" s="116">
        <v>1288.0999999999999</v>
      </c>
      <c r="G243">
        <v>274269</v>
      </c>
      <c r="H243" s="116"/>
      <c r="I243" s="116"/>
      <c r="L243" s="170">
        <v>42356</v>
      </c>
      <c r="M243" s="116">
        <v>858.26666666666677</v>
      </c>
      <c r="N243" s="116">
        <v>872.4</v>
      </c>
      <c r="O243" s="116">
        <v>856.06666666666661</v>
      </c>
      <c r="P243" s="116">
        <v>861.23333333333323</v>
      </c>
      <c r="Q243" s="116">
        <v>1287.4000000000001</v>
      </c>
      <c r="R243">
        <v>2623330</v>
      </c>
    </row>
    <row r="244" spans="1:18" x14ac:dyDescent="0.25">
      <c r="A244" s="170">
        <v>42359</v>
      </c>
      <c r="B244" s="116">
        <v>865.26666666666677</v>
      </c>
      <c r="C244" s="116">
        <v>859.93333333333339</v>
      </c>
      <c r="D244" s="116">
        <v>856.66666666666663</v>
      </c>
      <c r="E244" s="116">
        <v>858.66666666666663</v>
      </c>
      <c r="F244" s="116">
        <v>1289.9000000000001</v>
      </c>
      <c r="G244">
        <v>138363</v>
      </c>
      <c r="H244" s="116"/>
      <c r="I244" s="116"/>
      <c r="L244" s="170">
        <v>42359</v>
      </c>
      <c r="M244" s="116">
        <v>860.19999999999993</v>
      </c>
      <c r="N244" s="116">
        <v>865.13333333333333</v>
      </c>
      <c r="O244" s="116">
        <v>856.33333333333337</v>
      </c>
      <c r="P244" s="116">
        <v>857.63333333333333</v>
      </c>
      <c r="Q244" s="116">
        <v>1290.3</v>
      </c>
      <c r="R244">
        <v>1173446</v>
      </c>
    </row>
    <row r="245" spans="1:18" x14ac:dyDescent="0.25">
      <c r="A245" s="170">
        <v>42360</v>
      </c>
      <c r="B245" s="116">
        <v>865.26666666666677</v>
      </c>
      <c r="C245" s="116">
        <v>853.33333333333337</v>
      </c>
      <c r="D245" s="116">
        <v>850.66666666666663</v>
      </c>
      <c r="E245" s="116">
        <v>861.33333333333337</v>
      </c>
      <c r="F245" s="116">
        <v>1280</v>
      </c>
      <c r="G245">
        <v>220807</v>
      </c>
      <c r="H245" s="116"/>
      <c r="I245" s="116"/>
      <c r="L245" s="170">
        <v>42360</v>
      </c>
      <c r="M245" s="116">
        <v>853.4666666666667</v>
      </c>
      <c r="N245" s="116">
        <v>864.6</v>
      </c>
      <c r="O245" s="116">
        <v>850.66666666666663</v>
      </c>
      <c r="P245" s="116">
        <v>860.66666666666663</v>
      </c>
      <c r="Q245" s="116">
        <v>1280.2</v>
      </c>
      <c r="R245">
        <v>1748333</v>
      </c>
    </row>
    <row r="246" spans="1:18" x14ac:dyDescent="0.25">
      <c r="A246" s="170">
        <v>42361</v>
      </c>
      <c r="B246" s="116">
        <v>866.13333333333333</v>
      </c>
      <c r="C246" s="116">
        <v>861.9666666666667</v>
      </c>
      <c r="D246" s="116">
        <v>856</v>
      </c>
      <c r="E246" s="116">
        <v>857.4</v>
      </c>
      <c r="F246" s="116">
        <v>1292.95</v>
      </c>
      <c r="G246">
        <v>171019</v>
      </c>
      <c r="H246" s="116"/>
      <c r="I246" s="116"/>
      <c r="L246" s="170">
        <v>42361</v>
      </c>
      <c r="M246" s="116">
        <v>860.66666666666663</v>
      </c>
      <c r="N246" s="116">
        <v>866</v>
      </c>
      <c r="O246" s="116">
        <v>855.33333333333337</v>
      </c>
      <c r="P246" s="116">
        <v>858.66666666666663</v>
      </c>
      <c r="Q246" s="116">
        <v>1291</v>
      </c>
      <c r="R246">
        <v>1613453</v>
      </c>
    </row>
    <row r="247" spans="1:18" x14ac:dyDescent="0.25">
      <c r="A247" s="170">
        <v>42362</v>
      </c>
      <c r="B247" s="116">
        <v>868</v>
      </c>
      <c r="C247" s="116">
        <v>863</v>
      </c>
      <c r="D247" s="116">
        <v>858.33333333333337</v>
      </c>
      <c r="E247" s="116">
        <v>862.69999999999993</v>
      </c>
      <c r="F247" s="116">
        <v>1294.5</v>
      </c>
      <c r="G247">
        <v>142802</v>
      </c>
      <c r="H247" s="116"/>
      <c r="I247" s="116"/>
      <c r="L247" s="170">
        <v>42362</v>
      </c>
      <c r="M247" s="116">
        <v>863</v>
      </c>
      <c r="N247" s="116">
        <v>867.66666666666663</v>
      </c>
      <c r="O247" s="116">
        <v>857.5333333333333</v>
      </c>
      <c r="P247" s="116">
        <v>864.5333333333333</v>
      </c>
      <c r="Q247" s="116">
        <v>1294.5</v>
      </c>
      <c r="R247">
        <v>1484965</v>
      </c>
    </row>
    <row r="248" spans="1:18" x14ac:dyDescent="0.25">
      <c r="A248" s="170">
        <v>42366</v>
      </c>
      <c r="B248" s="116">
        <v>867.33333333333337</v>
      </c>
      <c r="C248" s="116">
        <v>862.69999999999993</v>
      </c>
      <c r="D248" s="116">
        <v>859.33333333333337</v>
      </c>
      <c r="E248" s="116">
        <v>863.5333333333333</v>
      </c>
      <c r="F248" s="116">
        <v>1294.05</v>
      </c>
      <c r="G248">
        <v>99297</v>
      </c>
      <c r="H248" s="116"/>
      <c r="I248" s="116"/>
      <c r="L248" s="170">
        <v>42366</v>
      </c>
      <c r="M248" s="116">
        <v>863.43333333333339</v>
      </c>
      <c r="N248" s="116">
        <v>866.80000000000007</v>
      </c>
      <c r="O248" s="116">
        <v>858.76666666666677</v>
      </c>
      <c r="P248" s="116">
        <v>864.76666666666677</v>
      </c>
      <c r="Q248" s="116">
        <v>1295.1500000000001</v>
      </c>
      <c r="R248">
        <v>1571842</v>
      </c>
    </row>
    <row r="249" spans="1:18" x14ac:dyDescent="0.25">
      <c r="A249" s="170">
        <v>42367</v>
      </c>
      <c r="B249" s="116">
        <v>869.9</v>
      </c>
      <c r="C249" s="116">
        <v>859.5333333333333</v>
      </c>
      <c r="D249" s="116">
        <v>857.66666666666663</v>
      </c>
      <c r="E249" s="116">
        <v>866.66666666666663</v>
      </c>
      <c r="F249" s="116">
        <v>1289.3</v>
      </c>
      <c r="G249">
        <v>133385</v>
      </c>
      <c r="H249" s="116"/>
      <c r="I249" s="116"/>
      <c r="L249" s="170">
        <v>42367</v>
      </c>
      <c r="M249" s="116">
        <v>859.69999999999993</v>
      </c>
      <c r="N249" s="116">
        <v>867.33333333333337</v>
      </c>
      <c r="O249" s="116">
        <v>856.86666666666667</v>
      </c>
      <c r="P249" s="116">
        <v>866.66666666666663</v>
      </c>
      <c r="Q249" s="116">
        <v>1289.55</v>
      </c>
      <c r="R249">
        <v>1520061</v>
      </c>
    </row>
    <row r="250" spans="1:18" x14ac:dyDescent="0.25">
      <c r="A250" s="170">
        <v>42368</v>
      </c>
      <c r="B250" s="116">
        <v>865.9</v>
      </c>
      <c r="C250" s="116">
        <v>856.19999999999993</v>
      </c>
      <c r="D250" s="116">
        <v>854.23333333333323</v>
      </c>
      <c r="E250" s="116">
        <v>863.33333333333337</v>
      </c>
      <c r="F250" s="116">
        <v>1284.3</v>
      </c>
      <c r="G250">
        <v>161984</v>
      </c>
      <c r="H250" s="116"/>
      <c r="I250" s="116"/>
      <c r="L250" s="170">
        <v>42368</v>
      </c>
      <c r="M250" s="116">
        <v>855.66666666666663</v>
      </c>
      <c r="N250" s="116">
        <v>865.33333333333337</v>
      </c>
      <c r="O250" s="116">
        <v>854.33333333333337</v>
      </c>
      <c r="P250" s="116">
        <v>862.33333333333337</v>
      </c>
      <c r="Q250" s="116">
        <v>1283.5</v>
      </c>
      <c r="R250">
        <v>1207818</v>
      </c>
    </row>
    <row r="251" spans="1:18" x14ac:dyDescent="0.25">
      <c r="A251" s="170">
        <v>42369</v>
      </c>
      <c r="B251" s="116">
        <v>860</v>
      </c>
      <c r="C251" s="116">
        <v>850.43333333333339</v>
      </c>
      <c r="D251" s="116">
        <v>849</v>
      </c>
      <c r="E251" s="116">
        <v>858</v>
      </c>
      <c r="F251" s="116">
        <v>1275.6500000000001</v>
      </c>
      <c r="G251">
        <v>183676</v>
      </c>
      <c r="H251" s="116"/>
      <c r="I251" s="116"/>
      <c r="L251" s="170">
        <v>42369</v>
      </c>
      <c r="M251" s="116">
        <v>850.30000000000007</v>
      </c>
      <c r="N251" s="116">
        <v>857.69999999999993</v>
      </c>
      <c r="O251" s="116">
        <v>848.1</v>
      </c>
      <c r="P251" s="116">
        <v>857.33333333333337</v>
      </c>
      <c r="Q251" s="116">
        <v>1275.45</v>
      </c>
      <c r="R251">
        <v>1549912</v>
      </c>
    </row>
    <row r="252" spans="1:18" x14ac:dyDescent="0.25">
      <c r="A252" s="170">
        <v>42370</v>
      </c>
      <c r="B252" s="116">
        <v>860.66666666666663</v>
      </c>
      <c r="C252" s="116">
        <v>859.0333333333333</v>
      </c>
      <c r="D252" s="116">
        <v>848.5333333333333</v>
      </c>
      <c r="E252" s="116">
        <v>850.66666666666663</v>
      </c>
      <c r="F252" s="116">
        <v>1288.55</v>
      </c>
      <c r="G252">
        <v>165778</v>
      </c>
      <c r="H252" s="116"/>
      <c r="I252" s="116"/>
      <c r="L252" s="170">
        <v>42370</v>
      </c>
      <c r="M252" s="116">
        <v>859.4666666666667</v>
      </c>
      <c r="N252" s="116">
        <v>860.66666666666663</v>
      </c>
      <c r="O252" s="116">
        <v>848.36666666666667</v>
      </c>
      <c r="P252" s="116">
        <v>852.66666666666663</v>
      </c>
      <c r="Q252" s="116">
        <v>1289.2</v>
      </c>
      <c r="R252">
        <v>751822</v>
      </c>
    </row>
    <row r="253" spans="1:18" x14ac:dyDescent="0.25">
      <c r="A253" s="170">
        <v>42373</v>
      </c>
      <c r="B253" s="116">
        <v>860.83333333333337</v>
      </c>
      <c r="C253" s="116">
        <v>836.9</v>
      </c>
      <c r="D253" s="116">
        <v>835</v>
      </c>
      <c r="E253" s="116">
        <v>860</v>
      </c>
      <c r="F253" s="116">
        <v>1255.3499999999999</v>
      </c>
      <c r="G253">
        <v>275672</v>
      </c>
      <c r="H253" s="116"/>
      <c r="I253" s="116"/>
      <c r="L253" s="170">
        <v>42373</v>
      </c>
      <c r="M253" s="116">
        <v>837.30000000000007</v>
      </c>
      <c r="N253" s="116">
        <v>859.9666666666667</v>
      </c>
      <c r="O253" s="116">
        <v>835.5333333333333</v>
      </c>
      <c r="P253" s="116">
        <v>857.33333333333337</v>
      </c>
      <c r="Q253" s="116">
        <v>1255.95</v>
      </c>
      <c r="R253">
        <v>1844842</v>
      </c>
    </row>
    <row r="254" spans="1:18" x14ac:dyDescent="0.25">
      <c r="A254" s="170">
        <v>42374</v>
      </c>
      <c r="B254" s="116">
        <v>846</v>
      </c>
      <c r="C254" s="116">
        <v>838.23333333333323</v>
      </c>
      <c r="D254" s="116">
        <v>835.83333333333337</v>
      </c>
      <c r="E254" s="116">
        <v>843.33333333333337</v>
      </c>
      <c r="F254" s="116">
        <v>1257.3499999999999</v>
      </c>
      <c r="G254">
        <v>209107</v>
      </c>
      <c r="H254" s="116"/>
      <c r="I254" s="116"/>
      <c r="L254" s="170">
        <v>42374</v>
      </c>
      <c r="M254" s="116">
        <v>837.93333333333339</v>
      </c>
      <c r="N254" s="116">
        <v>846</v>
      </c>
      <c r="O254" s="116">
        <v>835</v>
      </c>
      <c r="P254" s="116">
        <v>841.86666666666667</v>
      </c>
      <c r="Q254" s="116">
        <v>1256.9000000000001</v>
      </c>
      <c r="R254">
        <v>1646756</v>
      </c>
    </row>
    <row r="255" spans="1:18" x14ac:dyDescent="0.25">
      <c r="A255" s="170">
        <v>42375</v>
      </c>
      <c r="B255" s="116">
        <v>840.66666666666663</v>
      </c>
      <c r="C255" s="116">
        <v>826.43333333333339</v>
      </c>
      <c r="D255" s="116">
        <v>824.66666666666663</v>
      </c>
      <c r="E255" s="116">
        <v>840</v>
      </c>
      <c r="F255" s="116">
        <v>1239.6500000000001</v>
      </c>
      <c r="G255">
        <v>298584</v>
      </c>
      <c r="H255" s="116"/>
      <c r="I255" s="116"/>
      <c r="L255" s="170">
        <v>42375</v>
      </c>
      <c r="M255" s="116">
        <v>824.56666666666661</v>
      </c>
      <c r="N255" s="116">
        <v>839.86666666666667</v>
      </c>
      <c r="O255" s="116">
        <v>823.33333333333337</v>
      </c>
      <c r="P255" s="116">
        <v>839.33333333333337</v>
      </c>
      <c r="Q255" s="116">
        <v>1236.8499999999999</v>
      </c>
      <c r="R255">
        <v>1819090</v>
      </c>
    </row>
    <row r="256" spans="1:18" x14ac:dyDescent="0.25">
      <c r="A256" s="170">
        <v>42376</v>
      </c>
      <c r="B256" s="116">
        <v>820</v>
      </c>
      <c r="C256" s="116">
        <v>804.19999999999993</v>
      </c>
      <c r="D256" s="116">
        <v>800</v>
      </c>
      <c r="E256" s="116">
        <v>817.4</v>
      </c>
      <c r="F256" s="116">
        <v>1206.3</v>
      </c>
      <c r="G256">
        <v>410282</v>
      </c>
      <c r="H256" s="116"/>
      <c r="I256" s="116"/>
      <c r="L256" s="170">
        <v>42376</v>
      </c>
      <c r="M256" s="116">
        <v>804.26666666666677</v>
      </c>
      <c r="N256" s="116">
        <v>818.9</v>
      </c>
      <c r="O256" s="116">
        <v>800</v>
      </c>
      <c r="P256" s="116">
        <v>818.76666666666677</v>
      </c>
      <c r="Q256" s="116">
        <v>1206.4000000000001</v>
      </c>
      <c r="R256">
        <v>3126507</v>
      </c>
    </row>
    <row r="257" spans="1:18" x14ac:dyDescent="0.25">
      <c r="A257" s="170">
        <v>42377</v>
      </c>
      <c r="B257" s="116">
        <v>811.33333333333337</v>
      </c>
      <c r="C257" s="116">
        <v>786.56666666666661</v>
      </c>
      <c r="D257" s="116">
        <v>783.43333333333339</v>
      </c>
      <c r="E257" s="116">
        <v>810</v>
      </c>
      <c r="F257" s="116">
        <v>1179.8499999999999</v>
      </c>
      <c r="G257">
        <v>478168</v>
      </c>
      <c r="H257" s="116"/>
      <c r="I257" s="116"/>
      <c r="L257" s="170">
        <v>42377</v>
      </c>
      <c r="M257" s="116">
        <v>786.06666666666661</v>
      </c>
      <c r="N257" s="116">
        <v>811.26666666666677</v>
      </c>
      <c r="O257" s="116">
        <v>783.33333333333337</v>
      </c>
      <c r="P257" s="116">
        <v>810.06666666666661</v>
      </c>
      <c r="Q257" s="116">
        <v>1179.0999999999999</v>
      </c>
      <c r="R257">
        <v>3570675</v>
      </c>
    </row>
    <row r="258" spans="1:18" x14ac:dyDescent="0.25">
      <c r="A258" s="170">
        <v>42380</v>
      </c>
      <c r="B258" s="116">
        <v>790</v>
      </c>
      <c r="C258" s="116">
        <v>783.19999999999993</v>
      </c>
      <c r="D258" s="116">
        <v>763.66666666666663</v>
      </c>
      <c r="E258" s="116">
        <v>778.66666666666663</v>
      </c>
      <c r="F258" s="116">
        <v>1174.8</v>
      </c>
      <c r="G258">
        <v>321261</v>
      </c>
      <c r="H258" s="116"/>
      <c r="I258" s="116"/>
      <c r="L258" s="170">
        <v>42380</v>
      </c>
      <c r="M258" s="116">
        <v>782.23333333333323</v>
      </c>
      <c r="N258" s="116">
        <v>789.93333333333339</v>
      </c>
      <c r="O258" s="116">
        <v>763.36666666666667</v>
      </c>
      <c r="P258" s="116">
        <v>774.66666666666663</v>
      </c>
      <c r="Q258" s="116">
        <v>1173.3499999999999</v>
      </c>
      <c r="R258">
        <v>2869522</v>
      </c>
    </row>
    <row r="259" spans="1:18" x14ac:dyDescent="0.25">
      <c r="A259" s="170">
        <v>42381</v>
      </c>
      <c r="B259" s="116">
        <v>799.9666666666667</v>
      </c>
      <c r="C259" s="116">
        <v>786.4</v>
      </c>
      <c r="D259" s="116">
        <v>782.66666666666663</v>
      </c>
      <c r="E259" s="116">
        <v>790</v>
      </c>
      <c r="F259" s="116">
        <v>1179.5999999999999</v>
      </c>
      <c r="G259">
        <v>274889</v>
      </c>
      <c r="H259" s="116"/>
      <c r="I259" s="116"/>
      <c r="L259" s="170">
        <v>42381</v>
      </c>
      <c r="M259" s="116">
        <v>786.1</v>
      </c>
      <c r="N259" s="116">
        <v>800</v>
      </c>
      <c r="O259" s="116">
        <v>782.16666666666663</v>
      </c>
      <c r="P259" s="116">
        <v>790.9</v>
      </c>
      <c r="Q259" s="116">
        <v>1179.1500000000001</v>
      </c>
      <c r="R259">
        <v>2730130</v>
      </c>
    </row>
    <row r="260" spans="1:18" x14ac:dyDescent="0.25">
      <c r="A260" s="170">
        <v>42382</v>
      </c>
      <c r="B260" s="116">
        <v>794.66666666666663</v>
      </c>
      <c r="C260" s="116">
        <v>771.86666666666667</v>
      </c>
      <c r="D260" s="116">
        <v>752.4666666666667</v>
      </c>
      <c r="E260" s="116">
        <v>794</v>
      </c>
      <c r="F260" s="116">
        <v>1157.8</v>
      </c>
      <c r="G260">
        <v>470919</v>
      </c>
      <c r="H260" s="116"/>
      <c r="I260" s="116"/>
      <c r="L260" s="170">
        <v>42382</v>
      </c>
      <c r="M260" s="116">
        <v>771.16666666666663</v>
      </c>
      <c r="N260" s="116">
        <v>796</v>
      </c>
      <c r="O260" s="116">
        <v>752.06666666666661</v>
      </c>
      <c r="P260" s="116">
        <v>796</v>
      </c>
      <c r="Q260" s="116">
        <v>1156.75</v>
      </c>
      <c r="R260">
        <v>3746626</v>
      </c>
    </row>
    <row r="261" spans="1:18" x14ac:dyDescent="0.25">
      <c r="A261" s="170">
        <v>42383</v>
      </c>
      <c r="B261" s="116">
        <v>772.0333333333333</v>
      </c>
      <c r="C261" s="116">
        <v>756.6</v>
      </c>
      <c r="D261" s="116">
        <v>740.76666666666677</v>
      </c>
      <c r="E261" s="116">
        <v>758.4666666666667</v>
      </c>
      <c r="F261" s="116">
        <v>1134.9000000000001</v>
      </c>
      <c r="G261">
        <v>462676</v>
      </c>
      <c r="H261" s="116"/>
      <c r="I261" s="116"/>
      <c r="L261" s="170">
        <v>42383</v>
      </c>
      <c r="M261" s="116">
        <v>756.43333333333339</v>
      </c>
      <c r="N261" s="116">
        <v>770</v>
      </c>
      <c r="O261" s="116">
        <v>740.06666666666661</v>
      </c>
      <c r="P261" s="116">
        <v>756.26666666666677</v>
      </c>
      <c r="Q261" s="116">
        <v>1134.6500000000001</v>
      </c>
      <c r="R261">
        <v>3399812</v>
      </c>
    </row>
    <row r="262" spans="1:18" x14ac:dyDescent="0.25">
      <c r="A262" s="170">
        <v>42384</v>
      </c>
      <c r="B262" s="116">
        <v>761.33333333333337</v>
      </c>
      <c r="C262" s="116">
        <v>737.36666666666667</v>
      </c>
      <c r="D262" s="116">
        <v>733.33333333333337</v>
      </c>
      <c r="E262" s="116">
        <v>761.33333333333337</v>
      </c>
      <c r="F262" s="116">
        <v>1106.05</v>
      </c>
      <c r="G262">
        <v>367749</v>
      </c>
      <c r="H262" s="116"/>
      <c r="I262" s="116"/>
      <c r="L262" s="170">
        <v>42384</v>
      </c>
      <c r="M262" s="116">
        <v>738.6</v>
      </c>
      <c r="N262" s="116">
        <v>761</v>
      </c>
      <c r="O262" s="116">
        <v>733.33333333333337</v>
      </c>
      <c r="P262" s="116">
        <v>759.93333333333339</v>
      </c>
      <c r="Q262" s="116">
        <v>1107.9000000000001</v>
      </c>
      <c r="R262">
        <v>2658578</v>
      </c>
    </row>
    <row r="263" spans="1:18" x14ac:dyDescent="0.25">
      <c r="A263" s="170">
        <v>42387</v>
      </c>
      <c r="B263" s="116">
        <v>739.43333333333339</v>
      </c>
      <c r="C263" s="116">
        <v>721.93333333333339</v>
      </c>
      <c r="D263" s="116">
        <v>716.93333333333339</v>
      </c>
      <c r="E263" s="116">
        <v>737.36666666666667</v>
      </c>
      <c r="F263" s="116">
        <v>1082.9000000000001</v>
      </c>
      <c r="G263">
        <v>301288</v>
      </c>
      <c r="H263" s="116"/>
      <c r="I263" s="116"/>
      <c r="L263" s="170">
        <v>42387</v>
      </c>
      <c r="M263" s="116">
        <v>722.36666666666667</v>
      </c>
      <c r="N263" s="116">
        <v>740</v>
      </c>
      <c r="O263" s="116">
        <v>716</v>
      </c>
      <c r="P263" s="116">
        <v>737.33333333333337</v>
      </c>
      <c r="Q263" s="116">
        <v>1083.55</v>
      </c>
      <c r="R263">
        <v>2777755</v>
      </c>
    </row>
    <row r="264" spans="1:18" x14ac:dyDescent="0.25">
      <c r="A264" s="170">
        <v>42388</v>
      </c>
      <c r="B264" s="116">
        <v>753.33333333333337</v>
      </c>
      <c r="C264" s="116">
        <v>748.4666666666667</v>
      </c>
      <c r="D264" s="116">
        <v>713.33333333333337</v>
      </c>
      <c r="E264" s="116">
        <v>722.6</v>
      </c>
      <c r="F264" s="116">
        <v>1122.7</v>
      </c>
      <c r="G264">
        <v>341885</v>
      </c>
      <c r="H264" s="116"/>
      <c r="I264" s="116"/>
      <c r="L264" s="170">
        <v>42388</v>
      </c>
      <c r="M264" s="116">
        <v>748.63333333333333</v>
      </c>
      <c r="N264" s="116">
        <v>755</v>
      </c>
      <c r="O264" s="116">
        <v>712.73333333333323</v>
      </c>
      <c r="P264" s="116">
        <v>722.86666666666667</v>
      </c>
      <c r="Q264" s="116">
        <v>1122.95</v>
      </c>
      <c r="R264">
        <v>2915024</v>
      </c>
    </row>
    <row r="265" spans="1:18" x14ac:dyDescent="0.25">
      <c r="A265" s="170">
        <v>42389</v>
      </c>
      <c r="B265" s="116">
        <v>746.63333333333333</v>
      </c>
      <c r="C265" s="116">
        <v>742.06666666666661</v>
      </c>
      <c r="D265" s="116">
        <v>718.93333333333339</v>
      </c>
      <c r="E265" s="116">
        <v>735.93333333333339</v>
      </c>
      <c r="F265" s="116">
        <v>1113.0999999999999</v>
      </c>
      <c r="G265">
        <v>354872</v>
      </c>
      <c r="H265" s="116"/>
      <c r="I265" s="116"/>
      <c r="L265" s="170">
        <v>42389</v>
      </c>
      <c r="M265" s="116">
        <v>744.06666666666661</v>
      </c>
      <c r="N265" s="116">
        <v>748.33333333333337</v>
      </c>
      <c r="O265" s="116">
        <v>718.23333333333323</v>
      </c>
      <c r="P265" s="116">
        <v>733.9666666666667</v>
      </c>
      <c r="Q265" s="116">
        <v>1116.0999999999999</v>
      </c>
      <c r="R265">
        <v>3904503</v>
      </c>
    </row>
    <row r="266" spans="1:18" x14ac:dyDescent="0.25">
      <c r="A266" s="170">
        <v>42390</v>
      </c>
      <c r="B266" s="116">
        <v>758.6</v>
      </c>
      <c r="C266" s="116">
        <v>734.86666666666667</v>
      </c>
      <c r="D266" s="116">
        <v>728</v>
      </c>
      <c r="E266" s="116">
        <v>750.19999999999993</v>
      </c>
      <c r="F266" s="116">
        <v>1102.3</v>
      </c>
      <c r="G266">
        <v>325195</v>
      </c>
      <c r="H266" s="116"/>
      <c r="I266" s="116"/>
      <c r="L266" s="170">
        <v>42390</v>
      </c>
      <c r="M266" s="116">
        <v>735.13333333333333</v>
      </c>
      <c r="N266" s="116">
        <v>758.4</v>
      </c>
      <c r="O266" s="116">
        <v>727.4</v>
      </c>
      <c r="P266" s="116">
        <v>753.33333333333337</v>
      </c>
      <c r="Q266" s="116">
        <v>1102.7</v>
      </c>
      <c r="R266">
        <v>2534708</v>
      </c>
    </row>
    <row r="267" spans="1:18" x14ac:dyDescent="0.25">
      <c r="A267" s="170">
        <v>42391</v>
      </c>
      <c r="B267" s="116">
        <v>763.33333333333337</v>
      </c>
      <c r="C267" s="116">
        <v>761.33333333333337</v>
      </c>
      <c r="D267" s="116">
        <v>740.19999999999993</v>
      </c>
      <c r="E267" s="116">
        <v>742.19999999999993</v>
      </c>
      <c r="F267" s="116">
        <v>1142</v>
      </c>
      <c r="G267">
        <v>254779</v>
      </c>
      <c r="H267" s="116"/>
      <c r="I267" s="116"/>
      <c r="L267" s="170">
        <v>42391</v>
      </c>
      <c r="M267" s="116">
        <v>761.4666666666667</v>
      </c>
      <c r="N267" s="116">
        <v>763.33333333333337</v>
      </c>
      <c r="O267" s="116">
        <v>740.19999999999993</v>
      </c>
      <c r="P267" s="116">
        <v>743.93333333333339</v>
      </c>
      <c r="Q267" s="116">
        <v>1142.2</v>
      </c>
      <c r="R267">
        <v>2463246</v>
      </c>
    </row>
    <row r="268" spans="1:18" x14ac:dyDescent="0.25">
      <c r="A268" s="170">
        <v>42394</v>
      </c>
      <c r="B268" s="116">
        <v>772.1</v>
      </c>
      <c r="C268" s="116">
        <v>742.56666666666661</v>
      </c>
      <c r="D268" s="116">
        <v>740</v>
      </c>
      <c r="E268" s="116">
        <v>766.86666666666667</v>
      </c>
      <c r="F268" s="116">
        <v>1113.8499999999999</v>
      </c>
      <c r="G268">
        <v>259350</v>
      </c>
      <c r="H268" s="116"/>
      <c r="I268" s="116"/>
      <c r="L268" s="170">
        <v>42394</v>
      </c>
      <c r="M268" s="116">
        <v>742.76666666666677</v>
      </c>
      <c r="N268" s="116">
        <v>771.9</v>
      </c>
      <c r="O268" s="116">
        <v>739.26666666666677</v>
      </c>
      <c r="P268" s="116">
        <v>767.33333333333337</v>
      </c>
      <c r="Q268" s="116">
        <v>1114.1500000000001</v>
      </c>
      <c r="R268">
        <v>1648544</v>
      </c>
    </row>
    <row r="269" spans="1:18" x14ac:dyDescent="0.25">
      <c r="A269" s="170">
        <v>42396</v>
      </c>
      <c r="B269" s="116">
        <v>747.9666666666667</v>
      </c>
      <c r="C269" s="116">
        <v>738.19999999999993</v>
      </c>
      <c r="D269" s="116">
        <v>732.26666666666677</v>
      </c>
      <c r="E269" s="116">
        <v>746.4666666666667</v>
      </c>
      <c r="F269" s="116">
        <v>1107.3</v>
      </c>
      <c r="G269">
        <v>193076</v>
      </c>
      <c r="H269" s="116"/>
      <c r="I269" s="116"/>
      <c r="L269" s="170">
        <v>42396</v>
      </c>
      <c r="M269" s="116">
        <v>738.5333333333333</v>
      </c>
      <c r="N269" s="116">
        <v>748</v>
      </c>
      <c r="O269" s="116">
        <v>731.76666666666677</v>
      </c>
      <c r="P269" s="116">
        <v>748</v>
      </c>
      <c r="Q269" s="116">
        <v>1107.8</v>
      </c>
      <c r="R269">
        <v>1745430</v>
      </c>
    </row>
    <row r="270" spans="1:18" x14ac:dyDescent="0.25">
      <c r="A270" s="170">
        <v>42397</v>
      </c>
      <c r="B270" s="116">
        <v>738.19999999999993</v>
      </c>
      <c r="C270" s="116">
        <v>718.1</v>
      </c>
      <c r="D270" s="116">
        <v>714.80000000000007</v>
      </c>
      <c r="E270" s="116">
        <v>738.19999999999993</v>
      </c>
      <c r="F270" s="116">
        <v>1077.1500000000001</v>
      </c>
      <c r="G270">
        <v>379613</v>
      </c>
      <c r="H270" s="116"/>
      <c r="I270" s="116"/>
      <c r="L270" s="170">
        <v>42397</v>
      </c>
      <c r="M270" s="116">
        <v>716.33333333333337</v>
      </c>
      <c r="N270" s="116">
        <v>735.66666666666663</v>
      </c>
      <c r="O270" s="116">
        <v>713.33333333333337</v>
      </c>
      <c r="P270" s="116">
        <v>734</v>
      </c>
      <c r="Q270" s="116">
        <v>1074.5</v>
      </c>
      <c r="R270">
        <v>3863151</v>
      </c>
    </row>
    <row r="271" spans="1:18" x14ac:dyDescent="0.25">
      <c r="A271" s="170">
        <v>42398</v>
      </c>
      <c r="B271" s="116">
        <v>738.66666666666663</v>
      </c>
      <c r="C271" s="116">
        <v>734.80000000000007</v>
      </c>
      <c r="D271" s="116">
        <v>713.36666666666667</v>
      </c>
      <c r="E271" s="116">
        <v>714.66666666666663</v>
      </c>
      <c r="F271" s="116">
        <v>1102.2</v>
      </c>
      <c r="G271">
        <v>399107</v>
      </c>
      <c r="H271" s="116"/>
      <c r="I271" s="116"/>
      <c r="L271" s="170">
        <v>42398</v>
      </c>
      <c r="M271" s="116">
        <v>734.43333333333339</v>
      </c>
      <c r="N271" s="116">
        <v>739.33333333333337</v>
      </c>
      <c r="O271" s="116">
        <v>713.4666666666667</v>
      </c>
      <c r="P271" s="116">
        <v>716</v>
      </c>
      <c r="Q271" s="116">
        <v>1101.6500000000001</v>
      </c>
      <c r="R271">
        <v>3232658</v>
      </c>
    </row>
    <row r="272" spans="1:18" x14ac:dyDescent="0.25">
      <c r="A272" s="170">
        <v>42401</v>
      </c>
      <c r="B272" s="116">
        <v>772.66666666666663</v>
      </c>
      <c r="C272" s="116">
        <v>748.1</v>
      </c>
      <c r="D272" s="116">
        <v>740.66666666666663</v>
      </c>
      <c r="E272" s="116">
        <v>750</v>
      </c>
      <c r="F272" s="116">
        <v>1122.1500000000001</v>
      </c>
      <c r="G272">
        <v>471366</v>
      </c>
      <c r="H272" s="116"/>
      <c r="I272" s="116"/>
      <c r="L272" s="170">
        <v>42401</v>
      </c>
      <c r="M272" s="116">
        <v>748.0333333333333</v>
      </c>
      <c r="N272" s="116">
        <v>772.63333333333333</v>
      </c>
      <c r="O272" s="116">
        <v>740.06666666666661</v>
      </c>
      <c r="P272" s="116">
        <v>750</v>
      </c>
      <c r="Q272" s="116">
        <v>1122.05</v>
      </c>
      <c r="R272">
        <v>4702634</v>
      </c>
    </row>
    <row r="273" spans="1:18" x14ac:dyDescent="0.25">
      <c r="A273" s="170">
        <v>42402</v>
      </c>
      <c r="B273" s="116">
        <v>762.63333333333333</v>
      </c>
      <c r="C273" s="116">
        <v>747.73333333333323</v>
      </c>
      <c r="D273" s="116">
        <v>740.4</v>
      </c>
      <c r="E273" s="116">
        <v>750.66666666666663</v>
      </c>
      <c r="F273" s="116">
        <v>1121.5999999999999</v>
      </c>
      <c r="G273">
        <v>297747</v>
      </c>
      <c r="H273" s="116"/>
      <c r="I273" s="116"/>
      <c r="L273" s="170">
        <v>42402</v>
      </c>
      <c r="M273" s="116">
        <v>747.93333333333339</v>
      </c>
      <c r="N273" s="116">
        <v>763.33333333333337</v>
      </c>
      <c r="O273" s="116">
        <v>740.66666666666663</v>
      </c>
      <c r="P273" s="116">
        <v>749.33333333333337</v>
      </c>
      <c r="Q273" s="116">
        <v>1121.9000000000001</v>
      </c>
      <c r="R273">
        <v>3003762</v>
      </c>
    </row>
    <row r="274" spans="1:18" x14ac:dyDescent="0.25">
      <c r="A274" s="170">
        <v>42403</v>
      </c>
      <c r="B274" s="116">
        <v>744.23333333333323</v>
      </c>
      <c r="C274" s="116">
        <v>738.30000000000007</v>
      </c>
      <c r="D274" s="116">
        <v>729.33333333333337</v>
      </c>
      <c r="E274" s="116">
        <v>740</v>
      </c>
      <c r="F274" s="116">
        <v>1107.45</v>
      </c>
      <c r="G274">
        <v>229476</v>
      </c>
      <c r="H274" s="116"/>
      <c r="I274" s="116"/>
      <c r="L274" s="170">
        <v>42403</v>
      </c>
      <c r="M274" s="116">
        <v>739.19999999999993</v>
      </c>
      <c r="N274" s="116">
        <v>746.66666666666663</v>
      </c>
      <c r="O274" s="116">
        <v>728.19999999999993</v>
      </c>
      <c r="P274" s="116">
        <v>737.86666666666667</v>
      </c>
      <c r="Q274" s="116">
        <v>1108.8</v>
      </c>
      <c r="R274">
        <v>2487730</v>
      </c>
    </row>
    <row r="275" spans="1:18" x14ac:dyDescent="0.25">
      <c r="A275" s="170">
        <v>42404</v>
      </c>
      <c r="B275" s="116">
        <v>766.4666666666667</v>
      </c>
      <c r="C275" s="116">
        <v>757.36666666666667</v>
      </c>
      <c r="D275" s="116">
        <v>744.66666666666663</v>
      </c>
      <c r="E275" s="116">
        <v>750</v>
      </c>
      <c r="F275" s="116">
        <v>1136.05</v>
      </c>
      <c r="G275">
        <v>328735</v>
      </c>
      <c r="H275" s="116"/>
      <c r="I275" s="116"/>
      <c r="L275" s="170">
        <v>42404</v>
      </c>
      <c r="M275" s="116">
        <v>757.13333333333333</v>
      </c>
      <c r="N275" s="116">
        <v>766.56666666666661</v>
      </c>
      <c r="O275" s="116">
        <v>745.4666666666667</v>
      </c>
      <c r="P275" s="116">
        <v>746</v>
      </c>
      <c r="Q275" s="116">
        <v>1135.7</v>
      </c>
      <c r="R275">
        <v>3971033</v>
      </c>
    </row>
    <row r="276" spans="1:18" x14ac:dyDescent="0.25">
      <c r="A276" s="170">
        <v>42405</v>
      </c>
      <c r="B276" s="116">
        <v>767.33333333333337</v>
      </c>
      <c r="C276" s="116">
        <v>759.76666666666677</v>
      </c>
      <c r="D276" s="116">
        <v>751.76666666666677</v>
      </c>
      <c r="E276" s="116">
        <v>758</v>
      </c>
      <c r="F276" s="116">
        <v>1139.6500000000001</v>
      </c>
      <c r="G276">
        <v>241754</v>
      </c>
      <c r="H276" s="116"/>
      <c r="I276" s="116"/>
      <c r="L276" s="170">
        <v>42405</v>
      </c>
      <c r="M276" s="116">
        <v>759.93333333333339</v>
      </c>
      <c r="N276" s="116">
        <v>768</v>
      </c>
      <c r="O276" s="116">
        <v>751.0333333333333</v>
      </c>
      <c r="P276" s="116">
        <v>761.19999999999993</v>
      </c>
      <c r="Q276" s="116">
        <v>1139.9000000000001</v>
      </c>
      <c r="R276">
        <v>2667253</v>
      </c>
    </row>
    <row r="277" spans="1:18" x14ac:dyDescent="0.25">
      <c r="A277" s="170">
        <v>42408</v>
      </c>
      <c r="B277" s="116">
        <v>771.5</v>
      </c>
      <c r="C277" s="116">
        <v>753.5</v>
      </c>
      <c r="D277" s="116">
        <v>747.36666666666667</v>
      </c>
      <c r="E277" s="116">
        <v>759.33333333333337</v>
      </c>
      <c r="F277" s="116">
        <v>1130.25</v>
      </c>
      <c r="G277">
        <v>207805</v>
      </c>
      <c r="H277" s="116"/>
      <c r="I277" s="116"/>
      <c r="L277" s="170">
        <v>42408</v>
      </c>
      <c r="M277" s="116">
        <v>753.5333333333333</v>
      </c>
      <c r="N277" s="116">
        <v>771.9</v>
      </c>
      <c r="O277" s="116">
        <v>746.93333333333339</v>
      </c>
      <c r="P277" s="116">
        <v>760.66666666666663</v>
      </c>
      <c r="Q277" s="116">
        <v>1130.3</v>
      </c>
      <c r="R277">
        <v>1692831</v>
      </c>
    </row>
    <row r="278" spans="1:18" x14ac:dyDescent="0.25">
      <c r="A278" s="170">
        <v>42409</v>
      </c>
      <c r="B278" s="116">
        <v>751.73333333333323</v>
      </c>
      <c r="C278" s="116">
        <v>742.9666666666667</v>
      </c>
      <c r="D278" s="116">
        <v>735.36666666666667</v>
      </c>
      <c r="E278" s="116">
        <v>747.33333333333337</v>
      </c>
      <c r="F278" s="116">
        <v>1114.45</v>
      </c>
      <c r="G278">
        <v>177494</v>
      </c>
      <c r="H278" s="116"/>
      <c r="I278" s="116"/>
      <c r="L278" s="170">
        <v>42409</v>
      </c>
      <c r="M278" s="116">
        <v>742.80000000000007</v>
      </c>
      <c r="N278" s="116">
        <v>751.9666666666667</v>
      </c>
      <c r="O278" s="116">
        <v>734.93333333333339</v>
      </c>
      <c r="P278" s="116">
        <v>743.33333333333337</v>
      </c>
      <c r="Q278" s="116">
        <v>1114.2</v>
      </c>
      <c r="R278">
        <v>1682083</v>
      </c>
    </row>
    <row r="279" spans="1:18" x14ac:dyDescent="0.25">
      <c r="A279" s="170">
        <v>42410</v>
      </c>
      <c r="B279" s="116">
        <v>753.30000000000007</v>
      </c>
      <c r="C279" s="116">
        <v>748.4</v>
      </c>
      <c r="D279" s="116">
        <v>736.26666666666677</v>
      </c>
      <c r="E279" s="116">
        <v>739.76666666666677</v>
      </c>
      <c r="F279" s="116">
        <v>1122.5999999999999</v>
      </c>
      <c r="G279">
        <v>209108</v>
      </c>
      <c r="H279" s="116"/>
      <c r="I279" s="116"/>
      <c r="L279" s="170">
        <v>42410</v>
      </c>
      <c r="M279" s="116">
        <v>747.06666666666661</v>
      </c>
      <c r="N279" s="116">
        <v>753.33333333333337</v>
      </c>
      <c r="O279" s="116">
        <v>735.33333333333337</v>
      </c>
      <c r="P279" s="116">
        <v>738.4666666666667</v>
      </c>
      <c r="Q279" s="116">
        <v>1120.5999999999999</v>
      </c>
      <c r="R279">
        <v>2135918</v>
      </c>
    </row>
    <row r="280" spans="1:18" x14ac:dyDescent="0.25">
      <c r="A280" s="170">
        <v>42411</v>
      </c>
      <c r="B280" s="116">
        <v>749.6</v>
      </c>
      <c r="C280" s="116">
        <v>728.19999999999993</v>
      </c>
      <c r="D280" s="116">
        <v>719.33333333333337</v>
      </c>
      <c r="E280" s="116">
        <v>745.33333333333337</v>
      </c>
      <c r="F280" s="116">
        <v>1092.3</v>
      </c>
      <c r="G280">
        <v>344431</v>
      </c>
      <c r="H280" s="116"/>
      <c r="I280" s="116"/>
      <c r="L280" s="170">
        <v>42411</v>
      </c>
      <c r="M280" s="116">
        <v>728.26666666666677</v>
      </c>
      <c r="N280" s="116">
        <v>750.16666666666663</v>
      </c>
      <c r="O280" s="116">
        <v>719.33333333333337</v>
      </c>
      <c r="P280" s="116">
        <v>745.80000000000007</v>
      </c>
      <c r="Q280" s="116">
        <v>1092.4000000000001</v>
      </c>
      <c r="R280">
        <v>2930014</v>
      </c>
    </row>
    <row r="281" spans="1:18" x14ac:dyDescent="0.25">
      <c r="A281" s="170">
        <v>42412</v>
      </c>
      <c r="B281" s="116">
        <v>735.4666666666667</v>
      </c>
      <c r="C281" s="116">
        <v>702.4666666666667</v>
      </c>
      <c r="D281" s="116">
        <v>677.73333333333335</v>
      </c>
      <c r="E281" s="116">
        <v>733.33333333333337</v>
      </c>
      <c r="F281" s="116">
        <v>1053.7</v>
      </c>
      <c r="G281">
        <v>643632</v>
      </c>
      <c r="H281" s="116"/>
      <c r="I281" s="116"/>
      <c r="L281" s="170">
        <v>42412</v>
      </c>
      <c r="M281" s="116">
        <v>702.43333333333339</v>
      </c>
      <c r="N281" s="116">
        <v>735</v>
      </c>
      <c r="O281" s="116">
        <v>677.36666666666667</v>
      </c>
      <c r="P281" s="116">
        <v>733.06666666666661</v>
      </c>
      <c r="Q281" s="116">
        <v>1053.6500000000001</v>
      </c>
      <c r="R281">
        <v>4106827</v>
      </c>
    </row>
    <row r="282" spans="1:18" x14ac:dyDescent="0.25">
      <c r="A282" s="170">
        <v>42415</v>
      </c>
      <c r="B282" s="116">
        <v>769.80000000000007</v>
      </c>
      <c r="C282" s="116">
        <v>766.1</v>
      </c>
      <c r="D282" s="116">
        <v>711.9666666666667</v>
      </c>
      <c r="E282" s="116">
        <v>716.6</v>
      </c>
      <c r="F282" s="116">
        <v>1149.1500000000001</v>
      </c>
      <c r="G282">
        <v>389378</v>
      </c>
      <c r="H282" s="116"/>
      <c r="I282" s="116"/>
      <c r="L282" s="170">
        <v>42415</v>
      </c>
      <c r="M282" s="116">
        <v>766.26666666666677</v>
      </c>
      <c r="N282" s="116">
        <v>769.80000000000007</v>
      </c>
      <c r="O282" s="116">
        <v>709.69999999999993</v>
      </c>
      <c r="P282" s="116">
        <v>714.86666666666667</v>
      </c>
      <c r="Q282" s="116">
        <v>1149.4000000000001</v>
      </c>
      <c r="R282">
        <v>3959484</v>
      </c>
    </row>
    <row r="283" spans="1:18" x14ac:dyDescent="0.25">
      <c r="A283" s="170">
        <v>42416</v>
      </c>
      <c r="B283" s="116">
        <v>776.66666666666663</v>
      </c>
      <c r="C283" s="116">
        <v>738.6</v>
      </c>
      <c r="D283" s="116">
        <v>734.06666666666661</v>
      </c>
      <c r="E283" s="116">
        <v>772.13333333333333</v>
      </c>
      <c r="F283" s="116">
        <v>1107.9000000000001</v>
      </c>
      <c r="G283">
        <v>259651</v>
      </c>
      <c r="H283" s="116"/>
      <c r="I283" s="116"/>
      <c r="L283" s="170">
        <v>42416</v>
      </c>
      <c r="M283" s="116">
        <v>736</v>
      </c>
      <c r="N283" s="116">
        <v>771.93333333333339</v>
      </c>
      <c r="O283" s="116">
        <v>732.86666666666667</v>
      </c>
      <c r="P283" s="116">
        <v>771.93333333333339</v>
      </c>
      <c r="Q283" s="116">
        <v>1104</v>
      </c>
      <c r="R283">
        <v>2365827</v>
      </c>
    </row>
    <row r="284" spans="1:18" x14ac:dyDescent="0.25">
      <c r="A284" s="170">
        <v>42417</v>
      </c>
      <c r="B284" s="116">
        <v>755.4</v>
      </c>
      <c r="C284" s="116">
        <v>748.1</v>
      </c>
      <c r="D284" s="116">
        <v>721.76666666666677</v>
      </c>
      <c r="E284" s="116">
        <v>739.93333333333339</v>
      </c>
      <c r="F284" s="116">
        <v>1122.1500000000001</v>
      </c>
      <c r="G284">
        <v>322133</v>
      </c>
      <c r="H284" s="116"/>
      <c r="I284" s="116"/>
      <c r="L284" s="170">
        <v>42417</v>
      </c>
      <c r="M284" s="116">
        <v>748.30000000000007</v>
      </c>
      <c r="N284" s="116">
        <v>755.80000000000007</v>
      </c>
      <c r="O284" s="116">
        <v>721.43333333333339</v>
      </c>
      <c r="P284" s="116">
        <v>737.06666666666661</v>
      </c>
      <c r="Q284" s="116">
        <v>1122.45</v>
      </c>
      <c r="R284">
        <v>2319608</v>
      </c>
    </row>
    <row r="285" spans="1:18" x14ac:dyDescent="0.25">
      <c r="A285" s="170">
        <v>42418</v>
      </c>
      <c r="B285" s="116">
        <v>783.1</v>
      </c>
      <c r="C285" s="116">
        <v>766.16666666666663</v>
      </c>
      <c r="D285" s="116">
        <v>755.36666666666667</v>
      </c>
      <c r="E285" s="116">
        <v>756.66666666666663</v>
      </c>
      <c r="F285" s="116">
        <v>1149.25</v>
      </c>
      <c r="G285">
        <v>408878</v>
      </c>
      <c r="H285" s="116"/>
      <c r="I285" s="116"/>
      <c r="L285" s="170">
        <v>42418</v>
      </c>
      <c r="M285" s="116">
        <v>766.43333333333339</v>
      </c>
      <c r="N285" s="116">
        <v>783.30000000000007</v>
      </c>
      <c r="O285" s="116">
        <v>755.33333333333337</v>
      </c>
      <c r="P285" s="116">
        <v>756.26666666666677</v>
      </c>
      <c r="Q285" s="116">
        <v>1149.6500000000001</v>
      </c>
      <c r="R285">
        <v>3638112</v>
      </c>
    </row>
    <row r="286" spans="1:18" x14ac:dyDescent="0.25">
      <c r="A286" s="170">
        <v>42419</v>
      </c>
      <c r="B286" s="116">
        <v>779.13333333333333</v>
      </c>
      <c r="C286" s="116">
        <v>767.5</v>
      </c>
      <c r="D286" s="116">
        <v>754.63333333333333</v>
      </c>
      <c r="E286" s="116">
        <v>765.9666666666667</v>
      </c>
      <c r="F286" s="116">
        <v>1151.25</v>
      </c>
      <c r="G286">
        <v>204963</v>
      </c>
      <c r="H286" s="116"/>
      <c r="I286" s="116"/>
      <c r="L286" s="170">
        <v>42419</v>
      </c>
      <c r="M286" s="116">
        <v>767</v>
      </c>
      <c r="N286" s="116">
        <v>779.26666666666677</v>
      </c>
      <c r="O286" s="116">
        <v>754.26666666666677</v>
      </c>
      <c r="P286" s="116">
        <v>764.1</v>
      </c>
      <c r="Q286" s="116">
        <v>1150.5</v>
      </c>
      <c r="R286">
        <v>2024596</v>
      </c>
    </row>
    <row r="287" spans="1:18" x14ac:dyDescent="0.25">
      <c r="A287" s="170">
        <v>42422</v>
      </c>
      <c r="B287" s="116">
        <v>778.66666666666663</v>
      </c>
      <c r="C287" s="116">
        <v>766.9666666666667</v>
      </c>
      <c r="D287" s="116">
        <v>761.4</v>
      </c>
      <c r="E287" s="116">
        <v>769.26666666666677</v>
      </c>
      <c r="F287" s="116">
        <v>1150.45</v>
      </c>
      <c r="G287">
        <v>146084</v>
      </c>
      <c r="H287" s="116"/>
      <c r="I287" s="116"/>
      <c r="L287" s="170">
        <v>42422</v>
      </c>
      <c r="M287" s="116">
        <v>766.5</v>
      </c>
      <c r="N287" s="116">
        <v>778.83333333333337</v>
      </c>
      <c r="O287" s="116">
        <v>760.13333333333333</v>
      </c>
      <c r="P287" s="116">
        <v>766.66666666666663</v>
      </c>
      <c r="Q287" s="116">
        <v>1149.75</v>
      </c>
      <c r="R287">
        <v>1369654</v>
      </c>
    </row>
    <row r="288" spans="1:18" x14ac:dyDescent="0.25">
      <c r="A288" s="170">
        <v>42423</v>
      </c>
      <c r="B288" s="116">
        <v>771.43333333333339</v>
      </c>
      <c r="C288" s="116">
        <v>753.4</v>
      </c>
      <c r="D288" s="116">
        <v>750.43333333333339</v>
      </c>
      <c r="E288" s="116">
        <v>770</v>
      </c>
      <c r="F288" s="116">
        <v>1130.0999999999999</v>
      </c>
      <c r="G288">
        <v>177043</v>
      </c>
      <c r="H288" s="116"/>
      <c r="I288" s="116"/>
      <c r="L288" s="170">
        <v>42423</v>
      </c>
      <c r="M288" s="116">
        <v>753.43333333333339</v>
      </c>
      <c r="N288" s="116">
        <v>770.66666666666663</v>
      </c>
      <c r="O288" s="116">
        <v>750.06666666666661</v>
      </c>
      <c r="P288" s="116">
        <v>770.16666666666663</v>
      </c>
      <c r="Q288" s="116">
        <v>1130.1500000000001</v>
      </c>
      <c r="R288">
        <v>1363786</v>
      </c>
    </row>
    <row r="289" spans="1:18" x14ac:dyDescent="0.25">
      <c r="A289" s="170">
        <v>42424</v>
      </c>
      <c r="B289" s="116">
        <v>753.33333333333337</v>
      </c>
      <c r="C289" s="116">
        <v>742.16666666666663</v>
      </c>
      <c r="D289" s="116">
        <v>740</v>
      </c>
      <c r="E289" s="116">
        <v>750</v>
      </c>
      <c r="F289" s="116">
        <v>1113.25</v>
      </c>
      <c r="G289">
        <v>135621</v>
      </c>
      <c r="H289" s="116"/>
      <c r="I289" s="116"/>
      <c r="L289" s="170">
        <v>42424</v>
      </c>
      <c r="M289" s="116">
        <v>741.93333333333339</v>
      </c>
      <c r="N289" s="116">
        <v>753.33333333333337</v>
      </c>
      <c r="O289" s="116">
        <v>740</v>
      </c>
      <c r="P289" s="116">
        <v>748</v>
      </c>
      <c r="Q289" s="116">
        <v>1112.9000000000001</v>
      </c>
      <c r="R289">
        <v>1210767</v>
      </c>
    </row>
    <row r="290" spans="1:18" x14ac:dyDescent="0.25">
      <c r="A290" s="170">
        <v>42425</v>
      </c>
      <c r="B290" s="116">
        <v>746.80000000000007</v>
      </c>
      <c r="C290" s="116">
        <v>724.6</v>
      </c>
      <c r="D290" s="116">
        <v>721.66666666666663</v>
      </c>
      <c r="E290" s="116">
        <v>744</v>
      </c>
      <c r="F290" s="116">
        <v>1086.9000000000001</v>
      </c>
      <c r="G290">
        <v>193783</v>
      </c>
      <c r="H290" s="116"/>
      <c r="I290" s="116"/>
      <c r="L290" s="170">
        <v>42425</v>
      </c>
      <c r="M290" s="116">
        <v>724.30000000000007</v>
      </c>
      <c r="N290" s="116">
        <v>746.66666666666663</v>
      </c>
      <c r="O290" s="116">
        <v>721.33333333333337</v>
      </c>
      <c r="P290" s="116">
        <v>745.33333333333337</v>
      </c>
      <c r="Q290" s="116">
        <v>1086.45</v>
      </c>
      <c r="R290">
        <v>1770188</v>
      </c>
    </row>
    <row r="291" spans="1:18" x14ac:dyDescent="0.25">
      <c r="A291" s="170">
        <v>42426</v>
      </c>
      <c r="B291" s="116">
        <v>744.23333333333323</v>
      </c>
      <c r="C291" s="116">
        <v>740.4666666666667</v>
      </c>
      <c r="D291" s="116">
        <v>728.66666666666663</v>
      </c>
      <c r="E291" s="116">
        <v>731.33333333333337</v>
      </c>
      <c r="F291" s="116">
        <v>1110.7</v>
      </c>
      <c r="G291">
        <v>158641</v>
      </c>
      <c r="H291" s="116"/>
      <c r="I291" s="116"/>
      <c r="L291" s="170">
        <v>42426</v>
      </c>
      <c r="M291" s="116">
        <v>740.43333333333339</v>
      </c>
      <c r="N291" s="116">
        <v>745</v>
      </c>
      <c r="O291" s="116">
        <v>728.19999999999993</v>
      </c>
      <c r="P291" s="116">
        <v>728.33333333333337</v>
      </c>
      <c r="Q291" s="116">
        <v>1110.6500000000001</v>
      </c>
      <c r="R291">
        <v>1518648</v>
      </c>
    </row>
    <row r="292" spans="1:18" x14ac:dyDescent="0.25">
      <c r="A292" s="170">
        <v>42429</v>
      </c>
      <c r="B292" s="116">
        <v>749.19999999999993</v>
      </c>
      <c r="C292" s="116">
        <v>719.5</v>
      </c>
      <c r="D292" s="116">
        <v>703.4</v>
      </c>
      <c r="E292" s="116">
        <v>742</v>
      </c>
      <c r="F292" s="116">
        <v>1079.25</v>
      </c>
      <c r="G292">
        <v>467351</v>
      </c>
      <c r="H292" s="116"/>
      <c r="I292" s="116"/>
      <c r="L292" s="170">
        <v>42429</v>
      </c>
      <c r="M292" s="116">
        <v>717.33333333333337</v>
      </c>
      <c r="N292" s="116">
        <v>749</v>
      </c>
      <c r="O292" s="116">
        <v>702.0333333333333</v>
      </c>
      <c r="P292" s="116">
        <v>742.66666666666663</v>
      </c>
      <c r="Q292" s="116">
        <v>1076</v>
      </c>
      <c r="R292">
        <v>3667329</v>
      </c>
    </row>
    <row r="293" spans="1:18" x14ac:dyDescent="0.25">
      <c r="A293" s="170">
        <v>42430</v>
      </c>
      <c r="B293" s="116">
        <v>753.5</v>
      </c>
      <c r="C293" s="116">
        <v>749.16666666666663</v>
      </c>
      <c r="D293" s="116">
        <v>720.66666666666663</v>
      </c>
      <c r="E293" s="116">
        <v>726.66666666666663</v>
      </c>
      <c r="F293" s="116">
        <v>1123.75</v>
      </c>
      <c r="G293">
        <v>248516</v>
      </c>
      <c r="H293" s="116"/>
      <c r="I293" s="116"/>
      <c r="L293" s="170">
        <v>42430</v>
      </c>
      <c r="M293" s="116">
        <v>749.30000000000007</v>
      </c>
      <c r="N293" s="116">
        <v>752.66666666666663</v>
      </c>
      <c r="O293" s="116">
        <v>720.66666666666663</v>
      </c>
      <c r="P293" s="116">
        <v>724.66666666666663</v>
      </c>
      <c r="Q293" s="116">
        <v>1123.95</v>
      </c>
      <c r="R293">
        <v>2431409</v>
      </c>
    </row>
    <row r="294" spans="1:18" x14ac:dyDescent="0.25">
      <c r="A294" s="170">
        <v>42431</v>
      </c>
      <c r="B294" s="116">
        <v>767.13333333333333</v>
      </c>
      <c r="C294" s="116">
        <v>758.5333333333333</v>
      </c>
      <c r="D294" s="116">
        <v>756.43333333333339</v>
      </c>
      <c r="E294" s="116">
        <v>760.86666666666667</v>
      </c>
      <c r="F294" s="116">
        <v>1137.8</v>
      </c>
      <c r="G294">
        <v>215287</v>
      </c>
      <c r="H294" s="116"/>
      <c r="I294" s="116"/>
      <c r="L294" s="170">
        <v>42431</v>
      </c>
      <c r="M294" s="116">
        <v>758.6</v>
      </c>
      <c r="N294" s="116">
        <v>767.26666666666677</v>
      </c>
      <c r="O294" s="116">
        <v>755.4666666666667</v>
      </c>
      <c r="P294" s="116">
        <v>762</v>
      </c>
      <c r="Q294" s="116">
        <v>1137.9000000000001</v>
      </c>
      <c r="R294">
        <v>2434802</v>
      </c>
    </row>
    <row r="295" spans="1:18" x14ac:dyDescent="0.25">
      <c r="A295" s="170">
        <v>42432</v>
      </c>
      <c r="B295" s="116">
        <v>807.80000000000007</v>
      </c>
      <c r="C295" s="116">
        <v>804.1</v>
      </c>
      <c r="D295" s="116">
        <v>756.66666666666663</v>
      </c>
      <c r="E295" s="116">
        <v>763.4</v>
      </c>
      <c r="F295" s="116">
        <v>1206.1500000000001</v>
      </c>
      <c r="G295">
        <v>494887</v>
      </c>
      <c r="H295" s="116"/>
      <c r="I295" s="116"/>
      <c r="L295" s="170">
        <v>42432</v>
      </c>
      <c r="M295" s="116">
        <v>804.73333333333323</v>
      </c>
      <c r="N295" s="116">
        <v>807.4666666666667</v>
      </c>
      <c r="O295" s="116">
        <v>756.30000000000007</v>
      </c>
      <c r="P295" s="116">
        <v>765.93333333333339</v>
      </c>
      <c r="Q295" s="116">
        <v>1207.0999999999999</v>
      </c>
      <c r="R295">
        <v>3701972</v>
      </c>
    </row>
    <row r="296" spans="1:18" x14ac:dyDescent="0.25">
      <c r="A296" s="170">
        <v>42433</v>
      </c>
      <c r="B296" s="116">
        <v>816</v>
      </c>
      <c r="C296" s="116">
        <v>795.83333333333337</v>
      </c>
      <c r="D296" s="116">
        <v>792</v>
      </c>
      <c r="E296" s="116">
        <v>812.66666666666663</v>
      </c>
      <c r="F296" s="116">
        <v>1193.75</v>
      </c>
      <c r="G296">
        <v>255824</v>
      </c>
      <c r="H296" s="116"/>
      <c r="I296" s="116"/>
      <c r="L296" s="170">
        <v>42433</v>
      </c>
      <c r="M296" s="116">
        <v>795.4666666666667</v>
      </c>
      <c r="N296" s="116">
        <v>815.9666666666667</v>
      </c>
      <c r="O296" s="116">
        <v>791.33333333333337</v>
      </c>
      <c r="P296" s="116">
        <v>810</v>
      </c>
      <c r="Q296" s="116">
        <v>1193.2</v>
      </c>
      <c r="R296">
        <v>2292646</v>
      </c>
    </row>
    <row r="297" spans="1:18" x14ac:dyDescent="0.25">
      <c r="A297" s="170">
        <v>42437</v>
      </c>
      <c r="B297" s="116">
        <v>807.9666666666667</v>
      </c>
      <c r="C297" s="116">
        <v>791.5333333333333</v>
      </c>
      <c r="D297" s="116">
        <v>782.93333333333339</v>
      </c>
      <c r="E297" s="116">
        <v>800</v>
      </c>
      <c r="F297" s="116">
        <v>1187.3</v>
      </c>
      <c r="G297">
        <v>212685</v>
      </c>
      <c r="H297" s="116"/>
      <c r="I297" s="116"/>
      <c r="L297" s="170">
        <v>42437</v>
      </c>
      <c r="M297" s="116">
        <v>791.63333333333333</v>
      </c>
      <c r="N297" s="116">
        <v>808</v>
      </c>
      <c r="O297" s="116">
        <v>782.13333333333333</v>
      </c>
      <c r="P297" s="116">
        <v>800.66666666666663</v>
      </c>
      <c r="Q297" s="116">
        <v>1187.45</v>
      </c>
      <c r="R297">
        <v>2015188</v>
      </c>
    </row>
    <row r="298" spans="1:18" x14ac:dyDescent="0.25">
      <c r="A298" s="170">
        <v>42438</v>
      </c>
      <c r="B298" s="116">
        <v>812.9666666666667</v>
      </c>
      <c r="C298" s="116">
        <v>808.63333333333333</v>
      </c>
      <c r="D298" s="116">
        <v>785.33333333333337</v>
      </c>
      <c r="E298" s="116">
        <v>791.83333333333337</v>
      </c>
      <c r="F298" s="116">
        <v>1212.95</v>
      </c>
      <c r="G298">
        <v>295049</v>
      </c>
      <c r="H298" s="116"/>
      <c r="I298" s="116"/>
      <c r="L298" s="170">
        <v>42438</v>
      </c>
      <c r="M298" s="116">
        <v>808.56666666666661</v>
      </c>
      <c r="N298" s="116">
        <v>813.33333333333337</v>
      </c>
      <c r="O298" s="116">
        <v>785.33333333333337</v>
      </c>
      <c r="P298" s="116">
        <v>788.26666666666677</v>
      </c>
      <c r="Q298" s="116">
        <v>1212.8499999999999</v>
      </c>
      <c r="R298">
        <v>2080761</v>
      </c>
    </row>
    <row r="299" spans="1:18" x14ac:dyDescent="0.25">
      <c r="A299" s="170">
        <v>42439</v>
      </c>
      <c r="B299" s="116">
        <v>814.4</v>
      </c>
      <c r="C299" s="116">
        <v>790.66666666666663</v>
      </c>
      <c r="D299" s="116">
        <v>788.4</v>
      </c>
      <c r="E299" s="116">
        <v>810</v>
      </c>
      <c r="F299" s="116">
        <v>1186</v>
      </c>
      <c r="G299">
        <v>243889</v>
      </c>
      <c r="H299" s="116"/>
      <c r="I299" s="116"/>
      <c r="L299" s="170">
        <v>42439</v>
      </c>
      <c r="M299" s="116">
        <v>790.76666666666677</v>
      </c>
      <c r="N299" s="116">
        <v>814.33333333333337</v>
      </c>
      <c r="O299" s="116">
        <v>787.5</v>
      </c>
      <c r="P299" s="116">
        <v>809.33333333333337</v>
      </c>
      <c r="Q299" s="116">
        <v>1186.1500000000001</v>
      </c>
      <c r="R299">
        <v>1955178</v>
      </c>
    </row>
    <row r="300" spans="1:18" x14ac:dyDescent="0.25">
      <c r="A300" s="170">
        <v>42440</v>
      </c>
      <c r="B300" s="116">
        <v>800.9666666666667</v>
      </c>
      <c r="C300" s="116">
        <v>790.5333333333333</v>
      </c>
      <c r="D300" s="116">
        <v>781.86666666666667</v>
      </c>
      <c r="E300" s="116">
        <v>796</v>
      </c>
      <c r="F300" s="116">
        <v>1185.8</v>
      </c>
      <c r="G300">
        <v>186009</v>
      </c>
      <c r="H300" s="116"/>
      <c r="I300" s="116"/>
      <c r="L300" s="170">
        <v>42440</v>
      </c>
      <c r="M300" s="116">
        <v>790.43333333333339</v>
      </c>
      <c r="N300" s="116">
        <v>801.33333333333337</v>
      </c>
      <c r="O300" s="116">
        <v>780.86666666666667</v>
      </c>
      <c r="P300" s="116">
        <v>792.63333333333333</v>
      </c>
      <c r="Q300" s="116">
        <v>1185.6500000000001</v>
      </c>
      <c r="R300">
        <v>1997585</v>
      </c>
    </row>
    <row r="301" spans="1:18" x14ac:dyDescent="0.25">
      <c r="A301" s="170">
        <v>42443</v>
      </c>
      <c r="B301" s="116">
        <v>803.93333333333339</v>
      </c>
      <c r="C301" s="116">
        <v>789.16666666666663</v>
      </c>
      <c r="D301" s="116">
        <v>785.1</v>
      </c>
      <c r="E301" s="116">
        <v>796.66666666666663</v>
      </c>
      <c r="F301" s="116">
        <v>1183.75</v>
      </c>
      <c r="G301">
        <v>326626</v>
      </c>
      <c r="H301" s="116"/>
      <c r="I301" s="116"/>
      <c r="L301" s="170">
        <v>42443</v>
      </c>
      <c r="M301" s="116">
        <v>789.4666666666667</v>
      </c>
      <c r="N301" s="116">
        <v>804.43333333333339</v>
      </c>
      <c r="O301" s="116">
        <v>785.13333333333333</v>
      </c>
      <c r="P301" s="116">
        <v>798</v>
      </c>
      <c r="Q301" s="116">
        <v>1184.2</v>
      </c>
      <c r="R301">
        <v>1817534</v>
      </c>
    </row>
    <row r="302" spans="1:18" x14ac:dyDescent="0.25">
      <c r="A302" s="170">
        <v>42444</v>
      </c>
      <c r="B302" s="116">
        <v>798</v>
      </c>
      <c r="C302" s="116">
        <v>787.4</v>
      </c>
      <c r="D302" s="116">
        <v>784.16666666666663</v>
      </c>
      <c r="E302" s="116">
        <v>790.13333333333333</v>
      </c>
      <c r="F302" s="116">
        <v>1181.0999999999999</v>
      </c>
      <c r="G302">
        <v>149128</v>
      </c>
      <c r="H302" s="116"/>
      <c r="I302" s="116"/>
      <c r="L302" s="170">
        <v>42444</v>
      </c>
      <c r="M302" s="116">
        <v>787.16666666666663</v>
      </c>
      <c r="N302" s="116">
        <v>798.56666666666661</v>
      </c>
      <c r="O302" s="116">
        <v>783.69999999999993</v>
      </c>
      <c r="P302" s="116">
        <v>792.4666666666667</v>
      </c>
      <c r="Q302" s="116">
        <v>1180.75</v>
      </c>
      <c r="R302">
        <v>1629439</v>
      </c>
    </row>
    <row r="303" spans="1:18" x14ac:dyDescent="0.25">
      <c r="A303" s="170">
        <v>42445</v>
      </c>
      <c r="B303" s="116">
        <v>794.6</v>
      </c>
      <c r="C303" s="116">
        <v>788.56666666666661</v>
      </c>
      <c r="D303" s="116">
        <v>776.33333333333337</v>
      </c>
      <c r="E303" s="116">
        <v>792</v>
      </c>
      <c r="F303" s="116">
        <v>1182.8499999999999</v>
      </c>
      <c r="G303">
        <v>247530</v>
      </c>
      <c r="H303" s="116"/>
      <c r="I303" s="116"/>
      <c r="L303" s="170">
        <v>42445</v>
      </c>
      <c r="M303" s="116">
        <v>788.80000000000007</v>
      </c>
      <c r="N303" s="116">
        <v>794.4666666666667</v>
      </c>
      <c r="O303" s="116">
        <v>776.6</v>
      </c>
      <c r="P303" s="116">
        <v>791.33333333333337</v>
      </c>
      <c r="Q303" s="116">
        <v>1183.2</v>
      </c>
      <c r="R303">
        <v>1803141</v>
      </c>
    </row>
    <row r="304" spans="1:18" x14ac:dyDescent="0.25">
      <c r="A304" s="170">
        <v>42446</v>
      </c>
      <c r="B304" s="116">
        <v>803.1</v>
      </c>
      <c r="C304" s="116">
        <v>795.86666666666667</v>
      </c>
      <c r="D304" s="116">
        <v>790.4</v>
      </c>
      <c r="E304" s="116">
        <v>798</v>
      </c>
      <c r="F304" s="116">
        <v>1193.8</v>
      </c>
      <c r="G304">
        <v>272811</v>
      </c>
      <c r="H304" s="116"/>
      <c r="I304" s="116"/>
      <c r="L304" s="170">
        <v>42446</v>
      </c>
      <c r="M304" s="116">
        <v>795.5</v>
      </c>
      <c r="N304" s="116">
        <v>803.33333333333337</v>
      </c>
      <c r="O304" s="116">
        <v>789.63333333333333</v>
      </c>
      <c r="P304" s="116">
        <v>798.66666666666663</v>
      </c>
      <c r="Q304" s="116">
        <v>1193.25</v>
      </c>
      <c r="R304">
        <v>2581769</v>
      </c>
    </row>
    <row r="305" spans="1:18" x14ac:dyDescent="0.25">
      <c r="A305" s="170">
        <v>42447</v>
      </c>
      <c r="B305" s="116">
        <v>801.69999999999993</v>
      </c>
      <c r="C305" s="116">
        <v>799.5</v>
      </c>
      <c r="D305" s="116">
        <v>793.5333333333333</v>
      </c>
      <c r="E305" s="116">
        <v>799.33333333333337</v>
      </c>
      <c r="F305" s="116">
        <v>1199.25</v>
      </c>
      <c r="G305">
        <v>135200</v>
      </c>
      <c r="H305" s="116"/>
      <c r="I305" s="116"/>
      <c r="L305" s="170">
        <v>42447</v>
      </c>
      <c r="M305" s="116">
        <v>799.5333333333333</v>
      </c>
      <c r="N305" s="116">
        <v>802</v>
      </c>
      <c r="O305" s="116">
        <v>793.4</v>
      </c>
      <c r="P305" s="116">
        <v>799.33333333333337</v>
      </c>
      <c r="Q305" s="116">
        <v>1199.3</v>
      </c>
      <c r="R305">
        <v>1711220</v>
      </c>
    </row>
    <row r="306" spans="1:18" x14ac:dyDescent="0.25">
      <c r="A306" s="170">
        <v>42450</v>
      </c>
      <c r="B306" s="116">
        <v>821.30000000000007</v>
      </c>
      <c r="C306" s="116">
        <v>818.5333333333333</v>
      </c>
      <c r="D306" s="116">
        <v>796.16666666666663</v>
      </c>
      <c r="E306" s="116">
        <v>796.66666666666663</v>
      </c>
      <c r="F306" s="116">
        <v>1227.8</v>
      </c>
      <c r="G306">
        <v>513809</v>
      </c>
      <c r="H306" s="116"/>
      <c r="I306" s="116"/>
      <c r="L306" s="170">
        <v>42450</v>
      </c>
      <c r="M306" s="116">
        <v>818.76666666666677</v>
      </c>
      <c r="N306" s="116">
        <v>821.69999999999993</v>
      </c>
      <c r="O306" s="116">
        <v>796.23333333333323</v>
      </c>
      <c r="P306" s="116">
        <v>800.66666666666663</v>
      </c>
      <c r="Q306" s="116">
        <v>1228.1500000000001</v>
      </c>
      <c r="R306">
        <v>2383631</v>
      </c>
    </row>
    <row r="307" spans="1:18" x14ac:dyDescent="0.25">
      <c r="A307" s="170">
        <v>42451</v>
      </c>
      <c r="B307" s="116">
        <v>829.9</v>
      </c>
      <c r="C307" s="116">
        <v>824.73333333333323</v>
      </c>
      <c r="D307" s="116">
        <v>816.33333333333337</v>
      </c>
      <c r="E307" s="116">
        <v>823.33333333333337</v>
      </c>
      <c r="F307" s="116">
        <v>1237.0999999999999</v>
      </c>
      <c r="G307">
        <v>196507</v>
      </c>
      <c r="H307" s="116"/>
      <c r="I307" s="116"/>
      <c r="L307" s="170">
        <v>42451</v>
      </c>
      <c r="M307" s="116">
        <v>824.86666666666667</v>
      </c>
      <c r="N307" s="116">
        <v>830</v>
      </c>
      <c r="O307" s="116">
        <v>814.66666666666663</v>
      </c>
      <c r="P307" s="116">
        <v>822.66666666666663</v>
      </c>
      <c r="Q307" s="116">
        <v>1237.3</v>
      </c>
      <c r="R307">
        <v>1986544</v>
      </c>
    </row>
    <row r="308" spans="1:18" x14ac:dyDescent="0.25">
      <c r="A308" s="170">
        <v>42452</v>
      </c>
      <c r="B308" s="116">
        <v>832.1</v>
      </c>
      <c r="C308" s="116">
        <v>827.83333333333337</v>
      </c>
      <c r="D308" s="116">
        <v>820.23333333333323</v>
      </c>
      <c r="E308" s="116">
        <v>828</v>
      </c>
      <c r="F308" s="116">
        <v>1241.75</v>
      </c>
      <c r="G308">
        <v>176546</v>
      </c>
      <c r="H308" s="116"/>
      <c r="I308" s="116"/>
      <c r="L308" s="170">
        <v>42452</v>
      </c>
      <c r="M308" s="116">
        <v>828.36666666666667</v>
      </c>
      <c r="N308" s="116">
        <v>832.66666666666663</v>
      </c>
      <c r="O308" s="116">
        <v>820.19999999999993</v>
      </c>
      <c r="P308" s="116">
        <v>826.66666666666663</v>
      </c>
      <c r="Q308" s="116">
        <v>1242.55</v>
      </c>
      <c r="R308">
        <v>1625424</v>
      </c>
    </row>
    <row r="309" spans="1:18" x14ac:dyDescent="0.25">
      <c r="A309" s="170">
        <v>42457</v>
      </c>
      <c r="B309" s="116">
        <v>830.33333333333337</v>
      </c>
      <c r="C309" s="116">
        <v>803.93333333333339</v>
      </c>
      <c r="D309" s="116">
        <v>799.76666666666677</v>
      </c>
      <c r="E309" s="116">
        <v>827.33333333333337</v>
      </c>
      <c r="F309" s="116">
        <v>1205.9000000000001</v>
      </c>
      <c r="G309">
        <v>151349</v>
      </c>
      <c r="H309" s="116"/>
      <c r="I309" s="116"/>
      <c r="L309" s="170">
        <v>42457</v>
      </c>
      <c r="M309" s="116">
        <v>804.23333333333323</v>
      </c>
      <c r="N309" s="116">
        <v>830.80000000000007</v>
      </c>
      <c r="O309" s="116">
        <v>798.69999999999993</v>
      </c>
      <c r="P309" s="116">
        <v>827.33333333333337</v>
      </c>
      <c r="Q309" s="116">
        <v>1206.3499999999999</v>
      </c>
      <c r="R309">
        <v>2478304</v>
      </c>
    </row>
    <row r="310" spans="1:18" x14ac:dyDescent="0.25">
      <c r="A310" s="170">
        <v>42458</v>
      </c>
      <c r="B310" s="116">
        <v>810.06666666666661</v>
      </c>
      <c r="C310" s="116">
        <v>795.4666666666667</v>
      </c>
      <c r="D310" s="116">
        <v>793.33333333333337</v>
      </c>
      <c r="E310" s="116">
        <v>805.80000000000007</v>
      </c>
      <c r="F310" s="116">
        <v>1193.2</v>
      </c>
      <c r="G310">
        <v>159377</v>
      </c>
      <c r="H310" s="116"/>
      <c r="I310" s="116"/>
      <c r="L310" s="170">
        <v>42458</v>
      </c>
      <c r="M310" s="116">
        <v>795.9666666666667</v>
      </c>
      <c r="N310" s="116">
        <v>810.69999999999993</v>
      </c>
      <c r="O310" s="116">
        <v>793.33333333333337</v>
      </c>
      <c r="P310" s="116">
        <v>805.33333333333337</v>
      </c>
      <c r="Q310" s="116">
        <v>1193.95</v>
      </c>
      <c r="R310">
        <v>1802119</v>
      </c>
    </row>
    <row r="311" spans="1:18" x14ac:dyDescent="0.25">
      <c r="A311" s="170">
        <v>42459</v>
      </c>
      <c r="B311" s="116">
        <v>819.93333333333339</v>
      </c>
      <c r="C311" s="116">
        <v>817.83333333333337</v>
      </c>
      <c r="D311" s="116">
        <v>801.36666666666667</v>
      </c>
      <c r="E311" s="116">
        <v>803.33333333333337</v>
      </c>
      <c r="F311" s="116">
        <v>1226.75</v>
      </c>
      <c r="G311">
        <v>170986</v>
      </c>
      <c r="H311" s="116"/>
      <c r="I311" s="116"/>
      <c r="L311" s="170">
        <v>42459</v>
      </c>
      <c r="M311" s="116">
        <v>818.69999999999993</v>
      </c>
      <c r="N311" s="116">
        <v>821.26666666666677</v>
      </c>
      <c r="O311" s="116">
        <v>801</v>
      </c>
      <c r="P311" s="116">
        <v>805.33333333333337</v>
      </c>
      <c r="Q311" s="116">
        <v>1228.05</v>
      </c>
      <c r="R311">
        <v>1916000</v>
      </c>
    </row>
    <row r="312" spans="1:18" x14ac:dyDescent="0.25">
      <c r="A312" s="170">
        <v>42460</v>
      </c>
      <c r="B312" s="116">
        <v>819.86666666666667</v>
      </c>
      <c r="C312" s="116">
        <v>810.80000000000007</v>
      </c>
      <c r="D312" s="116">
        <v>807.73333333333323</v>
      </c>
      <c r="E312" s="116">
        <v>818.66666666666663</v>
      </c>
      <c r="F312" s="116">
        <v>1216.2</v>
      </c>
      <c r="G312">
        <v>192104</v>
      </c>
      <c r="H312" s="116"/>
      <c r="I312" s="116"/>
      <c r="L312" s="170">
        <v>42460</v>
      </c>
      <c r="M312" s="116">
        <v>811.13333333333333</v>
      </c>
      <c r="N312" s="116">
        <v>820</v>
      </c>
      <c r="O312" s="116">
        <v>807.66666666666663</v>
      </c>
      <c r="P312" s="116">
        <v>817.30000000000007</v>
      </c>
      <c r="Q312" s="116">
        <v>1216.7</v>
      </c>
      <c r="R312">
        <v>3297309</v>
      </c>
    </row>
    <row r="313" spans="1:18" x14ac:dyDescent="0.25">
      <c r="A313" s="170">
        <v>42461</v>
      </c>
      <c r="B313" s="116">
        <v>831.93333333333339</v>
      </c>
      <c r="C313" s="116">
        <v>825.5333333333333</v>
      </c>
      <c r="D313" s="116">
        <v>808.4</v>
      </c>
      <c r="E313" s="116">
        <v>811</v>
      </c>
      <c r="F313" s="116">
        <v>1238.3</v>
      </c>
      <c r="G313">
        <v>170753</v>
      </c>
      <c r="H313" s="116"/>
      <c r="I313" s="116"/>
      <c r="L313" s="170">
        <v>42461</v>
      </c>
      <c r="M313" s="116">
        <v>825.26666666666677</v>
      </c>
      <c r="N313" s="116">
        <v>832.19999999999993</v>
      </c>
      <c r="O313" s="116">
        <v>808</v>
      </c>
      <c r="P313" s="116">
        <v>808</v>
      </c>
      <c r="Q313" s="116">
        <v>1237.9000000000001</v>
      </c>
      <c r="R313">
        <v>1693296</v>
      </c>
    </row>
    <row r="314" spans="1:18" x14ac:dyDescent="0.25">
      <c r="A314" s="170">
        <v>42464</v>
      </c>
      <c r="B314" s="116">
        <v>833.23333333333323</v>
      </c>
      <c r="C314" s="116">
        <v>823.83333333333337</v>
      </c>
      <c r="D314" s="116">
        <v>815.66666666666663</v>
      </c>
      <c r="E314" s="116">
        <v>826.66666666666663</v>
      </c>
      <c r="F314" s="116">
        <v>1235.75</v>
      </c>
      <c r="G314">
        <v>123316</v>
      </c>
      <c r="H314" s="116"/>
      <c r="I314" s="116"/>
      <c r="L314" s="170">
        <v>42464</v>
      </c>
      <c r="M314" s="116">
        <v>823.9</v>
      </c>
      <c r="N314" s="116">
        <v>833.33333333333337</v>
      </c>
      <c r="O314" s="116">
        <v>814.4</v>
      </c>
      <c r="P314" s="116">
        <v>826.6</v>
      </c>
      <c r="Q314" s="116">
        <v>1235.8499999999999</v>
      </c>
      <c r="R314">
        <v>1160108</v>
      </c>
    </row>
    <row r="315" spans="1:18" x14ac:dyDescent="0.25">
      <c r="A315" s="170">
        <v>42465</v>
      </c>
      <c r="B315" s="116">
        <v>823.30000000000007</v>
      </c>
      <c r="C315" s="116">
        <v>796.63333333333333</v>
      </c>
      <c r="D315" s="116">
        <v>793.33333333333337</v>
      </c>
      <c r="E315" s="116">
        <v>822</v>
      </c>
      <c r="F315" s="116">
        <v>1194.95</v>
      </c>
      <c r="G315">
        <v>242403</v>
      </c>
      <c r="H315" s="116"/>
      <c r="I315" s="116"/>
      <c r="L315" s="170">
        <v>42465</v>
      </c>
      <c r="M315" s="116">
        <v>796.76666666666677</v>
      </c>
      <c r="N315" s="116">
        <v>823.16666666666663</v>
      </c>
      <c r="O315" s="116">
        <v>793.36666666666667</v>
      </c>
      <c r="P315" s="116">
        <v>818.93333333333339</v>
      </c>
      <c r="Q315" s="116">
        <v>1195.1500000000001</v>
      </c>
      <c r="R315">
        <v>2100742</v>
      </c>
    </row>
    <row r="316" spans="1:18" x14ac:dyDescent="0.25">
      <c r="A316" s="170">
        <v>42466</v>
      </c>
      <c r="B316" s="116">
        <v>810</v>
      </c>
      <c r="C316" s="116">
        <v>806.36666666666667</v>
      </c>
      <c r="D316" s="116">
        <v>788.66666666666663</v>
      </c>
      <c r="E316" s="116">
        <v>797.33333333333337</v>
      </c>
      <c r="F316" s="116">
        <v>1209.55</v>
      </c>
      <c r="G316">
        <v>185731</v>
      </c>
      <c r="H316" s="116"/>
      <c r="I316" s="116"/>
      <c r="L316" s="170">
        <v>42466</v>
      </c>
      <c r="M316" s="116">
        <v>807.9</v>
      </c>
      <c r="N316" s="116">
        <v>810</v>
      </c>
      <c r="O316" s="116">
        <v>788.33333333333337</v>
      </c>
      <c r="P316" s="116">
        <v>799.4</v>
      </c>
      <c r="Q316" s="116">
        <v>1211.8499999999999</v>
      </c>
      <c r="R316">
        <v>1722556</v>
      </c>
    </row>
    <row r="317" spans="1:18" x14ac:dyDescent="0.25">
      <c r="A317" s="170">
        <v>42467</v>
      </c>
      <c r="B317" s="116">
        <v>810</v>
      </c>
      <c r="C317" s="116">
        <v>788.33333333333337</v>
      </c>
      <c r="D317" s="116">
        <v>784.66666666666663</v>
      </c>
      <c r="E317" s="116">
        <v>810</v>
      </c>
      <c r="F317" s="116">
        <v>1182.5</v>
      </c>
      <c r="G317">
        <v>221401</v>
      </c>
      <c r="H317" s="116"/>
      <c r="I317" s="116"/>
      <c r="L317" s="170">
        <v>42467</v>
      </c>
      <c r="M317" s="116">
        <v>788.6</v>
      </c>
      <c r="N317" s="116">
        <v>806.63333333333333</v>
      </c>
      <c r="O317" s="116">
        <v>785.19999999999993</v>
      </c>
      <c r="P317" s="116">
        <v>805.33333333333337</v>
      </c>
      <c r="Q317" s="116">
        <v>1182.9000000000001</v>
      </c>
      <c r="R317">
        <v>1805053</v>
      </c>
    </row>
    <row r="318" spans="1:18" x14ac:dyDescent="0.25">
      <c r="A318" s="170">
        <v>42468</v>
      </c>
      <c r="B318" s="116">
        <v>798</v>
      </c>
      <c r="C318" s="116">
        <v>793.76666666666677</v>
      </c>
      <c r="D318" s="116">
        <v>787.33333333333337</v>
      </c>
      <c r="E318" s="116">
        <v>789.33333333333337</v>
      </c>
      <c r="F318" s="116">
        <v>1190.6500000000001</v>
      </c>
      <c r="G318">
        <v>121166</v>
      </c>
      <c r="H318" s="116"/>
      <c r="I318" s="116"/>
      <c r="L318" s="170">
        <v>42468</v>
      </c>
      <c r="M318" s="116">
        <v>794.83333333333337</v>
      </c>
      <c r="N318" s="116">
        <v>798</v>
      </c>
      <c r="O318" s="116">
        <v>787.33333333333337</v>
      </c>
      <c r="P318" s="116">
        <v>789.33333333333337</v>
      </c>
      <c r="Q318" s="116">
        <v>1192.25</v>
      </c>
      <c r="R318">
        <v>1043359</v>
      </c>
    </row>
    <row r="319" spans="1:18" x14ac:dyDescent="0.25">
      <c r="A319" s="170">
        <v>42471</v>
      </c>
      <c r="B319" s="116">
        <v>811.33333333333337</v>
      </c>
      <c r="C319" s="116">
        <v>808.5333333333333</v>
      </c>
      <c r="D319" s="116">
        <v>791.6</v>
      </c>
      <c r="E319" s="116">
        <v>796.43333333333339</v>
      </c>
      <c r="F319" s="116">
        <v>1212.8</v>
      </c>
      <c r="G319">
        <v>178696</v>
      </c>
      <c r="H319" s="116"/>
      <c r="I319" s="116"/>
      <c r="L319" s="170">
        <v>42471</v>
      </c>
      <c r="M319" s="116">
        <v>808.9</v>
      </c>
      <c r="N319" s="116">
        <v>810.6</v>
      </c>
      <c r="O319" s="116">
        <v>790.4</v>
      </c>
      <c r="P319" s="116">
        <v>797.33333333333337</v>
      </c>
      <c r="Q319" s="116">
        <v>1213.3499999999999</v>
      </c>
      <c r="R319">
        <v>1686623</v>
      </c>
    </row>
    <row r="320" spans="1:18" x14ac:dyDescent="0.25">
      <c r="A320" s="170">
        <v>42472</v>
      </c>
      <c r="B320" s="116">
        <v>823.33333333333337</v>
      </c>
      <c r="C320" s="116">
        <v>815.0333333333333</v>
      </c>
      <c r="D320" s="116">
        <v>805.33333333333337</v>
      </c>
      <c r="E320" s="116">
        <v>810.63333333333333</v>
      </c>
      <c r="F320" s="116">
        <v>1222.55</v>
      </c>
      <c r="G320">
        <v>184701</v>
      </c>
      <c r="H320" s="116"/>
      <c r="I320" s="116"/>
      <c r="L320" s="170">
        <v>42472</v>
      </c>
      <c r="M320" s="116">
        <v>814.93333333333339</v>
      </c>
      <c r="N320" s="116">
        <v>823.26666666666677</v>
      </c>
      <c r="O320" s="116">
        <v>804.69999999999993</v>
      </c>
      <c r="P320" s="116">
        <v>810</v>
      </c>
      <c r="Q320" s="116">
        <v>1222.4000000000001</v>
      </c>
      <c r="R320">
        <v>1891368</v>
      </c>
    </row>
    <row r="321" spans="1:18" x14ac:dyDescent="0.25">
      <c r="A321" s="170">
        <v>42473</v>
      </c>
      <c r="B321" s="116">
        <v>835.33333333333337</v>
      </c>
      <c r="C321" s="116">
        <v>823.69999999999993</v>
      </c>
      <c r="D321" s="116">
        <v>820.63333333333333</v>
      </c>
      <c r="E321" s="116">
        <v>823.33333333333337</v>
      </c>
      <c r="F321" s="116">
        <v>1235.55</v>
      </c>
      <c r="G321">
        <v>187482</v>
      </c>
      <c r="H321" s="116"/>
      <c r="I321" s="116"/>
      <c r="L321" s="170">
        <v>42473</v>
      </c>
      <c r="M321" s="116">
        <v>823.26666666666677</v>
      </c>
      <c r="N321" s="116">
        <v>835.33333333333337</v>
      </c>
      <c r="O321" s="116">
        <v>819.4</v>
      </c>
      <c r="P321" s="116">
        <v>824</v>
      </c>
      <c r="Q321" s="116">
        <v>1234.9000000000001</v>
      </c>
      <c r="R321">
        <v>3303937</v>
      </c>
    </row>
    <row r="322" spans="1:18" x14ac:dyDescent="0.25">
      <c r="A322" s="170">
        <v>42478</v>
      </c>
      <c r="B322" s="116">
        <v>835.33333333333337</v>
      </c>
      <c r="C322" s="116">
        <v>832.86666666666667</v>
      </c>
      <c r="D322" s="116">
        <v>806.66666666666663</v>
      </c>
      <c r="E322" s="116">
        <v>823.33333333333337</v>
      </c>
      <c r="F322" s="116">
        <v>1249.3</v>
      </c>
      <c r="G322">
        <v>155053</v>
      </c>
      <c r="H322" s="116"/>
      <c r="I322" s="116"/>
      <c r="L322" s="170">
        <v>42478</v>
      </c>
      <c r="M322" s="116">
        <v>835.33333333333337</v>
      </c>
      <c r="N322" s="116">
        <v>837.9666666666667</v>
      </c>
      <c r="O322" s="116">
        <v>806.0333333333333</v>
      </c>
      <c r="P322" s="116">
        <v>822.06666666666661</v>
      </c>
      <c r="Q322" s="116">
        <v>1253</v>
      </c>
      <c r="R322">
        <v>1763010</v>
      </c>
    </row>
    <row r="323" spans="1:18" x14ac:dyDescent="0.25">
      <c r="A323" s="170">
        <v>42480</v>
      </c>
      <c r="B323" s="116">
        <v>845.33333333333337</v>
      </c>
      <c r="C323" s="116">
        <v>842.73333333333323</v>
      </c>
      <c r="D323" s="116">
        <v>832.66666666666663</v>
      </c>
      <c r="E323" s="116">
        <v>837.5333333333333</v>
      </c>
      <c r="F323" s="116">
        <v>1264.0999999999999</v>
      </c>
      <c r="G323">
        <v>160636</v>
      </c>
      <c r="H323" s="116"/>
      <c r="I323" s="116"/>
      <c r="L323" s="170">
        <v>42480</v>
      </c>
      <c r="M323" s="116">
        <v>843.9666666666667</v>
      </c>
      <c r="N323" s="116">
        <v>845.30000000000007</v>
      </c>
      <c r="O323" s="116">
        <v>832</v>
      </c>
      <c r="P323" s="116">
        <v>838</v>
      </c>
      <c r="Q323" s="116">
        <v>1265.95</v>
      </c>
      <c r="R323">
        <v>1681899</v>
      </c>
    </row>
    <row r="324" spans="1:18" x14ac:dyDescent="0.25">
      <c r="A324" s="170">
        <v>42481</v>
      </c>
      <c r="B324" s="116">
        <v>849.9666666666667</v>
      </c>
      <c r="C324" s="116">
        <v>834.43333333333339</v>
      </c>
      <c r="D324" s="116">
        <v>831</v>
      </c>
      <c r="E324" s="116">
        <v>845.4666666666667</v>
      </c>
      <c r="F324" s="116">
        <v>1251.6500000000001</v>
      </c>
      <c r="G324">
        <v>119581</v>
      </c>
      <c r="H324" s="116"/>
      <c r="I324" s="116"/>
      <c r="L324" s="170">
        <v>42481</v>
      </c>
      <c r="M324" s="116">
        <v>834.63333333333333</v>
      </c>
      <c r="N324" s="116">
        <v>850</v>
      </c>
      <c r="O324" s="116">
        <v>830.69999999999993</v>
      </c>
      <c r="P324" s="116">
        <v>846.4666666666667</v>
      </c>
      <c r="Q324" s="116">
        <v>1251.95</v>
      </c>
      <c r="R324">
        <v>1149029</v>
      </c>
    </row>
    <row r="325" spans="1:18" x14ac:dyDescent="0.25">
      <c r="A325" s="170">
        <v>42482</v>
      </c>
      <c r="B325" s="116">
        <v>844.93333333333339</v>
      </c>
      <c r="C325" s="116">
        <v>842.06666666666661</v>
      </c>
      <c r="D325" s="116">
        <v>828.0333333333333</v>
      </c>
      <c r="E325" s="116">
        <v>833.4</v>
      </c>
      <c r="F325" s="116">
        <v>1263.0999999999999</v>
      </c>
      <c r="G325">
        <v>119837</v>
      </c>
      <c r="H325" s="116"/>
      <c r="I325" s="116"/>
      <c r="L325" s="170">
        <v>42482</v>
      </c>
      <c r="M325" s="116">
        <v>843.4</v>
      </c>
      <c r="N325" s="116">
        <v>846</v>
      </c>
      <c r="O325" s="116">
        <v>827.66666666666663</v>
      </c>
      <c r="P325" s="116">
        <v>833.33333333333337</v>
      </c>
      <c r="Q325" s="116">
        <v>1265.0999999999999</v>
      </c>
      <c r="R325">
        <v>1338916</v>
      </c>
    </row>
    <row r="326" spans="1:18" x14ac:dyDescent="0.25">
      <c r="A326" s="170">
        <v>42485</v>
      </c>
      <c r="B326" s="116">
        <v>851.30000000000007</v>
      </c>
      <c r="C326" s="116">
        <v>843.63333333333333</v>
      </c>
      <c r="D326" s="116">
        <v>838.66666666666663</v>
      </c>
      <c r="E326" s="116">
        <v>843.33333333333337</v>
      </c>
      <c r="F326" s="116">
        <v>1265.45</v>
      </c>
      <c r="G326">
        <v>107709</v>
      </c>
      <c r="H326" s="116"/>
      <c r="I326" s="116"/>
      <c r="L326" s="170">
        <v>42485</v>
      </c>
      <c r="M326" s="116">
        <v>843.66666666666663</v>
      </c>
      <c r="N326" s="116">
        <v>851.73333333333323</v>
      </c>
      <c r="O326" s="116">
        <v>838.06666666666661</v>
      </c>
      <c r="P326" s="116">
        <v>846.66666666666663</v>
      </c>
      <c r="Q326" s="116">
        <v>1265.5</v>
      </c>
      <c r="R326">
        <v>1419126</v>
      </c>
    </row>
    <row r="327" spans="1:18" x14ac:dyDescent="0.25">
      <c r="A327" s="170">
        <v>42486</v>
      </c>
      <c r="B327" s="116">
        <v>855.33333333333337</v>
      </c>
      <c r="C327" s="116">
        <v>854</v>
      </c>
      <c r="D327" s="116">
        <v>838.66666666666663</v>
      </c>
      <c r="E327" s="116">
        <v>840.0333333333333</v>
      </c>
      <c r="F327" s="116">
        <v>1281</v>
      </c>
      <c r="G327">
        <v>135461</v>
      </c>
      <c r="H327" s="116"/>
      <c r="I327" s="116"/>
      <c r="L327" s="170">
        <v>42486</v>
      </c>
      <c r="M327" s="116">
        <v>854</v>
      </c>
      <c r="N327" s="116">
        <v>855.63333333333333</v>
      </c>
      <c r="O327" s="116">
        <v>840.23333333333323</v>
      </c>
      <c r="P327" s="116">
        <v>840.73333333333323</v>
      </c>
      <c r="Q327" s="116">
        <v>1281</v>
      </c>
      <c r="R327">
        <v>1251790</v>
      </c>
    </row>
    <row r="328" spans="1:18" x14ac:dyDescent="0.25">
      <c r="A328" s="170">
        <v>42487</v>
      </c>
      <c r="B328" s="116">
        <v>858.66666666666663</v>
      </c>
      <c r="C328" s="116">
        <v>851.5333333333333</v>
      </c>
      <c r="D328" s="116">
        <v>848</v>
      </c>
      <c r="E328" s="116">
        <v>854</v>
      </c>
      <c r="F328" s="116">
        <v>1277.3</v>
      </c>
      <c r="G328">
        <v>88724</v>
      </c>
      <c r="H328" s="116"/>
      <c r="I328" s="116"/>
      <c r="L328" s="170">
        <v>42487</v>
      </c>
      <c r="M328" s="116">
        <v>850.9666666666667</v>
      </c>
      <c r="N328" s="116">
        <v>859.16666666666663</v>
      </c>
      <c r="O328" s="116">
        <v>847.36666666666667</v>
      </c>
      <c r="P328" s="116">
        <v>854</v>
      </c>
      <c r="Q328" s="116">
        <v>1276.45</v>
      </c>
      <c r="R328">
        <v>1038457</v>
      </c>
    </row>
    <row r="329" spans="1:18" x14ac:dyDescent="0.25">
      <c r="A329" s="170">
        <v>42488</v>
      </c>
      <c r="B329" s="116">
        <v>855</v>
      </c>
      <c r="C329" s="116">
        <v>839.73333333333323</v>
      </c>
      <c r="D329" s="116">
        <v>836</v>
      </c>
      <c r="E329" s="116">
        <v>851.86666666666667</v>
      </c>
      <c r="F329" s="116">
        <v>1259.5999999999999</v>
      </c>
      <c r="G329">
        <v>231357</v>
      </c>
      <c r="H329" s="116"/>
      <c r="I329" s="116"/>
      <c r="L329" s="170">
        <v>42488</v>
      </c>
      <c r="M329" s="116">
        <v>839.69999999999993</v>
      </c>
      <c r="N329" s="116">
        <v>855.26666666666677</v>
      </c>
      <c r="O329" s="116">
        <v>835.6</v>
      </c>
      <c r="P329" s="116">
        <v>851.33333333333337</v>
      </c>
      <c r="Q329" s="116">
        <v>1259.55</v>
      </c>
      <c r="R329">
        <v>1859980</v>
      </c>
    </row>
    <row r="330" spans="1:18" x14ac:dyDescent="0.25">
      <c r="A330" s="170">
        <v>42489</v>
      </c>
      <c r="B330" s="116">
        <v>844.4</v>
      </c>
      <c r="C330" s="116">
        <v>835.69999999999993</v>
      </c>
      <c r="D330" s="116">
        <v>831</v>
      </c>
      <c r="E330" s="116">
        <v>840</v>
      </c>
      <c r="F330" s="116">
        <v>1253.55</v>
      </c>
      <c r="G330">
        <v>98745</v>
      </c>
      <c r="H330" s="116"/>
      <c r="I330" s="116"/>
      <c r="L330" s="170">
        <v>42489</v>
      </c>
      <c r="M330" s="116">
        <v>836.4</v>
      </c>
      <c r="N330" s="116">
        <v>844.06666666666661</v>
      </c>
      <c r="O330" s="116">
        <v>830.33333333333337</v>
      </c>
      <c r="P330" s="116">
        <v>840.1</v>
      </c>
      <c r="Q330" s="116">
        <v>1254.5999999999999</v>
      </c>
      <c r="R330">
        <v>1126249</v>
      </c>
    </row>
    <row r="331" spans="1:18" x14ac:dyDescent="0.25">
      <c r="A331" s="170">
        <v>42492</v>
      </c>
      <c r="B331" s="116">
        <v>835.23333333333323</v>
      </c>
      <c r="C331" s="116">
        <v>832.06666666666661</v>
      </c>
      <c r="D331" s="116">
        <v>824.5</v>
      </c>
      <c r="E331" s="116">
        <v>832.5333333333333</v>
      </c>
      <c r="F331" s="116">
        <v>1248.0999999999999</v>
      </c>
      <c r="G331">
        <v>99033</v>
      </c>
      <c r="H331" s="116"/>
      <c r="I331" s="116"/>
      <c r="L331" s="170">
        <v>42492</v>
      </c>
      <c r="M331" s="116">
        <v>833.83333333333337</v>
      </c>
      <c r="N331" s="116">
        <v>837.33333333333337</v>
      </c>
      <c r="O331" s="116">
        <v>824</v>
      </c>
      <c r="P331" s="116">
        <v>830.66666666666663</v>
      </c>
      <c r="Q331" s="116">
        <v>1250.75</v>
      </c>
      <c r="R331">
        <v>896210</v>
      </c>
    </row>
    <row r="332" spans="1:18" x14ac:dyDescent="0.25">
      <c r="A332" s="170">
        <v>42493</v>
      </c>
      <c r="B332" s="116">
        <v>854.66666666666663</v>
      </c>
      <c r="C332" s="116">
        <v>833.9</v>
      </c>
      <c r="D332" s="116">
        <v>830</v>
      </c>
      <c r="E332" s="116">
        <v>833.36666666666667</v>
      </c>
      <c r="F332" s="116">
        <v>1250.8499999999999</v>
      </c>
      <c r="G332">
        <v>221291</v>
      </c>
      <c r="H332" s="116"/>
      <c r="I332" s="116"/>
      <c r="L332" s="170">
        <v>42493</v>
      </c>
      <c r="M332" s="116">
        <v>834.26666666666677</v>
      </c>
      <c r="N332" s="116">
        <v>855.43333333333339</v>
      </c>
      <c r="O332" s="116">
        <v>830</v>
      </c>
      <c r="P332" s="116">
        <v>837.33333333333337</v>
      </c>
      <c r="Q332" s="116">
        <v>1251.4000000000001</v>
      </c>
      <c r="R332">
        <v>1683433</v>
      </c>
    </row>
    <row r="333" spans="1:18" x14ac:dyDescent="0.25">
      <c r="A333" s="170">
        <v>42494</v>
      </c>
      <c r="B333" s="116">
        <v>838.56666666666661</v>
      </c>
      <c r="C333" s="116">
        <v>830.69999999999993</v>
      </c>
      <c r="D333" s="116">
        <v>827.33333333333337</v>
      </c>
      <c r="E333" s="116">
        <v>831.13333333333333</v>
      </c>
      <c r="F333" s="116">
        <v>1246.05</v>
      </c>
      <c r="G333">
        <v>105529</v>
      </c>
      <c r="H333" s="116"/>
      <c r="I333" s="116"/>
      <c r="L333" s="170">
        <v>42494</v>
      </c>
      <c r="M333" s="116">
        <v>831.19999999999993</v>
      </c>
      <c r="N333" s="116">
        <v>838.6</v>
      </c>
      <c r="O333" s="116">
        <v>826.66666666666663</v>
      </c>
      <c r="P333" s="116">
        <v>831.36666666666667</v>
      </c>
      <c r="Q333" s="116">
        <v>1246.8</v>
      </c>
      <c r="R333">
        <v>1096230</v>
      </c>
    </row>
    <row r="334" spans="1:18" x14ac:dyDescent="0.25">
      <c r="A334" s="170">
        <v>42495</v>
      </c>
      <c r="B334" s="116">
        <v>853.33333333333337</v>
      </c>
      <c r="C334" s="116">
        <v>848.9666666666667</v>
      </c>
      <c r="D334" s="116">
        <v>830</v>
      </c>
      <c r="E334" s="116">
        <v>832.66666666666663</v>
      </c>
      <c r="F334" s="116">
        <v>1273.45</v>
      </c>
      <c r="G334">
        <v>173219</v>
      </c>
      <c r="H334" s="116"/>
      <c r="I334" s="116"/>
      <c r="L334" s="170">
        <v>42495</v>
      </c>
      <c r="M334" s="116">
        <v>849.23333333333323</v>
      </c>
      <c r="N334" s="116">
        <v>855</v>
      </c>
      <c r="O334" s="116">
        <v>829.4666666666667</v>
      </c>
      <c r="P334" s="116">
        <v>829.66666666666663</v>
      </c>
      <c r="Q334" s="116">
        <v>1273.8499999999999</v>
      </c>
      <c r="R334">
        <v>1880837</v>
      </c>
    </row>
    <row r="335" spans="1:18" x14ac:dyDescent="0.25">
      <c r="A335" s="170">
        <v>42496</v>
      </c>
      <c r="B335" s="116">
        <v>848</v>
      </c>
      <c r="C335" s="116">
        <v>840.0333333333333</v>
      </c>
      <c r="D335" s="116">
        <v>836.66666666666663</v>
      </c>
      <c r="E335" s="116">
        <v>846.5333333333333</v>
      </c>
      <c r="F335" s="116">
        <v>1260.05</v>
      </c>
      <c r="G335">
        <v>112130</v>
      </c>
      <c r="H335" s="116"/>
      <c r="I335" s="116"/>
      <c r="L335" s="170">
        <v>42496</v>
      </c>
      <c r="M335" s="116">
        <v>840.30000000000007</v>
      </c>
      <c r="N335" s="116">
        <v>848.26666666666677</v>
      </c>
      <c r="O335" s="116">
        <v>836</v>
      </c>
      <c r="P335" s="116">
        <v>847.33333333333337</v>
      </c>
      <c r="Q335" s="116">
        <v>1260.45</v>
      </c>
      <c r="R335">
        <v>1073588</v>
      </c>
    </row>
    <row r="336" spans="1:18" x14ac:dyDescent="0.25">
      <c r="A336" s="170">
        <v>42499</v>
      </c>
      <c r="B336" s="116">
        <v>864.33333333333337</v>
      </c>
      <c r="C336" s="116">
        <v>862.9</v>
      </c>
      <c r="D336" s="116">
        <v>841.6</v>
      </c>
      <c r="E336" s="116">
        <v>841.6</v>
      </c>
      <c r="F336" s="116">
        <v>1294.3499999999999</v>
      </c>
      <c r="G336">
        <v>191076</v>
      </c>
      <c r="H336" s="116"/>
      <c r="I336" s="116"/>
      <c r="L336" s="170">
        <v>42499</v>
      </c>
      <c r="M336" s="116">
        <v>863.0333333333333</v>
      </c>
      <c r="N336" s="116">
        <v>864.6</v>
      </c>
      <c r="O336" s="116">
        <v>842.13333333333333</v>
      </c>
      <c r="P336" s="116">
        <v>842.66666666666663</v>
      </c>
      <c r="Q336" s="116">
        <v>1294.55</v>
      </c>
      <c r="R336">
        <v>1859009</v>
      </c>
    </row>
    <row r="337" spans="1:18" x14ac:dyDescent="0.25">
      <c r="A337" s="170">
        <v>42500</v>
      </c>
      <c r="B337" s="116">
        <v>881.16666666666663</v>
      </c>
      <c r="C337" s="116">
        <v>879.06666666666661</v>
      </c>
      <c r="D337" s="116">
        <v>859.33333333333337</v>
      </c>
      <c r="E337" s="116">
        <v>865.26666666666677</v>
      </c>
      <c r="F337" s="116">
        <v>1318.6</v>
      </c>
      <c r="G337">
        <v>222197</v>
      </c>
      <c r="H337" s="116"/>
      <c r="I337" s="116"/>
      <c r="L337" s="170">
        <v>42500</v>
      </c>
      <c r="M337" s="116">
        <v>880.0333333333333</v>
      </c>
      <c r="N337" s="116">
        <v>881.80000000000007</v>
      </c>
      <c r="O337" s="116">
        <v>858.66666666666663</v>
      </c>
      <c r="P337" s="116">
        <v>863.33333333333337</v>
      </c>
      <c r="Q337" s="116">
        <v>1320.05</v>
      </c>
      <c r="R337">
        <v>2450764</v>
      </c>
    </row>
    <row r="338" spans="1:18" x14ac:dyDescent="0.25">
      <c r="A338" s="170">
        <v>42501</v>
      </c>
      <c r="B338" s="116">
        <v>887.93333333333339</v>
      </c>
      <c r="C338" s="116">
        <v>882.66666666666663</v>
      </c>
      <c r="D338" s="116">
        <v>864</v>
      </c>
      <c r="E338" s="116">
        <v>865.80000000000007</v>
      </c>
      <c r="F338" s="116">
        <v>1324</v>
      </c>
      <c r="G338">
        <v>393569</v>
      </c>
      <c r="H338" s="116"/>
      <c r="I338" s="116"/>
      <c r="L338" s="170">
        <v>42501</v>
      </c>
      <c r="M338" s="116">
        <v>885.16666666666663</v>
      </c>
      <c r="N338" s="116">
        <v>889.33333333333337</v>
      </c>
      <c r="O338" s="116">
        <v>863.33333333333337</v>
      </c>
      <c r="P338" s="116">
        <v>866.56666666666661</v>
      </c>
      <c r="Q338" s="116">
        <v>1327.75</v>
      </c>
      <c r="R338">
        <v>3069038</v>
      </c>
    </row>
    <row r="339" spans="1:18" x14ac:dyDescent="0.25">
      <c r="A339" s="170">
        <v>42502</v>
      </c>
      <c r="B339" s="116">
        <v>892.6</v>
      </c>
      <c r="C339" s="116">
        <v>878.43333333333339</v>
      </c>
      <c r="D339" s="116">
        <v>875.69999999999993</v>
      </c>
      <c r="E339" s="116">
        <v>880.66666666666663</v>
      </c>
      <c r="F339" s="116">
        <v>1317.65</v>
      </c>
      <c r="G339">
        <v>116341</v>
      </c>
      <c r="H339" s="116"/>
      <c r="I339" s="116"/>
      <c r="L339" s="170">
        <v>42502</v>
      </c>
      <c r="M339" s="116">
        <v>877.4</v>
      </c>
      <c r="N339" s="116">
        <v>893.26666666666677</v>
      </c>
      <c r="O339" s="116">
        <v>874.16666666666663</v>
      </c>
      <c r="P339" s="116">
        <v>883.4</v>
      </c>
      <c r="Q339" s="116">
        <v>1316.1</v>
      </c>
      <c r="R339">
        <v>1035516</v>
      </c>
    </row>
    <row r="340" spans="1:18" x14ac:dyDescent="0.25">
      <c r="A340" s="170">
        <v>42503</v>
      </c>
      <c r="B340" s="116">
        <v>876.66666666666663</v>
      </c>
      <c r="C340" s="116">
        <v>858.1</v>
      </c>
      <c r="D340" s="116">
        <v>854.66666666666663</v>
      </c>
      <c r="E340" s="116">
        <v>875.93333333333339</v>
      </c>
      <c r="F340" s="116">
        <v>1287.1500000000001</v>
      </c>
      <c r="G340">
        <v>153540</v>
      </c>
      <c r="H340" s="116"/>
      <c r="I340" s="116"/>
      <c r="L340" s="170">
        <v>42503</v>
      </c>
      <c r="M340" s="116">
        <v>857.66666666666663</v>
      </c>
      <c r="N340" s="116">
        <v>876.66666666666663</v>
      </c>
      <c r="O340" s="116">
        <v>853.63333333333333</v>
      </c>
      <c r="P340" s="116">
        <v>873.33333333333337</v>
      </c>
      <c r="Q340" s="116">
        <v>1286.5</v>
      </c>
      <c r="R340">
        <v>1402495</v>
      </c>
    </row>
    <row r="341" spans="1:18" x14ac:dyDescent="0.25">
      <c r="A341" s="170">
        <v>42506</v>
      </c>
      <c r="B341" s="116">
        <v>863.63333333333333</v>
      </c>
      <c r="C341" s="116">
        <v>855.4666666666667</v>
      </c>
      <c r="D341" s="116">
        <v>846.5</v>
      </c>
      <c r="E341" s="116">
        <v>860</v>
      </c>
      <c r="F341" s="116">
        <v>1283.2</v>
      </c>
      <c r="G341">
        <v>155376</v>
      </c>
      <c r="H341" s="116"/>
      <c r="I341" s="116"/>
      <c r="L341" s="170">
        <v>42506</v>
      </c>
      <c r="M341" s="116">
        <v>855.5</v>
      </c>
      <c r="N341" s="116">
        <v>864</v>
      </c>
      <c r="O341" s="116">
        <v>845.83333333333337</v>
      </c>
      <c r="P341" s="116">
        <v>861.19999999999993</v>
      </c>
      <c r="Q341" s="116">
        <v>1283.25</v>
      </c>
      <c r="R341">
        <v>1607301</v>
      </c>
    </row>
    <row r="342" spans="1:18" x14ac:dyDescent="0.25">
      <c r="A342" s="170">
        <v>42507</v>
      </c>
      <c r="B342" s="116">
        <v>872.5</v>
      </c>
      <c r="C342" s="116">
        <v>862.26666666666677</v>
      </c>
      <c r="D342" s="116">
        <v>852</v>
      </c>
      <c r="E342" s="116">
        <v>859.36666666666667</v>
      </c>
      <c r="F342" s="116">
        <v>1293.4000000000001</v>
      </c>
      <c r="G342">
        <v>125839</v>
      </c>
      <c r="H342" s="116"/>
      <c r="I342" s="116"/>
      <c r="L342" s="170">
        <v>42507</v>
      </c>
      <c r="M342" s="116">
        <v>860.73333333333323</v>
      </c>
      <c r="N342" s="116">
        <v>872.66666666666663</v>
      </c>
      <c r="O342" s="116">
        <v>856.43333333333339</v>
      </c>
      <c r="P342" s="116">
        <v>859.33333333333337</v>
      </c>
      <c r="Q342" s="116">
        <v>1291.0999999999999</v>
      </c>
      <c r="R342">
        <v>1482377</v>
      </c>
    </row>
    <row r="343" spans="1:18" x14ac:dyDescent="0.25">
      <c r="A343" s="170">
        <v>42508</v>
      </c>
      <c r="B343" s="116">
        <v>874</v>
      </c>
      <c r="C343" s="116">
        <v>872.93333333333339</v>
      </c>
      <c r="D343" s="116">
        <v>852</v>
      </c>
      <c r="E343" s="116">
        <v>859.33333333333337</v>
      </c>
      <c r="F343" s="116">
        <v>1309.4000000000001</v>
      </c>
      <c r="G343">
        <v>123986</v>
      </c>
      <c r="H343" s="116"/>
      <c r="I343" s="116"/>
      <c r="L343" s="170">
        <v>42508</v>
      </c>
      <c r="M343" s="116">
        <v>873.23333333333323</v>
      </c>
      <c r="N343" s="116">
        <v>874.80000000000007</v>
      </c>
      <c r="O343" s="116">
        <v>851.36666666666667</v>
      </c>
      <c r="P343" s="116">
        <v>856.93333333333339</v>
      </c>
      <c r="Q343" s="116">
        <v>1309.8499999999999</v>
      </c>
      <c r="R343">
        <v>1735672</v>
      </c>
    </row>
    <row r="344" spans="1:18" x14ac:dyDescent="0.25">
      <c r="A344" s="170">
        <v>42509</v>
      </c>
      <c r="B344" s="116">
        <v>872.33333333333337</v>
      </c>
      <c r="C344" s="116">
        <v>844.66666666666663</v>
      </c>
      <c r="D344" s="116">
        <v>840.66666666666663</v>
      </c>
      <c r="E344" s="116">
        <v>870.06666666666661</v>
      </c>
      <c r="F344" s="116">
        <v>1267</v>
      </c>
      <c r="G344">
        <v>197415</v>
      </c>
      <c r="H344" s="116"/>
      <c r="I344" s="116"/>
      <c r="L344" s="170">
        <v>42509</v>
      </c>
      <c r="M344" s="116">
        <v>844.06666666666661</v>
      </c>
      <c r="N344" s="116">
        <v>872</v>
      </c>
      <c r="O344" s="116">
        <v>840.0333333333333</v>
      </c>
      <c r="P344" s="116">
        <v>869.33333333333337</v>
      </c>
      <c r="Q344" s="116">
        <v>1266.0999999999999</v>
      </c>
      <c r="R344">
        <v>1336722</v>
      </c>
    </row>
    <row r="345" spans="1:18" x14ac:dyDescent="0.25">
      <c r="A345" s="170">
        <v>42510</v>
      </c>
      <c r="B345" s="116">
        <v>853</v>
      </c>
      <c r="C345" s="116">
        <v>838.4</v>
      </c>
      <c r="D345" s="116">
        <v>836.4</v>
      </c>
      <c r="E345" s="116">
        <v>847.36666666666667</v>
      </c>
      <c r="F345" s="116">
        <v>1257.5999999999999</v>
      </c>
      <c r="G345">
        <v>294441</v>
      </c>
      <c r="H345" s="116"/>
      <c r="I345" s="116"/>
      <c r="L345" s="170">
        <v>42510</v>
      </c>
      <c r="M345" s="116">
        <v>836.73333333333323</v>
      </c>
      <c r="N345" s="116">
        <v>853.13333333333333</v>
      </c>
      <c r="O345" s="116">
        <v>834.06666666666661</v>
      </c>
      <c r="P345" s="116">
        <v>848</v>
      </c>
      <c r="Q345" s="116">
        <v>1255.0999999999999</v>
      </c>
      <c r="R345">
        <v>1115039</v>
      </c>
    </row>
    <row r="346" spans="1:18" x14ac:dyDescent="0.25">
      <c r="A346" s="170">
        <v>42513</v>
      </c>
      <c r="B346" s="116">
        <v>843.6</v>
      </c>
      <c r="C346" s="116">
        <v>827.23333333333323</v>
      </c>
      <c r="D346" s="116">
        <v>824.66666666666663</v>
      </c>
      <c r="E346" s="116">
        <v>842.6</v>
      </c>
      <c r="F346" s="116">
        <v>1240.8499999999999</v>
      </c>
      <c r="G346">
        <v>153741</v>
      </c>
      <c r="H346" s="116"/>
      <c r="I346" s="116"/>
      <c r="L346" s="170">
        <v>42513</v>
      </c>
      <c r="M346" s="116">
        <v>827.4666666666667</v>
      </c>
      <c r="N346" s="116">
        <v>843.9</v>
      </c>
      <c r="O346" s="116">
        <v>825.33333333333337</v>
      </c>
      <c r="P346" s="116">
        <v>842.43333333333339</v>
      </c>
      <c r="Q346" s="116">
        <v>1241.2</v>
      </c>
      <c r="R346">
        <v>1465840</v>
      </c>
    </row>
    <row r="347" spans="1:18" x14ac:dyDescent="0.25">
      <c r="A347" s="170">
        <v>42514</v>
      </c>
      <c r="B347" s="116">
        <v>831.9666666666667</v>
      </c>
      <c r="C347" s="116">
        <v>827.6</v>
      </c>
      <c r="D347" s="116">
        <v>816</v>
      </c>
      <c r="E347" s="116">
        <v>828.66666666666663</v>
      </c>
      <c r="F347" s="116">
        <v>1241.4000000000001</v>
      </c>
      <c r="G347">
        <v>149115</v>
      </c>
      <c r="H347" s="116"/>
      <c r="I347" s="116"/>
      <c r="L347" s="170">
        <v>42514</v>
      </c>
      <c r="M347" s="116">
        <v>828.1</v>
      </c>
      <c r="N347" s="116">
        <v>832.4</v>
      </c>
      <c r="O347" s="116">
        <v>815.5333333333333</v>
      </c>
      <c r="P347" s="116">
        <v>827.4666666666667</v>
      </c>
      <c r="Q347" s="116">
        <v>1242.1500000000001</v>
      </c>
      <c r="R347">
        <v>1238994</v>
      </c>
    </row>
    <row r="348" spans="1:18" x14ac:dyDescent="0.25">
      <c r="A348" s="170">
        <v>42515</v>
      </c>
      <c r="B348" s="116">
        <v>864.6</v>
      </c>
      <c r="C348" s="116">
        <v>860.86666666666667</v>
      </c>
      <c r="D348" s="116">
        <v>833.66666666666663</v>
      </c>
      <c r="E348" s="116">
        <v>833.66666666666663</v>
      </c>
      <c r="F348" s="116">
        <v>1291.3</v>
      </c>
      <c r="G348">
        <v>276007</v>
      </c>
      <c r="H348" s="116"/>
      <c r="I348" s="116"/>
      <c r="L348" s="170">
        <v>42515</v>
      </c>
      <c r="M348" s="116">
        <v>861.06666666666661</v>
      </c>
      <c r="N348" s="116">
        <v>865.76666666666677</v>
      </c>
      <c r="O348" s="116">
        <v>834.0333333333333</v>
      </c>
      <c r="P348" s="116">
        <v>840</v>
      </c>
      <c r="Q348" s="116">
        <v>1291.5999999999999</v>
      </c>
      <c r="R348">
        <v>2481047</v>
      </c>
    </row>
    <row r="349" spans="1:18" x14ac:dyDescent="0.25">
      <c r="A349" s="170">
        <v>42516</v>
      </c>
      <c r="B349" s="116">
        <v>989.33333333333337</v>
      </c>
      <c r="C349" s="116">
        <v>981.73333333333323</v>
      </c>
      <c r="D349" s="116">
        <v>926.5</v>
      </c>
      <c r="E349" s="116">
        <v>936</v>
      </c>
      <c r="F349" s="116">
        <v>1472.6</v>
      </c>
      <c r="G349">
        <v>1689860</v>
      </c>
      <c r="H349" s="116"/>
      <c r="I349" s="116"/>
      <c r="L349" s="170">
        <v>42516</v>
      </c>
      <c r="M349" s="116">
        <v>982.76666666666677</v>
      </c>
      <c r="N349" s="116">
        <v>989.93333333333339</v>
      </c>
      <c r="O349" s="116">
        <v>926.66666666666663</v>
      </c>
      <c r="P349" s="116">
        <v>936</v>
      </c>
      <c r="Q349" s="116">
        <v>1474.15</v>
      </c>
      <c r="R349">
        <v>13794605</v>
      </c>
    </row>
    <row r="350" spans="1:18" x14ac:dyDescent="0.25">
      <c r="A350" s="170">
        <v>42517</v>
      </c>
      <c r="B350" s="116">
        <v>991.06666666666661</v>
      </c>
      <c r="C350" s="116">
        <v>983.0333333333333</v>
      </c>
      <c r="D350" s="116">
        <v>968.43333333333339</v>
      </c>
      <c r="E350" s="116">
        <v>983.33333333333337</v>
      </c>
      <c r="F350" s="116">
        <v>1474.55</v>
      </c>
      <c r="G350">
        <v>449489</v>
      </c>
      <c r="H350" s="116"/>
      <c r="I350" s="116"/>
      <c r="L350" s="170">
        <v>42517</v>
      </c>
      <c r="M350" s="116">
        <v>983.26666666666677</v>
      </c>
      <c r="N350" s="116">
        <v>991.56666666666661</v>
      </c>
      <c r="O350" s="116">
        <v>968</v>
      </c>
      <c r="P350" s="116">
        <v>982.66666666666663</v>
      </c>
      <c r="Q350" s="116">
        <v>1474.9</v>
      </c>
      <c r="R350">
        <v>3923827</v>
      </c>
    </row>
    <row r="351" spans="1:18" x14ac:dyDescent="0.25">
      <c r="A351" s="170">
        <v>42520</v>
      </c>
      <c r="B351" s="116">
        <v>996.66666666666663</v>
      </c>
      <c r="C351" s="116">
        <v>990.9666666666667</v>
      </c>
      <c r="D351" s="116">
        <v>976.66666666666663</v>
      </c>
      <c r="E351" s="116">
        <v>979.9666666666667</v>
      </c>
      <c r="F351" s="116">
        <v>1486.45</v>
      </c>
      <c r="G351">
        <v>247207</v>
      </c>
      <c r="H351" s="116"/>
      <c r="I351" s="116"/>
      <c r="L351" s="170">
        <v>42520</v>
      </c>
      <c r="M351" s="116">
        <v>991.4</v>
      </c>
      <c r="N351" s="116">
        <v>997.63333333333333</v>
      </c>
      <c r="O351" s="116">
        <v>977.43333333333339</v>
      </c>
      <c r="P351" s="116">
        <v>979.93333333333339</v>
      </c>
      <c r="Q351" s="116">
        <v>1487.1</v>
      </c>
      <c r="R351">
        <v>2325293</v>
      </c>
    </row>
    <row r="352" spans="1:18" x14ac:dyDescent="0.25">
      <c r="A352" s="170">
        <v>42521</v>
      </c>
      <c r="B352" s="116">
        <v>992.4666666666667</v>
      </c>
      <c r="C352" s="116">
        <v>982.86666666666667</v>
      </c>
      <c r="D352" s="116">
        <v>978.63333333333333</v>
      </c>
      <c r="E352" s="116">
        <v>987.4666666666667</v>
      </c>
      <c r="F352" s="116">
        <v>1474.3</v>
      </c>
      <c r="G352">
        <v>177104</v>
      </c>
      <c r="H352" s="116"/>
      <c r="I352" s="116"/>
      <c r="L352" s="170">
        <v>42521</v>
      </c>
      <c r="M352" s="116">
        <v>982.36666666666667</v>
      </c>
      <c r="N352" s="116">
        <v>991.4</v>
      </c>
      <c r="O352" s="116">
        <v>978.13333333333333</v>
      </c>
      <c r="P352" s="116">
        <v>990.80000000000007</v>
      </c>
      <c r="Q352" s="116">
        <v>1473.55</v>
      </c>
      <c r="R352">
        <v>2539737</v>
      </c>
    </row>
    <row r="353" spans="1:18" x14ac:dyDescent="0.25">
      <c r="A353" s="170">
        <v>42522</v>
      </c>
      <c r="B353" s="116">
        <v>988.66666666666663</v>
      </c>
      <c r="C353" s="116">
        <v>977.83333333333337</v>
      </c>
      <c r="D353" s="116">
        <v>975</v>
      </c>
      <c r="E353" s="116">
        <v>976.66666666666663</v>
      </c>
      <c r="F353" s="116">
        <v>1466.75</v>
      </c>
      <c r="G353">
        <v>151510</v>
      </c>
      <c r="H353" s="116"/>
      <c r="I353" s="116"/>
      <c r="L353" s="170">
        <v>42522</v>
      </c>
      <c r="M353" s="116">
        <v>976.69999999999993</v>
      </c>
      <c r="N353" s="116">
        <v>989.43333333333339</v>
      </c>
      <c r="O353" s="116">
        <v>974.06666666666661</v>
      </c>
      <c r="P353" s="116">
        <v>980.0333333333333</v>
      </c>
      <c r="Q353" s="116">
        <v>1465.05</v>
      </c>
      <c r="R353">
        <v>1657530</v>
      </c>
    </row>
    <row r="354" spans="1:18" x14ac:dyDescent="0.25">
      <c r="A354" s="170">
        <v>42523</v>
      </c>
      <c r="B354" s="116">
        <v>988.5333333333333</v>
      </c>
      <c r="C354" s="116">
        <v>985.56666666666661</v>
      </c>
      <c r="D354" s="116">
        <v>961.76666666666677</v>
      </c>
      <c r="E354" s="116">
        <v>973.33333333333337</v>
      </c>
      <c r="F354" s="116">
        <v>1478.35</v>
      </c>
      <c r="G354">
        <v>186632</v>
      </c>
      <c r="H354" s="116"/>
      <c r="I354" s="116"/>
      <c r="L354" s="170">
        <v>42523</v>
      </c>
      <c r="M354" s="116">
        <v>984.83333333333337</v>
      </c>
      <c r="N354" s="116">
        <v>988.4666666666667</v>
      </c>
      <c r="O354" s="116">
        <v>961.1</v>
      </c>
      <c r="P354" s="116">
        <v>973.33333333333337</v>
      </c>
      <c r="Q354" s="116">
        <v>1477.25</v>
      </c>
      <c r="R354">
        <v>2069058</v>
      </c>
    </row>
    <row r="355" spans="1:18" x14ac:dyDescent="0.25">
      <c r="A355" s="170">
        <v>42524</v>
      </c>
      <c r="B355" s="116">
        <v>990.86666666666667</v>
      </c>
      <c r="C355" s="116">
        <v>974</v>
      </c>
      <c r="D355" s="116">
        <v>970.73333333333323</v>
      </c>
      <c r="E355" s="116">
        <v>986.66666666666663</v>
      </c>
      <c r="F355" s="116">
        <v>1461</v>
      </c>
      <c r="G355">
        <v>167308</v>
      </c>
      <c r="H355" s="116"/>
      <c r="I355" s="116"/>
      <c r="L355" s="170">
        <v>42524</v>
      </c>
      <c r="M355" s="116">
        <v>973.73333333333323</v>
      </c>
      <c r="N355" s="116">
        <v>990.63333333333333</v>
      </c>
      <c r="O355" s="116">
        <v>970.66666666666663</v>
      </c>
      <c r="P355" s="116">
        <v>984.66666666666663</v>
      </c>
      <c r="Q355" s="116">
        <v>1460.6</v>
      </c>
      <c r="R355">
        <v>1500227</v>
      </c>
    </row>
    <row r="356" spans="1:18" x14ac:dyDescent="0.25">
      <c r="A356" s="170">
        <v>42527</v>
      </c>
      <c r="B356" s="116">
        <v>981.66666666666663</v>
      </c>
      <c r="C356" s="116">
        <v>978.73333333333323</v>
      </c>
      <c r="D356" s="116">
        <v>974.33333333333337</v>
      </c>
      <c r="E356" s="116">
        <v>980</v>
      </c>
      <c r="F356" s="116">
        <v>1468.1</v>
      </c>
      <c r="G356">
        <v>80265</v>
      </c>
      <c r="H356" s="116"/>
      <c r="I356" s="116"/>
      <c r="L356" s="170">
        <v>42527</v>
      </c>
      <c r="M356" s="116">
        <v>978.80000000000007</v>
      </c>
      <c r="N356" s="116">
        <v>982.23333333333323</v>
      </c>
      <c r="O356" s="116">
        <v>974.0333333333333</v>
      </c>
      <c r="P356" s="116">
        <v>975.19999999999993</v>
      </c>
      <c r="Q356" s="116">
        <v>1468.2</v>
      </c>
      <c r="R356">
        <v>1267954</v>
      </c>
    </row>
    <row r="357" spans="1:18" x14ac:dyDescent="0.25">
      <c r="A357" s="170">
        <v>42528</v>
      </c>
      <c r="B357" s="116">
        <v>999.9666666666667</v>
      </c>
      <c r="C357" s="116">
        <v>992.0333333333333</v>
      </c>
      <c r="D357" s="116">
        <v>974.36666666666667</v>
      </c>
      <c r="E357" s="116">
        <v>979.4</v>
      </c>
      <c r="F357" s="116">
        <v>1488.05</v>
      </c>
      <c r="G357">
        <v>251936</v>
      </c>
      <c r="H357" s="116"/>
      <c r="I357" s="116"/>
      <c r="L357" s="170">
        <v>42528</v>
      </c>
      <c r="M357" s="116">
        <v>991.93333333333339</v>
      </c>
      <c r="N357" s="116">
        <v>1000</v>
      </c>
      <c r="O357" s="116">
        <v>974.19999999999993</v>
      </c>
      <c r="P357" s="116">
        <v>983.33333333333337</v>
      </c>
      <c r="Q357" s="116">
        <v>1487.9</v>
      </c>
      <c r="R357">
        <v>2232357</v>
      </c>
    </row>
    <row r="358" spans="1:18" x14ac:dyDescent="0.25">
      <c r="A358" s="170">
        <v>42529</v>
      </c>
      <c r="B358" s="116">
        <v>1010</v>
      </c>
      <c r="C358" s="116">
        <v>1007.1</v>
      </c>
      <c r="D358" s="116">
        <v>994.63333333333333</v>
      </c>
      <c r="E358" s="116">
        <v>999.33333333333337</v>
      </c>
      <c r="F358" s="116">
        <v>1510.65</v>
      </c>
      <c r="G358">
        <v>238555</v>
      </c>
      <c r="H358" s="116"/>
      <c r="I358" s="116"/>
      <c r="L358" s="170">
        <v>42529</v>
      </c>
      <c r="M358" s="116">
        <v>1007.4666666666667</v>
      </c>
      <c r="N358" s="116">
        <v>1009.8000000000001</v>
      </c>
      <c r="O358" s="116">
        <v>993.43333333333339</v>
      </c>
      <c r="P358" s="116">
        <v>996.80000000000007</v>
      </c>
      <c r="Q358" s="116">
        <v>1511.2</v>
      </c>
      <c r="R358">
        <v>2216842</v>
      </c>
    </row>
    <row r="359" spans="1:18" x14ac:dyDescent="0.25">
      <c r="A359" s="170">
        <v>42530</v>
      </c>
      <c r="B359" s="116">
        <v>1008.8333333333334</v>
      </c>
      <c r="C359" s="116">
        <v>994.86666666666667</v>
      </c>
      <c r="D359" s="116">
        <v>992.06666666666661</v>
      </c>
      <c r="E359" s="116">
        <v>1007.3333333333334</v>
      </c>
      <c r="F359" s="116">
        <v>1492.3</v>
      </c>
      <c r="G359">
        <v>122140</v>
      </c>
      <c r="H359" s="116"/>
      <c r="I359" s="116"/>
      <c r="L359" s="170">
        <v>42530</v>
      </c>
      <c r="M359" s="116">
        <v>994.30000000000007</v>
      </c>
      <c r="N359" s="116">
        <v>1009.1333333333333</v>
      </c>
      <c r="O359" s="116">
        <v>991.4</v>
      </c>
      <c r="P359" s="116">
        <v>1007.5333333333333</v>
      </c>
      <c r="Q359" s="116">
        <v>1491.45</v>
      </c>
      <c r="R359">
        <v>1209153</v>
      </c>
    </row>
    <row r="360" spans="1:18" x14ac:dyDescent="0.25">
      <c r="A360" s="170">
        <v>42531</v>
      </c>
      <c r="B360" s="116">
        <v>1003.3333333333334</v>
      </c>
      <c r="C360" s="116">
        <v>991.4</v>
      </c>
      <c r="D360" s="116">
        <v>985.13333333333333</v>
      </c>
      <c r="E360" s="116">
        <v>994</v>
      </c>
      <c r="F360" s="116">
        <v>1487.1</v>
      </c>
      <c r="G360">
        <v>157789</v>
      </c>
      <c r="H360" s="116"/>
      <c r="I360" s="116"/>
      <c r="L360" s="170">
        <v>42531</v>
      </c>
      <c r="M360" s="116">
        <v>991.80000000000007</v>
      </c>
      <c r="N360" s="116">
        <v>1003.3333333333334</v>
      </c>
      <c r="O360" s="116">
        <v>984.19999999999993</v>
      </c>
      <c r="P360" s="116">
        <v>988.19999999999993</v>
      </c>
      <c r="Q360" s="116">
        <v>1487.7</v>
      </c>
      <c r="R360">
        <v>1435331</v>
      </c>
    </row>
    <row r="361" spans="1:18" x14ac:dyDescent="0.25">
      <c r="A361" s="170">
        <v>42534</v>
      </c>
      <c r="B361" s="116">
        <v>988.66666666666663</v>
      </c>
      <c r="C361" s="116">
        <v>976.6</v>
      </c>
      <c r="D361" s="116">
        <v>970.23333333333323</v>
      </c>
      <c r="E361" s="116">
        <v>984</v>
      </c>
      <c r="F361" s="116">
        <v>1464.9</v>
      </c>
      <c r="G361">
        <v>148566</v>
      </c>
      <c r="H361" s="116"/>
      <c r="I361" s="116"/>
      <c r="L361" s="170">
        <v>42534</v>
      </c>
      <c r="M361" s="116">
        <v>977.43333333333339</v>
      </c>
      <c r="N361" s="116">
        <v>982.6</v>
      </c>
      <c r="O361" s="116">
        <v>970.19999999999993</v>
      </c>
      <c r="P361" s="116">
        <v>980</v>
      </c>
      <c r="Q361" s="116">
        <v>1466.15</v>
      </c>
      <c r="R361">
        <v>1472905</v>
      </c>
    </row>
    <row r="362" spans="1:18" x14ac:dyDescent="0.25">
      <c r="A362" s="170">
        <v>42535</v>
      </c>
      <c r="B362" s="116">
        <v>982</v>
      </c>
      <c r="C362" s="116">
        <v>973.69999999999993</v>
      </c>
      <c r="D362" s="116">
        <v>970.56666666666661</v>
      </c>
      <c r="E362" s="116">
        <v>979.33333333333337</v>
      </c>
      <c r="F362" s="116">
        <v>1460.55</v>
      </c>
      <c r="G362">
        <v>92967</v>
      </c>
      <c r="H362" s="116"/>
      <c r="I362" s="116"/>
      <c r="L362" s="170">
        <v>42535</v>
      </c>
      <c r="M362" s="116">
        <v>973.69999999999993</v>
      </c>
      <c r="N362" s="116">
        <v>982.16666666666663</v>
      </c>
      <c r="O362" s="116">
        <v>970.06666666666661</v>
      </c>
      <c r="P362" s="116">
        <v>978.66666666666663</v>
      </c>
      <c r="Q362" s="116">
        <v>1460.55</v>
      </c>
      <c r="R362">
        <v>1126211</v>
      </c>
    </row>
    <row r="363" spans="1:18" x14ac:dyDescent="0.25">
      <c r="A363" s="170">
        <v>42536</v>
      </c>
      <c r="B363" s="116">
        <v>1008.3333333333334</v>
      </c>
      <c r="C363" s="116">
        <v>1006.6333333333333</v>
      </c>
      <c r="D363" s="116">
        <v>974.06666666666661</v>
      </c>
      <c r="E363" s="116">
        <v>974.06666666666661</v>
      </c>
      <c r="F363" s="116">
        <v>1509.95</v>
      </c>
      <c r="G363">
        <v>218646</v>
      </c>
      <c r="H363" s="116"/>
      <c r="I363" s="116"/>
      <c r="L363" s="170">
        <v>42536</v>
      </c>
      <c r="M363" s="116">
        <v>1009.1999999999999</v>
      </c>
      <c r="N363" s="116">
        <v>1011.3333333333334</v>
      </c>
      <c r="O363" s="116">
        <v>975.66666666666663</v>
      </c>
      <c r="P363" s="116">
        <v>976</v>
      </c>
      <c r="Q363" s="116">
        <v>1513.8</v>
      </c>
      <c r="R363">
        <v>1973744</v>
      </c>
    </row>
    <row r="364" spans="1:18" x14ac:dyDescent="0.25">
      <c r="A364" s="170">
        <v>42537</v>
      </c>
      <c r="B364" s="116">
        <v>1006.6333333333333</v>
      </c>
      <c r="C364" s="116">
        <v>994.56666666666661</v>
      </c>
      <c r="D364" s="116">
        <v>986.66666666666663</v>
      </c>
      <c r="E364" s="116">
        <v>1006.6333333333333</v>
      </c>
      <c r="F364" s="116">
        <v>1491.85</v>
      </c>
      <c r="G364">
        <v>166257</v>
      </c>
      <c r="H364" s="116"/>
      <c r="I364" s="116"/>
      <c r="L364" s="170">
        <v>42537</v>
      </c>
      <c r="M364" s="116">
        <v>996.13333333333333</v>
      </c>
      <c r="N364" s="116">
        <v>1006</v>
      </c>
      <c r="O364" s="116">
        <v>985.33333333333337</v>
      </c>
      <c r="P364" s="116">
        <v>1006</v>
      </c>
      <c r="Q364" s="116">
        <v>1494.2</v>
      </c>
      <c r="R364">
        <v>1631350</v>
      </c>
    </row>
    <row r="365" spans="1:18" x14ac:dyDescent="0.25">
      <c r="A365" s="170">
        <v>42538</v>
      </c>
      <c r="B365" s="116">
        <v>1002.7666666666668</v>
      </c>
      <c r="C365" s="116">
        <v>985.4666666666667</v>
      </c>
      <c r="D365" s="116">
        <v>981.86666666666667</v>
      </c>
      <c r="E365" s="116">
        <v>1000</v>
      </c>
      <c r="F365" s="116">
        <v>1478.2</v>
      </c>
      <c r="G365">
        <v>195396</v>
      </c>
      <c r="H365" s="116"/>
      <c r="I365" s="116"/>
      <c r="L365" s="170">
        <v>42538</v>
      </c>
      <c r="M365" s="116">
        <v>986.83333333333337</v>
      </c>
      <c r="N365" s="116">
        <v>1001.9</v>
      </c>
      <c r="O365" s="116">
        <v>981.93333333333339</v>
      </c>
      <c r="P365" s="116">
        <v>996.33333333333337</v>
      </c>
      <c r="Q365" s="116">
        <v>1480.25</v>
      </c>
      <c r="R365">
        <v>1769296</v>
      </c>
    </row>
    <row r="366" spans="1:18" x14ac:dyDescent="0.25">
      <c r="A366" s="170">
        <v>42541</v>
      </c>
      <c r="B366" s="116">
        <v>1006</v>
      </c>
      <c r="C366" s="116">
        <v>1003.7666666666668</v>
      </c>
      <c r="D366" s="116">
        <v>973.73333333333323</v>
      </c>
      <c r="E366" s="116">
        <v>979.4</v>
      </c>
      <c r="F366" s="116">
        <v>1505.65</v>
      </c>
      <c r="G366">
        <v>229571</v>
      </c>
      <c r="H366" s="116"/>
      <c r="I366" s="116"/>
      <c r="L366" s="170">
        <v>42541</v>
      </c>
      <c r="M366" s="116">
        <v>1004.6999999999999</v>
      </c>
      <c r="N366" s="116">
        <v>1006.6666666666666</v>
      </c>
      <c r="O366" s="116">
        <v>973.5333333333333</v>
      </c>
      <c r="P366" s="116">
        <v>975.6</v>
      </c>
      <c r="Q366" s="116">
        <v>1507.05</v>
      </c>
      <c r="R366">
        <v>1983578</v>
      </c>
    </row>
    <row r="367" spans="1:18" x14ac:dyDescent="0.25">
      <c r="A367" s="170">
        <v>42542</v>
      </c>
      <c r="B367" s="116">
        <v>1006.1333333333333</v>
      </c>
      <c r="C367" s="116">
        <v>996.4666666666667</v>
      </c>
      <c r="D367" s="116">
        <v>994.16666666666663</v>
      </c>
      <c r="E367" s="116">
        <v>1005.2666666666668</v>
      </c>
      <c r="F367" s="116">
        <v>1494.7</v>
      </c>
      <c r="G367">
        <v>84977</v>
      </c>
      <c r="H367" s="116"/>
      <c r="I367" s="116"/>
      <c r="L367" s="170">
        <v>42542</v>
      </c>
      <c r="M367" s="116">
        <v>996.5333333333333</v>
      </c>
      <c r="N367" s="116">
        <v>1007.2666666666668</v>
      </c>
      <c r="O367" s="116">
        <v>993.66666666666663</v>
      </c>
      <c r="P367" s="116">
        <v>1006.6666666666666</v>
      </c>
      <c r="Q367" s="116">
        <v>1494.8</v>
      </c>
      <c r="R367">
        <v>796719</v>
      </c>
    </row>
    <row r="368" spans="1:18" x14ac:dyDescent="0.25">
      <c r="A368" s="170">
        <v>42543</v>
      </c>
      <c r="B368" s="116">
        <v>1001.4666666666667</v>
      </c>
      <c r="C368" s="116">
        <v>993.69999999999993</v>
      </c>
      <c r="D368" s="116">
        <v>987.66666666666663</v>
      </c>
      <c r="E368" s="116">
        <v>996.66666666666663</v>
      </c>
      <c r="F368" s="116">
        <v>1490.55</v>
      </c>
      <c r="G368">
        <v>93070</v>
      </c>
      <c r="H368" s="116"/>
      <c r="I368" s="116"/>
      <c r="L368" s="170">
        <v>42543</v>
      </c>
      <c r="M368" s="116">
        <v>994.36666666666667</v>
      </c>
      <c r="N368" s="116">
        <v>1002</v>
      </c>
      <c r="O368" s="116">
        <v>986.80000000000007</v>
      </c>
      <c r="P368" s="116">
        <v>997.33333333333337</v>
      </c>
      <c r="Q368" s="116">
        <v>1491.55</v>
      </c>
      <c r="R368">
        <v>1209284</v>
      </c>
    </row>
    <row r="369" spans="1:18" x14ac:dyDescent="0.25">
      <c r="A369" s="170">
        <v>42544</v>
      </c>
      <c r="B369" s="116">
        <v>1004</v>
      </c>
      <c r="C369" s="116">
        <v>998.23333333333323</v>
      </c>
      <c r="D369" s="116">
        <v>982.33333333333337</v>
      </c>
      <c r="E369" s="116">
        <v>993.33333333333337</v>
      </c>
      <c r="F369" s="116">
        <v>1497.35</v>
      </c>
      <c r="G369">
        <v>170726</v>
      </c>
      <c r="H369" s="116"/>
      <c r="I369" s="116"/>
      <c r="L369" s="170">
        <v>42544</v>
      </c>
      <c r="M369" s="116">
        <v>999.06666666666661</v>
      </c>
      <c r="N369" s="116">
        <v>1005.3000000000001</v>
      </c>
      <c r="O369" s="116">
        <v>982.26666666666677</v>
      </c>
      <c r="P369" s="116">
        <v>991.4</v>
      </c>
      <c r="Q369" s="116">
        <v>1498.6</v>
      </c>
      <c r="R369">
        <v>1369328</v>
      </c>
    </row>
    <row r="370" spans="1:18" x14ac:dyDescent="0.25">
      <c r="A370" s="170">
        <v>42545</v>
      </c>
      <c r="B370" s="116">
        <v>979.56666666666661</v>
      </c>
      <c r="C370" s="116">
        <v>955.73333333333323</v>
      </c>
      <c r="D370" s="116">
        <v>934.26666666666677</v>
      </c>
      <c r="E370" s="116">
        <v>973.33333333333337</v>
      </c>
      <c r="F370" s="116">
        <v>1433.6</v>
      </c>
      <c r="G370">
        <v>478204</v>
      </c>
      <c r="H370" s="116"/>
      <c r="I370" s="116"/>
      <c r="L370" s="170">
        <v>42545</v>
      </c>
      <c r="M370" s="116">
        <v>953.73333333333323</v>
      </c>
      <c r="N370" s="116">
        <v>978.66666666666663</v>
      </c>
      <c r="O370" s="116">
        <v>934</v>
      </c>
      <c r="P370" s="116">
        <v>965.66666666666663</v>
      </c>
      <c r="Q370" s="116">
        <v>1430.6</v>
      </c>
      <c r="R370">
        <v>4560535</v>
      </c>
    </row>
    <row r="371" spans="1:18" x14ac:dyDescent="0.25">
      <c r="A371" s="170">
        <v>42548</v>
      </c>
      <c r="B371" s="116">
        <v>979.80000000000007</v>
      </c>
      <c r="C371" s="116">
        <v>978.33333333333337</v>
      </c>
      <c r="D371" s="116">
        <v>953.33333333333337</v>
      </c>
      <c r="E371" s="116">
        <v>960</v>
      </c>
      <c r="F371" s="116">
        <v>1467.5</v>
      </c>
      <c r="G371">
        <v>225141</v>
      </c>
      <c r="H371" s="116"/>
      <c r="I371" s="116"/>
      <c r="L371" s="170">
        <v>42548</v>
      </c>
      <c r="M371" s="116">
        <v>977.83333333333337</v>
      </c>
      <c r="N371" s="116">
        <v>979.6</v>
      </c>
      <c r="O371" s="116">
        <v>952</v>
      </c>
      <c r="P371" s="116">
        <v>952.63333333333333</v>
      </c>
      <c r="Q371" s="116">
        <v>1466.75</v>
      </c>
      <c r="R371">
        <v>1706728</v>
      </c>
    </row>
    <row r="372" spans="1:18" x14ac:dyDescent="0.25">
      <c r="A372" s="170">
        <v>42549</v>
      </c>
      <c r="B372" s="116">
        <v>993.33333333333337</v>
      </c>
      <c r="C372" s="116">
        <v>982.06666666666661</v>
      </c>
      <c r="D372" s="116">
        <v>979.66666666666663</v>
      </c>
      <c r="E372" s="116">
        <v>979.9666666666667</v>
      </c>
      <c r="F372" s="116">
        <v>1473.1</v>
      </c>
      <c r="G372">
        <v>165974</v>
      </c>
      <c r="H372" s="116"/>
      <c r="I372" s="116"/>
      <c r="L372" s="170">
        <v>42549</v>
      </c>
      <c r="M372" s="116">
        <v>982.69999999999993</v>
      </c>
      <c r="N372" s="116">
        <v>994.33333333333337</v>
      </c>
      <c r="O372" s="116">
        <v>978.66666666666663</v>
      </c>
      <c r="P372" s="116">
        <v>979.13333333333333</v>
      </c>
      <c r="Q372" s="116">
        <v>1474.05</v>
      </c>
      <c r="R372">
        <v>1561423</v>
      </c>
    </row>
    <row r="373" spans="1:18" x14ac:dyDescent="0.25">
      <c r="A373" s="170">
        <v>42550</v>
      </c>
      <c r="B373" s="116">
        <v>996</v>
      </c>
      <c r="C373" s="116">
        <v>987.86666666666667</v>
      </c>
      <c r="D373" s="116">
        <v>984</v>
      </c>
      <c r="E373" s="116">
        <v>988.66666666666663</v>
      </c>
      <c r="F373" s="116">
        <v>1481.8</v>
      </c>
      <c r="G373">
        <v>121660</v>
      </c>
      <c r="H373" s="116"/>
      <c r="I373" s="116"/>
      <c r="L373" s="170">
        <v>42550</v>
      </c>
      <c r="M373" s="116">
        <v>988.80000000000007</v>
      </c>
      <c r="N373" s="116">
        <v>995.33333333333337</v>
      </c>
      <c r="O373" s="116">
        <v>984.83333333333337</v>
      </c>
      <c r="P373" s="116">
        <v>990.80000000000007</v>
      </c>
      <c r="Q373" s="116">
        <v>1483.2</v>
      </c>
      <c r="R373">
        <v>1333697</v>
      </c>
    </row>
    <row r="374" spans="1:18" x14ac:dyDescent="0.25">
      <c r="A374" s="170">
        <v>42551</v>
      </c>
      <c r="B374" s="116">
        <v>1002.6333333333333</v>
      </c>
      <c r="C374" s="116">
        <v>997.4666666666667</v>
      </c>
      <c r="D374" s="116">
        <v>989.83333333333337</v>
      </c>
      <c r="E374" s="116">
        <v>993.33333333333337</v>
      </c>
      <c r="F374" s="116">
        <v>1496.2</v>
      </c>
      <c r="G374">
        <v>221429</v>
      </c>
      <c r="H374" s="116"/>
      <c r="I374" s="116"/>
      <c r="L374" s="170">
        <v>42551</v>
      </c>
      <c r="M374" s="116">
        <v>997.66666666666663</v>
      </c>
      <c r="N374" s="116">
        <v>1003.2666666666668</v>
      </c>
      <c r="O374" s="116">
        <v>989.93333333333339</v>
      </c>
      <c r="P374" s="116">
        <v>992.13333333333333</v>
      </c>
      <c r="Q374" s="116">
        <v>1496.5</v>
      </c>
      <c r="R374">
        <v>2640379</v>
      </c>
    </row>
    <row r="375" spans="1:18" x14ac:dyDescent="0.25">
      <c r="A375" s="170">
        <v>42552</v>
      </c>
      <c r="B375" s="116">
        <v>1029.3333333333333</v>
      </c>
      <c r="C375" s="116">
        <v>1027.1000000000001</v>
      </c>
      <c r="D375" s="116">
        <v>999.33333333333337</v>
      </c>
      <c r="E375" s="116">
        <v>999.33333333333337</v>
      </c>
      <c r="F375" s="116">
        <v>1540.65</v>
      </c>
      <c r="G375">
        <v>332782</v>
      </c>
      <c r="H375" s="116"/>
      <c r="I375" s="116"/>
      <c r="L375" s="170">
        <v>42552</v>
      </c>
      <c r="M375" s="116">
        <v>1028.4333333333334</v>
      </c>
      <c r="N375" s="116">
        <v>1030</v>
      </c>
      <c r="O375" s="116">
        <v>1000.4666666666667</v>
      </c>
      <c r="P375" s="116">
        <v>1003.1999999999999</v>
      </c>
      <c r="Q375" s="116">
        <v>1542.65</v>
      </c>
      <c r="R375">
        <v>2331949</v>
      </c>
    </row>
    <row r="376" spans="1:18" x14ac:dyDescent="0.25">
      <c r="A376" s="170">
        <v>42555</v>
      </c>
      <c r="B376" s="116">
        <v>1050</v>
      </c>
      <c r="C376" s="116">
        <v>1043.4666666666667</v>
      </c>
      <c r="D376" s="116">
        <v>1033.5666666666666</v>
      </c>
      <c r="E376" s="116">
        <v>1033.5666666666666</v>
      </c>
      <c r="F376" s="116">
        <v>1565.2</v>
      </c>
      <c r="G376">
        <v>192526</v>
      </c>
      <c r="H376" s="116"/>
      <c r="I376" s="116"/>
      <c r="L376" s="170">
        <v>42555</v>
      </c>
      <c r="M376" s="116">
        <v>1045.3999999999999</v>
      </c>
      <c r="N376" s="116">
        <v>1051.3333333333333</v>
      </c>
      <c r="O376" s="116">
        <v>1032.2333333333333</v>
      </c>
      <c r="P376" s="116">
        <v>1033.3333333333333</v>
      </c>
      <c r="Q376" s="116">
        <v>1568.1</v>
      </c>
      <c r="R376">
        <v>1812035</v>
      </c>
    </row>
    <row r="377" spans="1:18" x14ac:dyDescent="0.25">
      <c r="A377" s="170">
        <v>42556</v>
      </c>
      <c r="B377" s="116">
        <v>1053.6666666666667</v>
      </c>
      <c r="C377" s="116">
        <v>1049.7666666666667</v>
      </c>
      <c r="D377" s="116">
        <v>1037.3</v>
      </c>
      <c r="E377" s="116">
        <v>1044</v>
      </c>
      <c r="F377" s="116">
        <v>1574.65</v>
      </c>
      <c r="G377">
        <v>206268</v>
      </c>
      <c r="H377" s="116"/>
      <c r="I377" s="116"/>
      <c r="L377" s="170">
        <v>42556</v>
      </c>
      <c r="M377" s="116">
        <v>1050.7333333333333</v>
      </c>
      <c r="N377" s="116">
        <v>1054.6666666666667</v>
      </c>
      <c r="O377" s="116">
        <v>1034.6666666666667</v>
      </c>
      <c r="P377" s="116">
        <v>1044.2</v>
      </c>
      <c r="Q377" s="116">
        <v>1576.1</v>
      </c>
      <c r="R377">
        <v>1757840</v>
      </c>
    </row>
    <row r="378" spans="1:18" x14ac:dyDescent="0.25">
      <c r="A378" s="170">
        <v>42558</v>
      </c>
      <c r="B378" s="116">
        <v>1054.1333333333334</v>
      </c>
      <c r="C378" s="116">
        <v>1036.0333333333333</v>
      </c>
      <c r="D378" s="116">
        <v>1034</v>
      </c>
      <c r="E378" s="116">
        <v>1050.6666666666667</v>
      </c>
      <c r="F378" s="116">
        <v>1554.05</v>
      </c>
      <c r="G378">
        <v>186355</v>
      </c>
      <c r="H378" s="116"/>
      <c r="I378" s="116"/>
      <c r="L378" s="170">
        <v>42558</v>
      </c>
      <c r="M378" s="116">
        <v>1036.3333333333333</v>
      </c>
      <c r="N378" s="116">
        <v>1054.6333333333334</v>
      </c>
      <c r="O378" s="116">
        <v>1033.7666666666667</v>
      </c>
      <c r="P378" s="116">
        <v>1050.6666666666667</v>
      </c>
      <c r="Q378" s="116">
        <v>1554.5</v>
      </c>
      <c r="R378">
        <v>1389714</v>
      </c>
    </row>
    <row r="379" spans="1:18" x14ac:dyDescent="0.25">
      <c r="A379" s="170">
        <v>42559</v>
      </c>
      <c r="B379" s="116">
        <v>1039.9333333333334</v>
      </c>
      <c r="C379" s="116">
        <v>1021.1666666666666</v>
      </c>
      <c r="D379" s="116">
        <v>1015.0333333333333</v>
      </c>
      <c r="E379" s="116">
        <v>1039.9333333333334</v>
      </c>
      <c r="F379" s="116">
        <v>1531.75</v>
      </c>
      <c r="G379">
        <v>194952</v>
      </c>
      <c r="H379" s="116"/>
      <c r="I379" s="116"/>
      <c r="L379" s="170">
        <v>42559</v>
      </c>
      <c r="M379" s="116">
        <v>1021.7666666666668</v>
      </c>
      <c r="N379" s="116">
        <v>1037.4333333333334</v>
      </c>
      <c r="O379" s="116">
        <v>1014.6999999999999</v>
      </c>
      <c r="P379" s="116">
        <v>1036.6333333333334</v>
      </c>
      <c r="Q379" s="116">
        <v>1532.65</v>
      </c>
      <c r="R379">
        <v>1277067</v>
      </c>
    </row>
    <row r="380" spans="1:18" x14ac:dyDescent="0.25">
      <c r="A380" s="170">
        <v>42562</v>
      </c>
      <c r="B380" s="116">
        <v>1046.6666666666667</v>
      </c>
      <c r="C380" s="116">
        <v>1039.5666666666666</v>
      </c>
      <c r="D380" s="116">
        <v>1034.8666666666666</v>
      </c>
      <c r="E380" s="116">
        <v>1034.8666666666666</v>
      </c>
      <c r="F380" s="116">
        <v>1559.35</v>
      </c>
      <c r="G380">
        <v>140638</v>
      </c>
      <c r="H380" s="116"/>
      <c r="I380" s="116"/>
      <c r="L380" s="170">
        <v>42562</v>
      </c>
      <c r="M380" s="116">
        <v>1039.8666666666666</v>
      </c>
      <c r="N380" s="116">
        <v>1047.4666666666667</v>
      </c>
      <c r="O380" s="116">
        <v>1036.3666666666666</v>
      </c>
      <c r="P380" s="116">
        <v>1038.6666666666667</v>
      </c>
      <c r="Q380" s="116">
        <v>1559.8</v>
      </c>
      <c r="R380">
        <v>1210345</v>
      </c>
    </row>
    <row r="381" spans="1:18" x14ac:dyDescent="0.25">
      <c r="A381" s="170">
        <v>42563</v>
      </c>
      <c r="B381" s="116">
        <v>1047.3</v>
      </c>
      <c r="C381" s="116">
        <v>1045.3333333333333</v>
      </c>
      <c r="D381" s="116">
        <v>1032</v>
      </c>
      <c r="E381" s="116">
        <v>1040.6666666666667</v>
      </c>
      <c r="F381" s="116">
        <v>1568</v>
      </c>
      <c r="G381">
        <v>153654</v>
      </c>
      <c r="H381" s="116"/>
      <c r="I381" s="116"/>
      <c r="L381" s="170">
        <v>42563</v>
      </c>
      <c r="M381" s="116">
        <v>1045.3333333333333</v>
      </c>
      <c r="N381" s="116">
        <v>1047.8333333333333</v>
      </c>
      <c r="O381" s="116">
        <v>1031.3</v>
      </c>
      <c r="P381" s="116">
        <v>1045.2</v>
      </c>
      <c r="Q381" s="116">
        <v>1568</v>
      </c>
      <c r="R381">
        <v>1588699</v>
      </c>
    </row>
    <row r="382" spans="1:18" x14ac:dyDescent="0.25">
      <c r="A382" s="170">
        <v>42564</v>
      </c>
      <c r="B382" s="116">
        <v>1047.2666666666667</v>
      </c>
      <c r="C382" s="116">
        <v>1032.7666666666667</v>
      </c>
      <c r="D382" s="116">
        <v>1030</v>
      </c>
      <c r="E382" s="116">
        <v>1046.7</v>
      </c>
      <c r="F382" s="116">
        <v>1549.15</v>
      </c>
      <c r="G382">
        <v>125583</v>
      </c>
      <c r="H382" s="116"/>
      <c r="I382" s="116"/>
      <c r="L382" s="170">
        <v>42564</v>
      </c>
      <c r="M382" s="116">
        <v>1034.2666666666667</v>
      </c>
      <c r="N382" s="116">
        <v>1046.5333333333333</v>
      </c>
      <c r="O382" s="116">
        <v>1028.7333333333333</v>
      </c>
      <c r="P382" s="116">
        <v>1045.3999999999999</v>
      </c>
      <c r="Q382" s="116">
        <v>1551.4</v>
      </c>
      <c r="R382">
        <v>1357370</v>
      </c>
    </row>
    <row r="383" spans="1:18" x14ac:dyDescent="0.25">
      <c r="A383" s="170">
        <v>42565</v>
      </c>
      <c r="B383" s="116">
        <v>1046.6666666666667</v>
      </c>
      <c r="C383" s="116">
        <v>1042.5666666666666</v>
      </c>
      <c r="D383" s="116">
        <v>1028.8</v>
      </c>
      <c r="E383" s="116">
        <v>1038.6333333333334</v>
      </c>
      <c r="F383" s="116">
        <v>1563.85</v>
      </c>
      <c r="G383">
        <v>121578</v>
      </c>
      <c r="H383" s="116"/>
      <c r="I383" s="116"/>
      <c r="L383" s="170">
        <v>42565</v>
      </c>
      <c r="M383" s="116">
        <v>1042.9666666666667</v>
      </c>
      <c r="N383" s="116">
        <v>1047.3</v>
      </c>
      <c r="O383" s="116">
        <v>1028.6666666666667</v>
      </c>
      <c r="P383" s="116">
        <v>1039.3</v>
      </c>
      <c r="Q383" s="116">
        <v>1564.45</v>
      </c>
      <c r="R383">
        <v>1273091</v>
      </c>
    </row>
    <row r="384" spans="1:18" x14ac:dyDescent="0.25">
      <c r="A384" s="170">
        <v>42566</v>
      </c>
      <c r="B384" s="116">
        <v>1063.3</v>
      </c>
      <c r="C384" s="116">
        <v>1057.3333333333333</v>
      </c>
      <c r="D384" s="116">
        <v>1038.6666666666667</v>
      </c>
      <c r="E384" s="116">
        <v>1043.3333333333333</v>
      </c>
      <c r="F384" s="116">
        <v>1586</v>
      </c>
      <c r="G384">
        <v>200526</v>
      </c>
      <c r="H384" s="116"/>
      <c r="I384" s="116"/>
      <c r="L384" s="170">
        <v>42566</v>
      </c>
      <c r="M384" s="116">
        <v>1057.2333333333333</v>
      </c>
      <c r="N384" s="116">
        <v>1063.3333333333333</v>
      </c>
      <c r="O384" s="116">
        <v>1038.1000000000001</v>
      </c>
      <c r="P384" s="116">
        <v>1044.0666666666666</v>
      </c>
      <c r="Q384" s="116">
        <v>1585.85</v>
      </c>
      <c r="R384">
        <v>1618972</v>
      </c>
    </row>
    <row r="385" spans="1:18" x14ac:dyDescent="0.25">
      <c r="A385" s="170">
        <v>42569</v>
      </c>
      <c r="B385" s="116">
        <v>1068.6333333333334</v>
      </c>
      <c r="C385" s="116">
        <v>1049.9666666666667</v>
      </c>
      <c r="D385" s="116">
        <v>1044.1000000000001</v>
      </c>
      <c r="E385" s="116">
        <v>1056.6666666666667</v>
      </c>
      <c r="F385" s="116">
        <v>1574.95</v>
      </c>
      <c r="G385">
        <v>120810</v>
      </c>
      <c r="H385" s="116"/>
      <c r="I385" s="116"/>
      <c r="L385" s="170">
        <v>42569</v>
      </c>
      <c r="M385" s="116">
        <v>1049.6000000000001</v>
      </c>
      <c r="N385" s="116">
        <v>1069.1000000000001</v>
      </c>
      <c r="O385" s="116">
        <v>1043.3333333333333</v>
      </c>
      <c r="P385" s="116">
        <v>1058.6666666666667</v>
      </c>
      <c r="Q385" s="116">
        <v>1574.4</v>
      </c>
      <c r="R385">
        <v>1236948</v>
      </c>
    </row>
    <row r="386" spans="1:18" x14ac:dyDescent="0.25">
      <c r="A386" s="170">
        <v>42570</v>
      </c>
      <c r="B386" s="116">
        <v>1055.3333333333333</v>
      </c>
      <c r="C386" s="116">
        <v>1048.8333333333333</v>
      </c>
      <c r="D386" s="116">
        <v>1041.3333333333333</v>
      </c>
      <c r="E386" s="116">
        <v>1050</v>
      </c>
      <c r="F386" s="116">
        <v>1573.25</v>
      </c>
      <c r="G386">
        <v>126743</v>
      </c>
      <c r="H386" s="116"/>
      <c r="I386" s="116"/>
      <c r="L386" s="170">
        <v>42570</v>
      </c>
      <c r="M386" s="116">
        <v>1048.5333333333333</v>
      </c>
      <c r="N386" s="116">
        <v>1055.6666666666667</v>
      </c>
      <c r="O386" s="116">
        <v>1041.0666666666666</v>
      </c>
      <c r="P386" s="116">
        <v>1048</v>
      </c>
      <c r="Q386" s="116">
        <v>1572.8</v>
      </c>
      <c r="R386">
        <v>1284112</v>
      </c>
    </row>
    <row r="387" spans="1:18" x14ac:dyDescent="0.25">
      <c r="A387" s="170">
        <v>42571</v>
      </c>
      <c r="B387" s="116">
        <v>1056.6666666666667</v>
      </c>
      <c r="C387" s="116">
        <v>1047.6000000000001</v>
      </c>
      <c r="D387" s="116">
        <v>1045.3999999999999</v>
      </c>
      <c r="E387" s="116">
        <v>1046.6666666666667</v>
      </c>
      <c r="F387" s="116">
        <v>1571.4</v>
      </c>
      <c r="G387">
        <v>93485</v>
      </c>
      <c r="H387" s="116"/>
      <c r="I387" s="116"/>
      <c r="L387" s="170">
        <v>42571</v>
      </c>
      <c r="M387" s="116">
        <v>1047.2333333333333</v>
      </c>
      <c r="N387" s="116">
        <v>1057.3333333333333</v>
      </c>
      <c r="O387" s="116">
        <v>1045.7</v>
      </c>
      <c r="P387" s="116">
        <v>1048.6666666666667</v>
      </c>
      <c r="Q387" s="116">
        <v>1570.85</v>
      </c>
      <c r="R387">
        <v>1193941</v>
      </c>
    </row>
    <row r="388" spans="1:18" x14ac:dyDescent="0.25">
      <c r="A388" s="170">
        <v>42572</v>
      </c>
      <c r="B388" s="116">
        <v>1053.3333333333333</v>
      </c>
      <c r="C388" s="116">
        <v>1037.5</v>
      </c>
      <c r="D388" s="116">
        <v>1034.8333333333333</v>
      </c>
      <c r="E388" s="116">
        <v>1050</v>
      </c>
      <c r="F388" s="116">
        <v>1556.25</v>
      </c>
      <c r="G388">
        <v>102849</v>
      </c>
      <c r="H388" s="116"/>
      <c r="I388" s="116"/>
      <c r="L388" s="170">
        <v>42572</v>
      </c>
      <c r="M388" s="116">
        <v>1038.3666666666666</v>
      </c>
      <c r="N388" s="116">
        <v>1050</v>
      </c>
      <c r="O388" s="116">
        <v>1034.6666666666667</v>
      </c>
      <c r="P388" s="116">
        <v>1050</v>
      </c>
      <c r="Q388" s="116">
        <v>1557.55</v>
      </c>
      <c r="R388">
        <v>1118808</v>
      </c>
    </row>
    <row r="389" spans="1:18" x14ac:dyDescent="0.25">
      <c r="A389" s="170">
        <v>42573</v>
      </c>
      <c r="B389" s="116">
        <v>1051.0666666666666</v>
      </c>
      <c r="C389" s="116">
        <v>1049.3</v>
      </c>
      <c r="D389" s="116">
        <v>1036.7666666666667</v>
      </c>
      <c r="E389" s="116">
        <v>1040.6666666666667</v>
      </c>
      <c r="F389" s="116">
        <v>1573.95</v>
      </c>
      <c r="G389">
        <v>90764</v>
      </c>
      <c r="H389" s="116"/>
      <c r="I389" s="116"/>
      <c r="L389" s="170">
        <v>42573</v>
      </c>
      <c r="M389" s="116">
        <v>1049.3333333333333</v>
      </c>
      <c r="N389" s="116">
        <v>1051.9333333333334</v>
      </c>
      <c r="O389" s="116">
        <v>1035.0333333333333</v>
      </c>
      <c r="P389" s="116">
        <v>1040.0666666666666</v>
      </c>
      <c r="Q389" s="116">
        <v>1574</v>
      </c>
      <c r="R389">
        <v>1251471</v>
      </c>
    </row>
    <row r="390" spans="1:18" x14ac:dyDescent="0.25">
      <c r="A390" s="170">
        <v>42576</v>
      </c>
      <c r="B390" s="116">
        <v>1058.7</v>
      </c>
      <c r="C390" s="116">
        <v>1056.9666666666667</v>
      </c>
      <c r="D390" s="116">
        <v>1042.6666666666667</v>
      </c>
      <c r="E390" s="116">
        <v>1050</v>
      </c>
      <c r="F390" s="116">
        <v>1585.45</v>
      </c>
      <c r="G390">
        <v>83964</v>
      </c>
      <c r="H390" s="116"/>
      <c r="I390" s="116"/>
      <c r="L390" s="170">
        <v>42576</v>
      </c>
      <c r="M390" s="116">
        <v>1057.2666666666667</v>
      </c>
      <c r="N390" s="116">
        <v>1059.2</v>
      </c>
      <c r="O390" s="116">
        <v>1042</v>
      </c>
      <c r="P390" s="116">
        <v>1048</v>
      </c>
      <c r="Q390" s="116">
        <v>1585.9</v>
      </c>
      <c r="R390">
        <v>1473183</v>
      </c>
    </row>
    <row r="391" spans="1:18" x14ac:dyDescent="0.25">
      <c r="A391" s="170">
        <v>42577</v>
      </c>
      <c r="B391" s="116">
        <v>1064.6333333333334</v>
      </c>
      <c r="C391" s="116">
        <v>1060.9333333333334</v>
      </c>
      <c r="D391" s="116">
        <v>1053.8</v>
      </c>
      <c r="E391" s="116">
        <v>1058.6666666666667</v>
      </c>
      <c r="F391" s="116">
        <v>1591.4</v>
      </c>
      <c r="G391">
        <v>130666</v>
      </c>
      <c r="H391" s="116"/>
      <c r="I391" s="116"/>
      <c r="L391" s="170">
        <v>42577</v>
      </c>
      <c r="M391" s="116">
        <v>1061.8</v>
      </c>
      <c r="N391" s="116">
        <v>1065.3333333333333</v>
      </c>
      <c r="O391" s="116">
        <v>1054.0666666666666</v>
      </c>
      <c r="P391" s="116">
        <v>1059</v>
      </c>
      <c r="Q391" s="116">
        <v>1592.7</v>
      </c>
      <c r="R391">
        <v>1152789</v>
      </c>
    </row>
    <row r="392" spans="1:18" x14ac:dyDescent="0.25">
      <c r="A392" s="170">
        <v>42578</v>
      </c>
      <c r="B392" s="116">
        <v>1076.6666666666667</v>
      </c>
      <c r="C392" s="116">
        <v>1067.4666666666667</v>
      </c>
      <c r="D392" s="116">
        <v>1058.6666666666667</v>
      </c>
      <c r="E392" s="116">
        <v>1063.3</v>
      </c>
      <c r="F392" s="116">
        <v>1601.2</v>
      </c>
      <c r="G392">
        <v>173669</v>
      </c>
      <c r="H392" s="116"/>
      <c r="I392" s="116"/>
      <c r="L392" s="170">
        <v>42578</v>
      </c>
      <c r="M392" s="116">
        <v>1068.1000000000001</v>
      </c>
      <c r="N392" s="116">
        <v>1076.6666666666667</v>
      </c>
      <c r="O392" s="116">
        <v>1057.7666666666667</v>
      </c>
      <c r="P392" s="116">
        <v>1064.2</v>
      </c>
      <c r="Q392" s="116">
        <v>1602.15</v>
      </c>
      <c r="R392">
        <v>1644675</v>
      </c>
    </row>
    <row r="393" spans="1:18" x14ac:dyDescent="0.25">
      <c r="A393" s="170">
        <v>42579</v>
      </c>
      <c r="B393" s="116">
        <v>1071</v>
      </c>
      <c r="C393" s="116">
        <v>1051.3</v>
      </c>
      <c r="D393" s="116">
        <v>1040.6666666666667</v>
      </c>
      <c r="E393" s="116">
        <v>1068</v>
      </c>
      <c r="F393" s="116">
        <v>1576.95</v>
      </c>
      <c r="G393">
        <v>158559</v>
      </c>
      <c r="H393" s="116"/>
      <c r="I393" s="116"/>
      <c r="L393" s="170">
        <v>42579</v>
      </c>
      <c r="M393" s="116">
        <v>1051.5</v>
      </c>
      <c r="N393" s="116">
        <v>1071.0666666666666</v>
      </c>
      <c r="O393" s="116">
        <v>1040.9333333333334</v>
      </c>
      <c r="P393" s="116">
        <v>1069.3333333333333</v>
      </c>
      <c r="Q393" s="116">
        <v>1577.25</v>
      </c>
      <c r="R393">
        <v>1874387</v>
      </c>
    </row>
    <row r="394" spans="1:18" x14ac:dyDescent="0.25">
      <c r="A394" s="170">
        <v>42580</v>
      </c>
      <c r="B394" s="116">
        <v>1062.9666666666667</v>
      </c>
      <c r="C394" s="116">
        <v>1038.6666666666667</v>
      </c>
      <c r="D394" s="116">
        <v>1033.8666666666666</v>
      </c>
      <c r="E394" s="116">
        <v>1059.8666666666666</v>
      </c>
      <c r="F394" s="116">
        <v>1558</v>
      </c>
      <c r="G394">
        <v>298092</v>
      </c>
      <c r="H394" s="116"/>
      <c r="I394" s="116"/>
      <c r="L394" s="170">
        <v>42580</v>
      </c>
      <c r="M394" s="116">
        <v>1039.2333333333333</v>
      </c>
      <c r="N394" s="116">
        <v>1062.3</v>
      </c>
      <c r="O394" s="116">
        <v>1033.3333333333333</v>
      </c>
      <c r="P394" s="116">
        <v>1060</v>
      </c>
      <c r="Q394" s="116">
        <v>1558.85</v>
      </c>
      <c r="R394">
        <v>2818674</v>
      </c>
    </row>
    <row r="395" spans="1:18" x14ac:dyDescent="0.25">
      <c r="A395" s="170">
        <v>42583</v>
      </c>
      <c r="B395" s="116">
        <v>1056.6333333333334</v>
      </c>
      <c r="C395" s="116">
        <v>995.86666666666667</v>
      </c>
      <c r="D395" s="116">
        <v>993.4</v>
      </c>
      <c r="E395" s="116">
        <v>1040.6666666666667</v>
      </c>
      <c r="F395" s="116">
        <v>1493.8</v>
      </c>
      <c r="G395">
        <v>1195369</v>
      </c>
      <c r="H395" s="116"/>
      <c r="I395" s="116"/>
      <c r="L395" s="170">
        <v>42583</v>
      </c>
      <c r="M395" s="116">
        <v>995.80000000000007</v>
      </c>
      <c r="N395" s="116">
        <v>1057.3333333333333</v>
      </c>
      <c r="O395" s="116">
        <v>993.33333333333337</v>
      </c>
      <c r="P395" s="116">
        <v>1039.3666666666666</v>
      </c>
      <c r="Q395" s="116">
        <v>1493.7</v>
      </c>
      <c r="R395">
        <v>6103633</v>
      </c>
    </row>
    <row r="396" spans="1:18" x14ac:dyDescent="0.25">
      <c r="A396" s="170">
        <v>42584</v>
      </c>
      <c r="B396" s="116">
        <v>1009.9333333333334</v>
      </c>
      <c r="C396" s="116">
        <v>1002.7333333333332</v>
      </c>
      <c r="D396" s="116">
        <v>993.4</v>
      </c>
      <c r="E396" s="116">
        <v>996.66666666666663</v>
      </c>
      <c r="F396" s="116">
        <v>1504.1</v>
      </c>
      <c r="G396">
        <v>177893</v>
      </c>
      <c r="H396" s="116"/>
      <c r="I396" s="116"/>
      <c r="L396" s="170">
        <v>42584</v>
      </c>
      <c r="M396" s="116">
        <v>1002.2333333333332</v>
      </c>
      <c r="N396" s="116">
        <v>1009.1999999999999</v>
      </c>
      <c r="O396" s="116">
        <v>993.5</v>
      </c>
      <c r="P396" s="116">
        <v>997.33333333333337</v>
      </c>
      <c r="Q396" s="116">
        <v>1503.35</v>
      </c>
      <c r="R396">
        <v>1607276</v>
      </c>
    </row>
    <row r="397" spans="1:18" x14ac:dyDescent="0.25">
      <c r="A397" s="170">
        <v>42585</v>
      </c>
      <c r="B397" s="116">
        <v>1010.0333333333333</v>
      </c>
      <c r="C397" s="116">
        <v>985.23333333333323</v>
      </c>
      <c r="D397" s="116">
        <v>981</v>
      </c>
      <c r="E397" s="116">
        <v>1006</v>
      </c>
      <c r="F397" s="116">
        <v>1477.85</v>
      </c>
      <c r="G397">
        <v>220836</v>
      </c>
      <c r="H397" s="116"/>
      <c r="I397" s="116"/>
      <c r="L397" s="170">
        <v>42585</v>
      </c>
      <c r="M397" s="116">
        <v>985.73333333333323</v>
      </c>
      <c r="N397" s="116">
        <v>1011.4333333333334</v>
      </c>
      <c r="O397" s="116">
        <v>980.33333333333337</v>
      </c>
      <c r="P397" s="116">
        <v>1005.3333333333334</v>
      </c>
      <c r="Q397" s="116">
        <v>1478.6</v>
      </c>
      <c r="R397">
        <v>1746439</v>
      </c>
    </row>
    <row r="398" spans="1:18" x14ac:dyDescent="0.25">
      <c r="A398" s="170">
        <v>42586</v>
      </c>
      <c r="B398" s="116">
        <v>997.4666666666667</v>
      </c>
      <c r="C398" s="116">
        <v>980.23333333333323</v>
      </c>
      <c r="D398" s="116">
        <v>975</v>
      </c>
      <c r="E398" s="116">
        <v>996.66666666666663</v>
      </c>
      <c r="F398" s="116">
        <v>1470.35</v>
      </c>
      <c r="G398">
        <v>148959</v>
      </c>
      <c r="H398" s="116"/>
      <c r="I398" s="116"/>
      <c r="L398" s="170">
        <v>42586</v>
      </c>
      <c r="M398" s="116">
        <v>979.43333333333339</v>
      </c>
      <c r="N398" s="116">
        <v>997.33333333333337</v>
      </c>
      <c r="O398" s="116">
        <v>973.6</v>
      </c>
      <c r="P398" s="116">
        <v>997.33333333333337</v>
      </c>
      <c r="Q398" s="116">
        <v>1469.15</v>
      </c>
      <c r="R398">
        <v>1502891</v>
      </c>
    </row>
    <row r="399" spans="1:18" x14ac:dyDescent="0.25">
      <c r="A399" s="170">
        <v>42587</v>
      </c>
      <c r="B399" s="116">
        <v>1011.0333333333333</v>
      </c>
      <c r="C399" s="116">
        <v>1008.4333333333334</v>
      </c>
      <c r="D399" s="116">
        <v>985.69999999999993</v>
      </c>
      <c r="E399" s="116">
        <v>986.66666666666663</v>
      </c>
      <c r="F399" s="116">
        <v>1512.65</v>
      </c>
      <c r="G399">
        <v>193244</v>
      </c>
      <c r="H399" s="116"/>
      <c r="I399" s="116"/>
      <c r="L399" s="170">
        <v>42587</v>
      </c>
      <c r="M399" s="116">
        <v>1008.1333333333333</v>
      </c>
      <c r="N399" s="116">
        <v>1011.1666666666666</v>
      </c>
      <c r="O399" s="116">
        <v>985.33333333333337</v>
      </c>
      <c r="P399" s="116">
        <v>986.9</v>
      </c>
      <c r="Q399" s="116">
        <v>1512.2</v>
      </c>
      <c r="R399">
        <v>1870419</v>
      </c>
    </row>
    <row r="400" spans="1:18" x14ac:dyDescent="0.25">
      <c r="A400" s="170">
        <v>42590</v>
      </c>
      <c r="B400" s="116">
        <v>1016.5333333333333</v>
      </c>
      <c r="C400" s="116">
        <v>1004.9</v>
      </c>
      <c r="D400" s="116">
        <v>998.66666666666663</v>
      </c>
      <c r="E400" s="116">
        <v>1010.6999999999999</v>
      </c>
      <c r="F400" s="116">
        <v>1507.35</v>
      </c>
      <c r="G400">
        <v>111917</v>
      </c>
      <c r="H400" s="116"/>
      <c r="I400" s="116"/>
      <c r="L400" s="170">
        <v>42590</v>
      </c>
      <c r="M400" s="116">
        <v>1004.7666666666668</v>
      </c>
      <c r="N400" s="116">
        <v>1016.4333333333334</v>
      </c>
      <c r="O400" s="116">
        <v>998.06666666666661</v>
      </c>
      <c r="P400" s="116">
        <v>1013.3333333333334</v>
      </c>
      <c r="Q400" s="116">
        <v>1507.15</v>
      </c>
      <c r="R400">
        <v>935949</v>
      </c>
    </row>
    <row r="401" spans="1:18" x14ac:dyDescent="0.25">
      <c r="A401" s="170">
        <v>42591</v>
      </c>
      <c r="B401" s="116">
        <v>1007.3333333333334</v>
      </c>
      <c r="C401" s="116">
        <v>998.4</v>
      </c>
      <c r="D401" s="116">
        <v>992.69999999999993</v>
      </c>
      <c r="E401" s="116">
        <v>1005.3333333333334</v>
      </c>
      <c r="F401" s="116">
        <v>1497.6</v>
      </c>
      <c r="G401">
        <v>137171</v>
      </c>
      <c r="H401" s="116"/>
      <c r="I401" s="116"/>
      <c r="L401" s="170">
        <v>42591</v>
      </c>
      <c r="M401" s="116">
        <v>1000.6333333333333</v>
      </c>
      <c r="N401" s="116">
        <v>1006.6666666666666</v>
      </c>
      <c r="O401" s="116">
        <v>991.6</v>
      </c>
      <c r="P401" s="116">
        <v>1006.6</v>
      </c>
      <c r="Q401" s="116">
        <v>1500.95</v>
      </c>
      <c r="R401">
        <v>1243600</v>
      </c>
    </row>
    <row r="402" spans="1:18" x14ac:dyDescent="0.25">
      <c r="A402" s="170">
        <v>42592</v>
      </c>
      <c r="B402" s="116">
        <v>1003.3333333333334</v>
      </c>
      <c r="C402" s="116">
        <v>988.33333333333337</v>
      </c>
      <c r="D402" s="116">
        <v>985.13333333333333</v>
      </c>
      <c r="E402" s="116">
        <v>1000</v>
      </c>
      <c r="F402" s="116">
        <v>1482.5</v>
      </c>
      <c r="G402">
        <v>103067</v>
      </c>
      <c r="H402" s="116"/>
      <c r="I402" s="116"/>
      <c r="L402" s="170">
        <v>42592</v>
      </c>
      <c r="M402" s="116">
        <v>988.80000000000007</v>
      </c>
      <c r="N402" s="116">
        <v>1002.6666666666666</v>
      </c>
      <c r="O402" s="116">
        <v>984.23333333333323</v>
      </c>
      <c r="P402" s="116">
        <v>1000.9</v>
      </c>
      <c r="Q402" s="116">
        <v>1483.2</v>
      </c>
      <c r="R402">
        <v>1122174</v>
      </c>
    </row>
    <row r="403" spans="1:18" x14ac:dyDescent="0.25">
      <c r="A403" s="170">
        <v>42593</v>
      </c>
      <c r="B403" s="116">
        <v>988</v>
      </c>
      <c r="C403" s="116">
        <v>982.80000000000007</v>
      </c>
      <c r="D403" s="116">
        <v>975.56666666666661</v>
      </c>
      <c r="E403" s="116">
        <v>986.66666666666663</v>
      </c>
      <c r="F403" s="116">
        <v>1474.2</v>
      </c>
      <c r="G403">
        <v>103366</v>
      </c>
      <c r="H403" s="116"/>
      <c r="I403" s="116"/>
      <c r="L403" s="170">
        <v>42593</v>
      </c>
      <c r="M403" s="116">
        <v>983.13333333333333</v>
      </c>
      <c r="N403" s="116">
        <v>986</v>
      </c>
      <c r="O403" s="116">
        <v>975.23333333333323</v>
      </c>
      <c r="P403" s="116">
        <v>983.36666666666667</v>
      </c>
      <c r="Q403" s="116">
        <v>1474.7</v>
      </c>
      <c r="R403">
        <v>1493581</v>
      </c>
    </row>
    <row r="404" spans="1:18" x14ac:dyDescent="0.25">
      <c r="A404" s="170">
        <v>42594</v>
      </c>
      <c r="B404" s="116">
        <v>1002.7666666666668</v>
      </c>
      <c r="C404" s="116">
        <v>992.26666666666677</v>
      </c>
      <c r="D404" s="116">
        <v>986.66666666666663</v>
      </c>
      <c r="E404" s="116">
        <v>986.66666666666663</v>
      </c>
      <c r="F404" s="116">
        <v>1488.4</v>
      </c>
      <c r="G404">
        <v>89638</v>
      </c>
      <c r="H404" s="116"/>
      <c r="I404" s="116"/>
      <c r="L404" s="170">
        <v>42594</v>
      </c>
      <c r="M404" s="116">
        <v>994.6</v>
      </c>
      <c r="N404" s="116">
        <v>1003.8000000000001</v>
      </c>
      <c r="O404" s="116">
        <v>985.66666666666663</v>
      </c>
      <c r="P404" s="116">
        <v>986</v>
      </c>
      <c r="Q404" s="116">
        <v>1491.9</v>
      </c>
      <c r="R404">
        <v>1106088</v>
      </c>
    </row>
    <row r="405" spans="1:18" x14ac:dyDescent="0.25">
      <c r="A405" s="170">
        <v>42598</v>
      </c>
      <c r="B405" s="116">
        <v>1006.6666666666666</v>
      </c>
      <c r="C405" s="116">
        <v>1003.6333333333333</v>
      </c>
      <c r="D405" s="116">
        <v>982.66666666666663</v>
      </c>
      <c r="E405" s="116">
        <v>994.13333333333333</v>
      </c>
      <c r="F405" s="116">
        <v>1505.45</v>
      </c>
      <c r="G405">
        <v>142831</v>
      </c>
      <c r="H405" s="116"/>
      <c r="I405" s="116"/>
      <c r="L405" s="170">
        <v>42598</v>
      </c>
      <c r="M405" s="116">
        <v>1004.2333333333332</v>
      </c>
      <c r="N405" s="116">
        <v>1008.4333333333334</v>
      </c>
      <c r="O405" s="116">
        <v>981.33333333333337</v>
      </c>
      <c r="P405" s="116">
        <v>995.9666666666667</v>
      </c>
      <c r="Q405" s="116">
        <v>1506.35</v>
      </c>
      <c r="R405">
        <v>1740562</v>
      </c>
    </row>
    <row r="406" spans="1:18" x14ac:dyDescent="0.25">
      <c r="A406" s="170">
        <v>42599</v>
      </c>
      <c r="B406" s="116">
        <v>1009.2666666666668</v>
      </c>
      <c r="C406" s="116">
        <v>1001.3333333333334</v>
      </c>
      <c r="D406" s="116">
        <v>994.80000000000007</v>
      </c>
      <c r="E406" s="116">
        <v>1003.6333333333333</v>
      </c>
      <c r="F406" s="116">
        <v>1502</v>
      </c>
      <c r="G406">
        <v>83427</v>
      </c>
      <c r="H406" s="116"/>
      <c r="I406" s="116"/>
      <c r="L406" s="170">
        <v>42599</v>
      </c>
      <c r="M406" s="116">
        <v>1001.6666666666666</v>
      </c>
      <c r="N406" s="116">
        <v>1009.5</v>
      </c>
      <c r="O406" s="116">
        <v>994</v>
      </c>
      <c r="P406" s="116">
        <v>1002.5</v>
      </c>
      <c r="Q406" s="116">
        <v>1502.5</v>
      </c>
      <c r="R406">
        <v>923102</v>
      </c>
    </row>
    <row r="407" spans="1:18" x14ac:dyDescent="0.25">
      <c r="A407" s="170">
        <v>42600</v>
      </c>
      <c r="B407" s="116">
        <v>999.26666666666677</v>
      </c>
      <c r="C407" s="116">
        <v>988.43333333333339</v>
      </c>
      <c r="D407" s="116">
        <v>987.33333333333337</v>
      </c>
      <c r="E407" s="116">
        <v>995</v>
      </c>
      <c r="F407" s="116">
        <v>1482.65</v>
      </c>
      <c r="G407">
        <v>86010</v>
      </c>
      <c r="H407" s="116"/>
      <c r="I407" s="116"/>
      <c r="L407" s="170">
        <v>42600</v>
      </c>
      <c r="M407" s="116">
        <v>988.06666666666661</v>
      </c>
      <c r="N407" s="116">
        <v>999.13333333333333</v>
      </c>
      <c r="O407" s="116">
        <v>986.66666666666663</v>
      </c>
      <c r="P407" s="116">
        <v>994</v>
      </c>
      <c r="Q407" s="116">
        <v>1482.1</v>
      </c>
      <c r="R407">
        <v>1187155</v>
      </c>
    </row>
    <row r="408" spans="1:18" x14ac:dyDescent="0.25">
      <c r="A408" s="170">
        <v>42601</v>
      </c>
      <c r="B408" s="116">
        <v>998.30000000000007</v>
      </c>
      <c r="C408" s="116">
        <v>993.6</v>
      </c>
      <c r="D408" s="116">
        <v>987.06666666666661</v>
      </c>
      <c r="E408" s="116">
        <v>990.66666666666663</v>
      </c>
      <c r="F408" s="116">
        <v>1490.4</v>
      </c>
      <c r="G408">
        <v>80957</v>
      </c>
      <c r="H408" s="116"/>
      <c r="I408" s="116"/>
      <c r="L408" s="170">
        <v>42601</v>
      </c>
      <c r="M408" s="116">
        <v>996.23333333333323</v>
      </c>
      <c r="N408" s="116">
        <v>998</v>
      </c>
      <c r="O408" s="116">
        <v>986.43333333333339</v>
      </c>
      <c r="P408" s="116">
        <v>992</v>
      </c>
      <c r="Q408" s="116">
        <v>1494.35</v>
      </c>
      <c r="R408">
        <v>928167</v>
      </c>
    </row>
    <row r="409" spans="1:18" x14ac:dyDescent="0.25">
      <c r="A409" s="170">
        <v>42604</v>
      </c>
      <c r="B409" s="116">
        <v>1001.1666666666666</v>
      </c>
      <c r="C409" s="116">
        <v>994.73333333333323</v>
      </c>
      <c r="D409" s="116">
        <v>986.66666666666663</v>
      </c>
      <c r="E409" s="116">
        <v>995.33333333333337</v>
      </c>
      <c r="F409" s="116">
        <v>1492.1</v>
      </c>
      <c r="G409">
        <v>84934</v>
      </c>
      <c r="H409" s="116"/>
      <c r="I409" s="116"/>
      <c r="L409" s="170">
        <v>42604</v>
      </c>
      <c r="M409" s="116">
        <v>995.1</v>
      </c>
      <c r="N409" s="116">
        <v>1002.6666666666666</v>
      </c>
      <c r="O409" s="116">
        <v>986</v>
      </c>
      <c r="P409" s="116">
        <v>996.66666666666663</v>
      </c>
      <c r="Q409" s="116">
        <v>1492.65</v>
      </c>
      <c r="R409">
        <v>1225330</v>
      </c>
    </row>
    <row r="410" spans="1:18" x14ac:dyDescent="0.25">
      <c r="A410" s="170">
        <v>42605</v>
      </c>
      <c r="B410" s="116">
        <v>995.9666666666667</v>
      </c>
      <c r="C410" s="116">
        <v>983.73333333333323</v>
      </c>
      <c r="D410" s="116">
        <v>976.5</v>
      </c>
      <c r="E410" s="116">
        <v>995.9666666666667</v>
      </c>
      <c r="F410" s="116">
        <v>1475.6</v>
      </c>
      <c r="G410">
        <v>102701</v>
      </c>
      <c r="H410" s="116"/>
      <c r="I410" s="116"/>
      <c r="L410" s="170">
        <v>42605</v>
      </c>
      <c r="M410" s="116">
        <v>984.76666666666677</v>
      </c>
      <c r="N410" s="116">
        <v>996.4666666666667</v>
      </c>
      <c r="O410" s="116">
        <v>975.4666666666667</v>
      </c>
      <c r="P410" s="116">
        <v>995.1</v>
      </c>
      <c r="Q410" s="116">
        <v>1477.15</v>
      </c>
      <c r="R410">
        <v>848993</v>
      </c>
    </row>
    <row r="411" spans="1:18" x14ac:dyDescent="0.25">
      <c r="A411" s="170">
        <v>42606</v>
      </c>
      <c r="B411" s="116">
        <v>989.33333333333337</v>
      </c>
      <c r="C411" s="116">
        <v>982</v>
      </c>
      <c r="D411" s="116">
        <v>977.33333333333337</v>
      </c>
      <c r="E411" s="116">
        <v>986.66666666666663</v>
      </c>
      <c r="F411" s="116">
        <v>1473</v>
      </c>
      <c r="G411">
        <v>97085</v>
      </c>
      <c r="H411" s="116"/>
      <c r="I411" s="116"/>
      <c r="L411" s="170">
        <v>42606</v>
      </c>
      <c r="M411" s="116">
        <v>982.33333333333337</v>
      </c>
      <c r="N411" s="116">
        <v>992.30000000000007</v>
      </c>
      <c r="O411" s="116">
        <v>976.69999999999993</v>
      </c>
      <c r="P411" s="116">
        <v>983.33333333333337</v>
      </c>
      <c r="Q411" s="116">
        <v>1473.5</v>
      </c>
      <c r="R411">
        <v>820418</v>
      </c>
    </row>
    <row r="412" spans="1:18" x14ac:dyDescent="0.25">
      <c r="A412" s="170">
        <v>42607</v>
      </c>
      <c r="B412" s="116">
        <v>988.80000000000007</v>
      </c>
      <c r="C412" s="116">
        <v>971.56666666666661</v>
      </c>
      <c r="D412" s="116">
        <v>968.33333333333337</v>
      </c>
      <c r="E412" s="116">
        <v>983.33333333333337</v>
      </c>
      <c r="F412" s="116">
        <v>1457.35</v>
      </c>
      <c r="G412">
        <v>117715</v>
      </c>
      <c r="H412" s="116"/>
      <c r="I412" s="116"/>
      <c r="L412" s="170">
        <v>42607</v>
      </c>
      <c r="M412" s="116">
        <v>969.76666666666677</v>
      </c>
      <c r="N412" s="116">
        <v>988.86666666666667</v>
      </c>
      <c r="O412" s="116">
        <v>967</v>
      </c>
      <c r="P412" s="116">
        <v>984.06666666666661</v>
      </c>
      <c r="Q412" s="116">
        <v>1454.65</v>
      </c>
      <c r="R412">
        <v>1744103</v>
      </c>
    </row>
    <row r="413" spans="1:18" x14ac:dyDescent="0.25">
      <c r="A413" s="170">
        <v>42608</v>
      </c>
      <c r="B413" s="116">
        <v>973.86666666666667</v>
      </c>
      <c r="C413" s="116">
        <v>951.9</v>
      </c>
      <c r="D413" s="116">
        <v>946.66666666666663</v>
      </c>
      <c r="E413" s="116">
        <v>970</v>
      </c>
      <c r="F413" s="116">
        <v>1427.85</v>
      </c>
      <c r="G413">
        <v>210622</v>
      </c>
      <c r="H413" s="116"/>
      <c r="I413" s="116"/>
      <c r="L413" s="170">
        <v>42608</v>
      </c>
      <c r="M413" s="116">
        <v>951.4666666666667</v>
      </c>
      <c r="N413" s="116">
        <v>973.30000000000007</v>
      </c>
      <c r="O413" s="116">
        <v>946.93333333333339</v>
      </c>
      <c r="P413" s="116">
        <v>970</v>
      </c>
      <c r="Q413" s="116">
        <v>1427.2</v>
      </c>
      <c r="R413">
        <v>1859100</v>
      </c>
    </row>
    <row r="414" spans="1:18" x14ac:dyDescent="0.25">
      <c r="A414" s="170">
        <v>42611</v>
      </c>
      <c r="B414" s="116">
        <v>974.66666666666663</v>
      </c>
      <c r="C414" s="116">
        <v>970.80000000000007</v>
      </c>
      <c r="D414" s="116">
        <v>947.33333333333337</v>
      </c>
      <c r="E414" s="116">
        <v>956.66666666666663</v>
      </c>
      <c r="F414" s="116">
        <v>1456.2</v>
      </c>
      <c r="G414">
        <v>189537</v>
      </c>
      <c r="H414" s="116"/>
      <c r="I414" s="116"/>
      <c r="L414" s="170">
        <v>42611</v>
      </c>
      <c r="M414" s="116">
        <v>973</v>
      </c>
      <c r="N414" s="116">
        <v>975.83333333333337</v>
      </c>
      <c r="O414" s="116">
        <v>946.13333333333333</v>
      </c>
      <c r="P414" s="116">
        <v>954.66666666666663</v>
      </c>
      <c r="Q414" s="116">
        <v>1459.5</v>
      </c>
      <c r="R414">
        <v>1396153</v>
      </c>
    </row>
    <row r="415" spans="1:18" x14ac:dyDescent="0.25">
      <c r="A415" s="170">
        <v>42612</v>
      </c>
      <c r="B415" s="116">
        <v>984.66666666666663</v>
      </c>
      <c r="C415" s="116">
        <v>982.56666666666661</v>
      </c>
      <c r="D415" s="116">
        <v>972</v>
      </c>
      <c r="E415" s="116">
        <v>976.66666666666663</v>
      </c>
      <c r="F415" s="116">
        <v>1473.85</v>
      </c>
      <c r="G415">
        <v>205570</v>
      </c>
      <c r="H415" s="116"/>
      <c r="I415" s="116"/>
      <c r="L415" s="170">
        <v>42612</v>
      </c>
      <c r="M415" s="116">
        <v>983.76666666666677</v>
      </c>
      <c r="N415" s="116">
        <v>985.19999999999993</v>
      </c>
      <c r="O415" s="116">
        <v>971.9</v>
      </c>
      <c r="P415" s="116">
        <v>978.66666666666663</v>
      </c>
      <c r="Q415" s="116">
        <v>1475.65</v>
      </c>
      <c r="R415">
        <v>1732206</v>
      </c>
    </row>
    <row r="416" spans="1:18" x14ac:dyDescent="0.25">
      <c r="A416" s="170">
        <v>42613</v>
      </c>
      <c r="B416" s="116">
        <v>1012.5333333333333</v>
      </c>
      <c r="C416" s="116">
        <v>1009.2333333333332</v>
      </c>
      <c r="D416" s="116">
        <v>980.5</v>
      </c>
      <c r="E416" s="116">
        <v>982.56666666666661</v>
      </c>
      <c r="F416" s="116">
        <v>1513.85</v>
      </c>
      <c r="G416">
        <v>313911</v>
      </c>
      <c r="H416" s="116"/>
      <c r="I416" s="116"/>
      <c r="L416" s="170">
        <v>42613</v>
      </c>
      <c r="M416" s="116">
        <v>1008.6333333333333</v>
      </c>
      <c r="N416" s="116">
        <v>1011.9666666666667</v>
      </c>
      <c r="O416" s="116">
        <v>980.19999999999993</v>
      </c>
      <c r="P416" s="116">
        <v>983.33333333333337</v>
      </c>
      <c r="Q416" s="116">
        <v>1512.95</v>
      </c>
      <c r="R416">
        <v>2768160</v>
      </c>
    </row>
    <row r="417" spans="1:18" x14ac:dyDescent="0.25">
      <c r="A417" s="170">
        <v>42614</v>
      </c>
      <c r="B417" s="116">
        <v>1011</v>
      </c>
      <c r="C417" s="116">
        <v>1005.1</v>
      </c>
      <c r="D417" s="116">
        <v>1001.0333333333333</v>
      </c>
      <c r="E417" s="116">
        <v>1006.6666666666666</v>
      </c>
      <c r="F417" s="116">
        <v>1507.65</v>
      </c>
      <c r="G417">
        <v>116414</v>
      </c>
      <c r="H417" s="116"/>
      <c r="I417" s="116"/>
      <c r="L417" s="170">
        <v>42614</v>
      </c>
      <c r="M417" s="116">
        <v>1004.7333333333332</v>
      </c>
      <c r="N417" s="116">
        <v>1011.6999999999999</v>
      </c>
      <c r="O417" s="116">
        <v>1001.3666666666667</v>
      </c>
      <c r="P417" s="116">
        <v>1008.6666666666666</v>
      </c>
      <c r="Q417" s="116">
        <v>1507.1</v>
      </c>
      <c r="R417">
        <v>1270511</v>
      </c>
    </row>
    <row r="418" spans="1:18" x14ac:dyDescent="0.25">
      <c r="A418" s="170">
        <v>42615</v>
      </c>
      <c r="B418" s="116">
        <v>1006.7333333333332</v>
      </c>
      <c r="C418" s="116">
        <v>1001.6</v>
      </c>
      <c r="D418" s="116">
        <v>991.4</v>
      </c>
      <c r="E418" s="116">
        <v>1006.3000000000001</v>
      </c>
      <c r="F418" s="116">
        <v>1502.4</v>
      </c>
      <c r="G418">
        <v>84850</v>
      </c>
      <c r="H418" s="116"/>
      <c r="I418" s="116"/>
      <c r="L418" s="170">
        <v>42615</v>
      </c>
      <c r="M418" s="116">
        <v>1003.3666666666667</v>
      </c>
      <c r="N418" s="116">
        <v>1008.3333333333334</v>
      </c>
      <c r="O418" s="116">
        <v>991.19999999999993</v>
      </c>
      <c r="P418" s="116">
        <v>1004.7333333333332</v>
      </c>
      <c r="Q418" s="116">
        <v>1505.05</v>
      </c>
      <c r="R418">
        <v>1170337</v>
      </c>
    </row>
    <row r="419" spans="1:18" x14ac:dyDescent="0.25">
      <c r="A419" s="170">
        <v>42619</v>
      </c>
      <c r="B419" s="116">
        <v>1015.6666666666666</v>
      </c>
      <c r="C419" s="116">
        <v>1010.6</v>
      </c>
      <c r="D419" s="116">
        <v>1001.3333333333334</v>
      </c>
      <c r="E419" s="116">
        <v>1006.6666666666666</v>
      </c>
      <c r="F419" s="116">
        <v>1515.9</v>
      </c>
      <c r="G419">
        <v>526426</v>
      </c>
      <c r="H419" s="116"/>
      <c r="I419" s="116"/>
      <c r="L419" s="170">
        <v>42619</v>
      </c>
      <c r="M419" s="116">
        <v>1010.9333333333334</v>
      </c>
      <c r="N419" s="116">
        <v>1016.1666666666666</v>
      </c>
      <c r="O419" s="116">
        <v>1002.1</v>
      </c>
      <c r="P419" s="116">
        <v>1008.1333333333333</v>
      </c>
      <c r="Q419" s="116">
        <v>1516.4</v>
      </c>
      <c r="R419">
        <v>1307240</v>
      </c>
    </row>
    <row r="420" spans="1:18" x14ac:dyDescent="0.25">
      <c r="A420" s="170">
        <v>42620</v>
      </c>
      <c r="B420" s="116">
        <v>1027.2</v>
      </c>
      <c r="C420" s="116">
        <v>1012.8000000000001</v>
      </c>
      <c r="D420" s="116">
        <v>1003.3333333333334</v>
      </c>
      <c r="E420" s="116">
        <v>1010.6</v>
      </c>
      <c r="F420" s="116">
        <v>1519.2</v>
      </c>
      <c r="G420">
        <v>185909</v>
      </c>
      <c r="H420" s="116"/>
      <c r="I420" s="116"/>
      <c r="L420" s="170">
        <v>42620</v>
      </c>
      <c r="M420" s="116">
        <v>1012.1666666666666</v>
      </c>
      <c r="N420" s="116">
        <v>1027.6333333333334</v>
      </c>
      <c r="O420" s="116">
        <v>1006.6666666666666</v>
      </c>
      <c r="P420" s="116">
        <v>1015.1333333333333</v>
      </c>
      <c r="Q420" s="116">
        <v>1518.25</v>
      </c>
      <c r="R420">
        <v>1765509</v>
      </c>
    </row>
    <row r="421" spans="1:18" x14ac:dyDescent="0.25">
      <c r="A421" s="170">
        <v>42621</v>
      </c>
      <c r="B421" s="116">
        <v>1030.5</v>
      </c>
      <c r="C421" s="116">
        <v>1025.9333333333334</v>
      </c>
      <c r="D421" s="116">
        <v>1010</v>
      </c>
      <c r="E421" s="116">
        <v>1010</v>
      </c>
      <c r="F421" s="116">
        <v>1538.9</v>
      </c>
      <c r="G421">
        <v>103146</v>
      </c>
      <c r="H421" s="116"/>
      <c r="I421" s="116"/>
      <c r="L421" s="170">
        <v>42621</v>
      </c>
      <c r="M421" s="116">
        <v>1026.3333333333333</v>
      </c>
      <c r="N421" s="116">
        <v>1030.6333333333334</v>
      </c>
      <c r="O421" s="116">
        <v>1014.1</v>
      </c>
      <c r="P421" s="116">
        <v>1017.0333333333333</v>
      </c>
      <c r="Q421" s="116">
        <v>1539.5</v>
      </c>
      <c r="R421">
        <v>1128123</v>
      </c>
    </row>
    <row r="422" spans="1:18" x14ac:dyDescent="0.25">
      <c r="A422" s="170">
        <v>42622</v>
      </c>
      <c r="B422" s="116">
        <v>1027.1666666666667</v>
      </c>
      <c r="C422" s="116">
        <v>1012.9333333333334</v>
      </c>
      <c r="D422" s="116">
        <v>1009.3333333333334</v>
      </c>
      <c r="E422" s="116">
        <v>1025.2666666666667</v>
      </c>
      <c r="F422" s="116">
        <v>1519.4</v>
      </c>
      <c r="G422">
        <v>78525</v>
      </c>
      <c r="H422" s="116"/>
      <c r="I422" s="116"/>
      <c r="L422" s="170">
        <v>42622</v>
      </c>
      <c r="M422" s="116">
        <v>1011.8000000000001</v>
      </c>
      <c r="N422" s="116">
        <v>1027.3999999999999</v>
      </c>
      <c r="O422" s="116">
        <v>1006.6666666666666</v>
      </c>
      <c r="P422" s="116">
        <v>1026.6666666666667</v>
      </c>
      <c r="Q422" s="116">
        <v>1517.7</v>
      </c>
      <c r="R422">
        <v>1508622</v>
      </c>
    </row>
    <row r="423" spans="1:18" x14ac:dyDescent="0.25">
      <c r="A423" s="170">
        <v>42625</v>
      </c>
      <c r="B423" s="116">
        <v>999.06666666666661</v>
      </c>
      <c r="C423" s="116">
        <v>975.66666666666663</v>
      </c>
      <c r="D423" s="116">
        <v>973.83333333333337</v>
      </c>
      <c r="E423" s="116">
        <v>999.06666666666661</v>
      </c>
      <c r="F423" s="116">
        <v>1463.5</v>
      </c>
      <c r="G423">
        <v>211096</v>
      </c>
      <c r="H423" s="116"/>
      <c r="I423" s="116"/>
      <c r="L423" s="170">
        <v>42625</v>
      </c>
      <c r="M423" s="116">
        <v>975.4666666666667</v>
      </c>
      <c r="N423" s="116">
        <v>994.4</v>
      </c>
      <c r="O423" s="116">
        <v>973.26666666666677</v>
      </c>
      <c r="P423" s="116">
        <v>992</v>
      </c>
      <c r="Q423" s="116">
        <v>1463.2</v>
      </c>
      <c r="R423">
        <v>1302381</v>
      </c>
    </row>
    <row r="424" spans="1:18" x14ac:dyDescent="0.25">
      <c r="A424" s="170">
        <v>42627</v>
      </c>
      <c r="B424" s="116">
        <v>987.5</v>
      </c>
      <c r="C424" s="116">
        <v>983.4</v>
      </c>
      <c r="D424" s="116">
        <v>971.33333333333337</v>
      </c>
      <c r="E424" s="116">
        <v>975.66666666666663</v>
      </c>
      <c r="F424" s="116">
        <v>1475.1</v>
      </c>
      <c r="G424">
        <v>133151</v>
      </c>
      <c r="H424" s="116"/>
      <c r="I424" s="116"/>
      <c r="L424" s="170">
        <v>42627</v>
      </c>
      <c r="M424" s="116">
        <v>983.5333333333333</v>
      </c>
      <c r="N424" s="116">
        <v>988</v>
      </c>
      <c r="O424" s="116">
        <v>970.73333333333323</v>
      </c>
      <c r="P424" s="116">
        <v>975.4666666666667</v>
      </c>
      <c r="Q424" s="116">
        <v>1475.3</v>
      </c>
      <c r="R424">
        <v>1145836</v>
      </c>
    </row>
    <row r="425" spans="1:18" x14ac:dyDescent="0.25">
      <c r="A425" s="170">
        <v>42628</v>
      </c>
      <c r="B425" s="116">
        <v>985.33333333333337</v>
      </c>
      <c r="C425" s="116">
        <v>980.4</v>
      </c>
      <c r="D425" s="116">
        <v>972</v>
      </c>
      <c r="E425" s="116">
        <v>983.4666666666667</v>
      </c>
      <c r="F425" s="116">
        <v>1470.6</v>
      </c>
      <c r="G425">
        <v>101384</v>
      </c>
      <c r="H425" s="116"/>
      <c r="I425" s="116"/>
      <c r="L425" s="170">
        <v>42628</v>
      </c>
      <c r="M425" s="116">
        <v>980.16666666666663</v>
      </c>
      <c r="N425" s="116">
        <v>984.69999999999993</v>
      </c>
      <c r="O425" s="116">
        <v>971.43333333333339</v>
      </c>
      <c r="P425" s="116">
        <v>983.4</v>
      </c>
      <c r="Q425" s="116">
        <v>1470.25</v>
      </c>
      <c r="R425">
        <v>750855</v>
      </c>
    </row>
    <row r="426" spans="1:18" x14ac:dyDescent="0.25">
      <c r="A426" s="170">
        <v>42629</v>
      </c>
      <c r="B426" s="116">
        <v>998.9666666666667</v>
      </c>
      <c r="C426" s="116">
        <v>983.66666666666663</v>
      </c>
      <c r="D426" s="116">
        <v>980.4</v>
      </c>
      <c r="E426" s="116">
        <v>984.06666666666661</v>
      </c>
      <c r="F426" s="116">
        <v>1475.5</v>
      </c>
      <c r="G426">
        <v>145351</v>
      </c>
      <c r="H426" s="116"/>
      <c r="I426" s="116"/>
      <c r="L426" s="170">
        <v>42629</v>
      </c>
      <c r="M426" s="116">
        <v>982.13333333333333</v>
      </c>
      <c r="N426" s="116">
        <v>999.33333333333337</v>
      </c>
      <c r="O426" s="116">
        <v>979</v>
      </c>
      <c r="P426" s="116">
        <v>984.73333333333323</v>
      </c>
      <c r="Q426" s="116">
        <v>1473.2</v>
      </c>
      <c r="R426">
        <v>1408181</v>
      </c>
    </row>
    <row r="427" spans="1:18" x14ac:dyDescent="0.25">
      <c r="A427" s="170">
        <v>42632</v>
      </c>
      <c r="B427" s="116">
        <v>988.93333333333339</v>
      </c>
      <c r="C427" s="116">
        <v>986.80000000000007</v>
      </c>
      <c r="D427" s="116">
        <v>976.66666666666663</v>
      </c>
      <c r="E427" s="116">
        <v>982</v>
      </c>
      <c r="F427" s="116">
        <v>1480.2</v>
      </c>
      <c r="G427">
        <v>74348</v>
      </c>
      <c r="H427" s="116"/>
      <c r="I427" s="116"/>
      <c r="L427" s="170">
        <v>42632</v>
      </c>
      <c r="M427" s="116">
        <v>986.5333333333333</v>
      </c>
      <c r="N427" s="116">
        <v>993.33333333333337</v>
      </c>
      <c r="O427" s="116">
        <v>976</v>
      </c>
      <c r="P427" s="116">
        <v>984</v>
      </c>
      <c r="Q427" s="116">
        <v>1479.8</v>
      </c>
      <c r="R427">
        <v>628360</v>
      </c>
    </row>
    <row r="428" spans="1:18" x14ac:dyDescent="0.25">
      <c r="A428" s="170">
        <v>42633</v>
      </c>
      <c r="B428" s="116">
        <v>988.66666666666663</v>
      </c>
      <c r="C428" s="116">
        <v>983.33333333333337</v>
      </c>
      <c r="D428" s="116">
        <v>980.06666666666661</v>
      </c>
      <c r="E428" s="116">
        <v>988</v>
      </c>
      <c r="F428" s="116">
        <v>1475</v>
      </c>
      <c r="G428">
        <v>57017</v>
      </c>
      <c r="H428" s="116"/>
      <c r="I428" s="116"/>
      <c r="L428" s="170">
        <v>42633</v>
      </c>
      <c r="M428" s="116">
        <v>983.9666666666667</v>
      </c>
      <c r="N428" s="116">
        <v>989.56666666666661</v>
      </c>
      <c r="O428" s="116">
        <v>979.0333333333333</v>
      </c>
      <c r="P428" s="116">
        <v>985.33333333333337</v>
      </c>
      <c r="Q428" s="116">
        <v>1475.95</v>
      </c>
      <c r="R428">
        <v>731470</v>
      </c>
    </row>
    <row r="429" spans="1:18" x14ac:dyDescent="0.25">
      <c r="A429" s="170">
        <v>42634</v>
      </c>
      <c r="B429" s="116">
        <v>991.69999999999993</v>
      </c>
      <c r="C429" s="116">
        <v>980.9</v>
      </c>
      <c r="D429" s="116">
        <v>978</v>
      </c>
      <c r="E429" s="116">
        <v>985.80000000000007</v>
      </c>
      <c r="F429" s="116">
        <v>1471.35</v>
      </c>
      <c r="G429">
        <v>77118</v>
      </c>
      <c r="H429" s="116"/>
      <c r="I429" s="116"/>
      <c r="L429" s="170">
        <v>42634</v>
      </c>
      <c r="M429" s="116">
        <v>981.4</v>
      </c>
      <c r="N429" s="116">
        <v>991.93333333333339</v>
      </c>
      <c r="O429" s="116">
        <v>977.5333333333333</v>
      </c>
      <c r="P429" s="116">
        <v>986.66666666666663</v>
      </c>
      <c r="Q429" s="116">
        <v>1472.1</v>
      </c>
      <c r="R429">
        <v>891381</v>
      </c>
    </row>
    <row r="430" spans="1:18" x14ac:dyDescent="0.25">
      <c r="A430" s="170">
        <v>42635</v>
      </c>
      <c r="B430" s="116">
        <v>1001.6999999999999</v>
      </c>
      <c r="C430" s="116">
        <v>999.33333333333337</v>
      </c>
      <c r="D430" s="116">
        <v>985.56666666666661</v>
      </c>
      <c r="E430" s="116">
        <v>989.4</v>
      </c>
      <c r="F430" s="116">
        <v>1499</v>
      </c>
      <c r="G430">
        <v>173967</v>
      </c>
      <c r="H430" s="116"/>
      <c r="I430" s="116"/>
      <c r="L430" s="170">
        <v>42635</v>
      </c>
      <c r="M430" s="116">
        <v>999.9666666666667</v>
      </c>
      <c r="N430" s="116">
        <v>1002.6666666666666</v>
      </c>
      <c r="O430" s="116">
        <v>984.66666666666663</v>
      </c>
      <c r="P430" s="116">
        <v>993.33333333333337</v>
      </c>
      <c r="Q430" s="116">
        <v>1499.95</v>
      </c>
      <c r="R430">
        <v>1301967</v>
      </c>
    </row>
    <row r="431" spans="1:18" x14ac:dyDescent="0.25">
      <c r="A431" s="170">
        <v>42636</v>
      </c>
      <c r="B431" s="116">
        <v>1010.6666666666666</v>
      </c>
      <c r="C431" s="116">
        <v>997.86666666666667</v>
      </c>
      <c r="D431" s="116">
        <v>994.26666666666677</v>
      </c>
      <c r="E431" s="116">
        <v>1000.0666666666666</v>
      </c>
      <c r="F431" s="116">
        <v>1496.8</v>
      </c>
      <c r="G431">
        <v>116288</v>
      </c>
      <c r="H431" s="116"/>
      <c r="I431" s="116"/>
      <c r="L431" s="170">
        <v>42636</v>
      </c>
      <c r="M431" s="116">
        <v>998</v>
      </c>
      <c r="N431" s="116">
        <v>1011.6666666666666</v>
      </c>
      <c r="O431" s="116">
        <v>993.73333333333323</v>
      </c>
      <c r="P431" s="116">
        <v>1003.3333333333334</v>
      </c>
      <c r="Q431" s="116">
        <v>1497</v>
      </c>
      <c r="R431">
        <v>2081187</v>
      </c>
    </row>
    <row r="432" spans="1:18" x14ac:dyDescent="0.25">
      <c r="A432" s="170">
        <v>42639</v>
      </c>
      <c r="B432" s="116">
        <v>1006.8000000000001</v>
      </c>
      <c r="C432" s="116">
        <v>979.13333333333333</v>
      </c>
      <c r="D432" s="116">
        <v>976.80000000000007</v>
      </c>
      <c r="E432" s="116">
        <v>996.6</v>
      </c>
      <c r="F432" s="116">
        <v>1468.7</v>
      </c>
      <c r="G432">
        <v>125864</v>
      </c>
      <c r="H432" s="116"/>
      <c r="I432" s="116"/>
      <c r="L432" s="170">
        <v>42639</v>
      </c>
      <c r="M432" s="116">
        <v>977.13333333333333</v>
      </c>
      <c r="N432" s="116">
        <v>1007.9666666666667</v>
      </c>
      <c r="O432" s="116">
        <v>974.4</v>
      </c>
      <c r="P432" s="116">
        <v>994.66666666666663</v>
      </c>
      <c r="Q432" s="116">
        <v>1465.7</v>
      </c>
      <c r="R432">
        <v>1414763</v>
      </c>
    </row>
    <row r="433" spans="1:18" x14ac:dyDescent="0.25">
      <c r="A433" s="170">
        <v>42640</v>
      </c>
      <c r="B433" s="116">
        <v>984.36666666666667</v>
      </c>
      <c r="C433" s="116">
        <v>959.66666666666663</v>
      </c>
      <c r="D433" s="116">
        <v>956.66666666666663</v>
      </c>
      <c r="E433" s="116">
        <v>980</v>
      </c>
      <c r="F433" s="116">
        <v>1439.5</v>
      </c>
      <c r="G433">
        <v>155183</v>
      </c>
      <c r="H433" s="116"/>
      <c r="I433" s="116"/>
      <c r="L433" s="170">
        <v>42640</v>
      </c>
      <c r="M433" s="116">
        <v>957.6</v>
      </c>
      <c r="N433" s="116">
        <v>984.19999999999993</v>
      </c>
      <c r="O433" s="116">
        <v>954.30000000000007</v>
      </c>
      <c r="P433" s="116">
        <v>980.0333333333333</v>
      </c>
      <c r="Q433" s="116">
        <v>1436.4</v>
      </c>
      <c r="R433">
        <v>1879473</v>
      </c>
    </row>
    <row r="434" spans="1:18" x14ac:dyDescent="0.25">
      <c r="A434" s="170">
        <v>42641</v>
      </c>
      <c r="B434" s="116">
        <v>977.69999999999993</v>
      </c>
      <c r="C434" s="116">
        <v>970.19999999999993</v>
      </c>
      <c r="D434" s="116">
        <v>959.69999999999993</v>
      </c>
      <c r="E434" s="116">
        <v>962</v>
      </c>
      <c r="F434" s="116">
        <v>1455.3</v>
      </c>
      <c r="G434">
        <v>108556</v>
      </c>
      <c r="H434" s="116"/>
      <c r="I434" s="116"/>
      <c r="L434" s="170">
        <v>42641</v>
      </c>
      <c r="M434" s="116">
        <v>970.6</v>
      </c>
      <c r="N434" s="116">
        <v>978</v>
      </c>
      <c r="O434" s="116">
        <v>958.9666666666667</v>
      </c>
      <c r="P434" s="116">
        <v>961.33333333333337</v>
      </c>
      <c r="Q434" s="116">
        <v>1455.9</v>
      </c>
      <c r="R434">
        <v>1595479</v>
      </c>
    </row>
    <row r="435" spans="1:18" x14ac:dyDescent="0.25">
      <c r="A435" s="170">
        <v>42642</v>
      </c>
      <c r="B435" s="116">
        <v>979.33333333333337</v>
      </c>
      <c r="C435" s="116">
        <v>957.66666666666663</v>
      </c>
      <c r="D435" s="116">
        <v>947.36666666666667</v>
      </c>
      <c r="E435" s="116">
        <v>973.33333333333337</v>
      </c>
      <c r="F435" s="116">
        <v>1436.5</v>
      </c>
      <c r="G435">
        <v>152413</v>
      </c>
      <c r="H435" s="116"/>
      <c r="I435" s="116"/>
      <c r="L435" s="170">
        <v>42642</v>
      </c>
      <c r="M435" s="116">
        <v>958.4</v>
      </c>
      <c r="N435" s="116">
        <v>979.33333333333337</v>
      </c>
      <c r="O435" s="116">
        <v>946.9666666666667</v>
      </c>
      <c r="P435" s="116">
        <v>974.4</v>
      </c>
      <c r="Q435" s="116">
        <v>1437.6</v>
      </c>
      <c r="R435">
        <v>2026897</v>
      </c>
    </row>
    <row r="436" spans="1:18" x14ac:dyDescent="0.25">
      <c r="A436" s="170">
        <v>42643</v>
      </c>
      <c r="B436" s="116">
        <v>960</v>
      </c>
      <c r="C436" s="116">
        <v>954.43333333333339</v>
      </c>
      <c r="D436" s="116">
        <v>941.69999999999993</v>
      </c>
      <c r="E436" s="116">
        <v>954.66666666666663</v>
      </c>
      <c r="F436" s="116">
        <v>1431.65</v>
      </c>
      <c r="G436">
        <v>216233</v>
      </c>
      <c r="H436" s="116"/>
      <c r="I436" s="116"/>
      <c r="L436" s="170">
        <v>42643</v>
      </c>
      <c r="M436" s="116">
        <v>955.43333333333339</v>
      </c>
      <c r="N436" s="116">
        <v>960.36666666666667</v>
      </c>
      <c r="O436" s="116">
        <v>941</v>
      </c>
      <c r="P436" s="116">
        <v>956.66666666666663</v>
      </c>
      <c r="Q436" s="116">
        <v>1433.15</v>
      </c>
      <c r="R436">
        <v>2331910</v>
      </c>
    </row>
    <row r="437" spans="1:18" x14ac:dyDescent="0.25">
      <c r="A437" s="170">
        <v>42646</v>
      </c>
      <c r="B437" s="116">
        <v>982.66666666666663</v>
      </c>
      <c r="C437" s="116">
        <v>979.9</v>
      </c>
      <c r="D437" s="116">
        <v>957.33333333333337</v>
      </c>
      <c r="E437" s="116">
        <v>960</v>
      </c>
      <c r="F437" s="116">
        <v>1469.85</v>
      </c>
      <c r="G437">
        <v>140422</v>
      </c>
      <c r="H437" s="116"/>
      <c r="I437" s="116"/>
      <c r="L437" s="170">
        <v>42646</v>
      </c>
      <c r="M437" s="116">
        <v>980.4666666666667</v>
      </c>
      <c r="N437" s="116">
        <v>983.16666666666663</v>
      </c>
      <c r="O437" s="116">
        <v>956.80000000000007</v>
      </c>
      <c r="P437" s="116">
        <v>958.69999999999993</v>
      </c>
      <c r="Q437" s="116">
        <v>1470.7</v>
      </c>
      <c r="R437">
        <v>1454479</v>
      </c>
    </row>
    <row r="438" spans="1:18" x14ac:dyDescent="0.25">
      <c r="A438" s="170">
        <v>42647</v>
      </c>
      <c r="B438" s="116">
        <v>986.73333333333323</v>
      </c>
      <c r="C438" s="116">
        <v>965.93333333333339</v>
      </c>
      <c r="D438" s="116">
        <v>962.80000000000007</v>
      </c>
      <c r="E438" s="116">
        <v>984.66666666666663</v>
      </c>
      <c r="F438" s="116">
        <v>1448.9</v>
      </c>
      <c r="G438">
        <v>179091</v>
      </c>
      <c r="H438" s="116"/>
      <c r="I438" s="116"/>
      <c r="L438" s="170">
        <v>42647</v>
      </c>
      <c r="M438" s="116">
        <v>966.1</v>
      </c>
      <c r="N438" s="116">
        <v>986.36666666666667</v>
      </c>
      <c r="O438" s="116">
        <v>962.23333333333323</v>
      </c>
      <c r="P438" s="116">
        <v>984.5333333333333</v>
      </c>
      <c r="Q438" s="116">
        <v>1449.15</v>
      </c>
      <c r="R438">
        <v>1526425</v>
      </c>
    </row>
    <row r="439" spans="1:18" x14ac:dyDescent="0.25">
      <c r="A439" s="170">
        <v>42648</v>
      </c>
      <c r="B439" s="116">
        <v>973.83333333333337</v>
      </c>
      <c r="C439" s="116">
        <v>968.76666666666677</v>
      </c>
      <c r="D439" s="116">
        <v>961</v>
      </c>
      <c r="E439" s="116">
        <v>970</v>
      </c>
      <c r="F439" s="116">
        <v>1453.15</v>
      </c>
      <c r="G439">
        <v>115095</v>
      </c>
      <c r="H439" s="116"/>
      <c r="I439" s="116"/>
      <c r="L439" s="170">
        <v>42648</v>
      </c>
      <c r="M439" s="116">
        <v>969.30000000000007</v>
      </c>
      <c r="N439" s="116">
        <v>974.6</v>
      </c>
      <c r="O439" s="116">
        <v>960.76666666666677</v>
      </c>
      <c r="P439" s="116">
        <v>973.33333333333337</v>
      </c>
      <c r="Q439" s="116">
        <v>1453.95</v>
      </c>
      <c r="R439">
        <v>1373232</v>
      </c>
    </row>
    <row r="440" spans="1:18" x14ac:dyDescent="0.25">
      <c r="A440" s="170">
        <v>42649</v>
      </c>
      <c r="B440" s="116">
        <v>978.5333333333333</v>
      </c>
      <c r="C440" s="116">
        <v>969.69999999999993</v>
      </c>
      <c r="D440" s="116">
        <v>964</v>
      </c>
      <c r="E440" s="116">
        <v>974.66666666666663</v>
      </c>
      <c r="F440" s="116">
        <v>1454.55</v>
      </c>
      <c r="G440">
        <v>93225</v>
      </c>
      <c r="H440" s="116"/>
      <c r="I440" s="116"/>
      <c r="L440" s="170">
        <v>42649</v>
      </c>
      <c r="M440" s="116">
        <v>969.66666666666663</v>
      </c>
      <c r="N440" s="116">
        <v>978.30000000000007</v>
      </c>
      <c r="O440" s="116">
        <v>964</v>
      </c>
      <c r="P440" s="116">
        <v>976</v>
      </c>
      <c r="Q440" s="116">
        <v>1454.5</v>
      </c>
      <c r="R440">
        <v>1084917</v>
      </c>
    </row>
    <row r="441" spans="1:18" x14ac:dyDescent="0.25">
      <c r="A441" s="170">
        <v>42650</v>
      </c>
      <c r="B441" s="116">
        <v>972.66666666666663</v>
      </c>
      <c r="C441" s="116">
        <v>969.9</v>
      </c>
      <c r="D441" s="116">
        <v>961</v>
      </c>
      <c r="E441" s="116">
        <v>971.33333333333337</v>
      </c>
      <c r="F441" s="116">
        <v>1454.85</v>
      </c>
      <c r="G441">
        <v>68272</v>
      </c>
      <c r="H441" s="116"/>
      <c r="I441" s="116"/>
      <c r="L441" s="170">
        <v>42650</v>
      </c>
      <c r="M441" s="116">
        <v>971.30000000000007</v>
      </c>
      <c r="N441" s="116">
        <v>973.26666666666677</v>
      </c>
      <c r="O441" s="116">
        <v>960.66666666666663</v>
      </c>
      <c r="P441" s="116">
        <v>968.66666666666663</v>
      </c>
      <c r="Q441" s="116">
        <v>1456.95</v>
      </c>
      <c r="R441">
        <v>732501</v>
      </c>
    </row>
    <row r="442" spans="1:18" x14ac:dyDescent="0.25">
      <c r="A442" s="170">
        <v>42653</v>
      </c>
      <c r="B442" s="116">
        <v>977</v>
      </c>
      <c r="C442" s="116">
        <v>967.4666666666667</v>
      </c>
      <c r="D442" s="116">
        <v>965.33333333333337</v>
      </c>
      <c r="E442" s="116">
        <v>971.33333333333337</v>
      </c>
      <c r="F442" s="116">
        <v>1451.2</v>
      </c>
      <c r="G442">
        <v>45716</v>
      </c>
      <c r="H442" s="116"/>
      <c r="I442" s="116"/>
      <c r="L442" s="170">
        <v>42653</v>
      </c>
      <c r="M442" s="116">
        <v>966.66666666666663</v>
      </c>
      <c r="N442" s="116">
        <v>976.93333333333339</v>
      </c>
      <c r="O442" s="116">
        <v>964.69999999999993</v>
      </c>
      <c r="P442" s="116">
        <v>973.9666666666667</v>
      </c>
      <c r="Q442" s="116">
        <v>1450</v>
      </c>
      <c r="R442">
        <v>583941</v>
      </c>
    </row>
    <row r="443" spans="1:18" x14ac:dyDescent="0.25">
      <c r="A443" s="170">
        <v>42656</v>
      </c>
      <c r="B443" s="116">
        <v>964.63333333333333</v>
      </c>
      <c r="C443" s="116">
        <v>957.6</v>
      </c>
      <c r="D443" s="116">
        <v>954.80000000000007</v>
      </c>
      <c r="E443" s="116">
        <v>962.66666666666663</v>
      </c>
      <c r="F443" s="116">
        <v>1436.4</v>
      </c>
      <c r="G443">
        <v>84975</v>
      </c>
      <c r="H443" s="116"/>
      <c r="I443" s="116"/>
      <c r="L443" s="170">
        <v>42656</v>
      </c>
      <c r="M443" s="116">
        <v>958.93333333333339</v>
      </c>
      <c r="N443" s="116">
        <v>965</v>
      </c>
      <c r="O443" s="116">
        <v>954.19999999999993</v>
      </c>
      <c r="P443" s="116">
        <v>959.26666666666677</v>
      </c>
      <c r="Q443" s="116">
        <v>1438.4</v>
      </c>
      <c r="R443">
        <v>1773330</v>
      </c>
    </row>
    <row r="444" spans="1:18" x14ac:dyDescent="0.25">
      <c r="A444" s="170">
        <v>42657</v>
      </c>
      <c r="B444" s="116">
        <v>983.33333333333337</v>
      </c>
      <c r="C444" s="116">
        <v>981.66666666666663</v>
      </c>
      <c r="D444" s="116">
        <v>958.80000000000007</v>
      </c>
      <c r="E444" s="116">
        <v>958.80000000000007</v>
      </c>
      <c r="F444" s="116">
        <v>1472.5</v>
      </c>
      <c r="G444">
        <v>142424</v>
      </c>
      <c r="H444" s="116"/>
      <c r="I444" s="116"/>
      <c r="L444" s="170">
        <v>42657</v>
      </c>
      <c r="M444" s="116">
        <v>983.23333333333323</v>
      </c>
      <c r="N444" s="116">
        <v>984.93333333333339</v>
      </c>
      <c r="O444" s="116">
        <v>959.06666666666661</v>
      </c>
      <c r="P444" s="116">
        <v>962.66666666666663</v>
      </c>
      <c r="Q444" s="116">
        <v>1474.85</v>
      </c>
      <c r="R444">
        <v>1754882</v>
      </c>
    </row>
    <row r="445" spans="1:18" x14ac:dyDescent="0.25">
      <c r="A445" s="170">
        <v>42660</v>
      </c>
      <c r="B445" s="116">
        <v>986.66666666666663</v>
      </c>
      <c r="C445" s="116">
        <v>964.86666666666667</v>
      </c>
      <c r="D445" s="116">
        <v>961.33333333333337</v>
      </c>
      <c r="E445" s="116">
        <v>986.66666666666663</v>
      </c>
      <c r="F445" s="116">
        <v>1447.3</v>
      </c>
      <c r="G445">
        <v>337243</v>
      </c>
      <c r="H445" s="116"/>
      <c r="I445" s="116"/>
      <c r="L445" s="170">
        <v>42660</v>
      </c>
      <c r="M445" s="116">
        <v>965.30000000000007</v>
      </c>
      <c r="N445" s="116">
        <v>984.66666666666663</v>
      </c>
      <c r="O445" s="116">
        <v>960.66666666666663</v>
      </c>
      <c r="P445" s="116">
        <v>983.26666666666677</v>
      </c>
      <c r="Q445" s="116">
        <v>1447.95</v>
      </c>
      <c r="R445">
        <v>1427280</v>
      </c>
    </row>
    <row r="446" spans="1:18" x14ac:dyDescent="0.25">
      <c r="A446" s="170">
        <v>42661</v>
      </c>
      <c r="B446" s="116">
        <v>994.30000000000007</v>
      </c>
      <c r="C446" s="116">
        <v>992.33333333333337</v>
      </c>
      <c r="D446" s="116">
        <v>967.5</v>
      </c>
      <c r="E446" s="116">
        <v>968.33333333333337</v>
      </c>
      <c r="F446" s="116">
        <v>1488.5</v>
      </c>
      <c r="G446">
        <v>150579</v>
      </c>
      <c r="H446" s="116"/>
      <c r="I446" s="116"/>
      <c r="L446" s="170">
        <v>42661</v>
      </c>
      <c r="M446" s="116">
        <v>992.16666666666663</v>
      </c>
      <c r="N446" s="116">
        <v>994.6</v>
      </c>
      <c r="O446" s="116">
        <v>967.36666666666667</v>
      </c>
      <c r="P446" s="116">
        <v>971.80000000000007</v>
      </c>
      <c r="Q446" s="116">
        <v>1488.25</v>
      </c>
      <c r="R446">
        <v>1322009</v>
      </c>
    </row>
    <row r="447" spans="1:18" x14ac:dyDescent="0.25">
      <c r="A447" s="170">
        <v>42662</v>
      </c>
      <c r="B447" s="116">
        <v>999.13333333333333</v>
      </c>
      <c r="C447" s="116">
        <v>990.5333333333333</v>
      </c>
      <c r="D447" s="116">
        <v>983.66666666666663</v>
      </c>
      <c r="E447" s="116">
        <v>992.33333333333337</v>
      </c>
      <c r="F447" s="116">
        <v>1485.8</v>
      </c>
      <c r="G447">
        <v>210768</v>
      </c>
      <c r="H447" s="116"/>
      <c r="I447" s="116"/>
      <c r="L447" s="170">
        <v>42662</v>
      </c>
      <c r="M447" s="116">
        <v>994.0333333333333</v>
      </c>
      <c r="N447" s="116">
        <v>1000.6666666666666</v>
      </c>
      <c r="O447" s="116">
        <v>984.0333333333333</v>
      </c>
      <c r="P447" s="116">
        <v>992.16666666666663</v>
      </c>
      <c r="Q447" s="116">
        <v>1491.05</v>
      </c>
      <c r="R447">
        <v>1431264</v>
      </c>
    </row>
    <row r="448" spans="1:18" x14ac:dyDescent="0.25">
      <c r="A448" s="170">
        <v>42663</v>
      </c>
      <c r="B448" s="116">
        <v>1004.6</v>
      </c>
      <c r="C448" s="116">
        <v>1002.6999999999999</v>
      </c>
      <c r="D448" s="116">
        <v>988.0333333333333</v>
      </c>
      <c r="E448" s="116">
        <v>996.66666666666663</v>
      </c>
      <c r="F448" s="116">
        <v>1504.05</v>
      </c>
      <c r="G448">
        <v>130518</v>
      </c>
      <c r="H448" s="116"/>
      <c r="I448" s="116"/>
      <c r="L448" s="170">
        <v>42663</v>
      </c>
      <c r="M448" s="116">
        <v>1002.4333333333334</v>
      </c>
      <c r="N448" s="116">
        <v>1005</v>
      </c>
      <c r="O448" s="116">
        <v>988.36666666666667</v>
      </c>
      <c r="P448" s="116">
        <v>997.33333333333337</v>
      </c>
      <c r="Q448" s="116">
        <v>1503.65</v>
      </c>
      <c r="R448">
        <v>1001560</v>
      </c>
    </row>
    <row r="449" spans="1:18" x14ac:dyDescent="0.25">
      <c r="A449" s="170">
        <v>42664</v>
      </c>
      <c r="B449" s="116">
        <v>1009.6666666666666</v>
      </c>
      <c r="C449" s="116">
        <v>1007</v>
      </c>
      <c r="D449" s="116">
        <v>996</v>
      </c>
      <c r="E449" s="116">
        <v>1000</v>
      </c>
      <c r="F449" s="116">
        <v>1510.5</v>
      </c>
      <c r="G449">
        <v>124307</v>
      </c>
      <c r="H449" s="116"/>
      <c r="I449" s="116"/>
      <c r="L449" s="170">
        <v>42664</v>
      </c>
      <c r="M449" s="116">
        <v>1007.2333333333332</v>
      </c>
      <c r="N449" s="116">
        <v>1009.4</v>
      </c>
      <c r="O449" s="116">
        <v>995.4</v>
      </c>
      <c r="P449" s="116">
        <v>1002.6666666666666</v>
      </c>
      <c r="Q449" s="116">
        <v>1510.85</v>
      </c>
      <c r="R449">
        <v>1113866</v>
      </c>
    </row>
    <row r="450" spans="1:18" x14ac:dyDescent="0.25">
      <c r="A450" s="170">
        <v>42667</v>
      </c>
      <c r="B450" s="116">
        <v>1013.3333333333334</v>
      </c>
      <c r="C450" s="116">
        <v>996.36666666666667</v>
      </c>
      <c r="D450" s="116">
        <v>990.0333333333333</v>
      </c>
      <c r="E450" s="116">
        <v>1010.6333333333333</v>
      </c>
      <c r="F450" s="116">
        <v>1494.55</v>
      </c>
      <c r="G450">
        <v>127094</v>
      </c>
      <c r="H450" s="116"/>
      <c r="I450" s="116"/>
      <c r="L450" s="170">
        <v>42667</v>
      </c>
      <c r="M450" s="116">
        <v>995.1</v>
      </c>
      <c r="N450" s="116">
        <v>1013.3333333333334</v>
      </c>
      <c r="O450" s="116">
        <v>991.19999999999993</v>
      </c>
      <c r="P450" s="116">
        <v>1011.1</v>
      </c>
      <c r="Q450" s="116">
        <v>1492.65</v>
      </c>
      <c r="R450">
        <v>1011357</v>
      </c>
    </row>
    <row r="451" spans="1:18" x14ac:dyDescent="0.25">
      <c r="A451" s="170">
        <v>42668</v>
      </c>
      <c r="B451" s="116">
        <v>999.66666666666663</v>
      </c>
      <c r="C451" s="116">
        <v>989.6</v>
      </c>
      <c r="D451" s="116">
        <v>986.66666666666663</v>
      </c>
      <c r="E451" s="116">
        <v>998</v>
      </c>
      <c r="F451" s="116">
        <v>1484.4</v>
      </c>
      <c r="G451">
        <v>76325</v>
      </c>
      <c r="H451" s="116"/>
      <c r="I451" s="116"/>
      <c r="L451" s="170">
        <v>42668</v>
      </c>
      <c r="M451" s="116">
        <v>989.4</v>
      </c>
      <c r="N451" s="116">
        <v>999.56666666666661</v>
      </c>
      <c r="O451" s="116">
        <v>985.80000000000007</v>
      </c>
      <c r="P451" s="116">
        <v>996.66666666666663</v>
      </c>
      <c r="Q451" s="116">
        <v>1484.1</v>
      </c>
      <c r="R451">
        <v>558804</v>
      </c>
    </row>
    <row r="452" spans="1:18" x14ac:dyDescent="0.25">
      <c r="A452" s="170">
        <v>42669</v>
      </c>
      <c r="B452" s="116">
        <v>992</v>
      </c>
      <c r="C452" s="116">
        <v>988.4666666666667</v>
      </c>
      <c r="D452" s="116">
        <v>981.33333333333337</v>
      </c>
      <c r="E452" s="116">
        <v>989.86666666666667</v>
      </c>
      <c r="F452" s="116">
        <v>1482.7</v>
      </c>
      <c r="G452">
        <v>65424</v>
      </c>
      <c r="H452" s="116"/>
      <c r="I452" s="116"/>
      <c r="L452" s="170">
        <v>42669</v>
      </c>
      <c r="M452" s="116">
        <v>988.19999999999993</v>
      </c>
      <c r="N452" s="116">
        <v>992.66666666666663</v>
      </c>
      <c r="O452" s="116">
        <v>980.36666666666667</v>
      </c>
      <c r="P452" s="116">
        <v>986.4666666666667</v>
      </c>
      <c r="Q452" s="116">
        <v>1482.3</v>
      </c>
      <c r="R452">
        <v>578413</v>
      </c>
    </row>
    <row r="453" spans="1:18" x14ac:dyDescent="0.25">
      <c r="A453" s="170">
        <v>42670</v>
      </c>
      <c r="B453" s="116">
        <v>987.5</v>
      </c>
      <c r="C453" s="116">
        <v>982.26666666666677</v>
      </c>
      <c r="D453" s="116">
        <v>972.0333333333333</v>
      </c>
      <c r="E453" s="116">
        <v>981.33333333333337</v>
      </c>
      <c r="F453" s="116">
        <v>1473.4</v>
      </c>
      <c r="G453">
        <v>117574</v>
      </c>
      <c r="H453" s="116"/>
      <c r="I453" s="116"/>
      <c r="L453" s="170">
        <v>42670</v>
      </c>
      <c r="M453" s="116">
        <v>983.5333333333333</v>
      </c>
      <c r="N453" s="116">
        <v>988.6</v>
      </c>
      <c r="O453" s="116">
        <v>971.4</v>
      </c>
      <c r="P453" s="116">
        <v>986.5</v>
      </c>
      <c r="Q453" s="116">
        <v>1475.3</v>
      </c>
      <c r="R453">
        <v>1627119</v>
      </c>
    </row>
    <row r="454" spans="1:18" x14ac:dyDescent="0.25">
      <c r="A454" s="170">
        <v>42671</v>
      </c>
      <c r="B454" s="116">
        <v>988.66666666666663</v>
      </c>
      <c r="C454" s="116">
        <v>985.26666666666677</v>
      </c>
      <c r="D454" s="116">
        <v>975.36666666666667</v>
      </c>
      <c r="E454" s="116">
        <v>981.33333333333337</v>
      </c>
      <c r="F454" s="116">
        <v>1477.9</v>
      </c>
      <c r="G454">
        <v>105355</v>
      </c>
      <c r="H454" s="116"/>
      <c r="I454" s="116"/>
      <c r="L454" s="170">
        <v>42671</v>
      </c>
      <c r="M454" s="116">
        <v>987.13333333333333</v>
      </c>
      <c r="N454" s="116">
        <v>989.93333333333339</v>
      </c>
      <c r="O454" s="116">
        <v>975.33333333333337</v>
      </c>
      <c r="P454" s="116">
        <v>980.66666666666663</v>
      </c>
      <c r="Q454" s="116">
        <v>1480.7</v>
      </c>
      <c r="R454">
        <v>808654</v>
      </c>
    </row>
    <row r="455" spans="1:18" x14ac:dyDescent="0.25">
      <c r="A455" s="170">
        <v>42673</v>
      </c>
      <c r="B455" s="116">
        <v>990</v>
      </c>
      <c r="C455" s="116">
        <v>984.43333333333339</v>
      </c>
      <c r="D455" s="116">
        <v>981.33333333333337</v>
      </c>
      <c r="E455" s="116">
        <v>989.13333333333333</v>
      </c>
      <c r="F455" s="116">
        <v>1476.65</v>
      </c>
      <c r="G455">
        <v>18220</v>
      </c>
      <c r="H455" s="116"/>
      <c r="I455" s="116"/>
      <c r="L455" s="170">
        <v>42673</v>
      </c>
      <c r="M455" s="116">
        <v>983.5</v>
      </c>
      <c r="N455" s="116">
        <v>991.26666666666677</v>
      </c>
      <c r="O455" s="116">
        <v>980</v>
      </c>
      <c r="P455" s="116">
        <v>986.66666666666663</v>
      </c>
      <c r="Q455" s="116">
        <v>1475.25</v>
      </c>
      <c r="R455">
        <v>132919</v>
      </c>
    </row>
    <row r="456" spans="1:18" x14ac:dyDescent="0.25">
      <c r="A456" s="170">
        <v>42675</v>
      </c>
      <c r="B456" s="116">
        <v>986.76666666666677</v>
      </c>
      <c r="C456" s="116">
        <v>976.4</v>
      </c>
      <c r="D456" s="116">
        <v>975</v>
      </c>
      <c r="E456" s="116">
        <v>984.80000000000007</v>
      </c>
      <c r="F456" s="116">
        <v>1464.6</v>
      </c>
      <c r="G456">
        <v>64548</v>
      </c>
      <c r="H456" s="116"/>
      <c r="I456" s="116"/>
      <c r="L456" s="170">
        <v>42675</v>
      </c>
      <c r="M456" s="116">
        <v>975.43333333333339</v>
      </c>
      <c r="N456" s="116">
        <v>987.36666666666667</v>
      </c>
      <c r="O456" s="116">
        <v>973.33333333333337</v>
      </c>
      <c r="P456" s="116">
        <v>987.33333333333337</v>
      </c>
      <c r="Q456" s="116">
        <v>1463.15</v>
      </c>
      <c r="R456">
        <v>631439</v>
      </c>
    </row>
    <row r="457" spans="1:18" x14ac:dyDescent="0.25">
      <c r="A457" s="170">
        <v>42676</v>
      </c>
      <c r="B457" s="116">
        <v>971.33333333333337</v>
      </c>
      <c r="C457" s="116">
        <v>964.23333333333323</v>
      </c>
      <c r="D457" s="116">
        <v>958</v>
      </c>
      <c r="E457" s="116">
        <v>971.33333333333337</v>
      </c>
      <c r="F457" s="116">
        <v>1446.35</v>
      </c>
      <c r="G457">
        <v>114810</v>
      </c>
      <c r="H457" s="116"/>
      <c r="I457" s="116"/>
      <c r="L457" s="170">
        <v>42676</v>
      </c>
      <c r="M457" s="116">
        <v>965.76666666666677</v>
      </c>
      <c r="N457" s="116">
        <v>970</v>
      </c>
      <c r="O457" s="116">
        <v>957.66666666666663</v>
      </c>
      <c r="P457" s="116">
        <v>965.19999999999993</v>
      </c>
      <c r="Q457" s="116">
        <v>1448.65</v>
      </c>
      <c r="R457">
        <v>995629</v>
      </c>
    </row>
    <row r="458" spans="1:18" x14ac:dyDescent="0.25">
      <c r="A458" s="170">
        <v>42677</v>
      </c>
      <c r="B458" s="116">
        <v>977.19999999999993</v>
      </c>
      <c r="C458" s="116">
        <v>963.0333333333333</v>
      </c>
      <c r="D458" s="116">
        <v>960</v>
      </c>
      <c r="E458" s="116">
        <v>960</v>
      </c>
      <c r="F458" s="116">
        <v>1444.55</v>
      </c>
      <c r="G458">
        <v>83951</v>
      </c>
      <c r="H458" s="116"/>
      <c r="I458" s="116"/>
      <c r="L458" s="170">
        <v>42677</v>
      </c>
      <c r="M458" s="116">
        <v>962.80000000000007</v>
      </c>
      <c r="N458" s="116">
        <v>977.76666666666677</v>
      </c>
      <c r="O458" s="116">
        <v>961.33333333333337</v>
      </c>
      <c r="P458" s="116">
        <v>961.43333333333339</v>
      </c>
      <c r="Q458" s="116">
        <v>1444.2</v>
      </c>
      <c r="R458">
        <v>941295</v>
      </c>
    </row>
    <row r="459" spans="1:18" x14ac:dyDescent="0.25">
      <c r="A459" s="170">
        <v>42678</v>
      </c>
      <c r="B459" s="116">
        <v>956</v>
      </c>
      <c r="C459" s="116">
        <v>945.93333333333339</v>
      </c>
      <c r="D459" s="116">
        <v>931.33333333333337</v>
      </c>
      <c r="E459" s="116">
        <v>948</v>
      </c>
      <c r="F459" s="116">
        <v>1418.9</v>
      </c>
      <c r="G459">
        <v>7285485</v>
      </c>
      <c r="H459" s="116"/>
      <c r="I459" s="116"/>
      <c r="L459" s="170">
        <v>42678</v>
      </c>
      <c r="M459" s="116">
        <v>946.5333333333333</v>
      </c>
      <c r="N459" s="116">
        <v>956.26666666666677</v>
      </c>
      <c r="O459" s="116">
        <v>931.26666666666677</v>
      </c>
      <c r="P459" s="116">
        <v>951.26666666666677</v>
      </c>
      <c r="Q459" s="116">
        <v>1419.8</v>
      </c>
      <c r="R459">
        <v>12426004</v>
      </c>
    </row>
    <row r="460" spans="1:18" x14ac:dyDescent="0.25">
      <c r="A460" s="170">
        <v>42681</v>
      </c>
      <c r="B460" s="116">
        <v>954.63333333333333</v>
      </c>
      <c r="C460" s="116">
        <v>933.23333333333323</v>
      </c>
      <c r="D460" s="116">
        <v>929.19999999999993</v>
      </c>
      <c r="E460" s="116">
        <v>953.33333333333337</v>
      </c>
      <c r="F460" s="116">
        <v>1399.85</v>
      </c>
      <c r="G460">
        <v>327270</v>
      </c>
      <c r="H460" s="116"/>
      <c r="I460" s="116"/>
      <c r="L460" s="170">
        <v>42681</v>
      </c>
      <c r="M460" s="116">
        <v>932</v>
      </c>
      <c r="N460" s="116">
        <v>954.4666666666667</v>
      </c>
      <c r="O460" s="116">
        <v>928.23333333333323</v>
      </c>
      <c r="P460" s="116">
        <v>950</v>
      </c>
      <c r="Q460" s="116">
        <v>1398</v>
      </c>
      <c r="R460">
        <v>1439102</v>
      </c>
    </row>
    <row r="461" spans="1:18" x14ac:dyDescent="0.25">
      <c r="A461" s="170">
        <v>42682</v>
      </c>
      <c r="B461" s="116">
        <v>936</v>
      </c>
      <c r="C461" s="116">
        <v>930.83333333333337</v>
      </c>
      <c r="D461" s="116">
        <v>923.06666666666661</v>
      </c>
      <c r="E461" s="116">
        <v>934.36666666666667</v>
      </c>
      <c r="F461" s="116">
        <v>1396.25</v>
      </c>
      <c r="G461">
        <v>171619</v>
      </c>
      <c r="H461" s="116"/>
      <c r="I461" s="116"/>
      <c r="L461" s="170">
        <v>42682</v>
      </c>
      <c r="M461" s="116">
        <v>931.4666666666667</v>
      </c>
      <c r="N461" s="116">
        <v>937.33333333333337</v>
      </c>
      <c r="O461" s="116">
        <v>922.66666666666663</v>
      </c>
      <c r="P461" s="116">
        <v>937</v>
      </c>
      <c r="Q461" s="116">
        <v>1397.2</v>
      </c>
      <c r="R461">
        <v>1254484</v>
      </c>
    </row>
    <row r="462" spans="1:18" x14ac:dyDescent="0.25">
      <c r="A462" s="170">
        <v>42683</v>
      </c>
      <c r="B462" s="116">
        <v>938.93333333333339</v>
      </c>
      <c r="C462" s="116">
        <v>927.06666666666661</v>
      </c>
      <c r="D462" s="116">
        <v>863.5333333333333</v>
      </c>
      <c r="E462" s="116">
        <v>899.26666666666677</v>
      </c>
      <c r="F462" s="116">
        <v>1390.6</v>
      </c>
      <c r="G462">
        <v>310039</v>
      </c>
      <c r="H462" s="116"/>
      <c r="I462" s="116"/>
      <c r="L462" s="170">
        <v>42683</v>
      </c>
      <c r="M462" s="116">
        <v>926.9666666666667</v>
      </c>
      <c r="N462" s="116">
        <v>939.4</v>
      </c>
      <c r="O462" s="116">
        <v>863.4</v>
      </c>
      <c r="P462" s="116">
        <v>880</v>
      </c>
      <c r="Q462" s="116">
        <v>1390.45</v>
      </c>
      <c r="R462">
        <v>3171599</v>
      </c>
    </row>
    <row r="463" spans="1:18" x14ac:dyDescent="0.25">
      <c r="A463" s="170">
        <v>42684</v>
      </c>
      <c r="B463" s="116">
        <v>951.4666666666667</v>
      </c>
      <c r="C463" s="116">
        <v>942.43333333333339</v>
      </c>
      <c r="D463" s="116">
        <v>933.33333333333337</v>
      </c>
      <c r="E463" s="116">
        <v>933.33333333333337</v>
      </c>
      <c r="F463" s="116">
        <v>1413.65</v>
      </c>
      <c r="G463">
        <v>120650</v>
      </c>
      <c r="H463" s="116"/>
      <c r="I463" s="116"/>
      <c r="L463" s="170">
        <v>42684</v>
      </c>
      <c r="M463" s="116">
        <v>941.4</v>
      </c>
      <c r="N463" s="116">
        <v>951.33333333333337</v>
      </c>
      <c r="O463" s="116">
        <v>933.69999999999993</v>
      </c>
      <c r="P463" s="116">
        <v>933.69999999999993</v>
      </c>
      <c r="Q463" s="116">
        <v>1412.1</v>
      </c>
      <c r="R463">
        <v>1844288</v>
      </c>
    </row>
    <row r="464" spans="1:18" x14ac:dyDescent="0.25">
      <c r="A464" s="170">
        <v>42685</v>
      </c>
      <c r="B464" s="116">
        <v>939</v>
      </c>
      <c r="C464" s="116">
        <v>926.5</v>
      </c>
      <c r="D464" s="116">
        <v>924.1</v>
      </c>
      <c r="E464" s="116">
        <v>936.66666666666663</v>
      </c>
      <c r="F464" s="116">
        <v>1389.75</v>
      </c>
      <c r="G464">
        <v>69198</v>
      </c>
      <c r="H464" s="116"/>
      <c r="I464" s="116"/>
      <c r="L464" s="170">
        <v>42685</v>
      </c>
      <c r="M464" s="116">
        <v>925.86666666666667</v>
      </c>
      <c r="N464" s="116">
        <v>939.33333333333337</v>
      </c>
      <c r="O464" s="116">
        <v>924</v>
      </c>
      <c r="P464" s="116">
        <v>931.26666666666677</v>
      </c>
      <c r="Q464" s="116">
        <v>1388.8</v>
      </c>
      <c r="R464">
        <v>1678857</v>
      </c>
    </row>
    <row r="465" spans="1:18" x14ac:dyDescent="0.25">
      <c r="A465" s="170">
        <v>42689</v>
      </c>
      <c r="B465" s="116">
        <v>937</v>
      </c>
      <c r="C465" s="116">
        <v>913.23333333333323</v>
      </c>
      <c r="D465" s="116">
        <v>909.0333333333333</v>
      </c>
      <c r="E465" s="116">
        <v>923.33333333333337</v>
      </c>
      <c r="F465" s="116">
        <v>1369.85</v>
      </c>
      <c r="G465">
        <v>136741</v>
      </c>
      <c r="H465" s="116"/>
      <c r="I465" s="116"/>
      <c r="L465" s="170">
        <v>42689</v>
      </c>
      <c r="M465" s="116">
        <v>913.5333333333333</v>
      </c>
      <c r="N465" s="116">
        <v>938.33333333333337</v>
      </c>
      <c r="O465" s="116">
        <v>908.83333333333337</v>
      </c>
      <c r="P465" s="116">
        <v>919.33333333333337</v>
      </c>
      <c r="Q465" s="116">
        <v>1370.3</v>
      </c>
      <c r="R465">
        <v>2638702</v>
      </c>
    </row>
    <row r="466" spans="1:18" x14ac:dyDescent="0.25">
      <c r="A466" s="170">
        <v>42690</v>
      </c>
      <c r="B466" s="116">
        <v>926</v>
      </c>
      <c r="C466" s="116">
        <v>914.73333333333323</v>
      </c>
      <c r="D466" s="116">
        <v>901.33333333333337</v>
      </c>
      <c r="E466" s="116">
        <v>920</v>
      </c>
      <c r="F466" s="116">
        <v>1372.1</v>
      </c>
      <c r="G466">
        <v>96853</v>
      </c>
      <c r="H466" s="116"/>
      <c r="I466" s="116"/>
      <c r="L466" s="170">
        <v>42690</v>
      </c>
      <c r="M466" s="116">
        <v>917.0333333333333</v>
      </c>
      <c r="N466" s="116">
        <v>925.5333333333333</v>
      </c>
      <c r="O466" s="116">
        <v>900.66666666666663</v>
      </c>
      <c r="P466" s="116">
        <v>924.86666666666667</v>
      </c>
      <c r="Q466" s="116">
        <v>1375.55</v>
      </c>
      <c r="R466">
        <v>2199807</v>
      </c>
    </row>
    <row r="467" spans="1:18" x14ac:dyDescent="0.25">
      <c r="A467" s="170">
        <v>42691</v>
      </c>
      <c r="B467" s="116">
        <v>922.66666666666663</v>
      </c>
      <c r="C467" s="116">
        <v>913.9666666666667</v>
      </c>
      <c r="D467" s="116">
        <v>906.66666666666663</v>
      </c>
      <c r="E467" s="116">
        <v>916.66666666666663</v>
      </c>
      <c r="F467" s="116">
        <v>1370.95</v>
      </c>
      <c r="G467">
        <v>72206</v>
      </c>
      <c r="H467" s="116"/>
      <c r="I467" s="116"/>
      <c r="L467" s="170">
        <v>42691</v>
      </c>
      <c r="M467" s="116">
        <v>914</v>
      </c>
      <c r="N467" s="116">
        <v>922.66666666666663</v>
      </c>
      <c r="O467" s="116">
        <v>906.66666666666663</v>
      </c>
      <c r="P467" s="116">
        <v>918.80000000000007</v>
      </c>
      <c r="Q467" s="116">
        <v>1371</v>
      </c>
      <c r="R467">
        <v>918428</v>
      </c>
    </row>
    <row r="468" spans="1:18" x14ac:dyDescent="0.25">
      <c r="A468" s="170">
        <v>42692</v>
      </c>
      <c r="B468" s="116">
        <v>921.30000000000007</v>
      </c>
      <c r="C468" s="116">
        <v>912.6</v>
      </c>
      <c r="D468" s="116">
        <v>908</v>
      </c>
      <c r="E468" s="116">
        <v>916.66666666666663</v>
      </c>
      <c r="F468" s="116">
        <v>1368.9</v>
      </c>
      <c r="G468">
        <v>70713</v>
      </c>
      <c r="H468" s="116"/>
      <c r="I468" s="116"/>
      <c r="L468" s="170">
        <v>42692</v>
      </c>
      <c r="M468" s="116">
        <v>913.63333333333333</v>
      </c>
      <c r="N468" s="116">
        <v>921.56666666666661</v>
      </c>
      <c r="O468" s="116">
        <v>907.33333333333337</v>
      </c>
      <c r="P468" s="116">
        <v>914.66666666666663</v>
      </c>
      <c r="Q468" s="116">
        <v>1370.45</v>
      </c>
      <c r="R468">
        <v>1103298</v>
      </c>
    </row>
    <row r="469" spans="1:18" x14ac:dyDescent="0.25">
      <c r="A469" s="170">
        <v>42695</v>
      </c>
      <c r="B469" s="116">
        <v>916.66666666666663</v>
      </c>
      <c r="C469" s="116">
        <v>898.83333333333337</v>
      </c>
      <c r="D469" s="116">
        <v>893</v>
      </c>
      <c r="E469" s="116">
        <v>916.66666666666663</v>
      </c>
      <c r="F469" s="116">
        <v>1348.25</v>
      </c>
      <c r="G469">
        <v>73421</v>
      </c>
      <c r="H469" s="116"/>
      <c r="I469" s="116"/>
      <c r="L469" s="170">
        <v>42695</v>
      </c>
      <c r="M469" s="116">
        <v>898.6</v>
      </c>
      <c r="N469" s="116">
        <v>919.13333333333333</v>
      </c>
      <c r="O469" s="116">
        <v>893.33333333333337</v>
      </c>
      <c r="P469" s="116">
        <v>919.13333333333333</v>
      </c>
      <c r="Q469" s="116">
        <v>1347.9</v>
      </c>
      <c r="R469">
        <v>1308560</v>
      </c>
    </row>
    <row r="470" spans="1:18" x14ac:dyDescent="0.25">
      <c r="A470" s="170">
        <v>42696</v>
      </c>
      <c r="B470" s="116">
        <v>906.66666666666663</v>
      </c>
      <c r="C470" s="116">
        <v>886.13333333333333</v>
      </c>
      <c r="D470" s="116">
        <v>871.06666666666661</v>
      </c>
      <c r="E470" s="116">
        <v>904.16666666666663</v>
      </c>
      <c r="F470" s="116">
        <v>1329.2</v>
      </c>
      <c r="G470">
        <v>216670</v>
      </c>
      <c r="H470" s="116"/>
      <c r="I470" s="116"/>
      <c r="L470" s="170">
        <v>42696</v>
      </c>
      <c r="M470" s="116">
        <v>886.36666666666667</v>
      </c>
      <c r="N470" s="116">
        <v>906.66666666666663</v>
      </c>
      <c r="O470" s="116">
        <v>869.66666666666663</v>
      </c>
      <c r="P470" s="116">
        <v>905.5</v>
      </c>
      <c r="Q470" s="116">
        <v>1329.55</v>
      </c>
      <c r="R470">
        <v>2056580</v>
      </c>
    </row>
    <row r="471" spans="1:18" x14ac:dyDescent="0.25">
      <c r="A471" s="170">
        <v>42697</v>
      </c>
      <c r="B471" s="116">
        <v>923.0333333333333</v>
      </c>
      <c r="C471" s="116">
        <v>905.23333333333323</v>
      </c>
      <c r="D471" s="116">
        <v>900.06666666666661</v>
      </c>
      <c r="E471" s="116">
        <v>906.6</v>
      </c>
      <c r="F471" s="116">
        <v>1357.85</v>
      </c>
      <c r="G471">
        <v>281762</v>
      </c>
      <c r="H471" s="116"/>
      <c r="I471" s="116"/>
      <c r="L471" s="170">
        <v>42697</v>
      </c>
      <c r="M471" s="116">
        <v>904.83333333333337</v>
      </c>
      <c r="N471" s="116">
        <v>923.33333333333337</v>
      </c>
      <c r="O471" s="116">
        <v>898.66666666666663</v>
      </c>
      <c r="P471" s="116">
        <v>904.66666666666663</v>
      </c>
      <c r="Q471" s="116">
        <v>1357.25</v>
      </c>
      <c r="R471">
        <v>4995426</v>
      </c>
    </row>
    <row r="472" spans="1:18" x14ac:dyDescent="0.25">
      <c r="A472" s="170">
        <v>42698</v>
      </c>
      <c r="B472" s="116">
        <v>910</v>
      </c>
      <c r="C472" s="116">
        <v>901.69999999999993</v>
      </c>
      <c r="D472" s="116">
        <v>894</v>
      </c>
      <c r="E472" s="116">
        <v>904</v>
      </c>
      <c r="F472" s="116">
        <v>1352.55</v>
      </c>
      <c r="G472">
        <v>110111</v>
      </c>
      <c r="H472" s="116"/>
      <c r="I472" s="116"/>
      <c r="L472" s="170">
        <v>42698</v>
      </c>
      <c r="M472" s="116">
        <v>899.76666666666677</v>
      </c>
      <c r="N472" s="116">
        <v>910.6</v>
      </c>
      <c r="O472" s="116">
        <v>893.33333333333337</v>
      </c>
      <c r="P472" s="116">
        <v>902.6</v>
      </c>
      <c r="Q472" s="116">
        <v>1349.65</v>
      </c>
      <c r="R472">
        <v>2876913</v>
      </c>
    </row>
    <row r="473" spans="1:18" x14ac:dyDescent="0.25">
      <c r="A473" s="170">
        <v>42699</v>
      </c>
      <c r="B473" s="116">
        <v>916.6</v>
      </c>
      <c r="C473" s="116">
        <v>913.13333333333333</v>
      </c>
      <c r="D473" s="116">
        <v>891.33333333333337</v>
      </c>
      <c r="E473" s="116">
        <v>901.76666666666677</v>
      </c>
      <c r="F473" s="116">
        <v>1369.7</v>
      </c>
      <c r="G473">
        <v>189660</v>
      </c>
      <c r="H473" s="116"/>
      <c r="I473" s="116"/>
      <c r="L473" s="170">
        <v>42699</v>
      </c>
      <c r="M473" s="116">
        <v>913.80000000000007</v>
      </c>
      <c r="N473" s="116">
        <v>916.80000000000007</v>
      </c>
      <c r="O473" s="116">
        <v>890.93333333333339</v>
      </c>
      <c r="P473" s="116">
        <v>905.19999999999993</v>
      </c>
      <c r="Q473" s="116">
        <v>1370.7</v>
      </c>
      <c r="R473">
        <v>2043883</v>
      </c>
    </row>
    <row r="474" spans="1:18" x14ac:dyDescent="0.25">
      <c r="A474" s="170">
        <v>42702</v>
      </c>
      <c r="B474" s="116">
        <v>914.6</v>
      </c>
      <c r="C474" s="116">
        <v>904.1</v>
      </c>
      <c r="D474" s="116">
        <v>900.16666666666663</v>
      </c>
      <c r="E474" s="116">
        <v>914</v>
      </c>
      <c r="F474" s="116">
        <v>1356.15</v>
      </c>
      <c r="G474">
        <v>102718</v>
      </c>
      <c r="H474" s="116"/>
      <c r="I474" s="116"/>
      <c r="L474" s="170">
        <v>42702</v>
      </c>
      <c r="M474" s="116">
        <v>904.63333333333333</v>
      </c>
      <c r="N474" s="116">
        <v>914.80000000000007</v>
      </c>
      <c r="O474" s="116">
        <v>900</v>
      </c>
      <c r="P474" s="116">
        <v>913.63333333333333</v>
      </c>
      <c r="Q474" s="116">
        <v>1356.95</v>
      </c>
      <c r="R474">
        <v>1185212</v>
      </c>
    </row>
    <row r="475" spans="1:18" x14ac:dyDescent="0.25">
      <c r="A475" s="170">
        <v>42703</v>
      </c>
      <c r="B475" s="116">
        <v>913</v>
      </c>
      <c r="C475" s="116">
        <v>903.0333333333333</v>
      </c>
      <c r="D475" s="116">
        <v>900.26666666666677</v>
      </c>
      <c r="E475" s="116">
        <v>906.66666666666663</v>
      </c>
      <c r="F475" s="116">
        <v>1354.55</v>
      </c>
      <c r="G475">
        <v>66851</v>
      </c>
      <c r="H475" s="116"/>
      <c r="I475" s="116"/>
      <c r="L475" s="170">
        <v>42703</v>
      </c>
      <c r="M475" s="116">
        <v>901.63333333333333</v>
      </c>
      <c r="N475" s="116">
        <v>913.13333333333333</v>
      </c>
      <c r="O475" s="116">
        <v>899.36666666666667</v>
      </c>
      <c r="P475" s="116">
        <v>904.66666666666663</v>
      </c>
      <c r="Q475" s="116">
        <v>1352.45</v>
      </c>
      <c r="R475">
        <v>1160885</v>
      </c>
    </row>
    <row r="476" spans="1:18" x14ac:dyDescent="0.25">
      <c r="A476" s="170">
        <v>42704</v>
      </c>
      <c r="B476" s="116">
        <v>926.80000000000007</v>
      </c>
      <c r="C476" s="116">
        <v>921.69999999999993</v>
      </c>
      <c r="D476" s="116">
        <v>900.80000000000007</v>
      </c>
      <c r="E476" s="116">
        <v>904.80000000000007</v>
      </c>
      <c r="F476" s="116">
        <v>1382.55</v>
      </c>
      <c r="G476">
        <v>142589</v>
      </c>
      <c r="H476" s="116"/>
      <c r="I476" s="116"/>
      <c r="L476" s="170">
        <v>42704</v>
      </c>
      <c r="M476" s="116">
        <v>921.83333333333337</v>
      </c>
      <c r="N476" s="116">
        <v>927.5</v>
      </c>
      <c r="O476" s="116">
        <v>900</v>
      </c>
      <c r="P476" s="116">
        <v>910</v>
      </c>
      <c r="Q476" s="116">
        <v>1382.75</v>
      </c>
      <c r="R476">
        <v>2890421</v>
      </c>
    </row>
    <row r="477" spans="1:18" x14ac:dyDescent="0.25">
      <c r="A477" s="170">
        <v>42705</v>
      </c>
      <c r="B477" s="116">
        <v>934</v>
      </c>
      <c r="C477" s="116">
        <v>923.6</v>
      </c>
      <c r="D477" s="116">
        <v>916</v>
      </c>
      <c r="E477" s="116">
        <v>925.30000000000007</v>
      </c>
      <c r="F477" s="116">
        <v>1385.4</v>
      </c>
      <c r="G477">
        <v>130925</v>
      </c>
      <c r="H477" s="116"/>
      <c r="I477" s="116"/>
      <c r="L477" s="170">
        <v>42705</v>
      </c>
      <c r="M477" s="116">
        <v>925.56666666666661</v>
      </c>
      <c r="N477" s="116">
        <v>935</v>
      </c>
      <c r="O477" s="116">
        <v>915.19999999999993</v>
      </c>
      <c r="P477" s="116">
        <v>924.26666666666677</v>
      </c>
      <c r="Q477" s="116">
        <v>1388.35</v>
      </c>
      <c r="R477">
        <v>1434665</v>
      </c>
    </row>
    <row r="478" spans="1:18" x14ac:dyDescent="0.25">
      <c r="A478" s="170">
        <v>42706</v>
      </c>
      <c r="B478" s="116">
        <v>919.86666666666667</v>
      </c>
      <c r="C478" s="116">
        <v>906.83333333333337</v>
      </c>
      <c r="D478" s="116">
        <v>903.4666666666667</v>
      </c>
      <c r="E478" s="116">
        <v>919.86666666666667</v>
      </c>
      <c r="F478" s="116">
        <v>1360.25</v>
      </c>
      <c r="G478">
        <v>101443</v>
      </c>
      <c r="H478" s="116"/>
      <c r="I478" s="116"/>
      <c r="L478" s="170">
        <v>42706</v>
      </c>
      <c r="M478" s="116">
        <v>907.9</v>
      </c>
      <c r="N478" s="116">
        <v>919.73333333333323</v>
      </c>
      <c r="O478" s="116">
        <v>906</v>
      </c>
      <c r="P478" s="116">
        <v>918.66666666666663</v>
      </c>
      <c r="Q478" s="116">
        <v>1361.85</v>
      </c>
      <c r="R478">
        <v>811885</v>
      </c>
    </row>
    <row r="479" spans="1:18" x14ac:dyDescent="0.25">
      <c r="A479" s="170">
        <v>42709</v>
      </c>
      <c r="B479" s="116">
        <v>909.66666666666663</v>
      </c>
      <c r="C479" s="116">
        <v>905.4</v>
      </c>
      <c r="D479" s="116">
        <v>900.33333333333337</v>
      </c>
      <c r="E479" s="116">
        <v>906.66666666666663</v>
      </c>
      <c r="F479" s="116">
        <v>1358.1</v>
      </c>
      <c r="G479">
        <v>61445</v>
      </c>
      <c r="H479" s="116"/>
      <c r="I479" s="116"/>
      <c r="L479" s="170">
        <v>42709</v>
      </c>
      <c r="M479" s="116">
        <v>904.1</v>
      </c>
      <c r="N479" s="116">
        <v>909.86666666666667</v>
      </c>
      <c r="O479" s="116">
        <v>899.4</v>
      </c>
      <c r="P479" s="116">
        <v>906.80000000000007</v>
      </c>
      <c r="Q479" s="116">
        <v>1356.15</v>
      </c>
      <c r="R479">
        <v>708548</v>
      </c>
    </row>
    <row r="480" spans="1:18" x14ac:dyDescent="0.25">
      <c r="A480" s="170">
        <v>42710</v>
      </c>
      <c r="B480" s="116">
        <v>916.33333333333337</v>
      </c>
      <c r="C480" s="116">
        <v>908.23333333333323</v>
      </c>
      <c r="D480" s="116">
        <v>905.66666666666663</v>
      </c>
      <c r="E480" s="116">
        <v>907.33333333333337</v>
      </c>
      <c r="F480" s="116">
        <v>1362.35</v>
      </c>
      <c r="G480">
        <v>61002</v>
      </c>
      <c r="H480" s="116"/>
      <c r="I480" s="116"/>
      <c r="L480" s="170">
        <v>42710</v>
      </c>
      <c r="M480" s="116">
        <v>908.1</v>
      </c>
      <c r="N480" s="116">
        <v>916</v>
      </c>
      <c r="O480" s="116">
        <v>905.19999999999993</v>
      </c>
      <c r="P480" s="116">
        <v>905.43333333333339</v>
      </c>
      <c r="Q480" s="116">
        <v>1362.15</v>
      </c>
      <c r="R480">
        <v>1181273</v>
      </c>
    </row>
    <row r="481" spans="1:18" x14ac:dyDescent="0.25">
      <c r="A481" s="170">
        <v>42711</v>
      </c>
      <c r="B481" s="116">
        <v>916.33333333333337</v>
      </c>
      <c r="C481" s="116">
        <v>902.30000000000007</v>
      </c>
      <c r="D481" s="116">
        <v>900</v>
      </c>
      <c r="E481" s="116">
        <v>908.23333333333323</v>
      </c>
      <c r="F481" s="116">
        <v>1353.45</v>
      </c>
      <c r="G481">
        <v>68175</v>
      </c>
      <c r="H481" s="116"/>
      <c r="I481" s="116"/>
      <c r="L481" s="170">
        <v>42711</v>
      </c>
      <c r="M481" s="116">
        <v>902.5333333333333</v>
      </c>
      <c r="N481" s="116">
        <v>916.73333333333323</v>
      </c>
      <c r="O481" s="116">
        <v>900</v>
      </c>
      <c r="P481" s="116">
        <v>912</v>
      </c>
      <c r="Q481" s="116">
        <v>1353.8</v>
      </c>
      <c r="R481">
        <v>1038510</v>
      </c>
    </row>
    <row r="482" spans="1:18" x14ac:dyDescent="0.25">
      <c r="A482" s="170">
        <v>42712</v>
      </c>
      <c r="B482" s="116">
        <v>916.66666666666663</v>
      </c>
      <c r="C482" s="116">
        <v>911.26666666666677</v>
      </c>
      <c r="D482" s="116">
        <v>906.69999999999993</v>
      </c>
      <c r="E482" s="116">
        <v>906.69999999999993</v>
      </c>
      <c r="F482" s="116">
        <v>1366.9</v>
      </c>
      <c r="G482">
        <v>66294</v>
      </c>
      <c r="H482" s="116"/>
      <c r="I482" s="116"/>
      <c r="L482" s="170">
        <v>42712</v>
      </c>
      <c r="M482" s="116">
        <v>911.30000000000007</v>
      </c>
      <c r="N482" s="116">
        <v>917.16666666666663</v>
      </c>
      <c r="O482" s="116">
        <v>907.86666666666667</v>
      </c>
      <c r="P482" s="116">
        <v>910.1</v>
      </c>
      <c r="Q482" s="116">
        <v>1366.95</v>
      </c>
      <c r="R482">
        <v>925895</v>
      </c>
    </row>
    <row r="483" spans="1:18" x14ac:dyDescent="0.25">
      <c r="A483" s="170">
        <v>42713</v>
      </c>
      <c r="B483" s="116">
        <v>916</v>
      </c>
      <c r="C483" s="116">
        <v>907.63333333333333</v>
      </c>
      <c r="D483" s="116">
        <v>905.33333333333337</v>
      </c>
      <c r="E483" s="116">
        <v>916</v>
      </c>
      <c r="F483" s="116">
        <v>1361.45</v>
      </c>
      <c r="G483">
        <v>54043</v>
      </c>
      <c r="H483" s="116"/>
      <c r="I483" s="116"/>
      <c r="L483" s="170">
        <v>42713</v>
      </c>
      <c r="M483" s="116">
        <v>908.13333333333333</v>
      </c>
      <c r="N483" s="116">
        <v>915.5333333333333</v>
      </c>
      <c r="O483" s="116">
        <v>904.66666666666663</v>
      </c>
      <c r="P483" s="116">
        <v>915.26666666666677</v>
      </c>
      <c r="Q483" s="116">
        <v>1362.2</v>
      </c>
      <c r="R483">
        <v>807503</v>
      </c>
    </row>
    <row r="484" spans="1:18" x14ac:dyDescent="0.25">
      <c r="A484" s="170">
        <v>42716</v>
      </c>
      <c r="B484" s="116">
        <v>916.69999999999993</v>
      </c>
      <c r="C484" s="116">
        <v>910</v>
      </c>
      <c r="D484" s="116">
        <v>904.0333333333333</v>
      </c>
      <c r="E484" s="116">
        <v>907.66666666666663</v>
      </c>
      <c r="F484" s="116">
        <v>1365</v>
      </c>
      <c r="G484">
        <v>74083</v>
      </c>
      <c r="H484" s="116"/>
      <c r="I484" s="116"/>
      <c r="L484" s="170">
        <v>42716</v>
      </c>
      <c r="M484" s="116">
        <v>909.9666666666667</v>
      </c>
      <c r="N484" s="116">
        <v>916.6</v>
      </c>
      <c r="O484" s="116">
        <v>904.06666666666661</v>
      </c>
      <c r="P484" s="116">
        <v>906.66666666666663</v>
      </c>
      <c r="Q484" s="116">
        <v>1364.95</v>
      </c>
      <c r="R484">
        <v>1090853</v>
      </c>
    </row>
    <row r="485" spans="1:18" x14ac:dyDescent="0.25">
      <c r="A485" s="170">
        <v>42717</v>
      </c>
      <c r="B485" s="116">
        <v>919.93333333333339</v>
      </c>
      <c r="C485" s="116">
        <v>916.93333333333339</v>
      </c>
      <c r="D485" s="116">
        <v>910.4666666666667</v>
      </c>
      <c r="E485" s="116">
        <v>916</v>
      </c>
      <c r="F485" s="116">
        <v>1375.4</v>
      </c>
      <c r="G485">
        <v>63278</v>
      </c>
      <c r="H485" s="116"/>
      <c r="I485" s="116"/>
      <c r="L485" s="170">
        <v>42717</v>
      </c>
      <c r="M485" s="116">
        <v>917.13333333333333</v>
      </c>
      <c r="N485" s="116">
        <v>919.26666666666677</v>
      </c>
      <c r="O485" s="116">
        <v>910.13333333333333</v>
      </c>
      <c r="P485" s="116">
        <v>910.66666666666663</v>
      </c>
      <c r="Q485" s="116">
        <v>1375.7</v>
      </c>
      <c r="R485">
        <v>1445417</v>
      </c>
    </row>
    <row r="486" spans="1:18" x14ac:dyDescent="0.25">
      <c r="A486" s="170">
        <v>42718</v>
      </c>
      <c r="B486" s="116">
        <v>919.33333333333337</v>
      </c>
      <c r="C486" s="116">
        <v>906.86666666666667</v>
      </c>
      <c r="D486" s="116">
        <v>905.30000000000007</v>
      </c>
      <c r="E486" s="116">
        <v>914.0333333333333</v>
      </c>
      <c r="F486" s="116">
        <v>1360.3</v>
      </c>
      <c r="G486">
        <v>75256</v>
      </c>
      <c r="H486" s="116"/>
      <c r="I486" s="116"/>
      <c r="L486" s="170">
        <v>42718</v>
      </c>
      <c r="M486" s="116">
        <v>906.63333333333333</v>
      </c>
      <c r="N486" s="116">
        <v>921.26666666666677</v>
      </c>
      <c r="O486" s="116">
        <v>904.73333333333323</v>
      </c>
      <c r="P486" s="116">
        <v>921.26666666666677</v>
      </c>
      <c r="Q486" s="116">
        <v>1359.95</v>
      </c>
      <c r="R486">
        <v>907292</v>
      </c>
    </row>
    <row r="487" spans="1:18" x14ac:dyDescent="0.25">
      <c r="A487" s="170">
        <v>42719</v>
      </c>
      <c r="B487" s="116">
        <v>911.16666666666663</v>
      </c>
      <c r="C487" s="116">
        <v>905.5</v>
      </c>
      <c r="D487" s="116">
        <v>899.4</v>
      </c>
      <c r="E487" s="116">
        <v>903.19999999999993</v>
      </c>
      <c r="F487" s="116">
        <v>1358.25</v>
      </c>
      <c r="G487">
        <v>75459</v>
      </c>
      <c r="H487" s="116"/>
      <c r="I487" s="116"/>
      <c r="L487" s="170">
        <v>42719</v>
      </c>
      <c r="M487" s="116">
        <v>904.56666666666661</v>
      </c>
      <c r="N487" s="116">
        <v>911.4</v>
      </c>
      <c r="O487" s="116">
        <v>899.33333333333337</v>
      </c>
      <c r="P487" s="116">
        <v>899.83333333333337</v>
      </c>
      <c r="Q487" s="116">
        <v>1356.85</v>
      </c>
      <c r="R487">
        <v>600349</v>
      </c>
    </row>
    <row r="488" spans="1:18" x14ac:dyDescent="0.25">
      <c r="A488" s="170">
        <v>42720</v>
      </c>
      <c r="B488" s="116">
        <v>908.9666666666667</v>
      </c>
      <c r="C488" s="116">
        <v>905.93333333333339</v>
      </c>
      <c r="D488" s="116">
        <v>902</v>
      </c>
      <c r="E488" s="116">
        <v>905.5333333333333</v>
      </c>
      <c r="F488" s="116">
        <v>1358.9</v>
      </c>
      <c r="G488">
        <v>63637</v>
      </c>
      <c r="H488" s="116"/>
      <c r="I488" s="116"/>
      <c r="L488" s="170">
        <v>42720</v>
      </c>
      <c r="M488" s="116">
        <v>907.06666666666661</v>
      </c>
      <c r="N488" s="116">
        <v>909.66666666666663</v>
      </c>
      <c r="O488" s="116">
        <v>901.36666666666667</v>
      </c>
      <c r="P488" s="116">
        <v>904.19999999999993</v>
      </c>
      <c r="Q488" s="116">
        <v>1360.6</v>
      </c>
      <c r="R488">
        <v>1051617</v>
      </c>
    </row>
    <row r="489" spans="1:18" x14ac:dyDescent="0.25">
      <c r="A489" s="170">
        <v>42723</v>
      </c>
      <c r="B489" s="116">
        <v>906.66666666666663</v>
      </c>
      <c r="C489" s="116">
        <v>896.73333333333323</v>
      </c>
      <c r="D489" s="116">
        <v>894.06666666666661</v>
      </c>
      <c r="E489" s="116">
        <v>906.66666666666663</v>
      </c>
      <c r="F489" s="116">
        <v>1345.1</v>
      </c>
      <c r="G489">
        <v>66559</v>
      </c>
      <c r="H489" s="116"/>
      <c r="I489" s="116"/>
      <c r="L489" s="170">
        <v>42723</v>
      </c>
      <c r="M489" s="116">
        <v>896.63333333333333</v>
      </c>
      <c r="N489" s="116">
        <v>906</v>
      </c>
      <c r="O489" s="116">
        <v>894.36666666666667</v>
      </c>
      <c r="P489" s="116">
        <v>905</v>
      </c>
      <c r="Q489" s="116">
        <v>1344.95</v>
      </c>
      <c r="R489">
        <v>765446</v>
      </c>
    </row>
    <row r="490" spans="1:18" x14ac:dyDescent="0.25">
      <c r="A490" s="170">
        <v>42724</v>
      </c>
      <c r="B490" s="116">
        <v>906.5333333333333</v>
      </c>
      <c r="C490" s="116">
        <v>902.0333333333333</v>
      </c>
      <c r="D490" s="116">
        <v>894.16666666666663</v>
      </c>
      <c r="E490" s="116">
        <v>896.66666666666663</v>
      </c>
      <c r="F490" s="116">
        <v>1353.05</v>
      </c>
      <c r="G490">
        <v>64840</v>
      </c>
      <c r="H490" s="116"/>
      <c r="I490" s="116"/>
      <c r="L490" s="170">
        <v>42724</v>
      </c>
      <c r="M490" s="116">
        <v>903.66666666666663</v>
      </c>
      <c r="N490" s="116">
        <v>907.4666666666667</v>
      </c>
      <c r="O490" s="116">
        <v>896.1</v>
      </c>
      <c r="P490" s="116">
        <v>896.66666666666663</v>
      </c>
      <c r="Q490" s="116">
        <v>1355.5</v>
      </c>
      <c r="R490">
        <v>785186</v>
      </c>
    </row>
    <row r="491" spans="1:18" x14ac:dyDescent="0.25">
      <c r="A491" s="170">
        <v>42725</v>
      </c>
      <c r="B491" s="116">
        <v>907</v>
      </c>
      <c r="C491" s="116">
        <v>894.9</v>
      </c>
      <c r="D491" s="116">
        <v>893.33333333333337</v>
      </c>
      <c r="E491" s="116">
        <v>903.33333333333337</v>
      </c>
      <c r="F491" s="116">
        <v>1342.35</v>
      </c>
      <c r="G491">
        <v>55457</v>
      </c>
      <c r="H491" s="116"/>
      <c r="I491" s="116"/>
      <c r="L491" s="170">
        <v>42725</v>
      </c>
      <c r="M491" s="116">
        <v>894.66666666666663</v>
      </c>
      <c r="N491" s="116">
        <v>907.0333333333333</v>
      </c>
      <c r="O491" s="116">
        <v>893.33333333333337</v>
      </c>
      <c r="P491" s="116">
        <v>905.4666666666667</v>
      </c>
      <c r="Q491" s="116">
        <v>1342</v>
      </c>
      <c r="R491">
        <v>633483</v>
      </c>
    </row>
    <row r="492" spans="1:18" x14ac:dyDescent="0.25">
      <c r="A492" s="170">
        <v>42726</v>
      </c>
      <c r="B492" s="116">
        <v>896.66666666666663</v>
      </c>
      <c r="C492" s="116">
        <v>877.6</v>
      </c>
      <c r="D492" s="116">
        <v>875.86666666666667</v>
      </c>
      <c r="E492" s="116">
        <v>894.66666666666663</v>
      </c>
      <c r="F492" s="116">
        <v>1316.4</v>
      </c>
      <c r="G492">
        <v>104498</v>
      </c>
      <c r="H492" s="116"/>
      <c r="I492" s="116"/>
      <c r="L492" s="170">
        <v>42726</v>
      </c>
      <c r="M492" s="116">
        <v>876.43333333333339</v>
      </c>
      <c r="N492" s="116">
        <v>896</v>
      </c>
      <c r="O492" s="116">
        <v>874.69999999999993</v>
      </c>
      <c r="P492" s="116">
        <v>893.83333333333337</v>
      </c>
      <c r="Q492" s="116">
        <v>1314.65</v>
      </c>
      <c r="R492">
        <v>905042</v>
      </c>
    </row>
    <row r="493" spans="1:18" x14ac:dyDescent="0.25">
      <c r="A493" s="170">
        <v>42727</v>
      </c>
      <c r="B493" s="116">
        <v>893.33333333333337</v>
      </c>
      <c r="C493" s="116">
        <v>891.30000000000007</v>
      </c>
      <c r="D493" s="116">
        <v>868</v>
      </c>
      <c r="E493" s="116">
        <v>877.6</v>
      </c>
      <c r="F493" s="116">
        <v>1336.95</v>
      </c>
      <c r="G493">
        <v>106642</v>
      </c>
      <c r="H493" s="116"/>
      <c r="I493" s="116"/>
      <c r="L493" s="170">
        <v>42727</v>
      </c>
      <c r="M493" s="116">
        <v>891.63333333333333</v>
      </c>
      <c r="N493" s="116">
        <v>894.66666666666663</v>
      </c>
      <c r="O493" s="116">
        <v>868.33333333333337</v>
      </c>
      <c r="P493" s="116">
        <v>877.16666666666663</v>
      </c>
      <c r="Q493" s="116">
        <v>1337.45</v>
      </c>
      <c r="R493">
        <v>1424432</v>
      </c>
    </row>
    <row r="494" spans="1:18" x14ac:dyDescent="0.25">
      <c r="A494" s="170">
        <v>42730</v>
      </c>
      <c r="B494" s="116">
        <v>894.66666666666663</v>
      </c>
      <c r="C494" s="116">
        <v>891.73333333333323</v>
      </c>
      <c r="D494" s="116">
        <v>879.66666666666663</v>
      </c>
      <c r="E494" s="116">
        <v>889.33333333333337</v>
      </c>
      <c r="F494" s="116">
        <v>1337.6</v>
      </c>
      <c r="G494">
        <v>79870</v>
      </c>
      <c r="H494" s="116"/>
      <c r="I494" s="116"/>
      <c r="L494" s="170">
        <v>42730</v>
      </c>
      <c r="M494" s="116">
        <v>891.73333333333323</v>
      </c>
      <c r="N494" s="116">
        <v>896.66666666666663</v>
      </c>
      <c r="O494" s="116">
        <v>878.9</v>
      </c>
      <c r="P494" s="116">
        <v>890.4</v>
      </c>
      <c r="Q494" s="116">
        <v>1337.6</v>
      </c>
      <c r="R494">
        <v>799152</v>
      </c>
    </row>
    <row r="495" spans="1:18" x14ac:dyDescent="0.25">
      <c r="A495" s="170">
        <v>42731</v>
      </c>
      <c r="B495" s="116">
        <v>905.66666666666663</v>
      </c>
      <c r="C495" s="116">
        <v>902.9666666666667</v>
      </c>
      <c r="D495" s="116">
        <v>886.66666666666663</v>
      </c>
      <c r="E495" s="116">
        <v>892</v>
      </c>
      <c r="F495" s="116">
        <v>1354.45</v>
      </c>
      <c r="G495">
        <v>309405</v>
      </c>
      <c r="H495" s="116"/>
      <c r="I495" s="116"/>
      <c r="L495" s="170">
        <v>42731</v>
      </c>
      <c r="M495" s="116">
        <v>903.73333333333323</v>
      </c>
      <c r="N495" s="116">
        <v>906.33333333333337</v>
      </c>
      <c r="O495" s="116">
        <v>886.06666666666661</v>
      </c>
      <c r="P495" s="116">
        <v>893.33333333333337</v>
      </c>
      <c r="Q495" s="116">
        <v>1355.6</v>
      </c>
      <c r="R495">
        <v>814904</v>
      </c>
    </row>
    <row r="496" spans="1:18" x14ac:dyDescent="0.25">
      <c r="A496" s="170">
        <v>42732</v>
      </c>
      <c r="B496" s="116">
        <v>908.66666666666663</v>
      </c>
      <c r="C496" s="116">
        <v>900.43333333333339</v>
      </c>
      <c r="D496" s="116">
        <v>896.66666666666663</v>
      </c>
      <c r="E496" s="116">
        <v>903.33333333333337</v>
      </c>
      <c r="F496" s="116">
        <v>1350.65</v>
      </c>
      <c r="G496">
        <v>82355</v>
      </c>
      <c r="H496" s="116"/>
      <c r="I496" s="116"/>
      <c r="L496" s="170">
        <v>42732</v>
      </c>
      <c r="M496" s="116">
        <v>899.9666666666667</v>
      </c>
      <c r="N496" s="116">
        <v>908.83333333333337</v>
      </c>
      <c r="O496" s="116">
        <v>897.33333333333337</v>
      </c>
      <c r="P496" s="116">
        <v>904.66666666666663</v>
      </c>
      <c r="Q496" s="116">
        <v>1349.95</v>
      </c>
      <c r="R496">
        <v>862843</v>
      </c>
    </row>
    <row r="497" spans="1:18" x14ac:dyDescent="0.25">
      <c r="A497" s="170">
        <v>42733</v>
      </c>
      <c r="B497" s="116">
        <v>903.33333333333337</v>
      </c>
      <c r="C497" s="116">
        <v>894.23333333333323</v>
      </c>
      <c r="D497" s="116">
        <v>888.30000000000007</v>
      </c>
      <c r="E497" s="116">
        <v>892</v>
      </c>
      <c r="F497" s="116">
        <v>1341.35</v>
      </c>
      <c r="G497">
        <v>85081</v>
      </c>
      <c r="H497" s="116"/>
      <c r="I497" s="116"/>
      <c r="L497" s="170">
        <v>42733</v>
      </c>
      <c r="M497" s="116">
        <v>892.80000000000007</v>
      </c>
      <c r="N497" s="116">
        <v>902.66666666666663</v>
      </c>
      <c r="O497" s="116">
        <v>886.93333333333339</v>
      </c>
      <c r="P497" s="116">
        <v>894.36666666666667</v>
      </c>
      <c r="Q497" s="116">
        <v>1339.2</v>
      </c>
      <c r="R497">
        <v>1340418</v>
      </c>
    </row>
    <row r="498" spans="1:18" x14ac:dyDescent="0.25">
      <c r="A498" s="170">
        <v>42734</v>
      </c>
      <c r="B498" s="116">
        <v>904</v>
      </c>
      <c r="C498" s="116">
        <v>899.6</v>
      </c>
      <c r="D498" s="116">
        <v>895.63333333333333</v>
      </c>
      <c r="E498" s="116">
        <v>900</v>
      </c>
      <c r="F498" s="116">
        <v>1349.4</v>
      </c>
      <c r="G498">
        <v>55913</v>
      </c>
      <c r="H498" s="116"/>
      <c r="I498" s="116"/>
      <c r="L498" s="170">
        <v>42734</v>
      </c>
      <c r="M498" s="116">
        <v>899.4</v>
      </c>
      <c r="N498" s="116">
        <v>903.66666666666663</v>
      </c>
      <c r="O498" s="116">
        <v>896</v>
      </c>
      <c r="P498" s="116">
        <v>896.66666666666663</v>
      </c>
      <c r="Q498" s="116">
        <v>1349.1</v>
      </c>
      <c r="R498">
        <v>853986</v>
      </c>
    </row>
    <row r="499" spans="1:18" x14ac:dyDescent="0.25">
      <c r="A499" s="170">
        <v>42737</v>
      </c>
      <c r="B499" s="116">
        <v>911.9666666666667</v>
      </c>
      <c r="C499" s="116">
        <v>907.19999999999993</v>
      </c>
      <c r="D499" s="116">
        <v>900</v>
      </c>
      <c r="E499" s="116">
        <v>900</v>
      </c>
      <c r="F499" s="116">
        <v>1360.8</v>
      </c>
      <c r="G499">
        <v>76664</v>
      </c>
      <c r="H499" s="116"/>
      <c r="I499" s="116"/>
      <c r="L499" s="170">
        <v>42737</v>
      </c>
      <c r="M499" s="116">
        <v>906.4</v>
      </c>
      <c r="N499" s="116">
        <v>912.66666666666663</v>
      </c>
      <c r="O499" s="116">
        <v>899.43333333333339</v>
      </c>
      <c r="P499" s="116">
        <v>904.0333333333333</v>
      </c>
      <c r="Q499" s="116">
        <v>1359.6</v>
      </c>
      <c r="R499">
        <v>984541</v>
      </c>
    </row>
    <row r="500" spans="1:18" x14ac:dyDescent="0.25">
      <c r="A500" s="170">
        <v>42738</v>
      </c>
      <c r="B500" s="116">
        <v>916.6</v>
      </c>
      <c r="C500" s="116">
        <v>912</v>
      </c>
      <c r="D500" s="116">
        <v>901.4</v>
      </c>
      <c r="E500" s="116">
        <v>907.19999999999993</v>
      </c>
      <c r="F500" s="116">
        <v>1368</v>
      </c>
      <c r="G500">
        <v>134470</v>
      </c>
      <c r="H500" s="116"/>
      <c r="I500" s="116"/>
      <c r="L500" s="170">
        <v>42738</v>
      </c>
      <c r="M500" s="116">
        <v>911.4666666666667</v>
      </c>
      <c r="N500" s="116">
        <v>916.66666666666663</v>
      </c>
      <c r="O500" s="116">
        <v>901.4666666666667</v>
      </c>
      <c r="P500" s="116">
        <v>906.66666666666663</v>
      </c>
      <c r="Q500" s="116">
        <v>1367.2</v>
      </c>
      <c r="R500">
        <v>908932</v>
      </c>
    </row>
    <row r="501" spans="1:18" x14ac:dyDescent="0.25">
      <c r="A501" s="170">
        <v>42739</v>
      </c>
      <c r="B501" s="116">
        <v>921.33333333333337</v>
      </c>
      <c r="C501" s="116">
        <v>917.33333333333337</v>
      </c>
      <c r="D501" s="116">
        <v>913.33333333333337</v>
      </c>
      <c r="E501" s="116">
        <v>913.69999999999993</v>
      </c>
      <c r="F501" s="116">
        <v>1376</v>
      </c>
      <c r="G501">
        <v>68234</v>
      </c>
      <c r="H501" s="116"/>
      <c r="I501" s="116"/>
      <c r="L501" s="170">
        <v>42739</v>
      </c>
      <c r="M501" s="116">
        <v>917.73333333333323</v>
      </c>
      <c r="N501" s="116">
        <v>920.9</v>
      </c>
      <c r="O501" s="116">
        <v>913.66666666666663</v>
      </c>
      <c r="P501" s="116">
        <v>916.66666666666663</v>
      </c>
      <c r="Q501" s="116">
        <v>1376.6</v>
      </c>
      <c r="R501">
        <v>1429826</v>
      </c>
    </row>
    <row r="502" spans="1:18" x14ac:dyDescent="0.25">
      <c r="A502" s="170">
        <v>42740</v>
      </c>
      <c r="B502" s="116">
        <v>931.33333333333337</v>
      </c>
      <c r="C502" s="116">
        <v>929.30000000000007</v>
      </c>
      <c r="D502" s="116">
        <v>918.66666666666663</v>
      </c>
      <c r="E502" s="116">
        <v>922</v>
      </c>
      <c r="F502" s="116">
        <v>1393.95</v>
      </c>
      <c r="G502">
        <v>139312</v>
      </c>
      <c r="H502" s="116"/>
      <c r="I502" s="116"/>
      <c r="L502" s="170">
        <v>42740</v>
      </c>
      <c r="M502" s="116">
        <v>928.19999999999993</v>
      </c>
      <c r="N502" s="116">
        <v>930</v>
      </c>
      <c r="O502" s="116">
        <v>918.66666666666663</v>
      </c>
      <c r="P502" s="116">
        <v>921.5</v>
      </c>
      <c r="Q502" s="116">
        <v>1392.3</v>
      </c>
      <c r="R502">
        <v>1854332</v>
      </c>
    </row>
    <row r="503" spans="1:18" x14ac:dyDescent="0.25">
      <c r="A503" s="170">
        <v>42741</v>
      </c>
      <c r="B503" s="116">
        <v>935.66666666666663</v>
      </c>
      <c r="C503" s="116">
        <v>927.43333333333339</v>
      </c>
      <c r="D503" s="116">
        <v>925.33333333333337</v>
      </c>
      <c r="E503" s="116">
        <v>932</v>
      </c>
      <c r="F503" s="116">
        <v>1391.15</v>
      </c>
      <c r="G503">
        <v>83126</v>
      </c>
      <c r="H503" s="116"/>
      <c r="I503" s="116"/>
      <c r="L503" s="170">
        <v>42741</v>
      </c>
      <c r="M503" s="116">
        <v>927.30000000000007</v>
      </c>
      <c r="N503" s="116">
        <v>935.80000000000007</v>
      </c>
      <c r="O503" s="116">
        <v>925.06666666666661</v>
      </c>
      <c r="P503" s="116">
        <v>930</v>
      </c>
      <c r="Q503" s="116">
        <v>1390.95</v>
      </c>
      <c r="R503">
        <v>975275</v>
      </c>
    </row>
    <row r="504" spans="1:18" x14ac:dyDescent="0.25">
      <c r="A504" s="170">
        <v>42744</v>
      </c>
      <c r="B504" s="116">
        <v>931.63333333333333</v>
      </c>
      <c r="C504" s="116">
        <v>920.43333333333339</v>
      </c>
      <c r="D504" s="116">
        <v>917.33333333333337</v>
      </c>
      <c r="E504" s="116">
        <v>927.33333333333337</v>
      </c>
      <c r="F504" s="116">
        <v>1380.65</v>
      </c>
      <c r="G504">
        <v>38486</v>
      </c>
      <c r="H504" s="116"/>
      <c r="I504" s="116"/>
      <c r="L504" s="170">
        <v>42744</v>
      </c>
      <c r="M504" s="116">
        <v>920.43333333333339</v>
      </c>
      <c r="N504" s="116">
        <v>931.9666666666667</v>
      </c>
      <c r="O504" s="116">
        <v>917.80000000000007</v>
      </c>
      <c r="P504" s="116">
        <v>928</v>
      </c>
      <c r="Q504" s="116">
        <v>1380.65</v>
      </c>
      <c r="R504">
        <v>546323</v>
      </c>
    </row>
    <row r="505" spans="1:18" x14ac:dyDescent="0.25">
      <c r="A505" s="170">
        <v>42745</v>
      </c>
      <c r="B505" s="116">
        <v>928.66666666666663</v>
      </c>
      <c r="C505" s="116">
        <v>924.23333333333323</v>
      </c>
      <c r="D505" s="116">
        <v>917.33333333333337</v>
      </c>
      <c r="E505" s="116">
        <v>917.33333333333337</v>
      </c>
      <c r="F505" s="116">
        <v>1386.35</v>
      </c>
      <c r="G505">
        <v>88724</v>
      </c>
      <c r="H505" s="116"/>
      <c r="I505" s="116"/>
      <c r="L505" s="170">
        <v>42745</v>
      </c>
      <c r="M505" s="116">
        <v>925</v>
      </c>
      <c r="N505" s="116">
        <v>930</v>
      </c>
      <c r="O505" s="116">
        <v>918.36666666666667</v>
      </c>
      <c r="P505" s="116">
        <v>920.16666666666663</v>
      </c>
      <c r="Q505" s="116">
        <v>1387.5</v>
      </c>
      <c r="R505">
        <v>906486</v>
      </c>
    </row>
    <row r="506" spans="1:18" x14ac:dyDescent="0.25">
      <c r="A506" s="170">
        <v>42746</v>
      </c>
      <c r="B506" s="116">
        <v>944.93333333333339</v>
      </c>
      <c r="C506" s="116">
        <v>941.86666666666667</v>
      </c>
      <c r="D506" s="116">
        <v>930.6</v>
      </c>
      <c r="E506" s="116">
        <v>930.66666666666663</v>
      </c>
      <c r="F506" s="116">
        <v>1412.8</v>
      </c>
      <c r="G506">
        <v>405459</v>
      </c>
      <c r="H506" s="116"/>
      <c r="I506" s="116"/>
      <c r="L506" s="170">
        <v>42746</v>
      </c>
      <c r="M506" s="116">
        <v>941.56666666666661</v>
      </c>
      <c r="N506" s="116">
        <v>945.23333333333323</v>
      </c>
      <c r="O506" s="116">
        <v>930</v>
      </c>
      <c r="P506" s="116">
        <v>932</v>
      </c>
      <c r="Q506" s="116">
        <v>1412.35</v>
      </c>
      <c r="R506">
        <v>1009634</v>
      </c>
    </row>
    <row r="507" spans="1:18" x14ac:dyDescent="0.25">
      <c r="A507" s="170">
        <v>42747</v>
      </c>
      <c r="B507" s="116">
        <v>967.33333333333337</v>
      </c>
      <c r="C507" s="116">
        <v>966.06666666666661</v>
      </c>
      <c r="D507" s="116">
        <v>941.86666666666667</v>
      </c>
      <c r="E507" s="116">
        <v>941.86666666666667</v>
      </c>
      <c r="F507" s="116">
        <v>1449.1</v>
      </c>
      <c r="G507">
        <v>226069</v>
      </c>
      <c r="H507" s="116"/>
      <c r="I507" s="116"/>
      <c r="L507" s="170">
        <v>42747</v>
      </c>
      <c r="M507" s="116">
        <v>966.23333333333323</v>
      </c>
      <c r="N507" s="116">
        <v>969.5333333333333</v>
      </c>
      <c r="O507" s="116">
        <v>942.66666666666663</v>
      </c>
      <c r="P507" s="116">
        <v>943.26666666666677</v>
      </c>
      <c r="Q507" s="116">
        <v>1449.35</v>
      </c>
      <c r="R507">
        <v>1804970</v>
      </c>
    </row>
    <row r="508" spans="1:18" x14ac:dyDescent="0.25">
      <c r="A508" s="170">
        <v>42748</v>
      </c>
      <c r="B508" s="116">
        <v>973.30000000000007</v>
      </c>
      <c r="C508" s="116">
        <v>958.93333333333339</v>
      </c>
      <c r="D508" s="116">
        <v>955.1</v>
      </c>
      <c r="E508" s="116">
        <v>971.33333333333337</v>
      </c>
      <c r="F508" s="116">
        <v>1438.4</v>
      </c>
      <c r="G508">
        <v>105355</v>
      </c>
      <c r="H508" s="116"/>
      <c r="I508" s="116"/>
      <c r="L508" s="170">
        <v>42748</v>
      </c>
      <c r="M508" s="116">
        <v>959.16666666666663</v>
      </c>
      <c r="N508" s="116">
        <v>973.33333333333337</v>
      </c>
      <c r="O508" s="116">
        <v>954.80000000000007</v>
      </c>
      <c r="P508" s="116">
        <v>973.33333333333337</v>
      </c>
      <c r="Q508" s="116">
        <v>1438.75</v>
      </c>
      <c r="R508">
        <v>933847</v>
      </c>
    </row>
    <row r="509" spans="1:18" x14ac:dyDescent="0.25">
      <c r="A509" s="170">
        <v>42751</v>
      </c>
      <c r="B509" s="116">
        <v>966.5</v>
      </c>
      <c r="C509" s="116">
        <v>961.73333333333323</v>
      </c>
      <c r="D509" s="116">
        <v>955.33333333333337</v>
      </c>
      <c r="E509" s="116">
        <v>956.73333333333323</v>
      </c>
      <c r="F509" s="116">
        <v>1442.6</v>
      </c>
      <c r="G509">
        <v>50796</v>
      </c>
      <c r="H509" s="116"/>
      <c r="I509" s="116"/>
      <c r="L509" s="170">
        <v>42751</v>
      </c>
      <c r="M509" s="116">
        <v>961.86666666666667</v>
      </c>
      <c r="N509" s="116">
        <v>966.66666666666663</v>
      </c>
      <c r="O509" s="116">
        <v>954.86666666666667</v>
      </c>
      <c r="P509" s="116">
        <v>956.66666666666663</v>
      </c>
      <c r="Q509" s="116">
        <v>1442.8</v>
      </c>
      <c r="R509">
        <v>701868</v>
      </c>
    </row>
    <row r="510" spans="1:18" x14ac:dyDescent="0.25">
      <c r="A510" s="170">
        <v>42752</v>
      </c>
      <c r="B510" s="116">
        <v>973</v>
      </c>
      <c r="C510" s="116">
        <v>964.23333333333323</v>
      </c>
      <c r="D510" s="116">
        <v>960.73333333333323</v>
      </c>
      <c r="E510" s="116">
        <v>962</v>
      </c>
      <c r="F510" s="116">
        <v>1446.35</v>
      </c>
      <c r="G510">
        <v>120221</v>
      </c>
      <c r="H510" s="116"/>
      <c r="I510" s="116"/>
      <c r="L510" s="170">
        <v>42752</v>
      </c>
      <c r="M510" s="116">
        <v>963.83333333333337</v>
      </c>
      <c r="N510" s="116">
        <v>973.30000000000007</v>
      </c>
      <c r="O510" s="116">
        <v>960</v>
      </c>
      <c r="P510" s="116">
        <v>960</v>
      </c>
      <c r="Q510" s="116">
        <v>1445.75</v>
      </c>
      <c r="R510">
        <v>949227</v>
      </c>
    </row>
    <row r="511" spans="1:18" x14ac:dyDescent="0.25">
      <c r="A511" s="170">
        <v>42753</v>
      </c>
      <c r="B511" s="116">
        <v>979.80000000000007</v>
      </c>
      <c r="C511" s="116">
        <v>967.16666666666663</v>
      </c>
      <c r="D511" s="116">
        <v>963.33333333333337</v>
      </c>
      <c r="E511" s="116">
        <v>963.33333333333337</v>
      </c>
      <c r="F511" s="116">
        <v>1450.75</v>
      </c>
      <c r="G511">
        <v>102963</v>
      </c>
      <c r="H511" s="116"/>
      <c r="I511" s="116"/>
      <c r="L511" s="170">
        <v>42753</v>
      </c>
      <c r="M511" s="116">
        <v>968.30000000000007</v>
      </c>
      <c r="N511" s="116">
        <v>979.33333333333337</v>
      </c>
      <c r="O511" s="116">
        <v>964</v>
      </c>
      <c r="P511" s="116">
        <v>964</v>
      </c>
      <c r="Q511" s="116">
        <v>1452.45</v>
      </c>
      <c r="R511">
        <v>1025452</v>
      </c>
    </row>
    <row r="512" spans="1:18" x14ac:dyDescent="0.25">
      <c r="A512" s="170">
        <v>42754</v>
      </c>
      <c r="B512" s="116">
        <v>975.33333333333337</v>
      </c>
      <c r="C512" s="116">
        <v>963.66666666666663</v>
      </c>
      <c r="D512" s="116">
        <v>961.4</v>
      </c>
      <c r="E512" s="116">
        <v>966.66666666666663</v>
      </c>
      <c r="F512" s="116">
        <v>1445.5</v>
      </c>
      <c r="G512">
        <v>65467</v>
      </c>
      <c r="H512" s="116"/>
      <c r="I512" s="116"/>
      <c r="L512" s="170">
        <v>42754</v>
      </c>
      <c r="M512" s="116">
        <v>966.30000000000007</v>
      </c>
      <c r="N512" s="116">
        <v>975.33333333333337</v>
      </c>
      <c r="O512" s="116">
        <v>963.36666666666667</v>
      </c>
      <c r="P512" s="116">
        <v>968.66666666666663</v>
      </c>
      <c r="Q512" s="116">
        <v>1449.45</v>
      </c>
      <c r="R512">
        <v>679943</v>
      </c>
    </row>
    <row r="513" spans="1:18" x14ac:dyDescent="0.25">
      <c r="A513" s="170">
        <v>42755</v>
      </c>
      <c r="B513" s="116">
        <v>968.66666666666663</v>
      </c>
      <c r="C513" s="116">
        <v>943.0333333333333</v>
      </c>
      <c r="D513" s="116">
        <v>940</v>
      </c>
      <c r="E513" s="116">
        <v>966</v>
      </c>
      <c r="F513" s="116">
        <v>1414.55</v>
      </c>
      <c r="G513">
        <v>93958</v>
      </c>
      <c r="H513" s="116"/>
      <c r="I513" s="116"/>
      <c r="L513" s="170">
        <v>42755</v>
      </c>
      <c r="M513" s="116">
        <v>943.16666666666663</v>
      </c>
      <c r="N513" s="116">
        <v>969.26666666666677</v>
      </c>
      <c r="O513" s="116">
        <v>940.66666666666663</v>
      </c>
      <c r="P513" s="116">
        <v>966.30000000000007</v>
      </c>
      <c r="Q513" s="116">
        <v>1414.75</v>
      </c>
      <c r="R513">
        <v>1451657</v>
      </c>
    </row>
    <row r="514" spans="1:18" x14ac:dyDescent="0.25">
      <c r="A514" s="170">
        <v>42758</v>
      </c>
      <c r="B514" s="116">
        <v>944</v>
      </c>
      <c r="C514" s="116">
        <v>929</v>
      </c>
      <c r="D514" s="116">
        <v>922</v>
      </c>
      <c r="E514" s="116">
        <v>943.93333333333339</v>
      </c>
      <c r="F514" s="116">
        <v>1393.5</v>
      </c>
      <c r="G514">
        <v>128307</v>
      </c>
      <c r="H514" s="116"/>
      <c r="I514" s="116"/>
      <c r="L514" s="170">
        <v>42758</v>
      </c>
      <c r="M514" s="116">
        <v>929.0333333333333</v>
      </c>
      <c r="N514" s="116">
        <v>942</v>
      </c>
      <c r="O514" s="116">
        <v>921.26666666666677</v>
      </c>
      <c r="P514" s="116">
        <v>941.33333333333337</v>
      </c>
      <c r="Q514" s="116">
        <v>1393.55</v>
      </c>
      <c r="R514">
        <v>2356046</v>
      </c>
    </row>
    <row r="515" spans="1:18" x14ac:dyDescent="0.25">
      <c r="A515" s="170">
        <v>42759</v>
      </c>
      <c r="B515" s="116">
        <v>948.5</v>
      </c>
      <c r="C515" s="116">
        <v>946.43333333333339</v>
      </c>
      <c r="D515" s="116">
        <v>930</v>
      </c>
      <c r="E515" s="116">
        <v>930</v>
      </c>
      <c r="F515" s="116">
        <v>1419.65</v>
      </c>
      <c r="G515">
        <v>91966</v>
      </c>
      <c r="H515" s="116"/>
      <c r="I515" s="116"/>
      <c r="L515" s="170">
        <v>42759</v>
      </c>
      <c r="M515" s="116">
        <v>946.5333333333333</v>
      </c>
      <c r="N515" s="116">
        <v>949.33333333333337</v>
      </c>
      <c r="O515" s="116">
        <v>932</v>
      </c>
      <c r="P515" s="116">
        <v>932.16666666666663</v>
      </c>
      <c r="Q515" s="116">
        <v>1419.8</v>
      </c>
      <c r="R515">
        <v>1253125</v>
      </c>
    </row>
    <row r="516" spans="1:18" x14ac:dyDescent="0.25">
      <c r="A516" s="170">
        <v>42760</v>
      </c>
      <c r="B516" s="116">
        <v>968.80000000000007</v>
      </c>
      <c r="C516" s="116">
        <v>966.30000000000007</v>
      </c>
      <c r="D516" s="116">
        <v>946.69999999999993</v>
      </c>
      <c r="E516" s="116">
        <v>946.69999999999993</v>
      </c>
      <c r="F516" s="116">
        <v>1449.45</v>
      </c>
      <c r="G516">
        <v>119535</v>
      </c>
      <c r="H516" s="116"/>
      <c r="I516" s="116"/>
      <c r="L516" s="170">
        <v>42760</v>
      </c>
      <c r="M516" s="116">
        <v>966.5</v>
      </c>
      <c r="N516" s="116">
        <v>969.33333333333337</v>
      </c>
      <c r="O516" s="116">
        <v>946.93333333333339</v>
      </c>
      <c r="P516" s="116">
        <v>949.86666666666667</v>
      </c>
      <c r="Q516" s="116">
        <v>1449.75</v>
      </c>
      <c r="R516">
        <v>1529849</v>
      </c>
    </row>
    <row r="517" spans="1:18" x14ac:dyDescent="0.25">
      <c r="A517" s="170">
        <v>42762</v>
      </c>
      <c r="B517" s="116">
        <v>979.66666666666663</v>
      </c>
      <c r="C517" s="116">
        <v>959.76666666666677</v>
      </c>
      <c r="D517" s="116">
        <v>956.69999999999993</v>
      </c>
      <c r="E517" s="116">
        <v>967.33333333333337</v>
      </c>
      <c r="F517" s="116">
        <v>1439.65</v>
      </c>
      <c r="G517">
        <v>136499</v>
      </c>
      <c r="H517" s="116"/>
      <c r="I517" s="116"/>
      <c r="L517" s="170">
        <v>42762</v>
      </c>
      <c r="M517" s="116">
        <v>959.93333333333339</v>
      </c>
      <c r="N517" s="116">
        <v>980.16666666666663</v>
      </c>
      <c r="O517" s="116">
        <v>955.56666666666661</v>
      </c>
      <c r="P517" s="116">
        <v>967.36666666666667</v>
      </c>
      <c r="Q517" s="116">
        <v>1439.9</v>
      </c>
      <c r="R517">
        <v>1247417</v>
      </c>
    </row>
    <row r="518" spans="1:18" x14ac:dyDescent="0.25">
      <c r="A518" s="170">
        <v>42765</v>
      </c>
      <c r="B518" s="116">
        <v>977.66666666666663</v>
      </c>
      <c r="C518" s="116">
        <v>962.23333333333323</v>
      </c>
      <c r="D518" s="116">
        <v>958</v>
      </c>
      <c r="E518" s="116">
        <v>964.66666666666663</v>
      </c>
      <c r="F518" s="116">
        <v>1443.35</v>
      </c>
      <c r="G518">
        <v>148696</v>
      </c>
      <c r="H518" s="116"/>
      <c r="I518" s="116"/>
      <c r="L518" s="170">
        <v>42765</v>
      </c>
      <c r="M518" s="116">
        <v>961.86666666666667</v>
      </c>
      <c r="N518" s="116">
        <v>978</v>
      </c>
      <c r="O518" s="116">
        <v>958.66666666666663</v>
      </c>
      <c r="P518" s="116">
        <v>962</v>
      </c>
      <c r="Q518" s="116">
        <v>1442.8</v>
      </c>
      <c r="R518">
        <v>1734390</v>
      </c>
    </row>
    <row r="519" spans="1:18" x14ac:dyDescent="0.25">
      <c r="A519" s="170">
        <v>42766</v>
      </c>
      <c r="B519" s="116">
        <v>969.93333333333339</v>
      </c>
      <c r="C519" s="116">
        <v>963.16666666666663</v>
      </c>
      <c r="D519" s="116">
        <v>951.30000000000007</v>
      </c>
      <c r="E519" s="116">
        <v>963.26666666666677</v>
      </c>
      <c r="F519" s="116">
        <v>1444.75</v>
      </c>
      <c r="G519">
        <v>106760</v>
      </c>
      <c r="H519" s="116"/>
      <c r="I519" s="116"/>
      <c r="L519" s="170">
        <v>42766</v>
      </c>
      <c r="M519" s="116">
        <v>964.16666666666663</v>
      </c>
      <c r="N519" s="116">
        <v>970</v>
      </c>
      <c r="O519" s="116">
        <v>951.33333333333337</v>
      </c>
      <c r="P519" s="116">
        <v>960</v>
      </c>
      <c r="Q519" s="116">
        <v>1446.25</v>
      </c>
      <c r="R519">
        <v>1262769</v>
      </c>
    </row>
    <row r="520" spans="1:18" x14ac:dyDescent="0.25">
      <c r="A520" s="170">
        <v>42767</v>
      </c>
      <c r="B520" s="116">
        <v>995.66666666666663</v>
      </c>
      <c r="C520" s="116">
        <v>993.83333333333337</v>
      </c>
      <c r="D520" s="116">
        <v>963.16666666666663</v>
      </c>
      <c r="E520" s="116">
        <v>963.16666666666663</v>
      </c>
      <c r="F520" s="116">
        <v>1490.75</v>
      </c>
      <c r="G520">
        <v>340258</v>
      </c>
      <c r="H520" s="116"/>
      <c r="I520" s="116"/>
      <c r="L520" s="170">
        <v>42767</v>
      </c>
      <c r="M520" s="116">
        <v>993.5</v>
      </c>
      <c r="N520" s="116">
        <v>996.56666666666661</v>
      </c>
      <c r="O520" s="116">
        <v>964.19999999999993</v>
      </c>
      <c r="P520" s="116">
        <v>965.30000000000007</v>
      </c>
      <c r="Q520" s="116">
        <v>1490.25</v>
      </c>
      <c r="R520">
        <v>2385089</v>
      </c>
    </row>
    <row r="521" spans="1:18" x14ac:dyDescent="0.25">
      <c r="A521" s="170">
        <v>42768</v>
      </c>
      <c r="B521" s="116">
        <v>994.63333333333333</v>
      </c>
      <c r="C521" s="116">
        <v>982.19999999999993</v>
      </c>
      <c r="D521" s="116">
        <v>978.66666666666663</v>
      </c>
      <c r="E521" s="116">
        <v>986.73333333333323</v>
      </c>
      <c r="F521" s="116">
        <v>1473.3</v>
      </c>
      <c r="G521">
        <v>89433</v>
      </c>
      <c r="H521" s="116"/>
      <c r="I521" s="116"/>
      <c r="L521" s="170">
        <v>42768</v>
      </c>
      <c r="M521" s="116">
        <v>984.33333333333337</v>
      </c>
      <c r="N521" s="116">
        <v>996</v>
      </c>
      <c r="O521" s="116">
        <v>980.19999999999993</v>
      </c>
      <c r="P521" s="116">
        <v>994.4</v>
      </c>
      <c r="Q521" s="116">
        <v>1476.5</v>
      </c>
      <c r="R521">
        <v>1505276</v>
      </c>
    </row>
    <row r="522" spans="1:18" x14ac:dyDescent="0.25">
      <c r="A522" s="170">
        <v>42769</v>
      </c>
      <c r="B522" s="116">
        <v>991.9666666666667</v>
      </c>
      <c r="C522" s="116">
        <v>986.30000000000007</v>
      </c>
      <c r="D522" s="116">
        <v>971.4</v>
      </c>
      <c r="E522" s="116">
        <v>983.33333333333337</v>
      </c>
      <c r="F522" s="116">
        <v>1479.45</v>
      </c>
      <c r="G522">
        <v>104357</v>
      </c>
      <c r="H522" s="116"/>
      <c r="I522" s="116"/>
      <c r="L522" s="170">
        <v>42769</v>
      </c>
      <c r="M522" s="116">
        <v>987.13333333333333</v>
      </c>
      <c r="N522" s="116">
        <v>992</v>
      </c>
      <c r="O522" s="116">
        <v>971.33333333333337</v>
      </c>
      <c r="P522" s="116">
        <v>984.33333333333337</v>
      </c>
      <c r="Q522" s="116">
        <v>1480.7</v>
      </c>
      <c r="R522">
        <v>1100306</v>
      </c>
    </row>
    <row r="523" spans="1:18" x14ac:dyDescent="0.25">
      <c r="A523" s="170">
        <v>42772</v>
      </c>
      <c r="B523" s="116">
        <v>1000</v>
      </c>
      <c r="C523" s="116">
        <v>989.9666666666667</v>
      </c>
      <c r="D523" s="116">
        <v>986.0333333333333</v>
      </c>
      <c r="E523" s="116">
        <v>993.33333333333337</v>
      </c>
      <c r="F523" s="116">
        <v>1484.95</v>
      </c>
      <c r="G523">
        <v>127743</v>
      </c>
      <c r="H523" s="116"/>
      <c r="I523" s="116"/>
      <c r="L523" s="170">
        <v>42772</v>
      </c>
      <c r="M523" s="116">
        <v>989.19999999999993</v>
      </c>
      <c r="N523" s="116">
        <v>1000</v>
      </c>
      <c r="O523" s="116">
        <v>986.26666666666677</v>
      </c>
      <c r="P523" s="116">
        <v>990</v>
      </c>
      <c r="Q523" s="116">
        <v>1483.8</v>
      </c>
      <c r="R523">
        <v>1017810</v>
      </c>
    </row>
    <row r="524" spans="1:18" x14ac:dyDescent="0.25">
      <c r="A524" s="170">
        <v>42773</v>
      </c>
      <c r="B524" s="116">
        <v>1003.3333333333334</v>
      </c>
      <c r="C524" s="116">
        <v>1000.0333333333333</v>
      </c>
      <c r="D524" s="116">
        <v>982.06666666666661</v>
      </c>
      <c r="E524" s="116">
        <v>988.5333333333333</v>
      </c>
      <c r="F524" s="116">
        <v>1500.05</v>
      </c>
      <c r="G524">
        <v>175047</v>
      </c>
      <c r="H524" s="116"/>
      <c r="I524" s="116"/>
      <c r="L524" s="170">
        <v>42773</v>
      </c>
      <c r="M524" s="116">
        <v>1000.1999999999999</v>
      </c>
      <c r="N524" s="116">
        <v>1003.1999999999999</v>
      </c>
      <c r="O524" s="116">
        <v>981.43333333333339</v>
      </c>
      <c r="P524" s="116">
        <v>986.80000000000007</v>
      </c>
      <c r="Q524" s="116">
        <v>1500.3</v>
      </c>
      <c r="R524">
        <v>1666364</v>
      </c>
    </row>
    <row r="525" spans="1:18" x14ac:dyDescent="0.25">
      <c r="A525" s="170">
        <v>42774</v>
      </c>
      <c r="B525" s="116">
        <v>1005</v>
      </c>
      <c r="C525" s="116">
        <v>1001.9</v>
      </c>
      <c r="D525" s="116">
        <v>991.63333333333333</v>
      </c>
      <c r="E525" s="116">
        <v>1001</v>
      </c>
      <c r="F525" s="116">
        <v>1502.85</v>
      </c>
      <c r="G525">
        <v>154921</v>
      </c>
      <c r="H525" s="116"/>
      <c r="I525" s="116"/>
      <c r="L525" s="170">
        <v>42774</v>
      </c>
      <c r="M525" s="116">
        <v>1004.5666666666666</v>
      </c>
      <c r="N525" s="116">
        <v>1007.3333333333334</v>
      </c>
      <c r="O525" s="116">
        <v>992.83333333333337</v>
      </c>
      <c r="P525" s="116">
        <v>1003.1999999999999</v>
      </c>
      <c r="Q525" s="116">
        <v>1506.85</v>
      </c>
      <c r="R525">
        <v>1126528</v>
      </c>
    </row>
    <row r="526" spans="1:18" x14ac:dyDescent="0.25">
      <c r="A526" s="170">
        <v>42775</v>
      </c>
      <c r="B526" s="116">
        <v>1006.6666666666666</v>
      </c>
      <c r="C526" s="116">
        <v>992.73333333333323</v>
      </c>
      <c r="D526" s="116">
        <v>986.0333333333333</v>
      </c>
      <c r="E526" s="116">
        <v>1003.8000000000001</v>
      </c>
      <c r="F526" s="116">
        <v>1489.1</v>
      </c>
      <c r="G526">
        <v>114795</v>
      </c>
      <c r="H526" s="116"/>
      <c r="I526" s="116"/>
      <c r="L526" s="170">
        <v>42775</v>
      </c>
      <c r="M526" s="116">
        <v>993.80000000000007</v>
      </c>
      <c r="N526" s="116">
        <v>1007.2333333333332</v>
      </c>
      <c r="O526" s="116">
        <v>984.26666666666677</v>
      </c>
      <c r="P526" s="116">
        <v>1005.3333333333334</v>
      </c>
      <c r="Q526" s="116">
        <v>1490.7</v>
      </c>
      <c r="R526">
        <v>1019504</v>
      </c>
    </row>
    <row r="527" spans="1:18" x14ac:dyDescent="0.25">
      <c r="A527" s="170">
        <v>42776</v>
      </c>
      <c r="B527" s="116">
        <v>1005.1333333333333</v>
      </c>
      <c r="C527" s="116">
        <v>1000.7333333333332</v>
      </c>
      <c r="D527" s="116">
        <v>995</v>
      </c>
      <c r="E527" s="116">
        <v>996.66666666666663</v>
      </c>
      <c r="F527" s="116">
        <v>1501.1</v>
      </c>
      <c r="G527">
        <v>82084</v>
      </c>
      <c r="H527" s="116"/>
      <c r="I527" s="116"/>
      <c r="L527" s="170">
        <v>42776</v>
      </c>
      <c r="M527" s="116">
        <v>1001.3000000000001</v>
      </c>
      <c r="N527" s="116">
        <v>1005.4333333333334</v>
      </c>
      <c r="O527" s="116">
        <v>994.83333333333337</v>
      </c>
      <c r="P527" s="116">
        <v>996.83333333333337</v>
      </c>
      <c r="Q527" s="116">
        <v>1501.95</v>
      </c>
      <c r="R527">
        <v>867324</v>
      </c>
    </row>
    <row r="528" spans="1:18" x14ac:dyDescent="0.25">
      <c r="A528" s="170">
        <v>42779</v>
      </c>
      <c r="B528" s="116">
        <v>1005.4333333333334</v>
      </c>
      <c r="C528" s="116">
        <v>998.16666666666663</v>
      </c>
      <c r="D528" s="116">
        <v>988.4</v>
      </c>
      <c r="E528" s="116">
        <v>1003.3333333333334</v>
      </c>
      <c r="F528" s="116">
        <v>1497.25</v>
      </c>
      <c r="G528">
        <v>73466</v>
      </c>
      <c r="H528" s="116"/>
      <c r="I528" s="116"/>
      <c r="L528" s="170">
        <v>42779</v>
      </c>
      <c r="M528" s="116">
        <v>1000.1</v>
      </c>
      <c r="N528" s="116">
        <v>1006</v>
      </c>
      <c r="O528" s="116">
        <v>987.69999999999993</v>
      </c>
      <c r="P528" s="116">
        <v>1003.6999999999999</v>
      </c>
      <c r="Q528" s="116">
        <v>1500.15</v>
      </c>
      <c r="R528">
        <v>620031</v>
      </c>
    </row>
    <row r="529" spans="1:18" x14ac:dyDescent="0.25">
      <c r="A529" s="170">
        <v>42780</v>
      </c>
      <c r="B529" s="116">
        <v>1002.6666666666666</v>
      </c>
      <c r="C529" s="116">
        <v>995.26666666666677</v>
      </c>
      <c r="D529" s="116">
        <v>991.0333333333333</v>
      </c>
      <c r="E529" s="116">
        <v>1002</v>
      </c>
      <c r="F529" s="116">
        <v>1492.9</v>
      </c>
      <c r="G529">
        <v>56155</v>
      </c>
      <c r="H529" s="116"/>
      <c r="I529" s="116"/>
      <c r="L529" s="170">
        <v>42780</v>
      </c>
      <c r="M529" s="116">
        <v>995.06666666666661</v>
      </c>
      <c r="N529" s="116">
        <v>1004.6333333333333</v>
      </c>
      <c r="O529" s="116">
        <v>990.66666666666663</v>
      </c>
      <c r="P529" s="116">
        <v>1003.3333333333334</v>
      </c>
      <c r="Q529" s="116">
        <v>1492.6</v>
      </c>
      <c r="R529">
        <v>617697</v>
      </c>
    </row>
    <row r="530" spans="1:18" x14ac:dyDescent="0.25">
      <c r="A530" s="170">
        <v>42781</v>
      </c>
      <c r="B530" s="116">
        <v>1003.3000000000001</v>
      </c>
      <c r="C530" s="116">
        <v>986.73333333333323</v>
      </c>
      <c r="D530" s="116">
        <v>984.66666666666663</v>
      </c>
      <c r="E530" s="116">
        <v>995.26666666666677</v>
      </c>
      <c r="F530" s="116">
        <v>1480.1</v>
      </c>
      <c r="G530">
        <v>118962</v>
      </c>
      <c r="H530" s="116"/>
      <c r="I530" s="116"/>
      <c r="L530" s="170">
        <v>42781</v>
      </c>
      <c r="M530" s="116">
        <v>986.66666666666663</v>
      </c>
      <c r="N530" s="116">
        <v>1003.8000000000001</v>
      </c>
      <c r="O530" s="116">
        <v>984.1</v>
      </c>
      <c r="P530" s="116">
        <v>995.13333333333333</v>
      </c>
      <c r="Q530" s="116">
        <v>1480</v>
      </c>
      <c r="R530">
        <v>1301646</v>
      </c>
    </row>
    <row r="531" spans="1:18" x14ac:dyDescent="0.25">
      <c r="A531" s="170">
        <v>42782</v>
      </c>
      <c r="B531" s="116">
        <v>990.5333333333333</v>
      </c>
      <c r="C531" s="116">
        <v>980.26666666666677</v>
      </c>
      <c r="D531" s="116">
        <v>974.66666666666663</v>
      </c>
      <c r="E531" s="116">
        <v>986.73333333333323</v>
      </c>
      <c r="F531" s="116">
        <v>1470.4</v>
      </c>
      <c r="G531">
        <v>119106</v>
      </c>
      <c r="H531" s="116"/>
      <c r="I531" s="116"/>
      <c r="L531" s="170">
        <v>42782</v>
      </c>
      <c r="M531" s="116">
        <v>980.16666666666663</v>
      </c>
      <c r="N531" s="116">
        <v>990</v>
      </c>
      <c r="O531" s="116">
        <v>974.0333333333333</v>
      </c>
      <c r="P531" s="116">
        <v>989.26666666666677</v>
      </c>
      <c r="Q531" s="116">
        <v>1470.25</v>
      </c>
      <c r="R531">
        <v>1381298</v>
      </c>
    </row>
    <row r="532" spans="1:18" x14ac:dyDescent="0.25">
      <c r="A532" s="170">
        <v>42783</v>
      </c>
      <c r="B532" s="116">
        <v>990</v>
      </c>
      <c r="C532" s="116">
        <v>985.33333333333337</v>
      </c>
      <c r="D532" s="116">
        <v>976.69999999999993</v>
      </c>
      <c r="E532" s="116">
        <v>981.26666666666677</v>
      </c>
      <c r="F532" s="116">
        <v>1478</v>
      </c>
      <c r="G532">
        <v>79529</v>
      </c>
      <c r="H532" s="116"/>
      <c r="I532" s="116"/>
      <c r="L532" s="170">
        <v>42783</v>
      </c>
      <c r="M532" s="116">
        <v>985.33333333333337</v>
      </c>
      <c r="N532" s="116">
        <v>990</v>
      </c>
      <c r="O532" s="116">
        <v>976.66666666666663</v>
      </c>
      <c r="P532" s="116">
        <v>980.69999999999993</v>
      </c>
      <c r="Q532" s="116">
        <v>1478</v>
      </c>
      <c r="R532">
        <v>685794</v>
      </c>
    </row>
    <row r="533" spans="1:18" x14ac:dyDescent="0.25">
      <c r="A533" s="170">
        <v>42786</v>
      </c>
      <c r="B533" s="116">
        <v>993.66666666666663</v>
      </c>
      <c r="C533" s="116">
        <v>987.76666666666677</v>
      </c>
      <c r="D533" s="116">
        <v>984</v>
      </c>
      <c r="E533" s="116">
        <v>986.66666666666663</v>
      </c>
      <c r="F533" s="116">
        <v>1481.65</v>
      </c>
      <c r="G533">
        <v>69396</v>
      </c>
      <c r="H533" s="116"/>
      <c r="I533" s="116"/>
      <c r="L533" s="170">
        <v>42786</v>
      </c>
      <c r="M533" s="116">
        <v>988.43333333333339</v>
      </c>
      <c r="N533" s="116">
        <v>994.66666666666663</v>
      </c>
      <c r="O533" s="116">
        <v>983.36666666666667</v>
      </c>
      <c r="P533" s="116">
        <v>988.56666666666661</v>
      </c>
      <c r="Q533" s="116">
        <v>1482.65</v>
      </c>
      <c r="R533">
        <v>736914</v>
      </c>
    </row>
    <row r="534" spans="1:18" x14ac:dyDescent="0.25">
      <c r="A534" s="170">
        <v>42787</v>
      </c>
      <c r="B534" s="116">
        <v>993.33333333333337</v>
      </c>
      <c r="C534" s="116">
        <v>988.63333333333333</v>
      </c>
      <c r="D534" s="116">
        <v>985.69999999999993</v>
      </c>
      <c r="E534" s="116">
        <v>988.6</v>
      </c>
      <c r="F534" s="116">
        <v>1482.95</v>
      </c>
      <c r="G534">
        <v>41089</v>
      </c>
      <c r="H534" s="116"/>
      <c r="I534" s="116"/>
      <c r="L534" s="170">
        <v>42787</v>
      </c>
      <c r="M534" s="116">
        <v>988.86666666666667</v>
      </c>
      <c r="N534" s="116">
        <v>993.4</v>
      </c>
      <c r="O534" s="116">
        <v>984</v>
      </c>
      <c r="P534" s="116">
        <v>984</v>
      </c>
      <c r="Q534" s="116">
        <v>1483.3</v>
      </c>
      <c r="R534">
        <v>647077</v>
      </c>
    </row>
    <row r="535" spans="1:18" x14ac:dyDescent="0.25">
      <c r="A535" s="170">
        <v>42788</v>
      </c>
      <c r="B535" s="116">
        <v>992.66666666666663</v>
      </c>
      <c r="C535" s="116">
        <v>984.83333333333337</v>
      </c>
      <c r="D535" s="116">
        <v>982.23333333333323</v>
      </c>
      <c r="E535" s="116">
        <v>988.66666666666663</v>
      </c>
      <c r="F535" s="116">
        <v>1477.25</v>
      </c>
      <c r="G535">
        <v>107627</v>
      </c>
      <c r="H535" s="116"/>
      <c r="I535" s="116"/>
      <c r="L535" s="170">
        <v>42788</v>
      </c>
      <c r="M535" s="116">
        <v>984.63333333333333</v>
      </c>
      <c r="N535" s="116">
        <v>992.5</v>
      </c>
      <c r="O535" s="116">
        <v>981.86666666666667</v>
      </c>
      <c r="P535" s="116">
        <v>988.66666666666663</v>
      </c>
      <c r="Q535" s="116">
        <v>1476.95</v>
      </c>
      <c r="R535">
        <v>860878</v>
      </c>
    </row>
    <row r="536" spans="1:18" x14ac:dyDescent="0.25">
      <c r="A536" s="170">
        <v>42789</v>
      </c>
      <c r="B536" s="116">
        <v>1003.1666666666666</v>
      </c>
      <c r="C536" s="116">
        <v>990.69999999999993</v>
      </c>
      <c r="D536" s="116">
        <v>980</v>
      </c>
      <c r="E536" s="116">
        <v>983.33333333333337</v>
      </c>
      <c r="F536" s="116">
        <v>1486.05</v>
      </c>
      <c r="G536">
        <v>162828</v>
      </c>
      <c r="H536" s="116"/>
      <c r="I536" s="116"/>
      <c r="L536" s="170">
        <v>42789</v>
      </c>
      <c r="M536" s="116">
        <v>991.06666666666661</v>
      </c>
      <c r="N536" s="116">
        <v>1004</v>
      </c>
      <c r="O536" s="116">
        <v>978.80000000000007</v>
      </c>
      <c r="P536" s="116">
        <v>986.66666666666663</v>
      </c>
      <c r="Q536" s="116">
        <v>1486.6</v>
      </c>
      <c r="R536">
        <v>1450265</v>
      </c>
    </row>
    <row r="537" spans="1:18" x14ac:dyDescent="0.25">
      <c r="A537" s="170">
        <v>42793</v>
      </c>
      <c r="B537" s="116">
        <v>999.33333333333337</v>
      </c>
      <c r="C537" s="116">
        <v>978.83333333333337</v>
      </c>
      <c r="D537" s="116">
        <v>974.4</v>
      </c>
      <c r="E537" s="116">
        <v>996</v>
      </c>
      <c r="F537" s="116">
        <v>1468.25</v>
      </c>
      <c r="G537">
        <v>81486</v>
      </c>
      <c r="H537" s="116"/>
      <c r="I537" s="116"/>
      <c r="L537" s="170">
        <v>42793</v>
      </c>
      <c r="M537" s="116">
        <v>977.23333333333323</v>
      </c>
      <c r="N537" s="116">
        <v>1000</v>
      </c>
      <c r="O537" s="116">
        <v>973.4</v>
      </c>
      <c r="P537" s="116">
        <v>996.4666666666667</v>
      </c>
      <c r="Q537" s="116">
        <v>1465.85</v>
      </c>
      <c r="R537">
        <v>1035933</v>
      </c>
    </row>
    <row r="538" spans="1:18" x14ac:dyDescent="0.25">
      <c r="A538" s="170">
        <v>42794</v>
      </c>
      <c r="B538" s="116">
        <v>991.33333333333337</v>
      </c>
      <c r="C538" s="116">
        <v>980.16666666666663</v>
      </c>
      <c r="D538" s="116">
        <v>977</v>
      </c>
      <c r="E538" s="116">
        <v>978.80000000000007</v>
      </c>
      <c r="F538" s="116">
        <v>1470.25</v>
      </c>
      <c r="G538">
        <v>84084</v>
      </c>
      <c r="H538" s="116"/>
      <c r="I538" s="116"/>
      <c r="L538" s="170">
        <v>42794</v>
      </c>
      <c r="M538" s="116">
        <v>979.4666666666667</v>
      </c>
      <c r="N538" s="116">
        <v>991.9666666666667</v>
      </c>
      <c r="O538" s="116">
        <v>977.43333333333339</v>
      </c>
      <c r="P538" s="116">
        <v>981.33333333333337</v>
      </c>
      <c r="Q538" s="116">
        <v>1469.2</v>
      </c>
      <c r="R538">
        <v>1182372</v>
      </c>
    </row>
    <row r="539" spans="1:18" x14ac:dyDescent="0.25">
      <c r="A539" s="170">
        <v>42795</v>
      </c>
      <c r="B539" s="116">
        <v>990</v>
      </c>
      <c r="C539" s="116">
        <v>983.5333333333333</v>
      </c>
      <c r="D539" s="116">
        <v>980.13333333333333</v>
      </c>
      <c r="E539" s="116">
        <v>980.13333333333333</v>
      </c>
      <c r="F539" s="116">
        <v>1475.3</v>
      </c>
      <c r="G539">
        <v>106253</v>
      </c>
      <c r="H539" s="116"/>
      <c r="I539" s="116"/>
      <c r="L539" s="170">
        <v>42795</v>
      </c>
      <c r="M539" s="116">
        <v>984.1</v>
      </c>
      <c r="N539" s="116">
        <v>989.9</v>
      </c>
      <c r="O539" s="116">
        <v>980.76666666666677</v>
      </c>
      <c r="P539" s="116">
        <v>981.33333333333337</v>
      </c>
      <c r="Q539" s="116">
        <v>1476.15</v>
      </c>
      <c r="R539">
        <v>812941</v>
      </c>
    </row>
    <row r="540" spans="1:18" x14ac:dyDescent="0.25">
      <c r="A540" s="170">
        <v>42796</v>
      </c>
      <c r="B540" s="116">
        <v>996.66666666666663</v>
      </c>
      <c r="C540" s="116">
        <v>983.33333333333337</v>
      </c>
      <c r="D540" s="116">
        <v>980.73333333333323</v>
      </c>
      <c r="E540" s="116">
        <v>986.73333333333323</v>
      </c>
      <c r="F540" s="116">
        <v>1475</v>
      </c>
      <c r="G540">
        <v>128469</v>
      </c>
      <c r="H540" s="116"/>
      <c r="I540" s="116"/>
      <c r="L540" s="170">
        <v>42796</v>
      </c>
      <c r="M540" s="116">
        <v>982.63333333333333</v>
      </c>
      <c r="N540" s="116">
        <v>996.9</v>
      </c>
      <c r="O540" s="116">
        <v>980</v>
      </c>
      <c r="P540" s="116">
        <v>988.0333333333333</v>
      </c>
      <c r="Q540" s="116">
        <v>1473.95</v>
      </c>
      <c r="R540">
        <v>1280144</v>
      </c>
    </row>
    <row r="541" spans="1:18" x14ac:dyDescent="0.25">
      <c r="A541" s="170">
        <v>42797</v>
      </c>
      <c r="B541" s="116">
        <v>985.30000000000007</v>
      </c>
      <c r="C541" s="116">
        <v>979.36666666666667</v>
      </c>
      <c r="D541" s="116">
        <v>973.5</v>
      </c>
      <c r="E541" s="116">
        <v>980</v>
      </c>
      <c r="F541" s="116">
        <v>1469.05</v>
      </c>
      <c r="G541">
        <v>72219</v>
      </c>
      <c r="H541" s="116"/>
      <c r="I541" s="116"/>
      <c r="L541" s="170">
        <v>42797</v>
      </c>
      <c r="M541" s="116">
        <v>980.23333333333323</v>
      </c>
      <c r="N541" s="116">
        <v>985.56666666666661</v>
      </c>
      <c r="O541" s="116">
        <v>973.33333333333337</v>
      </c>
      <c r="P541" s="116">
        <v>980.9</v>
      </c>
      <c r="Q541" s="116">
        <v>1470.35</v>
      </c>
      <c r="R541">
        <v>803346</v>
      </c>
    </row>
    <row r="542" spans="1:18" x14ac:dyDescent="0.25">
      <c r="A542" s="170">
        <v>42800</v>
      </c>
      <c r="B542" s="116">
        <v>989.9666666666667</v>
      </c>
      <c r="C542" s="116">
        <v>988.06666666666661</v>
      </c>
      <c r="D542" s="116">
        <v>978.66666666666663</v>
      </c>
      <c r="E542" s="116">
        <v>978.66666666666663</v>
      </c>
      <c r="F542" s="116">
        <v>1482.1</v>
      </c>
      <c r="G542">
        <v>74631</v>
      </c>
      <c r="H542" s="116"/>
      <c r="I542" s="116"/>
      <c r="L542" s="170">
        <v>42800</v>
      </c>
      <c r="M542" s="116">
        <v>990.4</v>
      </c>
      <c r="N542" s="116">
        <v>992.66666666666663</v>
      </c>
      <c r="O542" s="116">
        <v>978.66666666666663</v>
      </c>
      <c r="P542" s="116">
        <v>978.66666666666663</v>
      </c>
      <c r="Q542" s="116">
        <v>1485.6</v>
      </c>
      <c r="R542">
        <v>547991</v>
      </c>
    </row>
    <row r="543" spans="1:18" x14ac:dyDescent="0.25">
      <c r="A543" s="170">
        <v>42801</v>
      </c>
      <c r="B543" s="116">
        <v>994.26666666666677</v>
      </c>
      <c r="C543" s="116">
        <v>989.76666666666677</v>
      </c>
      <c r="D543" s="116">
        <v>985.4</v>
      </c>
      <c r="E543" s="116">
        <v>987.9666666666667</v>
      </c>
      <c r="F543" s="116">
        <v>1484.65</v>
      </c>
      <c r="G543">
        <v>67211</v>
      </c>
      <c r="H543" s="116"/>
      <c r="I543" s="116"/>
      <c r="L543" s="170">
        <v>42801</v>
      </c>
      <c r="M543" s="116">
        <v>990.93333333333339</v>
      </c>
      <c r="N543" s="116">
        <v>994.36666666666667</v>
      </c>
      <c r="O543" s="116">
        <v>986.30000000000007</v>
      </c>
      <c r="P543" s="116">
        <v>989.33333333333337</v>
      </c>
      <c r="Q543" s="116">
        <v>1486.4</v>
      </c>
      <c r="R543">
        <v>661044</v>
      </c>
    </row>
    <row r="544" spans="1:18" x14ac:dyDescent="0.25">
      <c r="A544" s="170">
        <v>42802</v>
      </c>
      <c r="B544" s="116">
        <v>996</v>
      </c>
      <c r="C544" s="116">
        <v>983.4666666666667</v>
      </c>
      <c r="D544" s="116">
        <v>980.06666666666661</v>
      </c>
      <c r="E544" s="116">
        <v>990.66666666666663</v>
      </c>
      <c r="F544" s="116">
        <v>1475.2</v>
      </c>
      <c r="G544">
        <v>85074</v>
      </c>
      <c r="H544" s="116"/>
      <c r="I544" s="116"/>
      <c r="L544" s="170">
        <v>42802</v>
      </c>
      <c r="M544" s="116">
        <v>984.19999999999993</v>
      </c>
      <c r="N544" s="116">
        <v>996.33333333333337</v>
      </c>
      <c r="O544" s="116">
        <v>979.23333333333323</v>
      </c>
      <c r="P544" s="116">
        <v>989.6</v>
      </c>
      <c r="Q544" s="116">
        <v>1476.3</v>
      </c>
      <c r="R544">
        <v>949575</v>
      </c>
    </row>
    <row r="545" spans="1:18" x14ac:dyDescent="0.25">
      <c r="A545" s="170">
        <v>42803</v>
      </c>
      <c r="B545" s="116">
        <v>986.66666666666663</v>
      </c>
      <c r="C545" s="116">
        <v>984.63333333333333</v>
      </c>
      <c r="D545" s="116">
        <v>976.5</v>
      </c>
      <c r="E545" s="116">
        <v>983.4666666666667</v>
      </c>
      <c r="F545" s="116">
        <v>1476.95</v>
      </c>
      <c r="G545">
        <v>95082</v>
      </c>
      <c r="H545" s="116"/>
      <c r="I545" s="116"/>
      <c r="L545" s="170">
        <v>42803</v>
      </c>
      <c r="M545" s="116">
        <v>984.6</v>
      </c>
      <c r="N545" s="116">
        <v>988.5333333333333</v>
      </c>
      <c r="O545" s="116">
        <v>976.66666666666663</v>
      </c>
      <c r="P545" s="116">
        <v>981.93333333333339</v>
      </c>
      <c r="Q545" s="116">
        <v>1476.9</v>
      </c>
      <c r="R545">
        <v>740700</v>
      </c>
    </row>
    <row r="546" spans="1:18" x14ac:dyDescent="0.25">
      <c r="A546" s="170">
        <v>42804</v>
      </c>
      <c r="B546" s="116">
        <v>997.33333333333337</v>
      </c>
      <c r="C546" s="116">
        <v>994.63333333333333</v>
      </c>
      <c r="D546" s="116">
        <v>986.66666666666663</v>
      </c>
      <c r="E546" s="116">
        <v>986.66666666666663</v>
      </c>
      <c r="F546" s="116">
        <v>1491.95</v>
      </c>
      <c r="G546">
        <v>156954</v>
      </c>
      <c r="H546" s="116"/>
      <c r="I546" s="116"/>
      <c r="L546" s="170">
        <v>42804</v>
      </c>
      <c r="M546" s="116">
        <v>994.4</v>
      </c>
      <c r="N546" s="116">
        <v>998.33333333333337</v>
      </c>
      <c r="O546" s="116">
        <v>986.69999999999993</v>
      </c>
      <c r="P546" s="116">
        <v>987.26666666666677</v>
      </c>
      <c r="Q546" s="116">
        <v>1491.6</v>
      </c>
      <c r="R546">
        <v>1224176</v>
      </c>
    </row>
    <row r="547" spans="1:18" x14ac:dyDescent="0.25">
      <c r="A547" s="170">
        <v>42808</v>
      </c>
      <c r="B547" s="116">
        <v>1045.9333333333334</v>
      </c>
      <c r="C547" s="116">
        <v>1038.3666666666666</v>
      </c>
      <c r="D547" s="116">
        <v>1008</v>
      </c>
      <c r="E547" s="116">
        <v>1008</v>
      </c>
      <c r="F547" s="116">
        <v>1557.55</v>
      </c>
      <c r="G547">
        <v>465906</v>
      </c>
      <c r="H547" s="116"/>
      <c r="I547" s="116"/>
      <c r="L547" s="170">
        <v>42808</v>
      </c>
      <c r="M547" s="116">
        <v>1038.7333333333333</v>
      </c>
      <c r="N547" s="116">
        <v>1045.8</v>
      </c>
      <c r="O547" s="116">
        <v>1011.3333333333334</v>
      </c>
      <c r="P547" s="116">
        <v>1011.3333333333334</v>
      </c>
      <c r="Q547" s="116">
        <v>1558.1</v>
      </c>
      <c r="R547">
        <v>4816540</v>
      </c>
    </row>
    <row r="548" spans="1:18" x14ac:dyDescent="0.25">
      <c r="A548" s="170">
        <v>42809</v>
      </c>
      <c r="B548" s="116">
        <v>1039.6333333333334</v>
      </c>
      <c r="C548" s="116">
        <v>1031.5333333333333</v>
      </c>
      <c r="D548" s="116">
        <v>1027.3333333333333</v>
      </c>
      <c r="E548" s="116">
        <v>1038.6666666666667</v>
      </c>
      <c r="F548" s="116">
        <v>1547.3</v>
      </c>
      <c r="G548">
        <v>349206</v>
      </c>
      <c r="H548" s="116"/>
      <c r="I548" s="116"/>
      <c r="L548" s="170">
        <v>42809</v>
      </c>
      <c r="M548" s="116">
        <v>1032.6000000000001</v>
      </c>
      <c r="N548" s="116">
        <v>1040</v>
      </c>
      <c r="O548" s="116">
        <v>1026.8</v>
      </c>
      <c r="P548" s="116">
        <v>1038</v>
      </c>
      <c r="Q548" s="116">
        <v>1548.9</v>
      </c>
      <c r="R548">
        <v>1605911</v>
      </c>
    </row>
    <row r="549" spans="1:18" x14ac:dyDescent="0.25">
      <c r="A549" s="170">
        <v>42810</v>
      </c>
      <c r="B549" s="116">
        <v>1049.6000000000001</v>
      </c>
      <c r="C549" s="116">
        <v>1045.5333333333333</v>
      </c>
      <c r="D549" s="116">
        <v>1036.6666666666667</v>
      </c>
      <c r="E549" s="116">
        <v>1036.6666666666667</v>
      </c>
      <c r="F549" s="116">
        <v>1568.3</v>
      </c>
      <c r="G549">
        <v>132474</v>
      </c>
      <c r="H549" s="116"/>
      <c r="I549" s="116"/>
      <c r="L549" s="170">
        <v>42810</v>
      </c>
      <c r="M549" s="116">
        <v>1047.3666666666666</v>
      </c>
      <c r="N549" s="116">
        <v>1050</v>
      </c>
      <c r="O549" s="116">
        <v>1038.6666666666667</v>
      </c>
      <c r="P549" s="116">
        <v>1039.3333333333333</v>
      </c>
      <c r="Q549" s="116">
        <v>1571.05</v>
      </c>
      <c r="R549">
        <v>1597431</v>
      </c>
    </row>
    <row r="550" spans="1:18" x14ac:dyDescent="0.25">
      <c r="A550" s="170">
        <v>42811</v>
      </c>
      <c r="B550" s="116">
        <v>1048.5333333333333</v>
      </c>
      <c r="C550" s="116">
        <v>1033.8</v>
      </c>
      <c r="D550" s="116">
        <v>1029.3666666666666</v>
      </c>
      <c r="E550" s="116">
        <v>1040.7666666666667</v>
      </c>
      <c r="F550" s="116">
        <v>1550.7</v>
      </c>
      <c r="G550">
        <v>74549</v>
      </c>
      <c r="H550" s="116"/>
      <c r="I550" s="116"/>
      <c r="L550" s="170">
        <v>42811</v>
      </c>
      <c r="M550" s="116">
        <v>1035.0333333333333</v>
      </c>
      <c r="N550" s="116">
        <v>1048.6000000000001</v>
      </c>
      <c r="O550" s="116">
        <v>1029.4333333333334</v>
      </c>
      <c r="P550" s="116">
        <v>1047.3666666666666</v>
      </c>
      <c r="Q550" s="116">
        <v>1552.55</v>
      </c>
      <c r="R550">
        <v>1285322</v>
      </c>
    </row>
    <row r="551" spans="1:18" x14ac:dyDescent="0.25">
      <c r="A551" s="170">
        <v>42814</v>
      </c>
      <c r="B551" s="116">
        <v>1036.2666666666667</v>
      </c>
      <c r="C551" s="116">
        <v>1025.5</v>
      </c>
      <c r="D551" s="116">
        <v>1024.0666666666666</v>
      </c>
      <c r="E551" s="116">
        <v>1033.8</v>
      </c>
      <c r="F551" s="116">
        <v>1538.25</v>
      </c>
      <c r="G551">
        <v>89245</v>
      </c>
      <c r="H551" s="116"/>
      <c r="I551" s="116"/>
      <c r="L551" s="170">
        <v>42814</v>
      </c>
      <c r="M551" s="116">
        <v>1025.1000000000001</v>
      </c>
      <c r="N551" s="116">
        <v>1036.9333333333334</v>
      </c>
      <c r="O551" s="116">
        <v>1023.5</v>
      </c>
      <c r="P551" s="116">
        <v>1036</v>
      </c>
      <c r="Q551" s="116">
        <v>1537.65</v>
      </c>
      <c r="R551">
        <v>961405</v>
      </c>
    </row>
    <row r="552" spans="1:18" x14ac:dyDescent="0.25">
      <c r="A552" s="170">
        <v>42815</v>
      </c>
      <c r="B552" s="116">
        <v>1043.3333333333333</v>
      </c>
      <c r="C552" s="116">
        <v>1033.0333333333333</v>
      </c>
      <c r="D552" s="116">
        <v>1029.1666666666667</v>
      </c>
      <c r="E552" s="116">
        <v>1032.6666666666667</v>
      </c>
      <c r="F552" s="116">
        <v>1549.55</v>
      </c>
      <c r="G552">
        <v>108691</v>
      </c>
      <c r="H552" s="116"/>
      <c r="I552" s="116"/>
      <c r="L552" s="170">
        <v>42815</v>
      </c>
      <c r="M552" s="116">
        <v>1032.7</v>
      </c>
      <c r="N552" s="116">
        <v>1043.0666666666666</v>
      </c>
      <c r="O552" s="116">
        <v>1028.6666666666667</v>
      </c>
      <c r="P552" s="116">
        <v>1033.3333333333333</v>
      </c>
      <c r="Q552" s="116">
        <v>1549.05</v>
      </c>
      <c r="R552">
        <v>1610142</v>
      </c>
    </row>
    <row r="553" spans="1:18" x14ac:dyDescent="0.25">
      <c r="A553" s="170">
        <v>42816</v>
      </c>
      <c r="B553" s="116">
        <v>1034.6666666666667</v>
      </c>
      <c r="C553" s="116">
        <v>1019.9666666666667</v>
      </c>
      <c r="D553" s="116">
        <v>1016.6666666666666</v>
      </c>
      <c r="E553" s="116">
        <v>1026.6000000000001</v>
      </c>
      <c r="F553" s="116">
        <v>1529.95</v>
      </c>
      <c r="G553">
        <v>130044</v>
      </c>
      <c r="H553" s="116"/>
      <c r="I553" s="116"/>
      <c r="L553" s="170">
        <v>42816</v>
      </c>
      <c r="M553" s="116">
        <v>1019.9</v>
      </c>
      <c r="N553" s="116">
        <v>1034.5</v>
      </c>
      <c r="O553" s="116">
        <v>1016.9333333333334</v>
      </c>
      <c r="P553" s="116">
        <v>1025.2333333333333</v>
      </c>
      <c r="Q553" s="116">
        <v>1529.85</v>
      </c>
      <c r="R553">
        <v>2247601</v>
      </c>
    </row>
    <row r="554" spans="1:18" x14ac:dyDescent="0.25">
      <c r="A554" s="170">
        <v>42817</v>
      </c>
      <c r="B554" s="116">
        <v>1039.2666666666667</v>
      </c>
      <c r="C554" s="116">
        <v>1030.7333333333333</v>
      </c>
      <c r="D554" s="116">
        <v>1013.9333333333334</v>
      </c>
      <c r="E554" s="116">
        <v>1024.6666666666667</v>
      </c>
      <c r="F554" s="116">
        <v>1546.1</v>
      </c>
      <c r="G554">
        <v>557644</v>
      </c>
      <c r="H554" s="116"/>
      <c r="I554" s="116"/>
      <c r="L554" s="170">
        <v>42817</v>
      </c>
      <c r="M554" s="116">
        <v>1029.2666666666667</v>
      </c>
      <c r="N554" s="116">
        <v>1038.9333333333334</v>
      </c>
      <c r="O554" s="116">
        <v>1012.6999999999999</v>
      </c>
      <c r="P554" s="116">
        <v>1024.6666666666667</v>
      </c>
      <c r="Q554" s="116">
        <v>1543.9</v>
      </c>
      <c r="R554">
        <v>1674514</v>
      </c>
    </row>
    <row r="555" spans="1:18" x14ac:dyDescent="0.25">
      <c r="A555" s="170">
        <v>42818</v>
      </c>
      <c r="B555" s="116">
        <v>1039.3333333333333</v>
      </c>
      <c r="C555" s="116">
        <v>1034.2333333333333</v>
      </c>
      <c r="D555" s="116">
        <v>1028.0666666666666</v>
      </c>
      <c r="E555" s="116">
        <v>1031.3333333333333</v>
      </c>
      <c r="F555" s="116">
        <v>1551.35</v>
      </c>
      <c r="G555">
        <v>207777</v>
      </c>
      <c r="H555" s="116"/>
      <c r="I555" s="116"/>
      <c r="L555" s="170">
        <v>42818</v>
      </c>
      <c r="M555" s="116">
        <v>1034.1333333333334</v>
      </c>
      <c r="N555" s="116">
        <v>1038.6666666666667</v>
      </c>
      <c r="O555" s="116">
        <v>1027.6666666666667</v>
      </c>
      <c r="P555" s="116">
        <v>1032</v>
      </c>
      <c r="Q555" s="116">
        <v>1551.2</v>
      </c>
      <c r="R555">
        <v>898437</v>
      </c>
    </row>
    <row r="556" spans="1:18" x14ac:dyDescent="0.25">
      <c r="A556" s="170">
        <v>42821</v>
      </c>
      <c r="B556" s="116">
        <v>1038.2666666666667</v>
      </c>
      <c r="C556" s="116">
        <v>1031.1000000000001</v>
      </c>
      <c r="D556" s="116">
        <v>1024.5666666666666</v>
      </c>
      <c r="E556" s="116">
        <v>1033.9666666666667</v>
      </c>
      <c r="F556" s="116">
        <v>1546.65</v>
      </c>
      <c r="G556">
        <v>105313</v>
      </c>
      <c r="H556" s="116"/>
      <c r="I556" s="116"/>
      <c r="L556" s="170">
        <v>42821</v>
      </c>
      <c r="M556" s="116">
        <v>1029.2666666666667</v>
      </c>
      <c r="N556" s="116">
        <v>1036.6666666666667</v>
      </c>
      <c r="O556" s="116">
        <v>1025.3333333333333</v>
      </c>
      <c r="P556" s="116">
        <v>1033.2666666666667</v>
      </c>
      <c r="Q556" s="116">
        <v>1543.9</v>
      </c>
      <c r="R556">
        <v>1055700</v>
      </c>
    </row>
    <row r="557" spans="1:18" x14ac:dyDescent="0.25">
      <c r="A557" s="170">
        <v>42822</v>
      </c>
      <c r="B557" s="116">
        <v>1038.6666666666667</v>
      </c>
      <c r="C557" s="116">
        <v>1030.5</v>
      </c>
      <c r="D557" s="116">
        <v>1028.7666666666667</v>
      </c>
      <c r="E557" s="116">
        <v>1031.3333333333333</v>
      </c>
      <c r="F557" s="116">
        <v>1545.75</v>
      </c>
      <c r="G557">
        <v>258943</v>
      </c>
      <c r="H557" s="116"/>
      <c r="I557" s="116"/>
      <c r="L557" s="170">
        <v>42822</v>
      </c>
      <c r="M557" s="116">
        <v>1029.5</v>
      </c>
      <c r="N557" s="116">
        <v>1038.5333333333333</v>
      </c>
      <c r="O557" s="116">
        <v>1027.3999999999999</v>
      </c>
      <c r="P557" s="116">
        <v>1032</v>
      </c>
      <c r="Q557" s="116">
        <v>1544.25</v>
      </c>
      <c r="R557">
        <v>1752639</v>
      </c>
    </row>
    <row r="558" spans="1:18" x14ac:dyDescent="0.25">
      <c r="A558" s="170">
        <v>42823</v>
      </c>
      <c r="B558" s="116">
        <v>1045</v>
      </c>
      <c r="C558" s="116">
        <v>1037.3666666666666</v>
      </c>
      <c r="D558" s="116">
        <v>1032.5333333333333</v>
      </c>
      <c r="E558" s="116">
        <v>1034</v>
      </c>
      <c r="F558" s="116">
        <v>1556.05</v>
      </c>
      <c r="G558">
        <v>332254</v>
      </c>
      <c r="H558" s="116"/>
      <c r="I558" s="116"/>
      <c r="L558" s="170">
        <v>42823</v>
      </c>
      <c r="M558" s="116">
        <v>1037.7</v>
      </c>
      <c r="N558" s="116">
        <v>1045.0666666666666</v>
      </c>
      <c r="O558" s="116">
        <v>1033.3333333333333</v>
      </c>
      <c r="P558" s="116">
        <v>1036</v>
      </c>
      <c r="Q558" s="116">
        <v>1556.55</v>
      </c>
      <c r="R558">
        <v>1520238</v>
      </c>
    </row>
    <row r="559" spans="1:18" x14ac:dyDescent="0.25">
      <c r="A559" s="170">
        <v>42824</v>
      </c>
      <c r="B559" s="116">
        <v>1046.6666666666667</v>
      </c>
      <c r="C559" s="116">
        <v>1038.4333333333334</v>
      </c>
      <c r="D559" s="116">
        <v>1034.6666666666667</v>
      </c>
      <c r="E559" s="116">
        <v>1040.6666666666667</v>
      </c>
      <c r="F559" s="116">
        <v>1557.65</v>
      </c>
      <c r="G559">
        <v>106023</v>
      </c>
      <c r="H559" s="116"/>
      <c r="I559" s="116"/>
      <c r="L559" s="170">
        <v>42824</v>
      </c>
      <c r="M559" s="116">
        <v>1038.3</v>
      </c>
      <c r="N559" s="116">
        <v>1046.6666666666667</v>
      </c>
      <c r="O559" s="116">
        <v>1034.8333333333333</v>
      </c>
      <c r="P559" s="116">
        <v>1042</v>
      </c>
      <c r="Q559" s="116">
        <v>1557.45</v>
      </c>
      <c r="R559">
        <v>1525551</v>
      </c>
    </row>
    <row r="560" spans="1:18" x14ac:dyDescent="0.25">
      <c r="A560" s="170">
        <v>42825</v>
      </c>
      <c r="B560" s="116">
        <v>1062</v>
      </c>
      <c r="C560" s="116">
        <v>1051.7333333333333</v>
      </c>
      <c r="D560" s="116">
        <v>1035.1000000000001</v>
      </c>
      <c r="E560" s="116">
        <v>1038.6666666666667</v>
      </c>
      <c r="F560" s="116">
        <v>1577.6</v>
      </c>
      <c r="G560">
        <v>228733</v>
      </c>
      <c r="H560" s="116"/>
      <c r="I560" s="116"/>
      <c r="L560" s="170">
        <v>42825</v>
      </c>
      <c r="M560" s="116">
        <v>1049.9333333333334</v>
      </c>
      <c r="N560" s="116">
        <v>1062.4333333333334</v>
      </c>
      <c r="O560" s="116">
        <v>1034.7333333333333</v>
      </c>
      <c r="P560" s="116">
        <v>1034.7333333333333</v>
      </c>
      <c r="Q560" s="116">
        <v>1574.9</v>
      </c>
      <c r="R560">
        <v>2362067</v>
      </c>
    </row>
    <row r="561" spans="1:18" x14ac:dyDescent="0.25">
      <c r="A561" s="170">
        <v>42828</v>
      </c>
      <c r="B561" s="116">
        <v>1110</v>
      </c>
      <c r="C561" s="116">
        <v>1107.1000000000001</v>
      </c>
      <c r="D561" s="116">
        <v>1052</v>
      </c>
      <c r="E561" s="116">
        <v>1052</v>
      </c>
      <c r="F561" s="116">
        <v>1660.65</v>
      </c>
      <c r="G561">
        <v>510136</v>
      </c>
      <c r="H561" s="116"/>
      <c r="I561" s="116"/>
      <c r="L561" s="170">
        <v>42828</v>
      </c>
      <c r="M561" s="116">
        <v>1107.3333333333333</v>
      </c>
      <c r="N561" s="116">
        <v>1110.6666666666667</v>
      </c>
      <c r="O561" s="116">
        <v>1051.0666666666666</v>
      </c>
      <c r="P561" s="116">
        <v>1054.6000000000001</v>
      </c>
      <c r="Q561" s="116">
        <v>1661</v>
      </c>
      <c r="R561">
        <v>4384590</v>
      </c>
    </row>
    <row r="562" spans="1:18" x14ac:dyDescent="0.25">
      <c r="A562" s="170">
        <v>42830</v>
      </c>
      <c r="B562" s="116">
        <v>1133.3333333333333</v>
      </c>
      <c r="C562" s="116">
        <v>1131.2333333333333</v>
      </c>
      <c r="D562" s="116">
        <v>1098.6666666666667</v>
      </c>
      <c r="E562" s="116">
        <v>1107.5333333333333</v>
      </c>
      <c r="F562" s="116">
        <v>1696.85</v>
      </c>
      <c r="G562">
        <v>227772</v>
      </c>
      <c r="H562" s="116"/>
      <c r="I562" s="116"/>
      <c r="L562" s="170">
        <v>42830</v>
      </c>
      <c r="M562" s="116">
        <v>1130.9666666666667</v>
      </c>
      <c r="N562" s="116">
        <v>1133.3</v>
      </c>
      <c r="O562" s="116">
        <v>1098.5666666666666</v>
      </c>
      <c r="P562" s="116">
        <v>1107.3333333333333</v>
      </c>
      <c r="Q562" s="116">
        <v>1696.45</v>
      </c>
      <c r="R562">
        <v>3453199</v>
      </c>
    </row>
    <row r="563" spans="1:18" x14ac:dyDescent="0.25">
      <c r="A563" s="170">
        <v>42831</v>
      </c>
      <c r="B563" s="116">
        <v>1134.3333333333333</v>
      </c>
      <c r="C563" s="116">
        <v>1121.7666666666667</v>
      </c>
      <c r="D563" s="116">
        <v>1113.3333333333333</v>
      </c>
      <c r="E563" s="116">
        <v>1125.2</v>
      </c>
      <c r="F563" s="116">
        <v>1682.65</v>
      </c>
      <c r="G563">
        <v>117885</v>
      </c>
      <c r="H563" s="116"/>
      <c r="I563" s="116"/>
      <c r="L563" s="170">
        <v>42831</v>
      </c>
      <c r="M563" s="116">
        <v>1122.1333333333334</v>
      </c>
      <c r="N563" s="116">
        <v>1134.8999999999999</v>
      </c>
      <c r="O563" s="116">
        <v>1112.6666666666667</v>
      </c>
      <c r="P563" s="116">
        <v>1123.3333333333333</v>
      </c>
      <c r="Q563" s="116">
        <v>1683.2</v>
      </c>
      <c r="R563">
        <v>1827211</v>
      </c>
    </row>
    <row r="564" spans="1:18" x14ac:dyDescent="0.25">
      <c r="A564" s="170">
        <v>42832</v>
      </c>
      <c r="B564" s="116">
        <v>1146.3</v>
      </c>
      <c r="C564" s="116">
        <v>1124.3333333333333</v>
      </c>
      <c r="D564" s="116">
        <v>1113.3333333333333</v>
      </c>
      <c r="E564" s="116">
        <v>1116.5333333333333</v>
      </c>
      <c r="F564" s="116">
        <v>1686.5</v>
      </c>
      <c r="G564">
        <v>439021</v>
      </c>
      <c r="H564" s="116"/>
      <c r="I564" s="116"/>
      <c r="L564" s="170">
        <v>42832</v>
      </c>
      <c r="M564" s="116">
        <v>1123.6666666666667</v>
      </c>
      <c r="N564" s="116">
        <v>1146.6333333333334</v>
      </c>
      <c r="O564" s="116">
        <v>1114.0666666666666</v>
      </c>
      <c r="P564" s="116">
        <v>1116.6666666666667</v>
      </c>
      <c r="Q564" s="116">
        <v>1685.5</v>
      </c>
      <c r="R564">
        <v>2731093</v>
      </c>
    </row>
    <row r="565" spans="1:18" x14ac:dyDescent="0.25">
      <c r="A565" s="170">
        <v>42835</v>
      </c>
      <c r="B565" s="116">
        <v>1142.4333333333334</v>
      </c>
      <c r="C565" s="116">
        <v>1116.4666666666667</v>
      </c>
      <c r="D565" s="116">
        <v>1108.6666666666667</v>
      </c>
      <c r="E565" s="116">
        <v>1123.3999999999999</v>
      </c>
      <c r="F565" s="116">
        <v>1674.7</v>
      </c>
      <c r="G565">
        <v>102416</v>
      </c>
      <c r="H565" s="116"/>
      <c r="I565" s="116"/>
      <c r="L565" s="170">
        <v>42835</v>
      </c>
      <c r="M565" s="116">
        <v>1116.0333333333333</v>
      </c>
      <c r="N565" s="116">
        <v>1139.3999999999999</v>
      </c>
      <c r="O565" s="116">
        <v>1108.6666666666667</v>
      </c>
      <c r="P565" s="116">
        <v>1125.3333333333333</v>
      </c>
      <c r="Q565" s="116">
        <v>1674.05</v>
      </c>
      <c r="R565">
        <v>1604287</v>
      </c>
    </row>
    <row r="566" spans="1:18" x14ac:dyDescent="0.25">
      <c r="A566" s="170">
        <v>42836</v>
      </c>
      <c r="B566" s="116">
        <v>1139.3999999999999</v>
      </c>
      <c r="C566" s="116">
        <v>1136.5333333333333</v>
      </c>
      <c r="D566" s="116">
        <v>1114</v>
      </c>
      <c r="E566" s="116">
        <v>1114.6666666666667</v>
      </c>
      <c r="F566" s="116">
        <v>1704.8</v>
      </c>
      <c r="G566">
        <v>138249</v>
      </c>
      <c r="H566" s="116"/>
      <c r="I566" s="116"/>
      <c r="L566" s="170">
        <v>42836</v>
      </c>
      <c r="M566" s="116">
        <v>1136.6000000000001</v>
      </c>
      <c r="N566" s="116">
        <v>1139.3333333333333</v>
      </c>
      <c r="O566" s="116">
        <v>1114</v>
      </c>
      <c r="P566" s="116">
        <v>1116.0333333333333</v>
      </c>
      <c r="Q566" s="116">
        <v>1704.9</v>
      </c>
      <c r="R566">
        <v>1316084</v>
      </c>
    </row>
    <row r="567" spans="1:18" x14ac:dyDescent="0.25">
      <c r="A567" s="170">
        <v>42837</v>
      </c>
      <c r="B567" s="116">
        <v>1140</v>
      </c>
      <c r="C567" s="116">
        <v>1132.8333333333333</v>
      </c>
      <c r="D567" s="116">
        <v>1118.5</v>
      </c>
      <c r="E567" s="116">
        <v>1132.6666666666667</v>
      </c>
      <c r="F567" s="116">
        <v>1699.25</v>
      </c>
      <c r="G567">
        <v>156020</v>
      </c>
      <c r="H567" s="116"/>
      <c r="I567" s="116"/>
      <c r="L567" s="170">
        <v>42837</v>
      </c>
      <c r="M567" s="116">
        <v>1135.2</v>
      </c>
      <c r="N567" s="116">
        <v>1141</v>
      </c>
      <c r="O567" s="116">
        <v>1117.5333333333333</v>
      </c>
      <c r="P567" s="116">
        <v>1130</v>
      </c>
      <c r="Q567" s="116">
        <v>1702.8</v>
      </c>
      <c r="R567">
        <v>1423376</v>
      </c>
    </row>
    <row r="568" spans="1:18" x14ac:dyDescent="0.25">
      <c r="A568" s="170">
        <v>42838</v>
      </c>
      <c r="B568" s="116">
        <v>1130</v>
      </c>
      <c r="C568" s="116">
        <v>1118.6666666666667</v>
      </c>
      <c r="D568" s="116">
        <v>1114.8666666666666</v>
      </c>
      <c r="E568" s="116">
        <v>1126.7</v>
      </c>
      <c r="F568" s="116">
        <v>1678</v>
      </c>
      <c r="G568">
        <v>79372</v>
      </c>
      <c r="H568" s="116"/>
      <c r="I568" s="116"/>
      <c r="L568" s="170">
        <v>42838</v>
      </c>
      <c r="M568" s="116">
        <v>1119.0333333333333</v>
      </c>
      <c r="N568" s="116">
        <v>1129.6666666666667</v>
      </c>
      <c r="O568" s="116">
        <v>1114.9666666666667</v>
      </c>
      <c r="P568" s="116">
        <v>1129.6666666666667</v>
      </c>
      <c r="Q568" s="116">
        <v>1678.55</v>
      </c>
      <c r="R568">
        <v>1316989</v>
      </c>
    </row>
    <row r="569" spans="1:18" x14ac:dyDescent="0.25">
      <c r="A569" s="170">
        <v>42842</v>
      </c>
      <c r="B569" s="116">
        <v>1125.6666666666667</v>
      </c>
      <c r="C569" s="116">
        <v>1120.2666666666667</v>
      </c>
      <c r="D569" s="116">
        <v>1114.2333333333333</v>
      </c>
      <c r="E569" s="116">
        <v>1120.7</v>
      </c>
      <c r="F569" s="116">
        <v>1680.4</v>
      </c>
      <c r="G569">
        <v>56131</v>
      </c>
      <c r="H569" s="116"/>
      <c r="I569" s="116"/>
      <c r="L569" s="170">
        <v>42842</v>
      </c>
      <c r="M569" s="116">
        <v>1120.8999999999999</v>
      </c>
      <c r="N569" s="116">
        <v>1126.3999999999999</v>
      </c>
      <c r="O569" s="116">
        <v>1113.9333333333334</v>
      </c>
      <c r="P569" s="116">
        <v>1120</v>
      </c>
      <c r="Q569" s="116">
        <v>1681.35</v>
      </c>
      <c r="R569">
        <v>756840</v>
      </c>
    </row>
    <row r="570" spans="1:18" x14ac:dyDescent="0.25">
      <c r="A570" s="170">
        <v>42843</v>
      </c>
      <c r="B570" s="116">
        <v>1133.3333333333333</v>
      </c>
      <c r="C570" s="116">
        <v>1114.1000000000001</v>
      </c>
      <c r="D570" s="116">
        <v>1110</v>
      </c>
      <c r="E570" s="116">
        <v>1133.3333333333333</v>
      </c>
      <c r="F570" s="116">
        <v>1671.15</v>
      </c>
      <c r="G570">
        <v>90453</v>
      </c>
      <c r="H570" s="116"/>
      <c r="I570" s="116"/>
      <c r="L570" s="170">
        <v>42843</v>
      </c>
      <c r="M570" s="116">
        <v>1113</v>
      </c>
      <c r="N570" s="116">
        <v>1132.6333333333334</v>
      </c>
      <c r="O570" s="116">
        <v>1108.8</v>
      </c>
      <c r="P570" s="116">
        <v>1122.6666666666667</v>
      </c>
      <c r="Q570" s="116">
        <v>1669.5</v>
      </c>
      <c r="R570">
        <v>1226326</v>
      </c>
    </row>
    <row r="571" spans="1:18" x14ac:dyDescent="0.25">
      <c r="A571" s="170">
        <v>42844</v>
      </c>
      <c r="B571" s="116">
        <v>1116.6666666666667</v>
      </c>
      <c r="C571" s="116">
        <v>1113.9333333333334</v>
      </c>
      <c r="D571" s="116">
        <v>1108</v>
      </c>
      <c r="E571" s="116">
        <v>1114.7</v>
      </c>
      <c r="F571" s="116">
        <v>1670.9</v>
      </c>
      <c r="G571">
        <v>53053</v>
      </c>
      <c r="H571" s="116"/>
      <c r="I571" s="116"/>
      <c r="L571" s="170">
        <v>42844</v>
      </c>
      <c r="M571" s="116">
        <v>1113.7</v>
      </c>
      <c r="N571" s="116">
        <v>1116.6666666666667</v>
      </c>
      <c r="O571" s="116">
        <v>1107.8999999999999</v>
      </c>
      <c r="P571" s="116">
        <v>1113.3333333333333</v>
      </c>
      <c r="Q571" s="116">
        <v>1670.55</v>
      </c>
      <c r="R571">
        <v>772108</v>
      </c>
    </row>
    <row r="572" spans="1:18" x14ac:dyDescent="0.25">
      <c r="A572" s="170">
        <v>42845</v>
      </c>
      <c r="B572" s="116">
        <v>1123.3333333333333</v>
      </c>
      <c r="C572" s="116">
        <v>1120.7</v>
      </c>
      <c r="D572" s="116">
        <v>1109.0333333333333</v>
      </c>
      <c r="E572" s="116">
        <v>1114</v>
      </c>
      <c r="F572" s="116">
        <v>1681.05</v>
      </c>
      <c r="G572">
        <v>60368</v>
      </c>
      <c r="H572" s="116"/>
      <c r="I572" s="116"/>
      <c r="L572" s="170">
        <v>42845</v>
      </c>
      <c r="M572" s="116">
        <v>1120.8</v>
      </c>
      <c r="N572" s="116">
        <v>1124.3999999999999</v>
      </c>
      <c r="O572" s="116">
        <v>1108.8</v>
      </c>
      <c r="P572" s="116">
        <v>1115.9333333333334</v>
      </c>
      <c r="Q572" s="116">
        <v>1681.2</v>
      </c>
      <c r="R572">
        <v>696126</v>
      </c>
    </row>
    <row r="573" spans="1:18" x14ac:dyDescent="0.25">
      <c r="A573" s="170">
        <v>42846</v>
      </c>
      <c r="B573" s="116">
        <v>1133.9666666666667</v>
      </c>
      <c r="C573" s="116">
        <v>1125.1000000000001</v>
      </c>
      <c r="D573" s="116">
        <v>1119.8666666666666</v>
      </c>
      <c r="E573" s="116">
        <v>1123.3333333333333</v>
      </c>
      <c r="F573" s="116">
        <v>1687.65</v>
      </c>
      <c r="G573">
        <v>92228</v>
      </c>
      <c r="H573" s="116"/>
      <c r="I573" s="116"/>
      <c r="L573" s="170">
        <v>42846</v>
      </c>
      <c r="M573" s="116">
        <v>1125</v>
      </c>
      <c r="N573" s="116">
        <v>1134.4666666666667</v>
      </c>
      <c r="O573" s="116">
        <v>1120</v>
      </c>
      <c r="P573" s="116">
        <v>1130</v>
      </c>
      <c r="Q573" s="116">
        <v>1687.5</v>
      </c>
      <c r="R573">
        <v>1610621</v>
      </c>
    </row>
    <row r="574" spans="1:18" x14ac:dyDescent="0.25">
      <c r="A574" s="170">
        <v>42849</v>
      </c>
      <c r="B574" s="116">
        <v>1156.5333333333333</v>
      </c>
      <c r="C574" s="116">
        <v>1153.7333333333333</v>
      </c>
      <c r="D574" s="116">
        <v>1125.3999999999999</v>
      </c>
      <c r="E574" s="116">
        <v>1125.3999999999999</v>
      </c>
      <c r="F574" s="116">
        <v>1730.6</v>
      </c>
      <c r="G574">
        <v>231864</v>
      </c>
      <c r="H574" s="116"/>
      <c r="I574" s="116"/>
      <c r="L574" s="170">
        <v>42849</v>
      </c>
      <c r="M574" s="116">
        <v>1155.1333333333334</v>
      </c>
      <c r="N574" s="116">
        <v>1157.6000000000001</v>
      </c>
      <c r="O574" s="116">
        <v>1127.3333333333333</v>
      </c>
      <c r="P574" s="116">
        <v>1128.6666666666667</v>
      </c>
      <c r="Q574" s="116">
        <v>1732.7</v>
      </c>
      <c r="R574">
        <v>2159020</v>
      </c>
    </row>
    <row r="575" spans="1:18" x14ac:dyDescent="0.25">
      <c r="A575" s="170">
        <v>42850</v>
      </c>
      <c r="B575" s="116">
        <v>1166</v>
      </c>
      <c r="C575" s="116">
        <v>1163.9666666666667</v>
      </c>
      <c r="D575" s="116">
        <v>1156.6666666666667</v>
      </c>
      <c r="E575" s="116">
        <v>1156.6666666666667</v>
      </c>
      <c r="F575" s="116">
        <v>1745.95</v>
      </c>
      <c r="G575">
        <v>143550</v>
      </c>
      <c r="H575" s="116"/>
      <c r="I575" s="116"/>
      <c r="L575" s="170">
        <v>42850</v>
      </c>
      <c r="M575" s="116">
        <v>1164.0666666666666</v>
      </c>
      <c r="N575" s="116">
        <v>1166.6666666666667</v>
      </c>
      <c r="O575" s="116">
        <v>1157.3333333333333</v>
      </c>
      <c r="P575" s="116">
        <v>1160</v>
      </c>
      <c r="Q575" s="116">
        <v>1746.1</v>
      </c>
      <c r="R575">
        <v>1919863</v>
      </c>
    </row>
    <row r="576" spans="1:18" x14ac:dyDescent="0.25">
      <c r="A576" s="170">
        <v>42851</v>
      </c>
      <c r="B576" s="116">
        <v>1175.8</v>
      </c>
      <c r="C576" s="116">
        <v>1167.3</v>
      </c>
      <c r="D576" s="116">
        <v>1160.4333333333334</v>
      </c>
      <c r="E576" s="116">
        <v>1163.3333333333333</v>
      </c>
      <c r="F576" s="116">
        <v>1750.95</v>
      </c>
      <c r="G576">
        <v>200955</v>
      </c>
      <c r="H576" s="116"/>
      <c r="I576" s="116"/>
      <c r="L576" s="170">
        <v>42851</v>
      </c>
      <c r="M576" s="116">
        <v>1167.5333333333333</v>
      </c>
      <c r="N576" s="116">
        <v>1176</v>
      </c>
      <c r="O576" s="116">
        <v>1160</v>
      </c>
      <c r="P576" s="116">
        <v>1164</v>
      </c>
      <c r="Q576" s="116">
        <v>1751.3</v>
      </c>
      <c r="R576">
        <v>1923815</v>
      </c>
    </row>
    <row r="577" spans="1:18" x14ac:dyDescent="0.25">
      <c r="A577" s="170">
        <v>42852</v>
      </c>
      <c r="B577" s="116">
        <v>1180.6666666666667</v>
      </c>
      <c r="C577" s="116">
        <v>1175.3333333333333</v>
      </c>
      <c r="D577" s="116">
        <v>1160</v>
      </c>
      <c r="E577" s="116">
        <v>1160</v>
      </c>
      <c r="F577" s="116">
        <v>1763</v>
      </c>
      <c r="G577">
        <v>149738</v>
      </c>
      <c r="H577" s="116"/>
      <c r="I577" s="116"/>
      <c r="L577" s="170">
        <v>42852</v>
      </c>
      <c r="M577" s="116">
        <v>1177.8333333333333</v>
      </c>
      <c r="N577" s="116">
        <v>1182.6666666666667</v>
      </c>
      <c r="O577" s="116">
        <v>1162.6666666666667</v>
      </c>
      <c r="P577" s="116">
        <v>1165.2333333333333</v>
      </c>
      <c r="Q577" s="116">
        <v>1766.75</v>
      </c>
      <c r="R577">
        <v>1417418</v>
      </c>
    </row>
    <row r="578" spans="1:18" x14ac:dyDescent="0.25">
      <c r="A578" s="170">
        <v>42853</v>
      </c>
      <c r="B578" s="116">
        <v>1175.3333333333333</v>
      </c>
      <c r="C578" s="116">
        <v>1165.3666666666666</v>
      </c>
      <c r="D578" s="116">
        <v>1160.5</v>
      </c>
      <c r="E578" s="116">
        <v>1173.3333333333333</v>
      </c>
      <c r="F578" s="116">
        <v>1748.05</v>
      </c>
      <c r="G578">
        <v>295399</v>
      </c>
      <c r="H578" s="116"/>
      <c r="I578" s="116"/>
      <c r="L578" s="170">
        <v>42853</v>
      </c>
      <c r="M578" s="116">
        <v>1166.5333333333333</v>
      </c>
      <c r="N578" s="116">
        <v>1177.1666666666667</v>
      </c>
      <c r="O578" s="116">
        <v>1160.1333333333334</v>
      </c>
      <c r="P578" s="116">
        <v>1175.3666666666666</v>
      </c>
      <c r="Q578" s="116">
        <v>1749.8</v>
      </c>
      <c r="R578">
        <v>1091826</v>
      </c>
    </row>
    <row r="579" spans="1:18" x14ac:dyDescent="0.25">
      <c r="A579" s="170">
        <v>42857</v>
      </c>
      <c r="B579" s="116">
        <v>1178</v>
      </c>
      <c r="C579" s="116">
        <v>1153.0333333333333</v>
      </c>
      <c r="D579" s="116">
        <v>1150</v>
      </c>
      <c r="E579" s="116">
        <v>1165.3333333333333</v>
      </c>
      <c r="F579" s="116">
        <v>1729.55</v>
      </c>
      <c r="G579">
        <v>75085</v>
      </c>
      <c r="H579" s="116"/>
      <c r="I579" s="116"/>
      <c r="L579" s="170">
        <v>42857</v>
      </c>
      <c r="M579" s="116">
        <v>1154.7</v>
      </c>
      <c r="N579" s="116">
        <v>1178</v>
      </c>
      <c r="O579" s="116">
        <v>1150</v>
      </c>
      <c r="P579" s="116">
        <v>1166.7333333333333</v>
      </c>
      <c r="Q579" s="116">
        <v>1732.05</v>
      </c>
      <c r="R579">
        <v>1240761</v>
      </c>
    </row>
    <row r="580" spans="1:18" x14ac:dyDescent="0.25">
      <c r="A580" s="170">
        <v>42858</v>
      </c>
      <c r="B580" s="116">
        <v>1162.6333333333334</v>
      </c>
      <c r="C580" s="116">
        <v>1147.0666666666666</v>
      </c>
      <c r="D580" s="116">
        <v>1144.0333333333333</v>
      </c>
      <c r="E580" s="116">
        <v>1153.4333333333334</v>
      </c>
      <c r="F580" s="116">
        <v>1720.6</v>
      </c>
      <c r="G580">
        <v>57685</v>
      </c>
      <c r="H580" s="116"/>
      <c r="I580" s="116"/>
      <c r="L580" s="170">
        <v>42858</v>
      </c>
      <c r="M580" s="116">
        <v>1146.8</v>
      </c>
      <c r="N580" s="116">
        <v>1163.5</v>
      </c>
      <c r="O580" s="116">
        <v>1144</v>
      </c>
      <c r="P580" s="116">
        <v>1157.3333333333333</v>
      </c>
      <c r="Q580" s="116">
        <v>1720.2</v>
      </c>
      <c r="R580">
        <v>864188</v>
      </c>
    </row>
    <row r="581" spans="1:18" x14ac:dyDescent="0.25">
      <c r="A581" s="170">
        <v>42859</v>
      </c>
      <c r="B581" s="116">
        <v>1160.6666666666667</v>
      </c>
      <c r="C581" s="116">
        <v>1154.7333333333333</v>
      </c>
      <c r="D581" s="116">
        <v>1146.6666666666667</v>
      </c>
      <c r="E581" s="116">
        <v>1146.6666666666667</v>
      </c>
      <c r="F581" s="116">
        <v>1732.1</v>
      </c>
      <c r="G581">
        <v>337661</v>
      </c>
      <c r="H581" s="116"/>
      <c r="I581" s="116"/>
      <c r="L581" s="170">
        <v>42859</v>
      </c>
      <c r="M581" s="116">
        <v>1154.4333333333334</v>
      </c>
      <c r="N581" s="116">
        <v>1161.3</v>
      </c>
      <c r="O581" s="116">
        <v>1148</v>
      </c>
      <c r="P581" s="116">
        <v>1149.3333333333333</v>
      </c>
      <c r="Q581" s="116">
        <v>1731.65</v>
      </c>
      <c r="R581">
        <v>836891</v>
      </c>
    </row>
    <row r="582" spans="1:18" x14ac:dyDescent="0.25">
      <c r="A582" s="170">
        <v>42860</v>
      </c>
      <c r="B582" s="116">
        <v>1153.3333333333333</v>
      </c>
      <c r="C582" s="116">
        <v>1149.8999999999999</v>
      </c>
      <c r="D582" s="116">
        <v>1136</v>
      </c>
      <c r="E582" s="116">
        <v>1150</v>
      </c>
      <c r="F582" s="116">
        <v>1724.85</v>
      </c>
      <c r="G582">
        <v>58615</v>
      </c>
      <c r="H582" s="116"/>
      <c r="I582" s="116"/>
      <c r="L582" s="170">
        <v>42860</v>
      </c>
      <c r="M582" s="116">
        <v>1149.6000000000001</v>
      </c>
      <c r="N582" s="116">
        <v>1154.0666666666666</v>
      </c>
      <c r="O582" s="116">
        <v>1135.4666666666667</v>
      </c>
      <c r="P582" s="116">
        <v>1153.3333333333333</v>
      </c>
      <c r="Q582" s="116">
        <v>1724.4</v>
      </c>
      <c r="R582">
        <v>1036761</v>
      </c>
    </row>
    <row r="583" spans="1:18" x14ac:dyDescent="0.25">
      <c r="A583" s="170">
        <v>42863</v>
      </c>
      <c r="B583" s="116">
        <v>1157.9666666666667</v>
      </c>
      <c r="C583" s="116">
        <v>1139.1000000000001</v>
      </c>
      <c r="D583" s="116">
        <v>1136.6666666666667</v>
      </c>
      <c r="E583" s="116">
        <v>1150</v>
      </c>
      <c r="F583" s="116">
        <v>1708.65</v>
      </c>
      <c r="G583">
        <v>184794</v>
      </c>
      <c r="H583" s="116"/>
      <c r="I583" s="116"/>
      <c r="L583" s="170">
        <v>42863</v>
      </c>
      <c r="M583" s="116">
        <v>1139.7333333333333</v>
      </c>
      <c r="N583" s="116">
        <v>1159.2</v>
      </c>
      <c r="O583" s="116">
        <v>1136.7333333333333</v>
      </c>
      <c r="P583" s="116">
        <v>1152</v>
      </c>
      <c r="Q583" s="116">
        <v>1709.6</v>
      </c>
      <c r="R583">
        <v>830744</v>
      </c>
    </row>
    <row r="584" spans="1:18" x14ac:dyDescent="0.25">
      <c r="A584" s="170">
        <v>42864</v>
      </c>
      <c r="B584" s="116">
        <v>1169.6666666666667</v>
      </c>
      <c r="C584" s="116">
        <v>1161.8666666666666</v>
      </c>
      <c r="D584" s="116">
        <v>1136.0666666666666</v>
      </c>
      <c r="E584" s="116">
        <v>1140.6666666666667</v>
      </c>
      <c r="F584" s="116">
        <v>1742.8</v>
      </c>
      <c r="G584">
        <v>143076</v>
      </c>
      <c r="H584" s="116"/>
      <c r="I584" s="116"/>
      <c r="L584" s="170">
        <v>42864</v>
      </c>
      <c r="M584" s="116">
        <v>1163.1000000000001</v>
      </c>
      <c r="N584" s="116">
        <v>1171.3</v>
      </c>
      <c r="O584" s="116">
        <v>1136.6666666666667</v>
      </c>
      <c r="P584" s="116">
        <v>1141.3333333333333</v>
      </c>
      <c r="Q584" s="116">
        <v>1744.65</v>
      </c>
      <c r="R584">
        <v>1224308</v>
      </c>
    </row>
    <row r="585" spans="1:18" x14ac:dyDescent="0.25">
      <c r="A585" s="170">
        <v>42865</v>
      </c>
      <c r="B585" s="116">
        <v>1176.6666666666667</v>
      </c>
      <c r="C585" s="116">
        <v>1160.2</v>
      </c>
      <c r="D585" s="116">
        <v>1155.3333333333333</v>
      </c>
      <c r="E585" s="116">
        <v>1166.6666666666667</v>
      </c>
      <c r="F585" s="116">
        <v>1740.3</v>
      </c>
      <c r="G585">
        <v>99602</v>
      </c>
      <c r="H585" s="116"/>
      <c r="I585" s="116"/>
      <c r="L585" s="170">
        <v>42865</v>
      </c>
      <c r="M585" s="116">
        <v>1159.5</v>
      </c>
      <c r="N585" s="116">
        <v>1176.6666666666667</v>
      </c>
      <c r="O585" s="116">
        <v>1154.0666666666666</v>
      </c>
      <c r="P585" s="116">
        <v>1169.8</v>
      </c>
      <c r="Q585" s="116">
        <v>1739.25</v>
      </c>
      <c r="R585">
        <v>1340085</v>
      </c>
    </row>
    <row r="586" spans="1:18" x14ac:dyDescent="0.25">
      <c r="A586" s="170">
        <v>42866</v>
      </c>
      <c r="B586" s="116">
        <v>1169.3333333333333</v>
      </c>
      <c r="C586" s="116">
        <v>1157.5</v>
      </c>
      <c r="D586" s="116">
        <v>1146.8</v>
      </c>
      <c r="E586" s="116">
        <v>1166.6666666666667</v>
      </c>
      <c r="F586" s="116">
        <v>1736.25</v>
      </c>
      <c r="G586">
        <v>139301</v>
      </c>
      <c r="H586" s="116"/>
      <c r="I586" s="116"/>
      <c r="L586" s="170">
        <v>42866</v>
      </c>
      <c r="M586" s="116">
        <v>1157.8999999999999</v>
      </c>
      <c r="N586" s="116">
        <v>1169.6666666666667</v>
      </c>
      <c r="O586" s="116">
        <v>1146.3999999999999</v>
      </c>
      <c r="P586" s="116">
        <v>1166.6666666666667</v>
      </c>
      <c r="Q586" s="116">
        <v>1736.85</v>
      </c>
      <c r="R586">
        <v>846964</v>
      </c>
    </row>
    <row r="587" spans="1:18" x14ac:dyDescent="0.25">
      <c r="A587" s="170">
        <v>42867</v>
      </c>
      <c r="B587" s="116">
        <v>1171.5</v>
      </c>
      <c r="C587" s="116">
        <v>1159.6666666666667</v>
      </c>
      <c r="D587" s="116">
        <v>1151.7</v>
      </c>
      <c r="E587" s="116">
        <v>1157.5</v>
      </c>
      <c r="F587" s="116">
        <v>1739.5</v>
      </c>
      <c r="G587">
        <v>135236</v>
      </c>
      <c r="H587" s="116"/>
      <c r="I587" s="116"/>
      <c r="L587" s="170">
        <v>42867</v>
      </c>
      <c r="M587" s="116">
        <v>1160.3999999999999</v>
      </c>
      <c r="N587" s="116">
        <v>1171.3333333333333</v>
      </c>
      <c r="O587" s="116">
        <v>1151.0666666666666</v>
      </c>
      <c r="P587" s="116">
        <v>1158.3</v>
      </c>
      <c r="Q587" s="116">
        <v>1740.6</v>
      </c>
      <c r="R587">
        <v>1202512</v>
      </c>
    </row>
    <row r="588" spans="1:18" x14ac:dyDescent="0.25">
      <c r="A588" s="170">
        <v>42870</v>
      </c>
      <c r="B588" s="116">
        <v>1167.6333333333334</v>
      </c>
      <c r="C588" s="116">
        <v>1158.8666666666666</v>
      </c>
      <c r="D588" s="116">
        <v>1155.6333333333334</v>
      </c>
      <c r="E588" s="116">
        <v>1165.8333333333333</v>
      </c>
      <c r="F588" s="116">
        <v>1738.3</v>
      </c>
      <c r="G588">
        <v>47968</v>
      </c>
      <c r="H588" s="116"/>
      <c r="I588" s="116"/>
      <c r="L588" s="170">
        <v>42870</v>
      </c>
      <c r="M588" s="116">
        <v>1161.6000000000001</v>
      </c>
      <c r="N588" s="116">
        <v>1167.7</v>
      </c>
      <c r="O588" s="116">
        <v>1157.6666666666667</v>
      </c>
      <c r="P588" s="116">
        <v>1165.7333333333333</v>
      </c>
      <c r="Q588" s="116">
        <v>1742.4</v>
      </c>
      <c r="R588">
        <v>797134</v>
      </c>
    </row>
    <row r="589" spans="1:18" x14ac:dyDescent="0.25">
      <c r="A589" s="170">
        <v>42871</v>
      </c>
      <c r="B589" s="116">
        <v>1165.3333333333333</v>
      </c>
      <c r="C589" s="116">
        <v>1163.4666666666667</v>
      </c>
      <c r="D589" s="116">
        <v>1151.6000000000001</v>
      </c>
      <c r="E589" s="116">
        <v>1164.3</v>
      </c>
      <c r="F589" s="116">
        <v>1745.2</v>
      </c>
      <c r="G589">
        <v>247762</v>
      </c>
      <c r="H589" s="116"/>
      <c r="I589" s="116"/>
      <c r="L589" s="170">
        <v>42871</v>
      </c>
      <c r="M589" s="116">
        <v>1160.4666666666667</v>
      </c>
      <c r="N589" s="116">
        <v>1165.5</v>
      </c>
      <c r="O589" s="116">
        <v>1151.7</v>
      </c>
      <c r="P589" s="116">
        <v>1164.6666666666667</v>
      </c>
      <c r="Q589" s="116">
        <v>1740.7</v>
      </c>
      <c r="R589">
        <v>1102926</v>
      </c>
    </row>
    <row r="590" spans="1:18" x14ac:dyDescent="0.25">
      <c r="A590" s="170">
        <v>42872</v>
      </c>
      <c r="B590" s="116">
        <v>1176</v>
      </c>
      <c r="C590" s="116">
        <v>1170.3</v>
      </c>
      <c r="D590" s="116">
        <v>1154.4666666666667</v>
      </c>
      <c r="E590" s="116">
        <v>1162.6666666666667</v>
      </c>
      <c r="F590" s="116">
        <v>1755.45</v>
      </c>
      <c r="G590">
        <v>1238188</v>
      </c>
      <c r="H590" s="116"/>
      <c r="I590" s="116"/>
      <c r="L590" s="170">
        <v>42872</v>
      </c>
      <c r="M590" s="116">
        <v>1170.3</v>
      </c>
      <c r="N590" s="116">
        <v>1176</v>
      </c>
      <c r="O590" s="116">
        <v>1153.6666666666667</v>
      </c>
      <c r="P590" s="116">
        <v>1162.6000000000001</v>
      </c>
      <c r="Q590" s="116">
        <v>1755.45</v>
      </c>
      <c r="R590">
        <v>1668586</v>
      </c>
    </row>
    <row r="591" spans="1:18" x14ac:dyDescent="0.25">
      <c r="A591" s="170">
        <v>42873</v>
      </c>
      <c r="B591" s="116">
        <v>1165.3999999999999</v>
      </c>
      <c r="C591" s="116">
        <v>1147.9333333333334</v>
      </c>
      <c r="D591" s="116">
        <v>1145.3666666666666</v>
      </c>
      <c r="E591" s="116">
        <v>1163.3333333333333</v>
      </c>
      <c r="F591" s="116">
        <v>1721.9</v>
      </c>
      <c r="G591">
        <v>63674</v>
      </c>
      <c r="H591" s="116"/>
      <c r="I591" s="116"/>
      <c r="L591" s="170">
        <v>42873</v>
      </c>
      <c r="M591" s="116">
        <v>1148.3999999999999</v>
      </c>
      <c r="N591" s="116">
        <v>1166.7333333333333</v>
      </c>
      <c r="O591" s="116">
        <v>1144.2666666666667</v>
      </c>
      <c r="P591" s="116">
        <v>1159.7666666666667</v>
      </c>
      <c r="Q591" s="116">
        <v>1722.6</v>
      </c>
      <c r="R591">
        <v>1437220</v>
      </c>
    </row>
    <row r="592" spans="1:18" x14ac:dyDescent="0.25">
      <c r="A592" s="170">
        <v>42874</v>
      </c>
      <c r="B592" s="116">
        <v>1155.9333333333334</v>
      </c>
      <c r="C592" s="116">
        <v>1149.3999999999999</v>
      </c>
      <c r="D592" s="116">
        <v>1132.9666666666667</v>
      </c>
      <c r="E592" s="116">
        <v>1152</v>
      </c>
      <c r="F592" s="116">
        <v>1724.1</v>
      </c>
      <c r="G592">
        <v>102033</v>
      </c>
      <c r="H592" s="116"/>
      <c r="I592" s="116"/>
      <c r="L592" s="170">
        <v>42874</v>
      </c>
      <c r="M592" s="116">
        <v>1149.7</v>
      </c>
      <c r="N592" s="116">
        <v>1156</v>
      </c>
      <c r="O592" s="116">
        <v>1131.7</v>
      </c>
      <c r="P592" s="116">
        <v>1152.6666666666667</v>
      </c>
      <c r="Q592" s="116">
        <v>1724.55</v>
      </c>
      <c r="R592">
        <v>1512094</v>
      </c>
    </row>
    <row r="593" spans="1:18" x14ac:dyDescent="0.25">
      <c r="A593" s="170">
        <v>42877</v>
      </c>
      <c r="B593" s="116">
        <v>1172.3999999999999</v>
      </c>
      <c r="C593" s="116">
        <v>1167.8666666666666</v>
      </c>
      <c r="D593" s="116">
        <v>1152</v>
      </c>
      <c r="E593" s="116">
        <v>1155.0333333333333</v>
      </c>
      <c r="F593" s="116">
        <v>1751.8</v>
      </c>
      <c r="G593">
        <v>163063</v>
      </c>
      <c r="H593" s="116"/>
      <c r="I593" s="116"/>
      <c r="L593" s="170">
        <v>42877</v>
      </c>
      <c r="M593" s="116">
        <v>1167.9666666666667</v>
      </c>
      <c r="N593" s="116">
        <v>1172.6666666666667</v>
      </c>
      <c r="O593" s="116">
        <v>1152.6666666666667</v>
      </c>
      <c r="P593" s="116">
        <v>1155.3333333333333</v>
      </c>
      <c r="Q593" s="116">
        <v>1751.95</v>
      </c>
      <c r="R593">
        <v>1892816</v>
      </c>
    </row>
    <row r="594" spans="1:18" x14ac:dyDescent="0.25">
      <c r="A594" s="170">
        <v>42878</v>
      </c>
      <c r="B594" s="116">
        <v>1176</v>
      </c>
      <c r="C594" s="116">
        <v>1160.6666666666667</v>
      </c>
      <c r="D594" s="116">
        <v>1152</v>
      </c>
      <c r="E594" s="116">
        <v>1168</v>
      </c>
      <c r="F594" s="116">
        <v>1741</v>
      </c>
      <c r="G594">
        <v>95687</v>
      </c>
      <c r="H594" s="116"/>
      <c r="I594" s="116"/>
      <c r="L594" s="170">
        <v>42878</v>
      </c>
      <c r="M594" s="116">
        <v>1160.5</v>
      </c>
      <c r="N594" s="116">
        <v>1176.6000000000001</v>
      </c>
      <c r="O594" s="116">
        <v>1151.6000000000001</v>
      </c>
      <c r="P594" s="116">
        <v>1170</v>
      </c>
      <c r="Q594" s="116">
        <v>1740.75</v>
      </c>
      <c r="R594">
        <v>975870</v>
      </c>
    </row>
    <row r="595" spans="1:18" x14ac:dyDescent="0.25">
      <c r="A595" s="170">
        <v>42879</v>
      </c>
      <c r="B595" s="116">
        <v>1170.3</v>
      </c>
      <c r="C595" s="116">
        <v>1123.3</v>
      </c>
      <c r="D595" s="116">
        <v>1120</v>
      </c>
      <c r="E595" s="116">
        <v>1163.3999999999999</v>
      </c>
      <c r="F595" s="116">
        <v>1684.95</v>
      </c>
      <c r="G595">
        <v>110262</v>
      </c>
      <c r="H595" s="116"/>
      <c r="I595" s="116"/>
      <c r="L595" s="170">
        <v>42879</v>
      </c>
      <c r="M595" s="116">
        <v>1122.9666666666667</v>
      </c>
      <c r="N595" s="116">
        <v>1171.2666666666667</v>
      </c>
      <c r="O595" s="116">
        <v>1118.3999999999999</v>
      </c>
      <c r="P595" s="116">
        <v>1161.3999999999999</v>
      </c>
      <c r="Q595" s="116">
        <v>1684.45</v>
      </c>
      <c r="R595">
        <v>1448713</v>
      </c>
    </row>
    <row r="596" spans="1:18" x14ac:dyDescent="0.25">
      <c r="A596" s="170">
        <v>42880</v>
      </c>
      <c r="B596" s="116">
        <v>1182</v>
      </c>
      <c r="C596" s="116">
        <v>1179.1333333333334</v>
      </c>
      <c r="D596" s="116">
        <v>1129.3333333333333</v>
      </c>
      <c r="E596" s="116">
        <v>1129.3333333333333</v>
      </c>
      <c r="F596" s="116">
        <v>1768.7</v>
      </c>
      <c r="G596">
        <v>200980</v>
      </c>
      <c r="H596" s="116"/>
      <c r="I596" s="116"/>
      <c r="L596" s="170">
        <v>42880</v>
      </c>
      <c r="M596" s="116">
        <v>1179.2333333333333</v>
      </c>
      <c r="N596" s="116">
        <v>1183.3333333333333</v>
      </c>
      <c r="O596" s="116">
        <v>1128</v>
      </c>
      <c r="P596" s="116">
        <v>1128</v>
      </c>
      <c r="Q596" s="116">
        <v>1768.85</v>
      </c>
      <c r="R596">
        <v>3603181</v>
      </c>
    </row>
    <row r="597" spans="1:18" x14ac:dyDescent="0.25">
      <c r="A597" s="170">
        <v>42881</v>
      </c>
      <c r="B597" s="116">
        <v>1199.4333333333334</v>
      </c>
      <c r="C597" s="116">
        <v>1191.5</v>
      </c>
      <c r="D597" s="116">
        <v>1168.8666666666666</v>
      </c>
      <c r="E597" s="116">
        <v>1178.7333333333333</v>
      </c>
      <c r="F597" s="116">
        <v>1787.25</v>
      </c>
      <c r="G597">
        <v>237100</v>
      </c>
      <c r="H597" s="116"/>
      <c r="I597" s="116"/>
      <c r="L597" s="170">
        <v>42881</v>
      </c>
      <c r="M597" s="116">
        <v>1191.7333333333333</v>
      </c>
      <c r="N597" s="116">
        <v>1199.3333333333333</v>
      </c>
      <c r="O597" s="116">
        <v>1169.2333333333333</v>
      </c>
      <c r="P597" s="116">
        <v>1180</v>
      </c>
      <c r="Q597" s="116">
        <v>1787.6</v>
      </c>
      <c r="R597">
        <v>2044054</v>
      </c>
    </row>
    <row r="598" spans="1:18" x14ac:dyDescent="0.25">
      <c r="A598" s="170">
        <v>42884</v>
      </c>
      <c r="B598" s="116">
        <v>1206.6666666666667</v>
      </c>
      <c r="C598" s="116">
        <v>1192</v>
      </c>
      <c r="D598" s="116">
        <v>1177.3333333333333</v>
      </c>
      <c r="E598" s="116">
        <v>1191.7333333333333</v>
      </c>
      <c r="F598" s="116">
        <v>1788</v>
      </c>
      <c r="G598">
        <v>588501</v>
      </c>
      <c r="H598" s="116"/>
      <c r="I598" s="116"/>
      <c r="L598" s="170">
        <v>42884</v>
      </c>
      <c r="M598" s="116">
        <v>1188.2666666666667</v>
      </c>
      <c r="N598" s="116">
        <v>1206.6333333333334</v>
      </c>
      <c r="O598" s="116">
        <v>1177.3333333333333</v>
      </c>
      <c r="P598" s="116">
        <v>1189.2666666666667</v>
      </c>
      <c r="Q598" s="116">
        <v>1782.4</v>
      </c>
      <c r="R598">
        <v>2022439</v>
      </c>
    </row>
    <row r="599" spans="1:18" x14ac:dyDescent="0.25">
      <c r="A599" s="170">
        <v>42885</v>
      </c>
      <c r="B599" s="116">
        <v>1222.6666666666667</v>
      </c>
      <c r="C599" s="116">
        <v>1177.8999999999999</v>
      </c>
      <c r="D599" s="116">
        <v>1170</v>
      </c>
      <c r="E599" s="116">
        <v>1210.2</v>
      </c>
      <c r="F599" s="116">
        <v>1766.85</v>
      </c>
      <c r="G599">
        <v>628401</v>
      </c>
      <c r="H599" s="116"/>
      <c r="I599" s="116"/>
      <c r="L599" s="170">
        <v>42885</v>
      </c>
      <c r="M599" s="116">
        <v>1178.3666666666666</v>
      </c>
      <c r="N599" s="116">
        <v>1222.6333333333334</v>
      </c>
      <c r="O599" s="116">
        <v>1169.3333333333333</v>
      </c>
      <c r="P599" s="116">
        <v>1210.6666666666667</v>
      </c>
      <c r="Q599" s="116">
        <v>1767.55</v>
      </c>
      <c r="R599">
        <v>4366960</v>
      </c>
    </row>
    <row r="600" spans="1:18" x14ac:dyDescent="0.25">
      <c r="A600" s="170">
        <v>42886</v>
      </c>
      <c r="B600" s="116">
        <v>1189.6666666666667</v>
      </c>
      <c r="C600" s="116">
        <v>1173.1666666666667</v>
      </c>
      <c r="D600" s="116">
        <v>1167.3333333333333</v>
      </c>
      <c r="E600" s="116">
        <v>1180.6666666666667</v>
      </c>
      <c r="F600" s="116">
        <v>1759.75</v>
      </c>
      <c r="G600">
        <v>105551</v>
      </c>
      <c r="H600" s="116"/>
      <c r="I600" s="116"/>
      <c r="L600" s="170">
        <v>42886</v>
      </c>
      <c r="M600" s="116">
        <v>1173.8</v>
      </c>
      <c r="N600" s="116">
        <v>1190</v>
      </c>
      <c r="O600" s="116">
        <v>1167.1333333333334</v>
      </c>
      <c r="P600" s="116">
        <v>1181.6666666666667</v>
      </c>
      <c r="Q600" s="116">
        <v>1760.7</v>
      </c>
      <c r="R600">
        <v>2000488</v>
      </c>
    </row>
    <row r="601" spans="1:18" x14ac:dyDescent="0.25">
      <c r="A601" s="170">
        <v>42887</v>
      </c>
      <c r="B601" s="116">
        <v>1199.3333333333333</v>
      </c>
      <c r="C601" s="116">
        <v>1194.5666666666666</v>
      </c>
      <c r="D601" s="116">
        <v>1165.3333333333333</v>
      </c>
      <c r="E601" s="116">
        <v>1176.6000000000001</v>
      </c>
      <c r="F601" s="116">
        <v>1791.85</v>
      </c>
      <c r="G601">
        <v>128930</v>
      </c>
      <c r="H601" s="116"/>
      <c r="I601" s="116"/>
      <c r="L601" s="170">
        <v>42887</v>
      </c>
      <c r="M601" s="116">
        <v>1195.2</v>
      </c>
      <c r="N601" s="116">
        <v>1198.6666666666667</v>
      </c>
      <c r="O601" s="116">
        <v>1165.3333333333333</v>
      </c>
      <c r="P601" s="116">
        <v>1173.3333333333333</v>
      </c>
      <c r="Q601" s="116">
        <v>1792.8</v>
      </c>
      <c r="R601">
        <v>1932123</v>
      </c>
    </row>
    <row r="602" spans="1:18" x14ac:dyDescent="0.25">
      <c r="A602" s="170">
        <v>42888</v>
      </c>
      <c r="B602" s="116">
        <v>1203</v>
      </c>
      <c r="C602" s="116">
        <v>1189.4666666666667</v>
      </c>
      <c r="D602" s="116">
        <v>1185.8333333333333</v>
      </c>
      <c r="E602" s="116">
        <v>1197.3333333333333</v>
      </c>
      <c r="F602" s="116">
        <v>1784.2</v>
      </c>
      <c r="G602">
        <v>82214</v>
      </c>
      <c r="H602" s="116"/>
      <c r="I602" s="116"/>
      <c r="L602" s="170">
        <v>42888</v>
      </c>
      <c r="M602" s="116">
        <v>1189.3333333333333</v>
      </c>
      <c r="N602" s="116">
        <v>1203.3333333333333</v>
      </c>
      <c r="O602" s="116">
        <v>1185.3999999999999</v>
      </c>
      <c r="P602" s="116">
        <v>1200</v>
      </c>
      <c r="Q602" s="116">
        <v>1784</v>
      </c>
      <c r="R602">
        <v>950214</v>
      </c>
    </row>
    <row r="603" spans="1:18" x14ac:dyDescent="0.25">
      <c r="A603" s="170">
        <v>42891</v>
      </c>
      <c r="B603" s="116">
        <v>1206</v>
      </c>
      <c r="C603" s="116">
        <v>1203.1000000000001</v>
      </c>
      <c r="D603" s="116">
        <v>1189.0333333333333</v>
      </c>
      <c r="E603" s="116">
        <v>1193.3333333333333</v>
      </c>
      <c r="F603" s="116">
        <v>1804.65</v>
      </c>
      <c r="G603">
        <v>104450</v>
      </c>
      <c r="H603" s="116"/>
      <c r="I603" s="116"/>
      <c r="L603" s="170">
        <v>42891</v>
      </c>
      <c r="M603" s="116">
        <v>1203.2666666666667</v>
      </c>
      <c r="N603" s="116">
        <v>1206.2666666666667</v>
      </c>
      <c r="O603" s="116">
        <v>1189</v>
      </c>
      <c r="P603" s="116">
        <v>1196.6666666666667</v>
      </c>
      <c r="Q603" s="116">
        <v>1804.9</v>
      </c>
      <c r="R603">
        <v>1270946</v>
      </c>
    </row>
    <row r="604" spans="1:18" x14ac:dyDescent="0.25">
      <c r="A604" s="170">
        <v>42892</v>
      </c>
      <c r="B604" s="116">
        <v>1206.3333333333333</v>
      </c>
      <c r="C604" s="116">
        <v>1183.8666666666666</v>
      </c>
      <c r="D604" s="116">
        <v>1182</v>
      </c>
      <c r="E604" s="116">
        <v>1203.3333333333333</v>
      </c>
      <c r="F604" s="116">
        <v>1775.8</v>
      </c>
      <c r="G604">
        <v>70718</v>
      </c>
      <c r="H604" s="116"/>
      <c r="I604" s="116"/>
      <c r="L604" s="170">
        <v>42892</v>
      </c>
      <c r="M604" s="116">
        <v>1183.4333333333334</v>
      </c>
      <c r="N604" s="116">
        <v>1205.3666666666666</v>
      </c>
      <c r="O604" s="116">
        <v>1181.4333333333334</v>
      </c>
      <c r="P604" s="116">
        <v>1205.1333333333334</v>
      </c>
      <c r="Q604" s="116">
        <v>1775.15</v>
      </c>
      <c r="R604">
        <v>954046</v>
      </c>
    </row>
    <row r="605" spans="1:18" x14ac:dyDescent="0.25">
      <c r="A605" s="170">
        <v>42893</v>
      </c>
      <c r="B605" s="116">
        <v>1195.9666666666667</v>
      </c>
      <c r="C605" s="116">
        <v>1191.7</v>
      </c>
      <c r="D605" s="116">
        <v>1181.7</v>
      </c>
      <c r="E605" s="116">
        <v>1186.6666666666667</v>
      </c>
      <c r="F605" s="116">
        <v>1787.55</v>
      </c>
      <c r="G605">
        <v>556696</v>
      </c>
      <c r="H605" s="116"/>
      <c r="I605" s="116"/>
      <c r="L605" s="170">
        <v>42893</v>
      </c>
      <c r="M605" s="116">
        <v>1192.3999999999999</v>
      </c>
      <c r="N605" s="116">
        <v>1196.3333333333333</v>
      </c>
      <c r="O605" s="116">
        <v>1182</v>
      </c>
      <c r="P605" s="116">
        <v>1182.6666666666667</v>
      </c>
      <c r="Q605" s="116">
        <v>1788.6</v>
      </c>
      <c r="R605">
        <v>885027</v>
      </c>
    </row>
    <row r="606" spans="1:18" x14ac:dyDescent="0.25">
      <c r="A606" s="170">
        <v>42894</v>
      </c>
      <c r="B606" s="116">
        <v>1198.8</v>
      </c>
      <c r="C606" s="116">
        <v>1183</v>
      </c>
      <c r="D606" s="116">
        <v>1181.1666666666667</v>
      </c>
      <c r="E606" s="116">
        <v>1191.3333333333333</v>
      </c>
      <c r="F606" s="116">
        <v>1774.5</v>
      </c>
      <c r="G606">
        <v>59220</v>
      </c>
      <c r="H606" s="116"/>
      <c r="I606" s="116"/>
      <c r="L606" s="170">
        <v>42894</v>
      </c>
      <c r="M606" s="116">
        <v>1182.8333333333333</v>
      </c>
      <c r="N606" s="116">
        <v>1199.3333333333333</v>
      </c>
      <c r="O606" s="116">
        <v>1181</v>
      </c>
      <c r="P606" s="116">
        <v>1192.6666666666667</v>
      </c>
      <c r="Q606" s="116">
        <v>1774.25</v>
      </c>
      <c r="R606">
        <v>952653</v>
      </c>
    </row>
    <row r="607" spans="1:18" x14ac:dyDescent="0.25">
      <c r="A607" s="170">
        <v>42895</v>
      </c>
      <c r="B607" s="116">
        <v>1188.8666666666666</v>
      </c>
      <c r="C607" s="116">
        <v>1184.4666666666667</v>
      </c>
      <c r="D607" s="116">
        <v>1174.6666666666667</v>
      </c>
      <c r="E607" s="116">
        <v>1186.6666666666667</v>
      </c>
      <c r="F607" s="116">
        <v>1776.7</v>
      </c>
      <c r="G607">
        <v>133325</v>
      </c>
      <c r="H607" s="116"/>
      <c r="I607" s="116"/>
      <c r="L607" s="170">
        <v>42895</v>
      </c>
      <c r="M607" s="116">
        <v>1185.4666666666667</v>
      </c>
      <c r="N607" s="116">
        <v>1189.2666666666667</v>
      </c>
      <c r="O607" s="116">
        <v>1174.3999999999999</v>
      </c>
      <c r="P607" s="116">
        <v>1184.6666666666667</v>
      </c>
      <c r="Q607" s="116">
        <v>1778.2</v>
      </c>
      <c r="R607">
        <v>1088138</v>
      </c>
    </row>
    <row r="608" spans="1:18" x14ac:dyDescent="0.25">
      <c r="A608" s="170">
        <v>42898</v>
      </c>
      <c r="B608" s="116">
        <v>1186</v>
      </c>
      <c r="C608" s="116">
        <v>1157.3333333333333</v>
      </c>
      <c r="D608" s="116">
        <v>1141.2</v>
      </c>
      <c r="E608" s="116">
        <v>1184.6666666666667</v>
      </c>
      <c r="F608" s="116">
        <v>1736</v>
      </c>
      <c r="G608">
        <v>275629</v>
      </c>
      <c r="H608" s="116"/>
      <c r="I608" s="116"/>
      <c r="L608" s="170">
        <v>42898</v>
      </c>
      <c r="M608" s="116">
        <v>1157.7333333333333</v>
      </c>
      <c r="N608" s="116">
        <v>1185.3333333333333</v>
      </c>
      <c r="O608" s="116">
        <v>1139.2666666666667</v>
      </c>
      <c r="P608" s="116">
        <v>1185.2</v>
      </c>
      <c r="Q608" s="116">
        <v>1736.6</v>
      </c>
      <c r="R608">
        <v>2712638</v>
      </c>
    </row>
    <row r="609" spans="1:18" x14ac:dyDescent="0.25">
      <c r="A609" s="170">
        <v>42899</v>
      </c>
      <c r="B609" s="116">
        <v>1169.7666666666667</v>
      </c>
      <c r="C609" s="116">
        <v>1158.0333333333333</v>
      </c>
      <c r="D609" s="116">
        <v>1155.3666666666666</v>
      </c>
      <c r="E609" s="116">
        <v>1166</v>
      </c>
      <c r="F609" s="116">
        <v>1737.05</v>
      </c>
      <c r="G609">
        <v>97760</v>
      </c>
      <c r="H609" s="116"/>
      <c r="I609" s="116"/>
      <c r="L609" s="170">
        <v>42899</v>
      </c>
      <c r="M609" s="116">
        <v>1159.3333333333333</v>
      </c>
      <c r="N609" s="116">
        <v>1169.8</v>
      </c>
      <c r="O609" s="116">
        <v>1157.7</v>
      </c>
      <c r="P609" s="116">
        <v>1163.0333333333333</v>
      </c>
      <c r="Q609" s="116">
        <v>1739</v>
      </c>
      <c r="R609">
        <v>941516</v>
      </c>
    </row>
    <row r="610" spans="1:18" x14ac:dyDescent="0.25">
      <c r="A610" s="170">
        <v>42900</v>
      </c>
      <c r="B610" s="116">
        <v>1179.2666666666667</v>
      </c>
      <c r="C610" s="116">
        <v>1174.3</v>
      </c>
      <c r="D610" s="116">
        <v>1156.6000000000001</v>
      </c>
      <c r="E610" s="116">
        <v>1160.0333333333333</v>
      </c>
      <c r="F610" s="116">
        <v>1761.45</v>
      </c>
      <c r="G610">
        <v>174076</v>
      </c>
      <c r="H610" s="116"/>
      <c r="I610" s="116"/>
      <c r="L610" s="170">
        <v>42900</v>
      </c>
      <c r="M610" s="116">
        <v>1176.3</v>
      </c>
      <c r="N610" s="116">
        <v>1180.8999999999999</v>
      </c>
      <c r="O610" s="116">
        <v>1156.5333333333333</v>
      </c>
      <c r="P610" s="116">
        <v>1161.3333333333333</v>
      </c>
      <c r="Q610" s="116">
        <v>1764.45</v>
      </c>
      <c r="R610">
        <v>1386438</v>
      </c>
    </row>
    <row r="611" spans="1:18" x14ac:dyDescent="0.25">
      <c r="A611" s="170">
        <v>42901</v>
      </c>
      <c r="B611" s="116">
        <v>1173.3</v>
      </c>
      <c r="C611" s="116">
        <v>1157.2</v>
      </c>
      <c r="D611" s="116">
        <v>1153.3333333333333</v>
      </c>
      <c r="E611" s="116">
        <v>1173.3</v>
      </c>
      <c r="F611" s="116">
        <v>1735.8</v>
      </c>
      <c r="G611">
        <v>92855</v>
      </c>
      <c r="H611" s="116"/>
      <c r="I611" s="116"/>
      <c r="L611" s="170">
        <v>42901</v>
      </c>
      <c r="M611" s="116">
        <v>1156.8999999999999</v>
      </c>
      <c r="N611" s="116">
        <v>1174.6000000000001</v>
      </c>
      <c r="O611" s="116">
        <v>1153.3333333333333</v>
      </c>
      <c r="P611" s="116">
        <v>1171.4333333333334</v>
      </c>
      <c r="Q611" s="116">
        <v>1735.35</v>
      </c>
      <c r="R611">
        <v>987395</v>
      </c>
    </row>
    <row r="612" spans="1:18" x14ac:dyDescent="0.25">
      <c r="A612" s="170">
        <v>42902</v>
      </c>
      <c r="B612" s="116">
        <v>1167.1666666666667</v>
      </c>
      <c r="C612" s="116">
        <v>1151.1666666666667</v>
      </c>
      <c r="D612" s="116">
        <v>1148.0666666666666</v>
      </c>
      <c r="E612" s="116">
        <v>1160</v>
      </c>
      <c r="F612" s="116">
        <v>1726.75</v>
      </c>
      <c r="G612">
        <v>175539</v>
      </c>
      <c r="H612" s="116"/>
      <c r="I612" s="116"/>
      <c r="L612" s="170">
        <v>42902</v>
      </c>
      <c r="M612" s="116">
        <v>1151.1333333333334</v>
      </c>
      <c r="N612" s="116">
        <v>1167.3333333333333</v>
      </c>
      <c r="O612" s="116">
        <v>1147.1333333333334</v>
      </c>
      <c r="P612" s="116">
        <v>1156.5666666666666</v>
      </c>
      <c r="Q612" s="116">
        <v>1726.7</v>
      </c>
      <c r="R612">
        <v>1495435</v>
      </c>
    </row>
    <row r="613" spans="1:18" x14ac:dyDescent="0.25">
      <c r="A613" s="170">
        <v>42905</v>
      </c>
      <c r="B613" s="116">
        <v>1173.3333333333333</v>
      </c>
      <c r="C613" s="116">
        <v>1169.5</v>
      </c>
      <c r="D613" s="116">
        <v>1154.7</v>
      </c>
      <c r="E613" s="116">
        <v>1156.6666666666667</v>
      </c>
      <c r="F613" s="116">
        <v>1754.25</v>
      </c>
      <c r="G613">
        <v>153090</v>
      </c>
      <c r="H613" s="116"/>
      <c r="I613" s="116"/>
      <c r="L613" s="170">
        <v>42905</v>
      </c>
      <c r="M613" s="116">
        <v>1170.5333333333333</v>
      </c>
      <c r="N613" s="116">
        <v>1173.3333333333333</v>
      </c>
      <c r="O613" s="116">
        <v>1154.8</v>
      </c>
      <c r="P613" s="116">
        <v>1157.3333333333333</v>
      </c>
      <c r="Q613" s="116">
        <v>1755.8</v>
      </c>
      <c r="R613">
        <v>1187371</v>
      </c>
    </row>
    <row r="614" spans="1:18" x14ac:dyDescent="0.25">
      <c r="A614" s="170">
        <v>42906</v>
      </c>
      <c r="B614" s="116">
        <v>1177.8333333333333</v>
      </c>
      <c r="C614" s="116">
        <v>1167.0666666666666</v>
      </c>
      <c r="D614" s="116">
        <v>1160.5333333333333</v>
      </c>
      <c r="E614" s="116">
        <v>1170.1666666666667</v>
      </c>
      <c r="F614" s="116">
        <v>1750.6</v>
      </c>
      <c r="G614">
        <v>74649</v>
      </c>
      <c r="H614" s="116"/>
      <c r="I614" s="116"/>
      <c r="L614" s="170">
        <v>42906</v>
      </c>
      <c r="M614" s="116">
        <v>1167</v>
      </c>
      <c r="N614" s="116">
        <v>1179.3</v>
      </c>
      <c r="O614" s="116">
        <v>1160.1333333333334</v>
      </c>
      <c r="P614" s="116">
        <v>1172.4666666666667</v>
      </c>
      <c r="Q614" s="116">
        <v>1750.5</v>
      </c>
      <c r="R614">
        <v>1043648</v>
      </c>
    </row>
    <row r="615" spans="1:18" x14ac:dyDescent="0.25">
      <c r="A615" s="170">
        <v>42907</v>
      </c>
      <c r="B615" s="116">
        <v>1187.6000000000001</v>
      </c>
      <c r="C615" s="116">
        <v>1169.2333333333333</v>
      </c>
      <c r="D615" s="116">
        <v>1161.8</v>
      </c>
      <c r="E615" s="116">
        <v>1173.5333333333333</v>
      </c>
      <c r="F615" s="116">
        <v>1753.85</v>
      </c>
      <c r="G615">
        <v>23962927</v>
      </c>
      <c r="H615" s="116"/>
      <c r="I615" s="116"/>
      <c r="L615" s="170">
        <v>42907</v>
      </c>
      <c r="M615" s="116">
        <v>1169.4666666666667</v>
      </c>
      <c r="N615" s="116">
        <v>1188</v>
      </c>
      <c r="O615" s="116">
        <v>1167.3333333333333</v>
      </c>
      <c r="P615" s="116">
        <v>1172.3333333333333</v>
      </c>
      <c r="Q615" s="116">
        <v>1754.2</v>
      </c>
      <c r="R615">
        <v>2371285</v>
      </c>
    </row>
    <row r="616" spans="1:18" x14ac:dyDescent="0.25">
      <c r="A616" s="170">
        <v>42908</v>
      </c>
      <c r="B616" s="116">
        <v>1176.6666666666667</v>
      </c>
      <c r="C616" s="116">
        <v>1157.6333333333334</v>
      </c>
      <c r="D616" s="116">
        <v>1154.7666666666667</v>
      </c>
      <c r="E616" s="116">
        <v>1173.1333333333334</v>
      </c>
      <c r="F616" s="116">
        <v>1736.45</v>
      </c>
      <c r="G616">
        <v>84236</v>
      </c>
      <c r="H616" s="116"/>
      <c r="I616" s="116"/>
      <c r="L616" s="170">
        <v>42908</v>
      </c>
      <c r="M616" s="116">
        <v>1157.6000000000001</v>
      </c>
      <c r="N616" s="116">
        <v>1177.0666666666666</v>
      </c>
      <c r="O616" s="116">
        <v>1154.8666666666666</v>
      </c>
      <c r="P616" s="116">
        <v>1173.3333333333333</v>
      </c>
      <c r="Q616" s="116">
        <v>1736.4</v>
      </c>
      <c r="R616">
        <v>1174506</v>
      </c>
    </row>
    <row r="617" spans="1:18" x14ac:dyDescent="0.25">
      <c r="A617" s="170">
        <v>42909</v>
      </c>
      <c r="B617" s="116">
        <v>1161.7666666666667</v>
      </c>
      <c r="C617" s="116">
        <v>1148.7</v>
      </c>
      <c r="D617" s="116">
        <v>1146.6666666666667</v>
      </c>
      <c r="E617" s="116">
        <v>1160.3999999999999</v>
      </c>
      <c r="F617" s="116">
        <v>1723.05</v>
      </c>
      <c r="G617">
        <v>96981</v>
      </c>
      <c r="H617" s="116"/>
      <c r="I617" s="116"/>
      <c r="L617" s="170">
        <v>42909</v>
      </c>
      <c r="M617" s="116">
        <v>1148.4666666666667</v>
      </c>
      <c r="N617" s="116">
        <v>1162.1666666666667</v>
      </c>
      <c r="O617" s="116">
        <v>1146</v>
      </c>
      <c r="P617" s="116">
        <v>1160</v>
      </c>
      <c r="Q617" s="116">
        <v>1722.7</v>
      </c>
      <c r="R617">
        <v>1144550</v>
      </c>
    </row>
    <row r="618" spans="1:18" x14ac:dyDescent="0.25">
      <c r="A618" s="170">
        <v>42913</v>
      </c>
      <c r="B618" s="116">
        <v>1158.8</v>
      </c>
      <c r="C618" s="116">
        <v>1134.5333333333333</v>
      </c>
      <c r="D618" s="116">
        <v>1124.0333333333333</v>
      </c>
      <c r="E618" s="116">
        <v>1148.7</v>
      </c>
      <c r="F618" s="116">
        <v>1701.8</v>
      </c>
      <c r="G618">
        <v>128514</v>
      </c>
      <c r="H618" s="116"/>
      <c r="I618" s="116"/>
      <c r="L618" s="170">
        <v>42913</v>
      </c>
      <c r="M618" s="116">
        <v>1134.4666666666667</v>
      </c>
      <c r="N618" s="116">
        <v>1158.6333333333334</v>
      </c>
      <c r="O618" s="116">
        <v>1123.9333333333334</v>
      </c>
      <c r="P618" s="116">
        <v>1145.0333333333333</v>
      </c>
      <c r="Q618" s="116">
        <v>1701.7</v>
      </c>
      <c r="R618">
        <v>1544697</v>
      </c>
    </row>
    <row r="619" spans="1:18" x14ac:dyDescent="0.25">
      <c r="A619" s="170">
        <v>42914</v>
      </c>
      <c r="B619" s="116">
        <v>1137.9666666666667</v>
      </c>
      <c r="C619" s="116">
        <v>1132.3999999999999</v>
      </c>
      <c r="D619" s="116">
        <v>1121.3333333333333</v>
      </c>
      <c r="E619" s="116">
        <v>1127.7333333333333</v>
      </c>
      <c r="F619" s="116">
        <v>1698.6</v>
      </c>
      <c r="G619">
        <v>1087245</v>
      </c>
      <c r="H619" s="116"/>
      <c r="I619" s="116"/>
      <c r="L619" s="170">
        <v>42914</v>
      </c>
      <c r="M619" s="116">
        <v>1135.5</v>
      </c>
      <c r="N619" s="116">
        <v>1138.6666666666667</v>
      </c>
      <c r="O619" s="116">
        <v>1120.8999999999999</v>
      </c>
      <c r="P619" s="116">
        <v>1132.5666666666666</v>
      </c>
      <c r="Q619" s="116">
        <v>1703.25</v>
      </c>
      <c r="R619">
        <v>1052350</v>
      </c>
    </row>
    <row r="620" spans="1:18" x14ac:dyDescent="0.25">
      <c r="A620" s="170">
        <v>42915</v>
      </c>
      <c r="B620" s="116">
        <v>1148.6666666666667</v>
      </c>
      <c r="C620" s="116">
        <v>1134.9333333333334</v>
      </c>
      <c r="D620" s="116">
        <v>1130.6666666666667</v>
      </c>
      <c r="E620" s="116">
        <v>1136</v>
      </c>
      <c r="F620" s="116">
        <v>1702.4</v>
      </c>
      <c r="G620">
        <v>150467</v>
      </c>
      <c r="H620" s="116"/>
      <c r="I620" s="116"/>
      <c r="L620" s="170">
        <v>42915</v>
      </c>
      <c r="M620" s="116">
        <v>1135.7666666666667</v>
      </c>
      <c r="N620" s="116">
        <v>1148.7666666666667</v>
      </c>
      <c r="O620" s="116">
        <v>1130.3666666666666</v>
      </c>
      <c r="P620" s="116">
        <v>1136.0666666666666</v>
      </c>
      <c r="Q620" s="116">
        <v>1703.65</v>
      </c>
      <c r="R620">
        <v>1806368</v>
      </c>
    </row>
    <row r="621" spans="1:18" x14ac:dyDescent="0.25">
      <c r="A621" s="170">
        <v>42916</v>
      </c>
      <c r="B621" s="116">
        <v>1134.3666666666666</v>
      </c>
      <c r="C621" s="116">
        <v>1125.2</v>
      </c>
      <c r="D621" s="116">
        <v>1107.5666666666666</v>
      </c>
      <c r="E621" s="116">
        <v>1134.3666666666666</v>
      </c>
      <c r="F621" s="116">
        <v>1687.8</v>
      </c>
      <c r="G621">
        <v>170779</v>
      </c>
      <c r="H621" s="116"/>
      <c r="I621" s="116"/>
      <c r="L621" s="170">
        <v>42916</v>
      </c>
      <c r="M621" s="116">
        <v>1125.0666666666666</v>
      </c>
      <c r="N621" s="116">
        <v>1132.6666666666667</v>
      </c>
      <c r="O621" s="116">
        <v>1107.5333333333333</v>
      </c>
      <c r="P621" s="116">
        <v>1132.6666666666667</v>
      </c>
      <c r="Q621" s="116">
        <v>1687.6</v>
      </c>
      <c r="R621">
        <v>2167690</v>
      </c>
    </row>
    <row r="622" spans="1:18" x14ac:dyDescent="0.25">
      <c r="A622" s="170">
        <v>42919</v>
      </c>
      <c r="B622" s="116">
        <v>1139.2333333333333</v>
      </c>
      <c r="C622" s="116">
        <v>1126.3666666666666</v>
      </c>
      <c r="D622" s="116">
        <v>1116.6666666666667</v>
      </c>
      <c r="E622" s="116">
        <v>1126.6666666666667</v>
      </c>
      <c r="F622" s="116">
        <v>1689.55</v>
      </c>
      <c r="G622">
        <v>391238</v>
      </c>
      <c r="H622" s="116"/>
      <c r="I622" s="116"/>
      <c r="L622" s="170">
        <v>42919</v>
      </c>
      <c r="M622" s="116">
        <v>1124.8333333333333</v>
      </c>
      <c r="N622" s="116">
        <v>1140.3333333333333</v>
      </c>
      <c r="O622" s="116">
        <v>1115.6000000000001</v>
      </c>
      <c r="P622" s="116">
        <v>1125.3333333333333</v>
      </c>
      <c r="Q622" s="116">
        <v>1687.25</v>
      </c>
      <c r="R622">
        <v>1446731</v>
      </c>
    </row>
    <row r="623" spans="1:18" x14ac:dyDescent="0.25">
      <c r="A623" s="170">
        <v>42920</v>
      </c>
      <c r="B623" s="116">
        <v>1132.6666666666667</v>
      </c>
      <c r="C623" s="116">
        <v>1122.5666666666666</v>
      </c>
      <c r="D623" s="116">
        <v>1114</v>
      </c>
      <c r="E623" s="116">
        <v>1130</v>
      </c>
      <c r="F623" s="116">
        <v>1683.85</v>
      </c>
      <c r="G623">
        <v>118372</v>
      </c>
      <c r="H623" s="116"/>
      <c r="I623" s="116"/>
      <c r="L623" s="170">
        <v>42920</v>
      </c>
      <c r="M623" s="116">
        <v>1122.2333333333333</v>
      </c>
      <c r="N623" s="116">
        <v>1133.3333333333333</v>
      </c>
      <c r="O623" s="116">
        <v>1114</v>
      </c>
      <c r="P623" s="116">
        <v>1133.3333333333333</v>
      </c>
      <c r="Q623" s="116">
        <v>1683.35</v>
      </c>
      <c r="R623">
        <v>1093359</v>
      </c>
    </row>
    <row r="624" spans="1:18" x14ac:dyDescent="0.25">
      <c r="A624" s="170">
        <v>42921</v>
      </c>
      <c r="B624" s="116">
        <v>1132.6666666666667</v>
      </c>
      <c r="C624" s="116">
        <v>1130.3666666666666</v>
      </c>
      <c r="D624" s="116">
        <v>1119.8333333333333</v>
      </c>
      <c r="E624" s="116">
        <v>1124.3999999999999</v>
      </c>
      <c r="F624" s="116">
        <v>1695.55</v>
      </c>
      <c r="G624">
        <v>78122</v>
      </c>
      <c r="H624" s="116"/>
      <c r="I624" s="116"/>
      <c r="L624" s="170">
        <v>42921</v>
      </c>
      <c r="M624" s="116">
        <v>1130.2</v>
      </c>
      <c r="N624" s="116">
        <v>1132.6666666666667</v>
      </c>
      <c r="O624" s="116">
        <v>1120.0666666666666</v>
      </c>
      <c r="P624" s="116">
        <v>1122.6666666666667</v>
      </c>
      <c r="Q624" s="116">
        <v>1695.3</v>
      </c>
      <c r="R624">
        <v>689627</v>
      </c>
    </row>
    <row r="625" spans="1:18" x14ac:dyDescent="0.25">
      <c r="A625" s="170">
        <v>42922</v>
      </c>
      <c r="B625" s="116">
        <v>1137.2666666666667</v>
      </c>
      <c r="C625" s="116">
        <v>1131.4666666666667</v>
      </c>
      <c r="D625" s="116">
        <v>1128.8</v>
      </c>
      <c r="E625" s="116">
        <v>1134.6666666666667</v>
      </c>
      <c r="F625" s="116">
        <v>1697.2</v>
      </c>
      <c r="G625">
        <v>78948</v>
      </c>
      <c r="H625" s="116"/>
      <c r="I625" s="116"/>
      <c r="L625" s="170">
        <v>42922</v>
      </c>
      <c r="M625" s="116">
        <v>1131.7333333333333</v>
      </c>
      <c r="N625" s="116">
        <v>1137.9666666666667</v>
      </c>
      <c r="O625" s="116">
        <v>1126.8666666666666</v>
      </c>
      <c r="P625" s="116">
        <v>1132.8</v>
      </c>
      <c r="Q625" s="116">
        <v>1697.6</v>
      </c>
      <c r="R625">
        <v>945054</v>
      </c>
    </row>
    <row r="626" spans="1:18" x14ac:dyDescent="0.25">
      <c r="A626" s="170">
        <v>42923</v>
      </c>
      <c r="B626" s="116">
        <v>1145.9666666666667</v>
      </c>
      <c r="C626" s="116">
        <v>1137.1000000000001</v>
      </c>
      <c r="D626" s="116">
        <v>1127.1000000000001</v>
      </c>
      <c r="E626" s="116">
        <v>1131.2</v>
      </c>
      <c r="F626" s="116">
        <v>1705.65</v>
      </c>
      <c r="G626">
        <v>279750</v>
      </c>
      <c r="H626" s="116"/>
      <c r="I626" s="116"/>
      <c r="L626" s="170">
        <v>42923</v>
      </c>
      <c r="M626" s="116">
        <v>1136.2666666666667</v>
      </c>
      <c r="N626" s="116">
        <v>1145.2666666666667</v>
      </c>
      <c r="O626" s="116">
        <v>1126.8</v>
      </c>
      <c r="P626" s="116">
        <v>1131.3333333333333</v>
      </c>
      <c r="Q626" s="116">
        <v>1704.4</v>
      </c>
      <c r="R626">
        <v>1230066</v>
      </c>
    </row>
    <row r="627" spans="1:18" x14ac:dyDescent="0.25">
      <c r="A627" s="170">
        <v>42926</v>
      </c>
      <c r="B627" s="116">
        <v>1156.6666666666667</v>
      </c>
      <c r="C627" s="116">
        <v>1154.8</v>
      </c>
      <c r="D627" s="116">
        <v>1134.5666666666666</v>
      </c>
      <c r="E627" s="116">
        <v>1136.6666666666667</v>
      </c>
      <c r="F627" s="116">
        <v>1732.2</v>
      </c>
      <c r="G627">
        <v>808658</v>
      </c>
      <c r="H627" s="116"/>
      <c r="I627" s="116"/>
      <c r="L627" s="170">
        <v>42926</v>
      </c>
      <c r="M627" s="116">
        <v>1154.7666666666667</v>
      </c>
      <c r="N627" s="116">
        <v>1159.3333333333333</v>
      </c>
      <c r="O627" s="116">
        <v>1140.0666666666666</v>
      </c>
      <c r="P627" s="116">
        <v>1146.7333333333333</v>
      </c>
      <c r="Q627" s="116">
        <v>1732.15</v>
      </c>
      <c r="R627">
        <v>216490</v>
      </c>
    </row>
    <row r="628" spans="1:18" x14ac:dyDescent="0.25">
      <c r="A628" s="170">
        <v>42927</v>
      </c>
      <c r="B628" s="116">
        <v>1166.3999999999999</v>
      </c>
      <c r="C628" s="116">
        <v>1159.5</v>
      </c>
      <c r="D628" s="116">
        <v>1154.2666666666667</v>
      </c>
      <c r="E628" s="116">
        <v>1158.6333333333334</v>
      </c>
      <c r="F628" s="116">
        <v>1739.25</v>
      </c>
      <c r="G628">
        <v>416918</v>
      </c>
      <c r="H628" s="116"/>
      <c r="I628" s="116"/>
      <c r="L628" s="170">
        <v>42927</v>
      </c>
      <c r="M628" s="116">
        <v>1160.7333333333333</v>
      </c>
      <c r="N628" s="116">
        <v>1166.6000000000001</v>
      </c>
      <c r="O628" s="116">
        <v>1153.3333333333333</v>
      </c>
      <c r="P628" s="116">
        <v>1159.6000000000001</v>
      </c>
      <c r="Q628" s="116">
        <v>1741.1</v>
      </c>
      <c r="R628">
        <v>1415965</v>
      </c>
    </row>
    <row r="629" spans="1:18" x14ac:dyDescent="0.25">
      <c r="A629" s="170">
        <v>42928</v>
      </c>
      <c r="B629" s="116">
        <v>1171.2</v>
      </c>
      <c r="C629" s="116">
        <v>1160.1333333333334</v>
      </c>
      <c r="D629" s="116">
        <v>1158</v>
      </c>
      <c r="E629" s="116">
        <v>1160</v>
      </c>
      <c r="F629" s="116">
        <v>1740.2</v>
      </c>
      <c r="G629">
        <v>142459</v>
      </c>
      <c r="H629" s="116"/>
      <c r="I629" s="116"/>
      <c r="L629" s="170">
        <v>42928</v>
      </c>
      <c r="M629" s="116">
        <v>1159.7</v>
      </c>
      <c r="N629" s="116">
        <v>1171.1333333333334</v>
      </c>
      <c r="O629" s="116">
        <v>1157.1333333333334</v>
      </c>
      <c r="P629" s="116">
        <v>1165.3333333333333</v>
      </c>
      <c r="Q629" s="116">
        <v>1739.55</v>
      </c>
      <c r="R629">
        <v>1357936</v>
      </c>
    </row>
    <row r="630" spans="1:18" x14ac:dyDescent="0.25">
      <c r="A630" s="170">
        <v>42929</v>
      </c>
      <c r="B630" s="116">
        <v>1181.5</v>
      </c>
      <c r="C630" s="116">
        <v>1175.2</v>
      </c>
      <c r="D630" s="116">
        <v>1160.8</v>
      </c>
      <c r="E630" s="116">
        <v>1165</v>
      </c>
      <c r="F630" s="116">
        <v>1175.2</v>
      </c>
      <c r="G630">
        <v>182603</v>
      </c>
      <c r="H630" s="116"/>
      <c r="I630" s="116"/>
      <c r="L630" s="170">
        <v>42929</v>
      </c>
      <c r="M630" s="116">
        <v>1175.0999999999999</v>
      </c>
      <c r="N630" s="116">
        <v>1182.5</v>
      </c>
      <c r="O630" s="116">
        <v>1160</v>
      </c>
      <c r="P630" s="116">
        <v>1165.0999999999999</v>
      </c>
      <c r="Q630" s="116">
        <v>1175.0999999999999</v>
      </c>
      <c r="R630">
        <v>1643754</v>
      </c>
    </row>
    <row r="631" spans="1:18" x14ac:dyDescent="0.25">
      <c r="A631" s="170">
        <v>42930</v>
      </c>
      <c r="B631" s="116">
        <v>1185</v>
      </c>
      <c r="C631" s="116">
        <v>1172.0999999999999</v>
      </c>
      <c r="D631" s="116">
        <v>1159.8</v>
      </c>
      <c r="E631" s="116">
        <v>1185</v>
      </c>
      <c r="F631" s="116">
        <v>1172.0999999999999</v>
      </c>
      <c r="G631">
        <v>160210</v>
      </c>
      <c r="H631" s="116"/>
      <c r="I631" s="116"/>
      <c r="L631" s="170">
        <v>42930</v>
      </c>
      <c r="M631" s="116">
        <v>1171.2</v>
      </c>
      <c r="N631" s="116">
        <v>1183</v>
      </c>
      <c r="O631" s="116">
        <v>1159.55</v>
      </c>
      <c r="P631" s="116">
        <v>1183</v>
      </c>
      <c r="Q631" s="116">
        <v>1171.2</v>
      </c>
      <c r="R631">
        <v>1401864</v>
      </c>
    </row>
    <row r="632" spans="1:18" x14ac:dyDescent="0.25">
      <c r="A632" s="170">
        <v>42933</v>
      </c>
      <c r="B632" s="116">
        <v>1182</v>
      </c>
      <c r="C632" s="116">
        <v>1170.6500000000001</v>
      </c>
      <c r="D632" s="116">
        <v>1163.45</v>
      </c>
      <c r="E632" s="116">
        <v>1174</v>
      </c>
      <c r="F632" s="116">
        <v>1170.6500000000001</v>
      </c>
      <c r="G632">
        <v>102053</v>
      </c>
      <c r="H632" s="116"/>
      <c r="I632" s="116"/>
      <c r="L632" s="170">
        <v>42933</v>
      </c>
      <c r="M632" s="116">
        <v>1171.25</v>
      </c>
      <c r="N632" s="116">
        <v>1182</v>
      </c>
      <c r="O632" s="116">
        <v>1162.4000000000001</v>
      </c>
      <c r="P632" s="116">
        <v>1178</v>
      </c>
      <c r="Q632" s="116">
        <v>1171.25</v>
      </c>
      <c r="R632">
        <v>1646087</v>
      </c>
    </row>
    <row r="633" spans="1:18" x14ac:dyDescent="0.25">
      <c r="A633" s="170">
        <v>42934</v>
      </c>
      <c r="B633" s="116">
        <v>1187</v>
      </c>
      <c r="C633" s="116">
        <v>1178.2</v>
      </c>
      <c r="D633" s="116">
        <v>1169</v>
      </c>
      <c r="E633" s="116">
        <v>1170</v>
      </c>
      <c r="F633" s="116">
        <v>1178.2</v>
      </c>
      <c r="G633">
        <v>236740</v>
      </c>
      <c r="H633" s="116"/>
      <c r="I633" s="116"/>
      <c r="L633" s="170">
        <v>42934</v>
      </c>
      <c r="M633" s="116">
        <v>1177.9000000000001</v>
      </c>
      <c r="N633" s="116">
        <v>1187</v>
      </c>
      <c r="O633" s="116">
        <v>1168.0999999999999</v>
      </c>
      <c r="P633" s="116">
        <v>1169.9000000000001</v>
      </c>
      <c r="Q633" s="116">
        <v>1177.9000000000001</v>
      </c>
      <c r="R633">
        <v>2375324</v>
      </c>
    </row>
    <row r="634" spans="1:18" x14ac:dyDescent="0.25">
      <c r="A634" s="170">
        <v>42935</v>
      </c>
      <c r="B634" s="116">
        <v>1186.95</v>
      </c>
      <c r="C634" s="116">
        <v>1181</v>
      </c>
      <c r="D634" s="116">
        <v>1171</v>
      </c>
      <c r="E634" s="116">
        <v>1180.05</v>
      </c>
      <c r="F634" s="116">
        <v>1181</v>
      </c>
      <c r="G634">
        <v>132917</v>
      </c>
      <c r="H634" s="116"/>
      <c r="I634" s="116"/>
      <c r="L634" s="170">
        <v>42935</v>
      </c>
      <c r="M634" s="116">
        <v>1181.3</v>
      </c>
      <c r="N634" s="116">
        <v>1187</v>
      </c>
      <c r="O634" s="116">
        <v>1170.0999999999999</v>
      </c>
      <c r="P634" s="116">
        <v>1184</v>
      </c>
      <c r="Q634" s="116">
        <v>1181.3</v>
      </c>
      <c r="R634">
        <v>1827242</v>
      </c>
    </row>
    <row r="635" spans="1:18" x14ac:dyDescent="0.25">
      <c r="A635" s="170">
        <v>42936</v>
      </c>
      <c r="B635" s="116">
        <v>1193.4000000000001</v>
      </c>
      <c r="C635" s="116">
        <v>1186.3</v>
      </c>
      <c r="D635" s="116">
        <v>1176.05</v>
      </c>
      <c r="E635" s="116">
        <v>1184.7</v>
      </c>
      <c r="F635" s="116">
        <v>1186.3</v>
      </c>
      <c r="G635">
        <v>126936</v>
      </c>
      <c r="H635" s="116"/>
      <c r="I635" s="116"/>
      <c r="L635" s="170">
        <v>42936</v>
      </c>
      <c r="M635" s="116">
        <v>1185.6500000000001</v>
      </c>
      <c r="N635" s="116">
        <v>1194.45</v>
      </c>
      <c r="O635" s="116">
        <v>1176</v>
      </c>
      <c r="P635" s="116">
        <v>1182</v>
      </c>
      <c r="Q635" s="116">
        <v>1185.6500000000001</v>
      </c>
      <c r="R635">
        <v>1845852</v>
      </c>
    </row>
    <row r="636" spans="1:18" x14ac:dyDescent="0.25">
      <c r="A636" s="170">
        <v>42937</v>
      </c>
      <c r="B636" s="116">
        <v>1189.2</v>
      </c>
      <c r="C636" s="116">
        <v>1179.1500000000001</v>
      </c>
      <c r="D636" s="116">
        <v>1170</v>
      </c>
      <c r="E636" s="116">
        <v>1187.5</v>
      </c>
      <c r="F636" s="116">
        <v>1179.1500000000001</v>
      </c>
      <c r="G636">
        <v>485937</v>
      </c>
      <c r="H636" s="116"/>
      <c r="I636" s="116"/>
      <c r="L636" s="170">
        <v>42937</v>
      </c>
      <c r="M636" s="116">
        <v>1179.25</v>
      </c>
      <c r="N636" s="116">
        <v>1190</v>
      </c>
      <c r="O636" s="116">
        <v>1170.2</v>
      </c>
      <c r="P636" s="116">
        <v>1190</v>
      </c>
      <c r="Q636" s="116">
        <v>1179.25</v>
      </c>
      <c r="R636">
        <v>1912305</v>
      </c>
    </row>
    <row r="637" spans="1:18" x14ac:dyDescent="0.25">
      <c r="A637" s="170">
        <v>42940</v>
      </c>
      <c r="B637" s="116">
        <v>1182.5</v>
      </c>
      <c r="C637" s="116">
        <v>1178.55</v>
      </c>
      <c r="D637" s="116">
        <v>1172</v>
      </c>
      <c r="E637" s="116">
        <v>1182</v>
      </c>
      <c r="F637" s="116">
        <v>1178.55</v>
      </c>
      <c r="G637">
        <v>135355</v>
      </c>
      <c r="H637" s="116"/>
      <c r="I637" s="116"/>
      <c r="L637" s="170">
        <v>42940</v>
      </c>
      <c r="M637" s="116">
        <v>1178</v>
      </c>
      <c r="N637" s="116">
        <v>1182.6500000000001</v>
      </c>
      <c r="O637" s="116">
        <v>1171.0999999999999</v>
      </c>
      <c r="P637" s="116">
        <v>1177</v>
      </c>
      <c r="Q637" s="116">
        <v>1178</v>
      </c>
      <c r="R637">
        <v>1313657</v>
      </c>
    </row>
    <row r="638" spans="1:18" x14ac:dyDescent="0.25">
      <c r="A638" s="170">
        <v>42941</v>
      </c>
      <c r="B638" s="116">
        <v>1180</v>
      </c>
      <c r="C638" s="116">
        <v>1170.95</v>
      </c>
      <c r="D638" s="116">
        <v>1165.5999999999999</v>
      </c>
      <c r="E638" s="116">
        <v>1179</v>
      </c>
      <c r="F638" s="116">
        <v>1170.95</v>
      </c>
      <c r="G638">
        <v>104370</v>
      </c>
      <c r="H638" s="116"/>
      <c r="I638" s="116"/>
      <c r="L638" s="170">
        <v>42941</v>
      </c>
      <c r="M638" s="116">
        <v>1170.8499999999999</v>
      </c>
      <c r="N638" s="116">
        <v>1179.95</v>
      </c>
      <c r="O638" s="116">
        <v>1165.5</v>
      </c>
      <c r="P638" s="116">
        <v>1178</v>
      </c>
      <c r="Q638" s="116">
        <v>1170.8499999999999</v>
      </c>
      <c r="R638">
        <v>2182162</v>
      </c>
    </row>
    <row r="639" spans="1:18" x14ac:dyDescent="0.25">
      <c r="A639" s="170">
        <v>42942</v>
      </c>
      <c r="B639" s="116">
        <v>1184</v>
      </c>
      <c r="C639" s="116">
        <v>1179.6500000000001</v>
      </c>
      <c r="D639" s="116">
        <v>1166.05</v>
      </c>
      <c r="E639" s="116">
        <v>1170</v>
      </c>
      <c r="F639" s="116">
        <v>1179.6500000000001</v>
      </c>
      <c r="G639">
        <v>97743</v>
      </c>
      <c r="H639" s="116"/>
      <c r="I639" s="116"/>
      <c r="L639" s="170">
        <v>42942</v>
      </c>
      <c r="M639" s="116">
        <v>1180.25</v>
      </c>
      <c r="N639" s="116">
        <v>1184</v>
      </c>
      <c r="O639" s="116">
        <v>1166</v>
      </c>
      <c r="P639" s="116">
        <v>1169.9000000000001</v>
      </c>
      <c r="Q639" s="116">
        <v>1180.25</v>
      </c>
      <c r="R639">
        <v>1161591</v>
      </c>
    </row>
    <row r="640" spans="1:18" x14ac:dyDescent="0.25">
      <c r="A640" s="170">
        <v>42943</v>
      </c>
      <c r="B640" s="116">
        <v>1193</v>
      </c>
      <c r="C640" s="116">
        <v>1182.25</v>
      </c>
      <c r="D640" s="116">
        <v>1173</v>
      </c>
      <c r="E640" s="116">
        <v>1184</v>
      </c>
      <c r="F640" s="116">
        <v>1182.25</v>
      </c>
      <c r="G640">
        <v>97118</v>
      </c>
      <c r="H640" s="116"/>
      <c r="I640" s="116"/>
      <c r="L640" s="170">
        <v>42943</v>
      </c>
      <c r="M640" s="116">
        <v>1182.05</v>
      </c>
      <c r="N640" s="116">
        <v>1194.9000000000001</v>
      </c>
      <c r="O640" s="116">
        <v>1173</v>
      </c>
      <c r="P640" s="116">
        <v>1180.8</v>
      </c>
      <c r="Q640" s="116">
        <v>1182.05</v>
      </c>
      <c r="R640">
        <v>3881208</v>
      </c>
    </row>
    <row r="641" spans="1:18" x14ac:dyDescent="0.25">
      <c r="A641" s="170">
        <v>42944</v>
      </c>
      <c r="B641" s="116">
        <v>1191.2</v>
      </c>
      <c r="C641" s="116">
        <v>1159.0999999999999</v>
      </c>
      <c r="D641" s="116">
        <v>1153.25</v>
      </c>
      <c r="E641" s="116">
        <v>1189.9000000000001</v>
      </c>
      <c r="F641" s="116">
        <v>1159.0999999999999</v>
      </c>
      <c r="G641">
        <v>557352</v>
      </c>
      <c r="H641" s="116"/>
      <c r="I641" s="116"/>
      <c r="L641" s="170">
        <v>42944</v>
      </c>
      <c r="M641" s="116">
        <v>1161.4000000000001</v>
      </c>
      <c r="N641" s="116">
        <v>1190.4000000000001</v>
      </c>
      <c r="O641" s="116">
        <v>1153.5</v>
      </c>
      <c r="P641" s="116">
        <v>1184</v>
      </c>
      <c r="Q641" s="116">
        <v>1161.4000000000001</v>
      </c>
      <c r="R641">
        <v>3278658</v>
      </c>
    </row>
    <row r="642" spans="1:18" x14ac:dyDescent="0.25">
      <c r="A642" s="170">
        <v>42947</v>
      </c>
      <c r="B642" s="116">
        <v>1206</v>
      </c>
      <c r="C642" s="116">
        <v>1192.0999999999999</v>
      </c>
      <c r="D642" s="116">
        <v>1182</v>
      </c>
      <c r="E642" s="116">
        <v>1189.55</v>
      </c>
      <c r="F642" s="116">
        <v>1192.0999999999999</v>
      </c>
      <c r="G642">
        <v>381717</v>
      </c>
      <c r="H642" s="116"/>
      <c r="I642" s="116"/>
      <c r="L642" s="170">
        <v>42947</v>
      </c>
      <c r="M642" s="116">
        <v>1193.95</v>
      </c>
      <c r="N642" s="116">
        <v>1207.5</v>
      </c>
      <c r="O642" s="116">
        <v>1180.0999999999999</v>
      </c>
      <c r="P642" s="116">
        <v>1193.7</v>
      </c>
      <c r="Q642" s="116">
        <v>1193.95</v>
      </c>
      <c r="R642">
        <v>5000536</v>
      </c>
    </row>
    <row r="643" spans="1:18" x14ac:dyDescent="0.25">
      <c r="A643" s="170">
        <v>42948</v>
      </c>
      <c r="B643" s="116">
        <v>1199.5</v>
      </c>
      <c r="C643" s="116">
        <v>1188.95</v>
      </c>
      <c r="D643" s="116">
        <v>1172.5</v>
      </c>
      <c r="E643" s="116">
        <v>1196.4000000000001</v>
      </c>
      <c r="F643" s="116">
        <v>1188.95</v>
      </c>
      <c r="G643">
        <v>248239</v>
      </c>
      <c r="H643" s="116"/>
      <c r="I643" s="116"/>
      <c r="L643" s="170">
        <v>42948</v>
      </c>
      <c r="M643" s="116">
        <v>1190.05</v>
      </c>
      <c r="N643" s="116">
        <v>1198.25</v>
      </c>
      <c r="O643" s="116">
        <v>1171.7</v>
      </c>
      <c r="P643" s="116">
        <v>1198.25</v>
      </c>
      <c r="Q643" s="116">
        <v>1190.05</v>
      </c>
      <c r="R643">
        <v>2721660</v>
      </c>
    </row>
    <row r="644" spans="1:18" x14ac:dyDescent="0.25">
      <c r="A644" s="170">
        <v>42949</v>
      </c>
      <c r="B644" s="116">
        <v>1193</v>
      </c>
      <c r="C644" s="116">
        <v>1176.55</v>
      </c>
      <c r="D644" s="116">
        <v>1173.5999999999999</v>
      </c>
      <c r="E644" s="116">
        <v>1192.95</v>
      </c>
      <c r="F644" s="116">
        <v>1176.55</v>
      </c>
      <c r="G644">
        <v>176567</v>
      </c>
      <c r="H644" s="116"/>
      <c r="I644" s="116"/>
      <c r="L644" s="170">
        <v>42949</v>
      </c>
      <c r="M644" s="116">
        <v>1176.8</v>
      </c>
      <c r="N644" s="116">
        <v>1191.8499999999999</v>
      </c>
      <c r="O644" s="116">
        <v>1172.5</v>
      </c>
      <c r="P644" s="116">
        <v>1191</v>
      </c>
      <c r="Q644" s="116">
        <v>1176.8</v>
      </c>
      <c r="R644">
        <v>2154488</v>
      </c>
    </row>
    <row r="645" spans="1:18" x14ac:dyDescent="0.25">
      <c r="A645" s="170">
        <v>42950</v>
      </c>
      <c r="B645" s="116">
        <v>1183.95</v>
      </c>
      <c r="C645" s="116">
        <v>1174.3499999999999</v>
      </c>
      <c r="D645" s="116">
        <v>1167.95</v>
      </c>
      <c r="E645" s="116">
        <v>1181.9000000000001</v>
      </c>
      <c r="F645" s="116">
        <v>1174.3499999999999</v>
      </c>
      <c r="G645">
        <v>110259</v>
      </c>
      <c r="H645" s="116"/>
      <c r="I645" s="116"/>
      <c r="L645" s="170">
        <v>42950</v>
      </c>
      <c r="M645" s="116">
        <v>1174.75</v>
      </c>
      <c r="N645" s="116">
        <v>1184.6500000000001</v>
      </c>
      <c r="O645" s="116">
        <v>1167.6500000000001</v>
      </c>
      <c r="P645" s="116">
        <v>1179.9000000000001</v>
      </c>
      <c r="Q645" s="116">
        <v>1174.75</v>
      </c>
      <c r="R645">
        <v>1426006</v>
      </c>
    </row>
    <row r="646" spans="1:18" x14ac:dyDescent="0.25">
      <c r="A646" s="170">
        <v>42951</v>
      </c>
      <c r="B646" s="116">
        <v>1181.6500000000001</v>
      </c>
      <c r="C646" s="116">
        <v>1176.7</v>
      </c>
      <c r="D646" s="116">
        <v>1169.95</v>
      </c>
      <c r="E646" s="116">
        <v>1174</v>
      </c>
      <c r="F646" s="116">
        <v>1176.7</v>
      </c>
      <c r="G646">
        <v>259378</v>
      </c>
      <c r="H646" s="116"/>
      <c r="I646" s="116"/>
      <c r="L646" s="170">
        <v>42951</v>
      </c>
      <c r="M646" s="116">
        <v>1175.8499999999999</v>
      </c>
      <c r="N646" s="116">
        <v>1181.95</v>
      </c>
      <c r="O646" s="116">
        <v>1169.7</v>
      </c>
      <c r="P646" s="116">
        <v>1174</v>
      </c>
      <c r="Q646" s="116">
        <v>1175.8499999999999</v>
      </c>
      <c r="R646">
        <v>1082867</v>
      </c>
    </row>
    <row r="647" spans="1:18" x14ac:dyDescent="0.25">
      <c r="A647" s="170">
        <v>42954</v>
      </c>
      <c r="B647" s="116">
        <v>1183.8</v>
      </c>
      <c r="C647" s="116">
        <v>1178.9000000000001</v>
      </c>
      <c r="D647" s="116">
        <v>1171.8</v>
      </c>
      <c r="E647" s="116">
        <v>1179</v>
      </c>
      <c r="F647" s="116">
        <v>1178.9000000000001</v>
      </c>
      <c r="G647">
        <v>86975</v>
      </c>
      <c r="H647" s="116"/>
      <c r="I647" s="116"/>
      <c r="L647" s="170">
        <v>42954</v>
      </c>
      <c r="M647" s="116">
        <v>1179.95</v>
      </c>
      <c r="N647" s="116">
        <v>1184.5999999999999</v>
      </c>
      <c r="O647" s="116">
        <v>1172</v>
      </c>
      <c r="P647" s="116">
        <v>1176.7</v>
      </c>
      <c r="Q647" s="116">
        <v>1179.95</v>
      </c>
      <c r="R647">
        <v>1035670</v>
      </c>
    </row>
    <row r="648" spans="1:18" x14ac:dyDescent="0.25">
      <c r="A648" s="170">
        <v>42955</v>
      </c>
      <c r="B648" s="116">
        <v>1185.6500000000001</v>
      </c>
      <c r="C648" s="116">
        <v>1170.8</v>
      </c>
      <c r="D648" s="116">
        <v>1165.25</v>
      </c>
      <c r="E648" s="116">
        <v>1180.95</v>
      </c>
      <c r="F648" s="116">
        <v>1170.8</v>
      </c>
      <c r="G648">
        <v>132884</v>
      </c>
      <c r="H648" s="116"/>
      <c r="I648" s="116"/>
      <c r="L648" s="170">
        <v>42955</v>
      </c>
      <c r="M648" s="116">
        <v>1171.2</v>
      </c>
      <c r="N648" s="116">
        <v>1186</v>
      </c>
      <c r="O648" s="116">
        <v>1164</v>
      </c>
      <c r="P648" s="116">
        <v>1180</v>
      </c>
      <c r="Q648" s="116">
        <v>1171.2</v>
      </c>
      <c r="R648">
        <v>1531255</v>
      </c>
    </row>
    <row r="649" spans="1:18" x14ac:dyDescent="0.25">
      <c r="A649" s="170">
        <v>42956</v>
      </c>
      <c r="B649" s="116">
        <v>1172</v>
      </c>
      <c r="C649" s="116">
        <v>1156</v>
      </c>
      <c r="D649" s="116">
        <v>1147.3</v>
      </c>
      <c r="E649" s="116">
        <v>1172</v>
      </c>
      <c r="F649" s="116">
        <v>1156</v>
      </c>
      <c r="G649">
        <v>149993</v>
      </c>
      <c r="H649" s="116"/>
      <c r="I649" s="116"/>
      <c r="L649" s="170">
        <v>42956</v>
      </c>
      <c r="M649" s="116">
        <v>1153.9000000000001</v>
      </c>
      <c r="N649" s="116">
        <v>1171</v>
      </c>
      <c r="O649" s="116">
        <v>1148</v>
      </c>
      <c r="P649" s="116">
        <v>1171</v>
      </c>
      <c r="Q649" s="116">
        <v>1153.9000000000001</v>
      </c>
      <c r="R649">
        <v>1439328</v>
      </c>
    </row>
    <row r="650" spans="1:18" x14ac:dyDescent="0.25">
      <c r="A650" s="170">
        <v>42957</v>
      </c>
      <c r="B650" s="116">
        <v>1166</v>
      </c>
      <c r="C650" s="116">
        <v>1159.5</v>
      </c>
      <c r="D650" s="116">
        <v>1140.0999999999999</v>
      </c>
      <c r="E650" s="116">
        <v>1156</v>
      </c>
      <c r="F650" s="116">
        <v>1159.5</v>
      </c>
      <c r="G650">
        <v>120474</v>
      </c>
      <c r="H650" s="116"/>
      <c r="I650" s="116"/>
      <c r="L650" s="170">
        <v>42957</v>
      </c>
      <c r="M650" s="116">
        <v>1157.7</v>
      </c>
      <c r="N650" s="116">
        <v>1166.9000000000001</v>
      </c>
      <c r="O650" s="116">
        <v>1140</v>
      </c>
      <c r="P650" s="116">
        <v>1151</v>
      </c>
      <c r="Q650" s="116">
        <v>1157.7</v>
      </c>
      <c r="R650">
        <v>1713614</v>
      </c>
    </row>
    <row r="651" spans="1:18" x14ac:dyDescent="0.25">
      <c r="A651" s="170">
        <v>42958</v>
      </c>
      <c r="B651" s="116">
        <v>1150.5</v>
      </c>
      <c r="C651" s="116">
        <v>1132.8</v>
      </c>
      <c r="D651" s="116">
        <v>1127.05</v>
      </c>
      <c r="E651" s="116">
        <v>1150.5</v>
      </c>
      <c r="F651" s="116">
        <v>1132.8</v>
      </c>
      <c r="G651">
        <v>339333</v>
      </c>
      <c r="H651" s="116"/>
      <c r="I651" s="116"/>
      <c r="L651" s="170">
        <v>42958</v>
      </c>
      <c r="M651" s="116">
        <v>1131.95</v>
      </c>
      <c r="N651" s="116">
        <v>1144.05</v>
      </c>
      <c r="O651" s="116">
        <v>1125.2</v>
      </c>
      <c r="P651" s="116">
        <v>1138</v>
      </c>
      <c r="Q651" s="116">
        <v>1131.95</v>
      </c>
      <c r="R651">
        <v>2001103</v>
      </c>
    </row>
    <row r="652" spans="1:18" x14ac:dyDescent="0.25">
      <c r="A652" s="170">
        <v>42961</v>
      </c>
      <c r="B652" s="116">
        <v>1152.4000000000001</v>
      </c>
      <c r="C652" s="116">
        <v>1146.5999999999999</v>
      </c>
      <c r="D652" s="116">
        <v>1120</v>
      </c>
      <c r="E652" s="116">
        <v>1145</v>
      </c>
      <c r="F652" s="116">
        <v>1146.5999999999999</v>
      </c>
      <c r="G652">
        <v>162917</v>
      </c>
      <c r="H652" s="116"/>
      <c r="I652" s="116"/>
      <c r="L652" s="170">
        <v>42961</v>
      </c>
      <c r="M652" s="116">
        <v>1146.9000000000001</v>
      </c>
      <c r="N652" s="116">
        <v>1153</v>
      </c>
      <c r="O652" s="116">
        <v>1119</v>
      </c>
      <c r="P652" s="116">
        <v>1143.25</v>
      </c>
      <c r="Q652" s="116">
        <v>1146.9000000000001</v>
      </c>
      <c r="R652">
        <v>1866838</v>
      </c>
    </row>
    <row r="653" spans="1:18" x14ac:dyDescent="0.25">
      <c r="A653" s="170">
        <v>42963</v>
      </c>
      <c r="B653" s="116">
        <v>1152.2</v>
      </c>
      <c r="C653" s="116">
        <v>1141.6500000000001</v>
      </c>
      <c r="D653" s="116">
        <v>1123.55</v>
      </c>
      <c r="E653" s="116">
        <v>1146.5999999999999</v>
      </c>
      <c r="F653" s="116">
        <v>1141.6500000000001</v>
      </c>
      <c r="G653">
        <v>467174</v>
      </c>
      <c r="H653" s="116"/>
      <c r="I653" s="116"/>
      <c r="L653" s="170">
        <v>42963</v>
      </c>
      <c r="M653" s="116">
        <v>1142.25</v>
      </c>
      <c r="N653" s="116">
        <v>1152.4000000000001</v>
      </c>
      <c r="O653" s="116">
        <v>1123.25</v>
      </c>
      <c r="P653" s="116">
        <v>1149</v>
      </c>
      <c r="Q653" s="116">
        <v>1142.25</v>
      </c>
      <c r="R653">
        <v>2143899</v>
      </c>
    </row>
    <row r="654" spans="1:18" x14ac:dyDescent="0.25">
      <c r="A654" s="170">
        <v>42964</v>
      </c>
      <c r="B654" s="116">
        <v>1156.1500000000001</v>
      </c>
      <c r="C654" s="116">
        <v>1133.05</v>
      </c>
      <c r="D654" s="116">
        <v>1130.9000000000001</v>
      </c>
      <c r="E654" s="116">
        <v>1142</v>
      </c>
      <c r="F654" s="116">
        <v>1133.05</v>
      </c>
      <c r="G654">
        <v>263237</v>
      </c>
      <c r="H654" s="116"/>
      <c r="I654" s="116"/>
      <c r="L654" s="170">
        <v>42964</v>
      </c>
      <c r="M654" s="116">
        <v>1134</v>
      </c>
      <c r="N654" s="116">
        <v>1157</v>
      </c>
      <c r="O654" s="116">
        <v>1131.05</v>
      </c>
      <c r="P654" s="116">
        <v>1145</v>
      </c>
      <c r="Q654" s="116">
        <v>1134</v>
      </c>
      <c r="R654">
        <v>1508949</v>
      </c>
    </row>
    <row r="655" spans="1:18" x14ac:dyDescent="0.25">
      <c r="A655" s="170">
        <v>42965</v>
      </c>
      <c r="B655" s="116">
        <v>1137.5</v>
      </c>
      <c r="C655" s="116">
        <v>1131</v>
      </c>
      <c r="D655" s="116">
        <v>1124.1500000000001</v>
      </c>
      <c r="E655" s="116">
        <v>1134.95</v>
      </c>
      <c r="F655" s="116">
        <v>1131</v>
      </c>
      <c r="G655">
        <v>81250</v>
      </c>
      <c r="H655" s="116"/>
      <c r="I655" s="116"/>
      <c r="L655" s="170">
        <v>42965</v>
      </c>
      <c r="M655" s="116">
        <v>1130.5999999999999</v>
      </c>
      <c r="N655" s="116">
        <v>1137.6500000000001</v>
      </c>
      <c r="O655" s="116">
        <v>1123</v>
      </c>
      <c r="P655" s="116">
        <v>1124</v>
      </c>
      <c r="Q655" s="116">
        <v>1130.5999999999999</v>
      </c>
      <c r="R655">
        <v>1230709</v>
      </c>
    </row>
    <row r="656" spans="1:18" x14ac:dyDescent="0.25">
      <c r="A656" s="170">
        <v>42968</v>
      </c>
      <c r="B656" s="116">
        <v>1138.45</v>
      </c>
      <c r="C656" s="116">
        <v>1126.5</v>
      </c>
      <c r="D656" s="116">
        <v>1123.3499999999999</v>
      </c>
      <c r="E656" s="116">
        <v>1131.05</v>
      </c>
      <c r="F656" s="116">
        <v>1126.5</v>
      </c>
      <c r="G656">
        <v>66771</v>
      </c>
      <c r="H656" s="116"/>
      <c r="I656" s="116"/>
      <c r="L656" s="170">
        <v>42968</v>
      </c>
      <c r="M656" s="116">
        <v>1127.0999999999999</v>
      </c>
      <c r="N656" s="116">
        <v>1140</v>
      </c>
      <c r="O656" s="116">
        <v>1124.5999999999999</v>
      </c>
      <c r="P656" s="116">
        <v>1133.45</v>
      </c>
      <c r="Q656" s="116">
        <v>1127.0999999999999</v>
      </c>
      <c r="R656">
        <v>1651344</v>
      </c>
    </row>
    <row r="657" spans="1:18" x14ac:dyDescent="0.25">
      <c r="A657" s="170">
        <v>42969</v>
      </c>
      <c r="B657" s="116">
        <v>1136.5</v>
      </c>
      <c r="C657" s="116">
        <v>1119.25</v>
      </c>
      <c r="D657" s="116">
        <v>1114.55</v>
      </c>
      <c r="E657" s="116">
        <v>1136</v>
      </c>
      <c r="F657" s="116">
        <v>1119.25</v>
      </c>
      <c r="G657">
        <v>63736</v>
      </c>
      <c r="H657" s="116"/>
      <c r="I657" s="116"/>
      <c r="L657" s="170">
        <v>42969</v>
      </c>
      <c r="M657" s="116">
        <v>1117.7</v>
      </c>
      <c r="N657" s="116">
        <v>1135</v>
      </c>
      <c r="O657" s="116">
        <v>1113.05</v>
      </c>
      <c r="P657" s="116">
        <v>1132</v>
      </c>
      <c r="Q657" s="116">
        <v>1117.7</v>
      </c>
      <c r="R657">
        <v>1361351</v>
      </c>
    </row>
    <row r="658" spans="1:18" x14ac:dyDescent="0.25">
      <c r="A658" s="170">
        <v>42970</v>
      </c>
      <c r="B658" s="116">
        <v>1128.55</v>
      </c>
      <c r="C658" s="116">
        <v>1124.4000000000001</v>
      </c>
      <c r="D658" s="116">
        <v>1115.8</v>
      </c>
      <c r="E658" s="116">
        <v>1127.7</v>
      </c>
      <c r="F658" s="116">
        <v>1124.4000000000001</v>
      </c>
      <c r="G658">
        <v>292352</v>
      </c>
      <c r="H658" s="116"/>
      <c r="I658" s="116"/>
      <c r="L658" s="170">
        <v>42970</v>
      </c>
      <c r="M658" s="116">
        <v>1124.1500000000001</v>
      </c>
      <c r="N658" s="116">
        <v>1128.8499999999999</v>
      </c>
      <c r="O658" s="116">
        <v>1114.4000000000001</v>
      </c>
      <c r="P658" s="116">
        <v>1120</v>
      </c>
      <c r="Q658" s="116">
        <v>1124.1500000000001</v>
      </c>
      <c r="R658">
        <v>1710949</v>
      </c>
    </row>
    <row r="659" spans="1:18" x14ac:dyDescent="0.25">
      <c r="A659" s="170">
        <v>42971</v>
      </c>
      <c r="B659" s="116">
        <v>1134.95</v>
      </c>
      <c r="C659" s="116">
        <v>1131.3</v>
      </c>
      <c r="D659" s="116">
        <v>1125.8</v>
      </c>
      <c r="E659" s="116">
        <v>1129.95</v>
      </c>
      <c r="F659" s="116">
        <v>1131.3</v>
      </c>
      <c r="G659">
        <v>80086</v>
      </c>
      <c r="H659" s="116"/>
      <c r="I659" s="116"/>
      <c r="L659" s="170">
        <v>42971</v>
      </c>
      <c r="M659" s="116">
        <v>1131.7</v>
      </c>
      <c r="N659" s="116">
        <v>1135.8</v>
      </c>
      <c r="O659" s="116">
        <v>1126</v>
      </c>
      <c r="P659" s="116">
        <v>1130</v>
      </c>
      <c r="Q659" s="116">
        <v>1131.7</v>
      </c>
      <c r="R659">
        <v>1316100</v>
      </c>
    </row>
    <row r="660" spans="1:18" x14ac:dyDescent="0.25">
      <c r="A660" s="170">
        <v>42975</v>
      </c>
      <c r="B660" s="116">
        <v>1154.4000000000001</v>
      </c>
      <c r="C660" s="116">
        <v>1140.6500000000001</v>
      </c>
      <c r="D660" s="116">
        <v>1129.3</v>
      </c>
      <c r="E660" s="116">
        <v>1133</v>
      </c>
      <c r="F660" s="116">
        <v>1140.6500000000001</v>
      </c>
      <c r="G660">
        <v>177297</v>
      </c>
      <c r="H660" s="116"/>
      <c r="I660" s="116"/>
      <c r="L660" s="170">
        <v>42975</v>
      </c>
      <c r="M660" s="116">
        <v>1138.9000000000001</v>
      </c>
      <c r="N660" s="116">
        <v>1155</v>
      </c>
      <c r="O660" s="116">
        <v>1128.8</v>
      </c>
      <c r="P660" s="116">
        <v>1134.7</v>
      </c>
      <c r="Q660" s="116">
        <v>1138.9000000000001</v>
      </c>
      <c r="R660">
        <v>1884734</v>
      </c>
    </row>
    <row r="661" spans="1:18" x14ac:dyDescent="0.25">
      <c r="A661" s="170">
        <v>42976</v>
      </c>
      <c r="B661" s="116">
        <v>1138.5</v>
      </c>
      <c r="C661" s="116">
        <v>1130.2</v>
      </c>
      <c r="D661" s="116">
        <v>1125.05</v>
      </c>
      <c r="E661" s="116">
        <v>1132</v>
      </c>
      <c r="F661" s="116">
        <v>1130.2</v>
      </c>
      <c r="G661">
        <v>80118</v>
      </c>
      <c r="H661" s="116"/>
      <c r="I661" s="116"/>
      <c r="L661" s="170">
        <v>42976</v>
      </c>
      <c r="M661" s="116">
        <v>1130.05</v>
      </c>
      <c r="N661" s="116">
        <v>1138.75</v>
      </c>
      <c r="O661" s="116">
        <v>1123.3499999999999</v>
      </c>
      <c r="P661" s="116">
        <v>1135.6500000000001</v>
      </c>
      <c r="Q661" s="116">
        <v>1130.05</v>
      </c>
      <c r="R661">
        <v>1045267</v>
      </c>
    </row>
    <row r="662" spans="1:18" x14ac:dyDescent="0.25">
      <c r="A662" s="170">
        <v>42977</v>
      </c>
      <c r="B662" s="116">
        <v>1145.95</v>
      </c>
      <c r="C662" s="116">
        <v>1139.9000000000001</v>
      </c>
      <c r="D662" s="116">
        <v>1133.0999999999999</v>
      </c>
      <c r="E662" s="116">
        <v>1133.0999999999999</v>
      </c>
      <c r="F662" s="116">
        <v>1139.9000000000001</v>
      </c>
      <c r="G662">
        <v>70523</v>
      </c>
      <c r="H662" s="116"/>
      <c r="I662" s="116"/>
      <c r="L662" s="170">
        <v>42977</v>
      </c>
      <c r="M662" s="116">
        <v>1139.6500000000001</v>
      </c>
      <c r="N662" s="116">
        <v>1145.9000000000001</v>
      </c>
      <c r="O662" s="116">
        <v>1133</v>
      </c>
      <c r="P662" s="116">
        <v>1140</v>
      </c>
      <c r="Q662" s="116">
        <v>1139.6500000000001</v>
      </c>
      <c r="R662">
        <v>895791</v>
      </c>
    </row>
    <row r="663" spans="1:18" x14ac:dyDescent="0.25">
      <c r="A663" s="170">
        <v>42978</v>
      </c>
      <c r="B663" s="116">
        <v>1146</v>
      </c>
      <c r="C663" s="116">
        <v>1136</v>
      </c>
      <c r="D663" s="116">
        <v>1128.5999999999999</v>
      </c>
      <c r="E663" s="116">
        <v>1140</v>
      </c>
      <c r="F663" s="116">
        <v>1136</v>
      </c>
      <c r="G663">
        <v>272417</v>
      </c>
      <c r="H663" s="116"/>
      <c r="I663" s="116"/>
      <c r="L663" s="170">
        <v>42978</v>
      </c>
      <c r="M663" s="116">
        <v>1136.3</v>
      </c>
      <c r="N663" s="116">
        <v>1145</v>
      </c>
      <c r="O663" s="116">
        <v>1130.5</v>
      </c>
      <c r="P663" s="116">
        <v>1144</v>
      </c>
      <c r="Q663" s="116">
        <v>1136.3</v>
      </c>
      <c r="R663">
        <v>1926054</v>
      </c>
    </row>
    <row r="664" spans="1:18" x14ac:dyDescent="0.25">
      <c r="A664" s="170">
        <v>42979</v>
      </c>
      <c r="B664" s="116">
        <v>1143.9000000000001</v>
      </c>
      <c r="C664" s="116">
        <v>1139.7</v>
      </c>
      <c r="D664" s="116">
        <v>1132.3</v>
      </c>
      <c r="E664" s="116">
        <v>1137</v>
      </c>
      <c r="F664" s="116">
        <v>1139.7</v>
      </c>
      <c r="G664">
        <v>116413</v>
      </c>
      <c r="H664" s="116"/>
      <c r="I664" s="116"/>
      <c r="L664" s="170">
        <v>42979</v>
      </c>
      <c r="M664" s="116">
        <v>1139.2</v>
      </c>
      <c r="N664" s="116">
        <v>1144.4000000000001</v>
      </c>
      <c r="O664" s="116">
        <v>1131.55</v>
      </c>
      <c r="P664" s="116">
        <v>1134.95</v>
      </c>
      <c r="Q664" s="116">
        <v>1139.2</v>
      </c>
      <c r="R664">
        <v>976551</v>
      </c>
    </row>
    <row r="665" spans="1:18" x14ac:dyDescent="0.25">
      <c r="A665" s="170">
        <v>42982</v>
      </c>
      <c r="B665" s="116">
        <v>1139.7</v>
      </c>
      <c r="C665" s="116">
        <v>1129.95</v>
      </c>
      <c r="D665" s="116">
        <v>1122.5</v>
      </c>
      <c r="E665" s="116">
        <v>1139.7</v>
      </c>
      <c r="F665" s="116">
        <v>1129.95</v>
      </c>
      <c r="G665">
        <v>109309</v>
      </c>
      <c r="H665" s="116"/>
      <c r="I665" s="116"/>
      <c r="L665" s="170">
        <v>42982</v>
      </c>
      <c r="M665" s="116">
        <v>1130.6500000000001</v>
      </c>
      <c r="N665" s="116">
        <v>1138.95</v>
      </c>
      <c r="O665" s="116">
        <v>1122</v>
      </c>
      <c r="P665" s="116">
        <v>1127.95</v>
      </c>
      <c r="Q665" s="116">
        <v>1130.6500000000001</v>
      </c>
      <c r="R665">
        <v>1006945</v>
      </c>
    </row>
    <row r="666" spans="1:18" x14ac:dyDescent="0.25">
      <c r="A666" s="170">
        <v>42983</v>
      </c>
      <c r="B666" s="116">
        <v>1137.9000000000001</v>
      </c>
      <c r="C666" s="116">
        <v>1129</v>
      </c>
      <c r="D666" s="116">
        <v>1123.5</v>
      </c>
      <c r="E666" s="116">
        <v>1130</v>
      </c>
      <c r="F666" s="116">
        <v>1129</v>
      </c>
      <c r="G666">
        <v>84314</v>
      </c>
      <c r="H666" s="116"/>
      <c r="I666" s="116"/>
      <c r="L666" s="170">
        <v>42983</v>
      </c>
      <c r="M666" s="116">
        <v>1126.6500000000001</v>
      </c>
      <c r="N666" s="116">
        <v>1139</v>
      </c>
      <c r="O666" s="116">
        <v>1122.3</v>
      </c>
      <c r="P666" s="116">
        <v>1131.1500000000001</v>
      </c>
      <c r="Q666" s="116">
        <v>1126.6500000000001</v>
      </c>
      <c r="R666">
        <v>1110437</v>
      </c>
    </row>
    <row r="667" spans="1:18" x14ac:dyDescent="0.25">
      <c r="A667" s="170">
        <v>42984</v>
      </c>
      <c r="B667" s="116">
        <v>1126.5999999999999</v>
      </c>
      <c r="C667" s="116">
        <v>1117.95</v>
      </c>
      <c r="D667" s="116">
        <v>1116.45</v>
      </c>
      <c r="E667" s="116">
        <v>1124.7</v>
      </c>
      <c r="F667" s="116">
        <v>1117.95</v>
      </c>
      <c r="G667">
        <v>141340</v>
      </c>
      <c r="H667" s="116"/>
      <c r="I667" s="116"/>
      <c r="L667" s="170">
        <v>42984</v>
      </c>
      <c r="M667" s="116">
        <v>1117.5999999999999</v>
      </c>
      <c r="N667" s="116">
        <v>1126.0999999999999</v>
      </c>
      <c r="O667" s="116">
        <v>1115.9000000000001</v>
      </c>
      <c r="P667" s="116">
        <v>1122</v>
      </c>
      <c r="Q667" s="116">
        <v>1117.5999999999999</v>
      </c>
      <c r="R667">
        <v>891224</v>
      </c>
    </row>
    <row r="668" spans="1:18" x14ac:dyDescent="0.25">
      <c r="A668" s="170">
        <v>42985</v>
      </c>
      <c r="B668" s="116">
        <v>1132</v>
      </c>
      <c r="C668" s="116">
        <v>1126.5</v>
      </c>
      <c r="D668" s="116">
        <v>1119.0999999999999</v>
      </c>
      <c r="E668" s="116">
        <v>1120.05</v>
      </c>
      <c r="F668" s="116">
        <v>1126.5</v>
      </c>
      <c r="G668">
        <v>68228</v>
      </c>
      <c r="H668" s="116"/>
      <c r="I668" s="116"/>
      <c r="L668" s="170">
        <v>42985</v>
      </c>
      <c r="M668" s="116">
        <v>1129.0999999999999</v>
      </c>
      <c r="N668" s="116">
        <v>1130.95</v>
      </c>
      <c r="O668" s="116">
        <v>1118.25</v>
      </c>
      <c r="P668" s="116">
        <v>1121.0999999999999</v>
      </c>
      <c r="Q668" s="116">
        <v>1129.0999999999999</v>
      </c>
      <c r="R668">
        <v>1038623</v>
      </c>
    </row>
    <row r="669" spans="1:18" x14ac:dyDescent="0.25">
      <c r="A669" s="170">
        <v>42986</v>
      </c>
      <c r="B669" s="116">
        <v>1182</v>
      </c>
      <c r="C669" s="116">
        <v>1172.3</v>
      </c>
      <c r="D669" s="116">
        <v>1132</v>
      </c>
      <c r="E669" s="116">
        <v>1132</v>
      </c>
      <c r="F669" s="116">
        <v>1172.3</v>
      </c>
      <c r="G669">
        <v>335982</v>
      </c>
      <c r="H669" s="116"/>
      <c r="I669" s="116"/>
      <c r="L669" s="170">
        <v>42986</v>
      </c>
      <c r="M669" s="116">
        <v>1172.4000000000001</v>
      </c>
      <c r="N669" s="116">
        <v>1182</v>
      </c>
      <c r="O669" s="116">
        <v>1134.05</v>
      </c>
      <c r="P669" s="116">
        <v>1137.5</v>
      </c>
      <c r="Q669" s="116">
        <v>1172.4000000000001</v>
      </c>
      <c r="R669">
        <v>4947759</v>
      </c>
    </row>
    <row r="670" spans="1:18" x14ac:dyDescent="0.25">
      <c r="A670" s="170">
        <v>42989</v>
      </c>
      <c r="B670" s="116">
        <v>1219.6500000000001</v>
      </c>
      <c r="C670" s="116">
        <v>1216.9000000000001</v>
      </c>
      <c r="D670" s="116">
        <v>1178.1500000000001</v>
      </c>
      <c r="E670" s="116">
        <v>1178.1500000000001</v>
      </c>
      <c r="F670" s="116">
        <v>1216.9000000000001</v>
      </c>
      <c r="G670">
        <v>316495</v>
      </c>
      <c r="H670" s="116"/>
      <c r="I670" s="116"/>
      <c r="L670" s="170">
        <v>42989</v>
      </c>
      <c r="M670" s="116">
        <v>1217.8499999999999</v>
      </c>
      <c r="N670" s="116">
        <v>1225</v>
      </c>
      <c r="O670" s="116">
        <v>1152.55</v>
      </c>
      <c r="P670" s="116">
        <v>1180</v>
      </c>
      <c r="Q670" s="116">
        <v>1217.8499999999999</v>
      </c>
      <c r="R670">
        <v>4364705</v>
      </c>
    </row>
    <row r="671" spans="1:18" x14ac:dyDescent="0.25">
      <c r="A671" s="170">
        <v>42990</v>
      </c>
      <c r="B671" s="116">
        <v>1231.95</v>
      </c>
      <c r="C671" s="116">
        <v>1228.3499999999999</v>
      </c>
      <c r="D671" s="116">
        <v>1219</v>
      </c>
      <c r="E671" s="116">
        <v>1220</v>
      </c>
      <c r="F671" s="116">
        <v>1228.3499999999999</v>
      </c>
      <c r="G671">
        <v>173298</v>
      </c>
      <c r="H671" s="116"/>
      <c r="I671" s="116"/>
      <c r="L671" s="170">
        <v>42990</v>
      </c>
      <c r="M671" s="116">
        <v>1230.25</v>
      </c>
      <c r="N671" s="116">
        <v>1234</v>
      </c>
      <c r="O671" s="116">
        <v>1219.5</v>
      </c>
      <c r="P671" s="116">
        <v>1219.5</v>
      </c>
      <c r="Q671" s="116">
        <v>1230.25</v>
      </c>
      <c r="R671">
        <v>2451814</v>
      </c>
    </row>
    <row r="672" spans="1:18" x14ac:dyDescent="0.25">
      <c r="A672" s="170">
        <v>42991</v>
      </c>
      <c r="B672" s="116">
        <v>1228</v>
      </c>
      <c r="C672" s="116">
        <v>1222.75</v>
      </c>
      <c r="D672" s="116">
        <v>1207.55</v>
      </c>
      <c r="E672" s="116">
        <v>1216</v>
      </c>
      <c r="F672" s="116">
        <v>1222.75</v>
      </c>
      <c r="G672">
        <v>190354</v>
      </c>
      <c r="H672" s="116"/>
      <c r="I672" s="116"/>
      <c r="L672" s="170">
        <v>42991</v>
      </c>
      <c r="M672" s="116">
        <v>1223.3499999999999</v>
      </c>
      <c r="N672" s="116">
        <v>1229</v>
      </c>
      <c r="O672" s="116">
        <v>1207.5</v>
      </c>
      <c r="P672" s="116">
        <v>1222</v>
      </c>
      <c r="Q672" s="116">
        <v>1223.3499999999999</v>
      </c>
      <c r="R672">
        <v>2233311</v>
      </c>
    </row>
    <row r="673" spans="1:18" x14ac:dyDescent="0.25">
      <c r="A673" s="170">
        <v>42992</v>
      </c>
      <c r="B673" s="116">
        <v>1233</v>
      </c>
      <c r="C673" s="116">
        <v>1214.7</v>
      </c>
      <c r="D673" s="116">
        <v>1211.6500000000001</v>
      </c>
      <c r="E673" s="116">
        <v>1223.9000000000001</v>
      </c>
      <c r="F673" s="116">
        <v>1214.7</v>
      </c>
      <c r="G673">
        <v>167300</v>
      </c>
      <c r="H673" s="116"/>
      <c r="I673" s="116"/>
      <c r="L673" s="170">
        <v>42992</v>
      </c>
      <c r="M673" s="116">
        <v>1214.2</v>
      </c>
      <c r="N673" s="116">
        <v>1234</v>
      </c>
      <c r="O673" s="116">
        <v>1211.5</v>
      </c>
      <c r="P673" s="116">
        <v>1223.55</v>
      </c>
      <c r="Q673" s="116">
        <v>1214.2</v>
      </c>
      <c r="R673">
        <v>1440488</v>
      </c>
    </row>
    <row r="674" spans="1:18" x14ac:dyDescent="0.25">
      <c r="A674" s="170">
        <v>42993</v>
      </c>
      <c r="B674" s="116">
        <v>1221</v>
      </c>
      <c r="C674" s="116">
        <v>1212.45</v>
      </c>
      <c r="D674" s="116">
        <v>1200.3</v>
      </c>
      <c r="E674" s="116">
        <v>1214</v>
      </c>
      <c r="F674" s="116">
        <v>1212.45</v>
      </c>
      <c r="G674">
        <v>190224</v>
      </c>
      <c r="H674" s="116"/>
      <c r="I674" s="116"/>
      <c r="L674" s="170">
        <v>42993</v>
      </c>
      <c r="M674" s="116">
        <v>1212.4000000000001</v>
      </c>
      <c r="N674" s="116">
        <v>1221.6500000000001</v>
      </c>
      <c r="O674" s="116">
        <v>1202.05</v>
      </c>
      <c r="P674" s="116">
        <v>1214</v>
      </c>
      <c r="Q674" s="116">
        <v>1212.4000000000001</v>
      </c>
      <c r="R674">
        <v>1723247</v>
      </c>
    </row>
    <row r="675" spans="1:18" x14ac:dyDescent="0.25">
      <c r="A675" s="170">
        <v>42996</v>
      </c>
      <c r="B675" s="116">
        <v>1245.45</v>
      </c>
      <c r="C675" s="116">
        <v>1237.8</v>
      </c>
      <c r="D675" s="116">
        <v>1213.05</v>
      </c>
      <c r="E675" s="116">
        <v>1213.05</v>
      </c>
      <c r="F675" s="116">
        <v>1237.8</v>
      </c>
      <c r="G675">
        <v>283441</v>
      </c>
      <c r="H675" s="116"/>
      <c r="I675" s="116"/>
      <c r="L675" s="170">
        <v>42996</v>
      </c>
      <c r="M675" s="116">
        <v>1237.95</v>
      </c>
      <c r="N675" s="116">
        <v>1246</v>
      </c>
      <c r="O675" s="116">
        <v>1218.55</v>
      </c>
      <c r="P675" s="116">
        <v>1218.55</v>
      </c>
      <c r="Q675" s="116">
        <v>1237.95</v>
      </c>
      <c r="R675">
        <v>3005809</v>
      </c>
    </row>
    <row r="676" spans="1:18" x14ac:dyDescent="0.25">
      <c r="A676" s="170">
        <v>42997</v>
      </c>
      <c r="B676" s="116">
        <v>1239.8</v>
      </c>
      <c r="C676" s="116">
        <v>1226.4000000000001</v>
      </c>
      <c r="D676" s="116">
        <v>1221.5</v>
      </c>
      <c r="E676" s="116">
        <v>1239.8</v>
      </c>
      <c r="F676" s="116">
        <v>1226.4000000000001</v>
      </c>
      <c r="G676">
        <v>165040</v>
      </c>
      <c r="H676" s="116"/>
      <c r="I676" s="116"/>
      <c r="L676" s="170">
        <v>42997</v>
      </c>
      <c r="M676" s="116">
        <v>1225.9000000000001</v>
      </c>
      <c r="N676" s="116">
        <v>1237.8</v>
      </c>
      <c r="O676" s="116">
        <v>1220.5</v>
      </c>
      <c r="P676" s="116">
        <v>1235</v>
      </c>
      <c r="Q676" s="116">
        <v>1225.9000000000001</v>
      </c>
      <c r="R676">
        <v>900287</v>
      </c>
    </row>
    <row r="677" spans="1:18" x14ac:dyDescent="0.25">
      <c r="A677" s="170">
        <v>42998</v>
      </c>
      <c r="B677" s="116">
        <v>1249.95</v>
      </c>
      <c r="C677" s="116">
        <v>1235.2</v>
      </c>
      <c r="D677" s="116">
        <v>1229.95</v>
      </c>
      <c r="E677" s="116">
        <v>1229.95</v>
      </c>
      <c r="F677" s="116">
        <v>1235.2</v>
      </c>
      <c r="G677">
        <v>187217</v>
      </c>
      <c r="H677" s="116"/>
      <c r="I677" s="116"/>
      <c r="L677" s="170">
        <v>42998</v>
      </c>
      <c r="M677" s="116">
        <v>1235.95</v>
      </c>
      <c r="N677" s="116">
        <v>1250.5</v>
      </c>
      <c r="O677" s="116">
        <v>1228.1500000000001</v>
      </c>
      <c r="P677" s="116">
        <v>1228.1500000000001</v>
      </c>
      <c r="Q677" s="116">
        <v>1235.95</v>
      </c>
      <c r="R677">
        <v>2347635</v>
      </c>
    </row>
    <row r="678" spans="1:18" x14ac:dyDescent="0.25">
      <c r="A678" s="170">
        <v>42999</v>
      </c>
      <c r="B678" s="116">
        <v>1241.1500000000001</v>
      </c>
      <c r="C678" s="116">
        <v>1227.75</v>
      </c>
      <c r="D678" s="116">
        <v>1209.95</v>
      </c>
      <c r="E678" s="116">
        <v>1236</v>
      </c>
      <c r="F678" s="116">
        <v>1227.75</v>
      </c>
      <c r="G678">
        <v>192982</v>
      </c>
      <c r="H678" s="116"/>
      <c r="I678" s="116"/>
      <c r="L678" s="170">
        <v>42999</v>
      </c>
      <c r="M678" s="116">
        <v>1228.05</v>
      </c>
      <c r="N678" s="116">
        <v>1240</v>
      </c>
      <c r="O678" s="116">
        <v>1208.75</v>
      </c>
      <c r="P678" s="116">
        <v>1236.9000000000001</v>
      </c>
      <c r="Q678" s="116">
        <v>1228.05</v>
      </c>
      <c r="R678">
        <v>2216227</v>
      </c>
    </row>
    <row r="679" spans="1:18" x14ac:dyDescent="0.25">
      <c r="A679" s="170">
        <v>43000</v>
      </c>
      <c r="B679" s="116">
        <v>1228</v>
      </c>
      <c r="C679" s="116">
        <v>1184.9000000000001</v>
      </c>
      <c r="D679" s="116">
        <v>1176.8</v>
      </c>
      <c r="E679" s="116">
        <v>1228</v>
      </c>
      <c r="F679" s="116">
        <v>1184.9000000000001</v>
      </c>
      <c r="G679">
        <v>214082</v>
      </c>
      <c r="H679" s="116"/>
      <c r="I679" s="116"/>
      <c r="L679" s="170">
        <v>43000</v>
      </c>
      <c r="M679" s="116">
        <v>1184.8</v>
      </c>
      <c r="N679" s="116">
        <v>1229.1500000000001</v>
      </c>
      <c r="O679" s="116">
        <v>1176.05</v>
      </c>
      <c r="P679" s="116">
        <v>1228.05</v>
      </c>
      <c r="Q679" s="116">
        <v>1184.8</v>
      </c>
      <c r="R679">
        <v>2968531</v>
      </c>
    </row>
    <row r="680" spans="1:18" x14ac:dyDescent="0.25">
      <c r="A680" s="170">
        <v>43003</v>
      </c>
      <c r="B680" s="116">
        <v>1188.5999999999999</v>
      </c>
      <c r="C680" s="116">
        <v>1164.6500000000001</v>
      </c>
      <c r="D680" s="116">
        <v>1145</v>
      </c>
      <c r="E680" s="116">
        <v>1188.5999999999999</v>
      </c>
      <c r="F680" s="116">
        <v>1164.6500000000001</v>
      </c>
      <c r="G680">
        <v>417812</v>
      </c>
      <c r="H680" s="116"/>
      <c r="I680" s="116"/>
      <c r="L680" s="170">
        <v>43003</v>
      </c>
      <c r="M680" s="116">
        <v>1165.2</v>
      </c>
      <c r="N680" s="116">
        <v>1187</v>
      </c>
      <c r="O680" s="116">
        <v>1145</v>
      </c>
      <c r="P680" s="116">
        <v>1187</v>
      </c>
      <c r="Q680" s="116">
        <v>1165.2</v>
      </c>
      <c r="R680">
        <v>2720490</v>
      </c>
    </row>
    <row r="681" spans="1:18" x14ac:dyDescent="0.25">
      <c r="A681" s="170">
        <v>43004</v>
      </c>
      <c r="B681" s="116">
        <v>1171</v>
      </c>
      <c r="C681" s="116">
        <v>1159.8499999999999</v>
      </c>
      <c r="D681" s="116">
        <v>1153.55</v>
      </c>
      <c r="E681" s="116">
        <v>1162</v>
      </c>
      <c r="F681" s="116">
        <v>1159.8499999999999</v>
      </c>
      <c r="G681">
        <v>271900</v>
      </c>
      <c r="H681" s="116"/>
      <c r="I681" s="116"/>
      <c r="L681" s="170">
        <v>43004</v>
      </c>
      <c r="M681" s="116">
        <v>1162.9000000000001</v>
      </c>
      <c r="N681" s="116">
        <v>1170</v>
      </c>
      <c r="O681" s="116">
        <v>1151</v>
      </c>
      <c r="P681" s="116">
        <v>1151</v>
      </c>
      <c r="Q681" s="116">
        <v>1162.9000000000001</v>
      </c>
      <c r="R681">
        <v>1809036</v>
      </c>
    </row>
    <row r="682" spans="1:18" x14ac:dyDescent="0.25">
      <c r="A682" s="170">
        <v>43005</v>
      </c>
      <c r="B682" s="116">
        <v>1171.1500000000001</v>
      </c>
      <c r="C682" s="116">
        <v>1139.05</v>
      </c>
      <c r="D682" s="116">
        <v>1131.2</v>
      </c>
      <c r="E682" s="116">
        <v>1166</v>
      </c>
      <c r="F682" s="116">
        <v>1139.05</v>
      </c>
      <c r="G682">
        <v>350372</v>
      </c>
      <c r="H682" s="116"/>
      <c r="I682" s="116"/>
      <c r="L682" s="170">
        <v>43005</v>
      </c>
      <c r="M682" s="116">
        <v>1137.2</v>
      </c>
      <c r="N682" s="116">
        <v>1172.9000000000001</v>
      </c>
      <c r="O682" s="116">
        <v>1131.5</v>
      </c>
      <c r="P682" s="116">
        <v>1172.9000000000001</v>
      </c>
      <c r="Q682" s="116">
        <v>1137.2</v>
      </c>
      <c r="R682">
        <v>2317721</v>
      </c>
    </row>
    <row r="683" spans="1:18" x14ac:dyDescent="0.25">
      <c r="A683" s="170">
        <v>43006</v>
      </c>
      <c r="B683" s="116">
        <v>1145</v>
      </c>
      <c r="C683" s="116">
        <v>1132.8499999999999</v>
      </c>
      <c r="D683" s="116">
        <v>1129.25</v>
      </c>
      <c r="E683" s="116">
        <v>1141</v>
      </c>
      <c r="F683" s="116">
        <v>1132.8499999999999</v>
      </c>
      <c r="G683">
        <v>158555</v>
      </c>
      <c r="H683" s="116"/>
      <c r="I683" s="116"/>
      <c r="L683" s="170">
        <v>43006</v>
      </c>
      <c r="M683" s="116">
        <v>1133.3499999999999</v>
      </c>
      <c r="N683" s="116">
        <v>1143.7</v>
      </c>
      <c r="O683" s="116">
        <v>1128</v>
      </c>
      <c r="P683" s="116">
        <v>1140.3499999999999</v>
      </c>
      <c r="Q683" s="116">
        <v>1133.3499999999999</v>
      </c>
      <c r="R683">
        <v>3474398</v>
      </c>
    </row>
    <row r="684" spans="1:18" x14ac:dyDescent="0.25">
      <c r="A684" s="170">
        <v>43007</v>
      </c>
      <c r="B684" s="116">
        <v>1154.05</v>
      </c>
      <c r="C684" s="116">
        <v>1141.2</v>
      </c>
      <c r="D684" s="116">
        <v>1132.5</v>
      </c>
      <c r="E684" s="116">
        <v>1144.9000000000001</v>
      </c>
      <c r="F684" s="116">
        <v>1141.2</v>
      </c>
      <c r="G684">
        <v>205004</v>
      </c>
      <c r="H684" s="116"/>
      <c r="I684" s="116"/>
      <c r="L684" s="170">
        <v>43007</v>
      </c>
      <c r="M684" s="116">
        <v>1142.05</v>
      </c>
      <c r="N684" s="116">
        <v>1154.05</v>
      </c>
      <c r="O684" s="116">
        <v>1131.05</v>
      </c>
      <c r="P684" s="116">
        <v>1139.95</v>
      </c>
      <c r="Q684" s="116">
        <v>1142.05</v>
      </c>
      <c r="R684">
        <v>3193745</v>
      </c>
    </row>
    <row r="685" spans="1:18" x14ac:dyDescent="0.25">
      <c r="A685" s="170">
        <v>43011</v>
      </c>
      <c r="B685" s="116">
        <v>1156</v>
      </c>
      <c r="C685" s="116">
        <v>1134.3499999999999</v>
      </c>
      <c r="D685" s="116">
        <v>1128.25</v>
      </c>
      <c r="E685" s="116">
        <v>1150.2</v>
      </c>
      <c r="F685" s="116">
        <v>1134.3499999999999</v>
      </c>
      <c r="G685">
        <v>148221</v>
      </c>
      <c r="H685" s="116"/>
      <c r="I685" s="116"/>
      <c r="L685" s="170">
        <v>43011</v>
      </c>
      <c r="M685" s="116">
        <v>1134.9000000000001</v>
      </c>
      <c r="N685" s="116">
        <v>1157.75</v>
      </c>
      <c r="O685" s="116">
        <v>1128.05</v>
      </c>
      <c r="P685" s="116">
        <v>1155.55</v>
      </c>
      <c r="Q685" s="116">
        <v>1134.9000000000001</v>
      </c>
      <c r="R685">
        <v>1413186</v>
      </c>
    </row>
    <row r="686" spans="1:18" x14ac:dyDescent="0.25">
      <c r="A686" s="170">
        <v>43012</v>
      </c>
      <c r="B686" s="116">
        <v>1143.4000000000001</v>
      </c>
      <c r="C686" s="116">
        <v>1137.8499999999999</v>
      </c>
      <c r="D686" s="116">
        <v>1135</v>
      </c>
      <c r="E686" s="116">
        <v>1135</v>
      </c>
      <c r="F686" s="116">
        <v>1137.8499999999999</v>
      </c>
      <c r="G686">
        <v>110454</v>
      </c>
      <c r="H686" s="116"/>
      <c r="I686" s="116"/>
      <c r="L686" s="170">
        <v>43012</v>
      </c>
      <c r="M686" s="116">
        <v>1138.3</v>
      </c>
      <c r="N686" s="116">
        <v>1143.8499999999999</v>
      </c>
      <c r="O686" s="116">
        <v>1133.3499999999999</v>
      </c>
      <c r="P686" s="116">
        <v>1135</v>
      </c>
      <c r="Q686" s="116">
        <v>1138.3</v>
      </c>
      <c r="R686">
        <v>1155472</v>
      </c>
    </row>
    <row r="687" spans="1:18" x14ac:dyDescent="0.25">
      <c r="A687" s="170">
        <v>43013</v>
      </c>
      <c r="B687" s="116">
        <v>1144.95</v>
      </c>
      <c r="C687" s="116">
        <v>1132.0999999999999</v>
      </c>
      <c r="D687" s="116">
        <v>1129</v>
      </c>
      <c r="E687" s="116">
        <v>1138</v>
      </c>
      <c r="F687" s="116">
        <v>1132.0999999999999</v>
      </c>
      <c r="G687">
        <v>88674</v>
      </c>
      <c r="H687" s="116"/>
      <c r="I687" s="116"/>
      <c r="L687" s="170">
        <v>43013</v>
      </c>
      <c r="M687" s="116">
        <v>1132.05</v>
      </c>
      <c r="N687" s="116">
        <v>1145.8</v>
      </c>
      <c r="O687" s="116">
        <v>1128.5</v>
      </c>
      <c r="P687" s="116">
        <v>1142</v>
      </c>
      <c r="Q687" s="116">
        <v>1132.05</v>
      </c>
      <c r="R687">
        <v>1303081</v>
      </c>
    </row>
    <row r="688" spans="1:18" x14ac:dyDescent="0.25">
      <c r="A688" s="170">
        <v>43014</v>
      </c>
      <c r="B688" s="116">
        <v>1144.55</v>
      </c>
      <c r="C688" s="116">
        <v>1142.45</v>
      </c>
      <c r="D688" s="116">
        <v>1132.25</v>
      </c>
      <c r="E688" s="116">
        <v>1132.25</v>
      </c>
      <c r="F688" s="116">
        <v>1142.45</v>
      </c>
      <c r="G688">
        <v>76660</v>
      </c>
      <c r="H688" s="116"/>
      <c r="I688" s="116"/>
      <c r="L688" s="170">
        <v>43014</v>
      </c>
      <c r="M688" s="116">
        <v>1141.8</v>
      </c>
      <c r="N688" s="116">
        <v>1144.95</v>
      </c>
      <c r="O688" s="116">
        <v>1135</v>
      </c>
      <c r="P688" s="116">
        <v>1135</v>
      </c>
      <c r="Q688" s="116">
        <v>1141.8</v>
      </c>
      <c r="R688">
        <v>1814990</v>
      </c>
    </row>
    <row r="689" spans="1:18" x14ac:dyDescent="0.25">
      <c r="A689" s="170">
        <v>43017</v>
      </c>
      <c r="B689" s="116">
        <v>1157.9000000000001</v>
      </c>
      <c r="C689" s="116">
        <v>1140.9000000000001</v>
      </c>
      <c r="D689" s="116">
        <v>1138</v>
      </c>
      <c r="E689" s="116">
        <v>1140</v>
      </c>
      <c r="F689" s="116">
        <v>1140.9000000000001</v>
      </c>
      <c r="G689">
        <v>169089</v>
      </c>
      <c r="H689" s="116"/>
      <c r="I689" s="116"/>
      <c r="L689" s="170">
        <v>43017</v>
      </c>
      <c r="M689" s="116">
        <v>1140.95</v>
      </c>
      <c r="N689" s="116">
        <v>1158.25</v>
      </c>
      <c r="O689" s="116">
        <v>1138.8499999999999</v>
      </c>
      <c r="P689" s="116">
        <v>1142</v>
      </c>
      <c r="Q689" s="116">
        <v>1140.95</v>
      </c>
      <c r="R689">
        <v>1737288</v>
      </c>
    </row>
    <row r="690" spans="1:18" x14ac:dyDescent="0.25">
      <c r="A690" s="170">
        <v>43018</v>
      </c>
      <c r="B690" s="116">
        <v>1155.0999999999999</v>
      </c>
      <c r="C690" s="116">
        <v>1142.8</v>
      </c>
      <c r="D690" s="116">
        <v>1140.0999999999999</v>
      </c>
      <c r="E690" s="116">
        <v>1152</v>
      </c>
      <c r="F690" s="116">
        <v>1142.8</v>
      </c>
      <c r="G690">
        <v>142024</v>
      </c>
      <c r="H690" s="116"/>
      <c r="I690" s="116"/>
      <c r="L690" s="170">
        <v>43018</v>
      </c>
      <c r="M690" s="116">
        <v>1142.7</v>
      </c>
      <c r="N690" s="116">
        <v>1155.25</v>
      </c>
      <c r="O690" s="116">
        <v>1138.25</v>
      </c>
      <c r="P690" s="116">
        <v>1154</v>
      </c>
      <c r="Q690" s="116">
        <v>1142.7</v>
      </c>
      <c r="R690">
        <v>2347406</v>
      </c>
    </row>
    <row r="691" spans="1:18" x14ac:dyDescent="0.25">
      <c r="A691" s="170">
        <v>43019</v>
      </c>
      <c r="B691" s="116">
        <v>1156</v>
      </c>
      <c r="C691" s="116">
        <v>1133.3</v>
      </c>
      <c r="D691" s="116">
        <v>1126.8</v>
      </c>
      <c r="E691" s="116">
        <v>1156</v>
      </c>
      <c r="F691" s="116">
        <v>1133.3</v>
      </c>
      <c r="G691">
        <v>440302</v>
      </c>
      <c r="H691" s="116"/>
      <c r="I691" s="116"/>
      <c r="L691" s="170">
        <v>43019</v>
      </c>
      <c r="M691" s="116">
        <v>1133.8499999999999</v>
      </c>
      <c r="N691" s="116">
        <v>1151.5</v>
      </c>
      <c r="O691" s="116">
        <v>1127.3499999999999</v>
      </c>
      <c r="P691" s="116">
        <v>1147.4000000000001</v>
      </c>
      <c r="Q691" s="116">
        <v>1133.8499999999999</v>
      </c>
      <c r="R691">
        <v>1638071</v>
      </c>
    </row>
    <row r="692" spans="1:18" x14ac:dyDescent="0.25">
      <c r="A692" s="170">
        <v>43020</v>
      </c>
      <c r="B692" s="116">
        <v>1145</v>
      </c>
      <c r="C692" s="116">
        <v>1142.6500000000001</v>
      </c>
      <c r="D692" s="116">
        <v>1135.05</v>
      </c>
      <c r="E692" s="116">
        <v>1141</v>
      </c>
      <c r="F692" s="116">
        <v>1142.6500000000001</v>
      </c>
      <c r="G692">
        <v>59191</v>
      </c>
      <c r="H692" s="116"/>
      <c r="I692" s="116"/>
      <c r="L692" s="170">
        <v>43020</v>
      </c>
      <c r="M692" s="116">
        <v>1143.6500000000001</v>
      </c>
      <c r="N692" s="116">
        <v>1146.0999999999999</v>
      </c>
      <c r="O692" s="116">
        <v>1134.25</v>
      </c>
      <c r="P692" s="116">
        <v>1142</v>
      </c>
      <c r="Q692" s="116">
        <v>1143.6500000000001</v>
      </c>
      <c r="R692">
        <v>1151274</v>
      </c>
    </row>
    <row r="693" spans="1:18" x14ac:dyDescent="0.25">
      <c r="A693" s="170">
        <v>43021</v>
      </c>
      <c r="B693" s="116">
        <v>1150</v>
      </c>
      <c r="C693" s="116">
        <v>1138.5</v>
      </c>
      <c r="D693" s="116">
        <v>1136.4000000000001</v>
      </c>
      <c r="E693" s="116">
        <v>1145</v>
      </c>
      <c r="F693" s="116">
        <v>1138.5</v>
      </c>
      <c r="G693">
        <v>117291</v>
      </c>
      <c r="H693" s="116"/>
      <c r="I693" s="116"/>
      <c r="L693" s="170">
        <v>43021</v>
      </c>
      <c r="M693" s="116">
        <v>1138.6500000000001</v>
      </c>
      <c r="N693" s="116">
        <v>1150</v>
      </c>
      <c r="O693" s="116">
        <v>1136.1500000000001</v>
      </c>
      <c r="P693" s="116">
        <v>1143.6500000000001</v>
      </c>
      <c r="Q693" s="116">
        <v>1138.6500000000001</v>
      </c>
      <c r="R693">
        <v>1762307</v>
      </c>
    </row>
    <row r="694" spans="1:18" x14ac:dyDescent="0.25">
      <c r="A694" s="170">
        <v>43024</v>
      </c>
      <c r="B694" s="116">
        <v>1151.75</v>
      </c>
      <c r="C694" s="116">
        <v>1144.8499999999999</v>
      </c>
      <c r="D694" s="116">
        <v>1140</v>
      </c>
      <c r="E694" s="116">
        <v>1140</v>
      </c>
      <c r="F694" s="116">
        <v>1144.8499999999999</v>
      </c>
      <c r="G694">
        <v>116086</v>
      </c>
      <c r="H694" s="116"/>
      <c r="I694" s="116"/>
      <c r="L694" s="170">
        <v>43024</v>
      </c>
      <c r="M694" s="116">
        <v>1144.7</v>
      </c>
      <c r="N694" s="116">
        <v>1150.95</v>
      </c>
      <c r="O694" s="116">
        <v>1140.6500000000001</v>
      </c>
      <c r="P694" s="116">
        <v>1143</v>
      </c>
      <c r="Q694" s="116">
        <v>1144.7</v>
      </c>
      <c r="R694">
        <v>1189499</v>
      </c>
    </row>
    <row r="695" spans="1:18" x14ac:dyDescent="0.25">
      <c r="A695" s="170">
        <v>43025</v>
      </c>
      <c r="B695" s="116">
        <v>1155.3</v>
      </c>
      <c r="C695" s="116">
        <v>1148.6500000000001</v>
      </c>
      <c r="D695" s="116">
        <v>1143</v>
      </c>
      <c r="E695" s="116">
        <v>1145</v>
      </c>
      <c r="F695" s="116">
        <v>1148.6500000000001</v>
      </c>
      <c r="G695">
        <v>115037</v>
      </c>
      <c r="H695" s="116"/>
      <c r="I695" s="116"/>
      <c r="L695" s="170">
        <v>43025</v>
      </c>
      <c r="M695" s="116">
        <v>1148.75</v>
      </c>
      <c r="N695" s="116">
        <v>1155</v>
      </c>
      <c r="O695" s="116">
        <v>1140</v>
      </c>
      <c r="P695" s="116">
        <v>1142</v>
      </c>
      <c r="Q695" s="116">
        <v>1148.75</v>
      </c>
      <c r="R695">
        <v>1123634</v>
      </c>
    </row>
    <row r="696" spans="1:18" x14ac:dyDescent="0.25">
      <c r="A696" s="170">
        <v>43026</v>
      </c>
      <c r="B696" s="116">
        <v>1155.95</v>
      </c>
      <c r="C696" s="116">
        <v>1141.2</v>
      </c>
      <c r="D696" s="116">
        <v>1138.5</v>
      </c>
      <c r="E696" s="116">
        <v>1150</v>
      </c>
      <c r="F696" s="116">
        <v>1141.2</v>
      </c>
      <c r="G696">
        <v>111488</v>
      </c>
      <c r="H696" s="116"/>
      <c r="I696" s="116"/>
      <c r="L696" s="170">
        <v>43026</v>
      </c>
      <c r="M696" s="116">
        <v>1141.4000000000001</v>
      </c>
      <c r="N696" s="116">
        <v>1156.9000000000001</v>
      </c>
      <c r="O696" s="116">
        <v>1138.0999999999999</v>
      </c>
      <c r="P696" s="116">
        <v>1150</v>
      </c>
      <c r="Q696" s="116">
        <v>1141.4000000000001</v>
      </c>
      <c r="R696">
        <v>1263098</v>
      </c>
    </row>
    <row r="697" spans="1:18" x14ac:dyDescent="0.25">
      <c r="A697" s="170">
        <v>43027</v>
      </c>
      <c r="B697" s="116">
        <v>1149.5</v>
      </c>
      <c r="C697" s="116">
        <v>1141</v>
      </c>
      <c r="D697" s="116">
        <v>1137.5999999999999</v>
      </c>
      <c r="E697" s="116">
        <v>1149</v>
      </c>
      <c r="F697" s="116">
        <v>1141</v>
      </c>
      <c r="G697">
        <v>35787</v>
      </c>
      <c r="H697" s="116"/>
      <c r="I697" s="116"/>
      <c r="L697" s="170">
        <v>43027</v>
      </c>
      <c r="M697" s="116">
        <v>1139.75</v>
      </c>
      <c r="N697" s="116">
        <v>1147.05</v>
      </c>
      <c r="O697" s="116">
        <v>1137</v>
      </c>
      <c r="P697" s="116">
        <v>1143</v>
      </c>
      <c r="Q697" s="116">
        <v>1139.75</v>
      </c>
      <c r="R697">
        <v>264888</v>
      </c>
    </row>
    <row r="698" spans="1:18" x14ac:dyDescent="0.25">
      <c r="A698" s="170">
        <v>43031</v>
      </c>
      <c r="B698" s="116">
        <v>1152</v>
      </c>
      <c r="C698" s="116">
        <v>1134.8</v>
      </c>
      <c r="D698" s="116">
        <v>1124.5</v>
      </c>
      <c r="E698" s="116">
        <v>1136.0999999999999</v>
      </c>
      <c r="F698" s="116">
        <v>1134.8</v>
      </c>
      <c r="G698">
        <v>101642</v>
      </c>
      <c r="H698" s="116"/>
      <c r="I698" s="116"/>
      <c r="L698" s="170">
        <v>43031</v>
      </c>
      <c r="M698" s="116">
        <v>1135.75</v>
      </c>
      <c r="N698" s="116">
        <v>1152</v>
      </c>
      <c r="O698" s="116">
        <v>1123.2</v>
      </c>
      <c r="P698" s="116">
        <v>1143</v>
      </c>
      <c r="Q698" s="116">
        <v>1135.75</v>
      </c>
      <c r="R698">
        <v>1077546</v>
      </c>
    </row>
    <row r="699" spans="1:18" x14ac:dyDescent="0.25">
      <c r="A699" s="170">
        <v>43032</v>
      </c>
      <c r="B699" s="116">
        <v>1142.25</v>
      </c>
      <c r="C699" s="116">
        <v>1140</v>
      </c>
      <c r="D699" s="116">
        <v>1125</v>
      </c>
      <c r="E699" s="116">
        <v>1135</v>
      </c>
      <c r="F699" s="116">
        <v>1140</v>
      </c>
      <c r="G699">
        <v>415238</v>
      </c>
      <c r="H699" s="116"/>
      <c r="I699" s="116"/>
      <c r="L699" s="170">
        <v>43032</v>
      </c>
      <c r="M699" s="116">
        <v>1142.55</v>
      </c>
      <c r="N699" s="116">
        <v>1145.4000000000001</v>
      </c>
      <c r="O699" s="116">
        <v>1126.0999999999999</v>
      </c>
      <c r="P699" s="116">
        <v>1139</v>
      </c>
      <c r="Q699" s="116">
        <v>1142.55</v>
      </c>
      <c r="R699">
        <v>1281327</v>
      </c>
    </row>
    <row r="700" spans="1:18" x14ac:dyDescent="0.25">
      <c r="A700" s="170">
        <v>43033</v>
      </c>
      <c r="B700" s="116">
        <v>1214.9000000000001</v>
      </c>
      <c r="C700" s="116">
        <v>1204.45</v>
      </c>
      <c r="D700" s="116">
        <v>1150</v>
      </c>
      <c r="E700" s="116">
        <v>1150</v>
      </c>
      <c r="F700" s="116">
        <v>1204.45</v>
      </c>
      <c r="G700">
        <v>911839</v>
      </c>
      <c r="H700" s="116"/>
      <c r="I700" s="116"/>
      <c r="L700" s="170">
        <v>43033</v>
      </c>
      <c r="M700" s="116">
        <v>1204.2</v>
      </c>
      <c r="N700" s="116">
        <v>1215</v>
      </c>
      <c r="O700" s="116">
        <v>1150.0999999999999</v>
      </c>
      <c r="P700" s="116">
        <v>1150.0999999999999</v>
      </c>
      <c r="Q700" s="116">
        <v>1204.2</v>
      </c>
      <c r="R700">
        <v>6377478</v>
      </c>
    </row>
    <row r="701" spans="1:18" x14ac:dyDescent="0.25">
      <c r="A701" s="170">
        <v>43034</v>
      </c>
      <c r="B701" s="116">
        <v>1243.3499999999999</v>
      </c>
      <c r="C701" s="116">
        <v>1224.6500000000001</v>
      </c>
      <c r="D701" s="116">
        <v>1204.45</v>
      </c>
      <c r="E701" s="116">
        <v>1205</v>
      </c>
      <c r="F701" s="116">
        <v>1224.6500000000001</v>
      </c>
      <c r="G701">
        <v>257210</v>
      </c>
      <c r="H701" s="116"/>
      <c r="I701" s="116"/>
      <c r="L701" s="170">
        <v>43034</v>
      </c>
      <c r="M701" s="116">
        <v>1223.5</v>
      </c>
      <c r="N701" s="116">
        <v>1243.5</v>
      </c>
      <c r="O701" s="116">
        <v>1209.1500000000001</v>
      </c>
      <c r="P701" s="116">
        <v>1209.95</v>
      </c>
      <c r="Q701" s="116">
        <v>1223.5</v>
      </c>
      <c r="R701">
        <v>5486055</v>
      </c>
    </row>
    <row r="702" spans="1:18" x14ac:dyDescent="0.25">
      <c r="A702" s="170">
        <v>43035</v>
      </c>
      <c r="B702" s="116">
        <v>1241</v>
      </c>
      <c r="C702" s="116">
        <v>1223.5</v>
      </c>
      <c r="D702" s="116">
        <v>1220.0999999999999</v>
      </c>
      <c r="E702" s="116">
        <v>1225.05</v>
      </c>
      <c r="F702" s="116">
        <v>1223.5</v>
      </c>
      <c r="G702">
        <v>610133</v>
      </c>
      <c r="H702" s="116"/>
      <c r="I702" s="116"/>
      <c r="L702" s="170">
        <v>43035</v>
      </c>
      <c r="M702" s="116">
        <v>1224.6500000000001</v>
      </c>
      <c r="N702" s="116">
        <v>1242</v>
      </c>
      <c r="O702" s="116">
        <v>1220.4000000000001</v>
      </c>
      <c r="P702" s="116">
        <v>1232.95</v>
      </c>
      <c r="Q702" s="116">
        <v>1224.6500000000001</v>
      </c>
      <c r="R702">
        <v>2036609</v>
      </c>
    </row>
    <row r="703" spans="1:18" x14ac:dyDescent="0.25">
      <c r="A703" s="170">
        <v>43038</v>
      </c>
      <c r="B703" s="116">
        <v>1240</v>
      </c>
      <c r="C703" s="116">
        <v>1236</v>
      </c>
      <c r="D703" s="116">
        <v>1224.25</v>
      </c>
      <c r="E703" s="116">
        <v>1228</v>
      </c>
      <c r="F703" s="116">
        <v>1236</v>
      </c>
      <c r="G703">
        <v>90895</v>
      </c>
      <c r="H703" s="116"/>
      <c r="I703" s="116"/>
      <c r="L703" s="170">
        <v>43038</v>
      </c>
      <c r="M703" s="116">
        <v>1236.95</v>
      </c>
      <c r="N703" s="116">
        <v>1239.9000000000001</v>
      </c>
      <c r="O703" s="116">
        <v>1224.1500000000001</v>
      </c>
      <c r="P703" s="116">
        <v>1228</v>
      </c>
      <c r="Q703" s="116">
        <v>1236.95</v>
      </c>
      <c r="R703">
        <v>1808153</v>
      </c>
    </row>
    <row r="704" spans="1:18" x14ac:dyDescent="0.25">
      <c r="A704" s="170">
        <v>43039</v>
      </c>
      <c r="B704" s="116">
        <v>1237.0999999999999</v>
      </c>
      <c r="C704" s="116">
        <v>1220.5999999999999</v>
      </c>
      <c r="D704" s="116">
        <v>1211.3499999999999</v>
      </c>
      <c r="E704" s="116">
        <v>1235</v>
      </c>
      <c r="F704" s="116">
        <v>1220.5999999999999</v>
      </c>
      <c r="G704">
        <v>100494</v>
      </c>
      <c r="H704" s="116"/>
      <c r="I704" s="116"/>
      <c r="L704" s="170">
        <v>43039</v>
      </c>
      <c r="M704" s="116">
        <v>1222.3</v>
      </c>
      <c r="N704" s="116">
        <v>1238.2</v>
      </c>
      <c r="O704" s="116">
        <v>1210.8</v>
      </c>
      <c r="P704" s="116">
        <v>1237</v>
      </c>
      <c r="Q704" s="116">
        <v>1222.3</v>
      </c>
      <c r="R704">
        <v>1815888</v>
      </c>
    </row>
    <row r="705" spans="1:18" x14ac:dyDescent="0.25">
      <c r="A705" s="170">
        <v>43040</v>
      </c>
      <c r="B705" s="116">
        <v>1237.5</v>
      </c>
      <c r="C705" s="116">
        <v>1215.45</v>
      </c>
      <c r="D705" s="116">
        <v>1211.1500000000001</v>
      </c>
      <c r="E705" s="116">
        <v>1226</v>
      </c>
      <c r="F705" s="116">
        <v>1215.45</v>
      </c>
      <c r="G705">
        <v>96257</v>
      </c>
      <c r="H705" s="116"/>
      <c r="I705" s="116"/>
      <c r="L705" s="170">
        <v>43040</v>
      </c>
      <c r="M705" s="116">
        <v>1215.3</v>
      </c>
      <c r="N705" s="116">
        <v>1236.6500000000001</v>
      </c>
      <c r="O705" s="116">
        <v>1213.3</v>
      </c>
      <c r="P705" s="116">
        <v>1226.0999999999999</v>
      </c>
      <c r="Q705" s="116">
        <v>1215.3</v>
      </c>
      <c r="R705">
        <v>1929731</v>
      </c>
    </row>
    <row r="706" spans="1:18" x14ac:dyDescent="0.25">
      <c r="A706" s="170">
        <v>43041</v>
      </c>
      <c r="B706" s="116">
        <v>1216.45</v>
      </c>
      <c r="C706" s="116">
        <v>1211.05</v>
      </c>
      <c r="D706" s="116">
        <v>1204</v>
      </c>
      <c r="E706" s="116">
        <v>1215</v>
      </c>
      <c r="F706" s="116">
        <v>1211.05</v>
      </c>
      <c r="G706">
        <v>119095</v>
      </c>
      <c r="H706" s="116"/>
      <c r="I706" s="116"/>
      <c r="L706" s="170">
        <v>43041</v>
      </c>
      <c r="M706" s="116">
        <v>1210.95</v>
      </c>
      <c r="N706" s="116">
        <v>1216</v>
      </c>
      <c r="O706" s="116">
        <v>1203.75</v>
      </c>
      <c r="P706" s="116">
        <v>1215.5</v>
      </c>
      <c r="Q706" s="116">
        <v>1210.95</v>
      </c>
      <c r="R706">
        <v>1183382</v>
      </c>
    </row>
    <row r="707" spans="1:18" x14ac:dyDescent="0.25">
      <c r="A707" s="170">
        <v>43042</v>
      </c>
      <c r="B707" s="116">
        <v>1246.95</v>
      </c>
      <c r="C707" s="116">
        <v>1235</v>
      </c>
      <c r="D707" s="116">
        <v>1211</v>
      </c>
      <c r="E707" s="116">
        <v>1211.05</v>
      </c>
      <c r="F707" s="116">
        <v>1235</v>
      </c>
      <c r="G707">
        <v>145066</v>
      </c>
      <c r="H707" s="116"/>
      <c r="I707" s="116"/>
      <c r="L707" s="170">
        <v>43042</v>
      </c>
      <c r="M707" s="116">
        <v>1235</v>
      </c>
      <c r="N707" s="116">
        <v>1247.1500000000001</v>
      </c>
      <c r="O707" s="116">
        <v>1211</v>
      </c>
      <c r="P707" s="116">
        <v>1211</v>
      </c>
      <c r="Q707" s="116">
        <v>1235</v>
      </c>
      <c r="R707">
        <v>1797145</v>
      </c>
    </row>
    <row r="708" spans="1:18" x14ac:dyDescent="0.25">
      <c r="A708" s="170">
        <v>43045</v>
      </c>
      <c r="B708" s="116">
        <v>1240.4000000000001</v>
      </c>
      <c r="C708" s="116">
        <v>1222.95</v>
      </c>
      <c r="D708" s="116">
        <v>1217.1500000000001</v>
      </c>
      <c r="E708" s="116">
        <v>1230</v>
      </c>
      <c r="F708" s="116">
        <v>1222.95</v>
      </c>
      <c r="G708">
        <v>102890</v>
      </c>
      <c r="H708" s="116"/>
      <c r="I708" s="116"/>
      <c r="L708" s="170">
        <v>43045</v>
      </c>
      <c r="M708" s="116">
        <v>1224.7</v>
      </c>
      <c r="N708" s="116">
        <v>1241.5</v>
      </c>
      <c r="O708" s="116">
        <v>1218.5</v>
      </c>
      <c r="P708" s="116">
        <v>1225</v>
      </c>
      <c r="Q708" s="116">
        <v>1224.7</v>
      </c>
      <c r="R708">
        <v>1691967</v>
      </c>
    </row>
    <row r="709" spans="1:18" x14ac:dyDescent="0.25">
      <c r="A709" s="170">
        <v>43046</v>
      </c>
      <c r="B709" s="116">
        <v>1232.25</v>
      </c>
      <c r="C709" s="116">
        <v>1210.8</v>
      </c>
      <c r="D709" s="116">
        <v>1203.25</v>
      </c>
      <c r="E709" s="116">
        <v>1223</v>
      </c>
      <c r="F709" s="116">
        <v>1210.8</v>
      </c>
      <c r="G709">
        <v>92341</v>
      </c>
      <c r="H709" s="116"/>
      <c r="I709" s="116"/>
      <c r="L709" s="170">
        <v>43046</v>
      </c>
      <c r="M709" s="116">
        <v>1211.05</v>
      </c>
      <c r="N709" s="116">
        <v>1233.5999999999999</v>
      </c>
      <c r="O709" s="116">
        <v>1203.0999999999999</v>
      </c>
      <c r="P709" s="116">
        <v>1225.55</v>
      </c>
      <c r="Q709" s="116">
        <v>1211.05</v>
      </c>
      <c r="R709">
        <v>1658527</v>
      </c>
    </row>
    <row r="710" spans="1:18" x14ac:dyDescent="0.25">
      <c r="A710" s="170">
        <v>43047</v>
      </c>
      <c r="B710" s="116">
        <v>1224.3</v>
      </c>
      <c r="C710" s="116">
        <v>1218.25</v>
      </c>
      <c r="D710" s="116">
        <v>1209</v>
      </c>
      <c r="E710" s="116">
        <v>1211</v>
      </c>
      <c r="F710" s="116">
        <v>1218.25</v>
      </c>
      <c r="G710">
        <v>90108</v>
      </c>
      <c r="H710" s="116"/>
      <c r="I710" s="116"/>
      <c r="L710" s="170">
        <v>43047</v>
      </c>
      <c r="M710" s="116">
        <v>1218.2</v>
      </c>
      <c r="N710" s="116">
        <v>1225</v>
      </c>
      <c r="O710" s="116">
        <v>1208.2</v>
      </c>
      <c r="P710" s="116">
        <v>1212</v>
      </c>
      <c r="Q710" s="116">
        <v>1218.2</v>
      </c>
      <c r="R710">
        <v>1905789</v>
      </c>
    </row>
    <row r="711" spans="1:18" x14ac:dyDescent="0.25">
      <c r="A711" s="170">
        <v>43048</v>
      </c>
      <c r="B711" s="116">
        <v>1231</v>
      </c>
      <c r="C711" s="116">
        <v>1216.5999999999999</v>
      </c>
      <c r="D711" s="116">
        <v>1206.5</v>
      </c>
      <c r="E711" s="116">
        <v>1219</v>
      </c>
      <c r="F711" s="116">
        <v>1216.5999999999999</v>
      </c>
      <c r="G711">
        <v>66234</v>
      </c>
      <c r="H711" s="116"/>
      <c r="I711" s="116"/>
      <c r="L711" s="170">
        <v>43048</v>
      </c>
      <c r="M711" s="116">
        <v>1215.9000000000001</v>
      </c>
      <c r="N711" s="116">
        <v>1231.0999999999999</v>
      </c>
      <c r="O711" s="116">
        <v>1205.9000000000001</v>
      </c>
      <c r="P711" s="116">
        <v>1220.1500000000001</v>
      </c>
      <c r="Q711" s="116">
        <v>1215.9000000000001</v>
      </c>
      <c r="R711">
        <v>1733475</v>
      </c>
    </row>
    <row r="712" spans="1:18" x14ac:dyDescent="0.25">
      <c r="A712" s="170">
        <v>43049</v>
      </c>
      <c r="B712" s="116">
        <v>1274</v>
      </c>
      <c r="C712" s="116">
        <v>1264.05</v>
      </c>
      <c r="D712" s="116">
        <v>1216.55</v>
      </c>
      <c r="E712" s="116">
        <v>1221</v>
      </c>
      <c r="F712" s="116">
        <v>1264.05</v>
      </c>
      <c r="G712">
        <v>450948</v>
      </c>
      <c r="H712" s="116"/>
      <c r="I712" s="116"/>
      <c r="L712" s="170">
        <v>43049</v>
      </c>
      <c r="M712" s="116">
        <v>1264.95</v>
      </c>
      <c r="N712" s="116">
        <v>1274.95</v>
      </c>
      <c r="O712" s="116">
        <v>1217</v>
      </c>
      <c r="P712" s="116">
        <v>1217.6500000000001</v>
      </c>
      <c r="Q712" s="116">
        <v>1264.95</v>
      </c>
      <c r="R712">
        <v>5671395</v>
      </c>
    </row>
    <row r="713" spans="1:18" x14ac:dyDescent="0.25">
      <c r="A713" s="170">
        <v>43052</v>
      </c>
      <c r="B713" s="116">
        <v>1260</v>
      </c>
      <c r="C713" s="116">
        <v>1240.3499999999999</v>
      </c>
      <c r="D713" s="116">
        <v>1210.05</v>
      </c>
      <c r="E713" s="116">
        <v>1240</v>
      </c>
      <c r="F713" s="116">
        <v>1240.3499999999999</v>
      </c>
      <c r="G713">
        <v>334606</v>
      </c>
      <c r="H713" s="116"/>
      <c r="I713" s="116"/>
      <c r="L713" s="170">
        <v>43052</v>
      </c>
      <c r="M713" s="116">
        <v>1240.55</v>
      </c>
      <c r="N713" s="116">
        <v>1259.95</v>
      </c>
      <c r="O713" s="116">
        <v>1208.2</v>
      </c>
      <c r="P713" s="116">
        <v>1229.8</v>
      </c>
      <c r="Q713" s="116">
        <v>1240.55</v>
      </c>
      <c r="R713">
        <v>5216845</v>
      </c>
    </row>
    <row r="714" spans="1:18" x14ac:dyDescent="0.25">
      <c r="A714" s="170">
        <v>43053</v>
      </c>
      <c r="B714" s="116">
        <v>1236.95</v>
      </c>
      <c r="C714" s="116">
        <v>1209.8499999999999</v>
      </c>
      <c r="D714" s="116">
        <v>1207.1500000000001</v>
      </c>
      <c r="E714" s="116">
        <v>1230.5</v>
      </c>
      <c r="F714" s="116">
        <v>1209.8499999999999</v>
      </c>
      <c r="G714">
        <v>177542</v>
      </c>
      <c r="H714" s="116"/>
      <c r="I714" s="116"/>
      <c r="L714" s="170">
        <v>43053</v>
      </c>
      <c r="M714" s="116">
        <v>1210.2</v>
      </c>
      <c r="N714" s="116">
        <v>1238</v>
      </c>
      <c r="O714" s="116">
        <v>1207.05</v>
      </c>
      <c r="P714" s="116">
        <v>1235</v>
      </c>
      <c r="Q714" s="116">
        <v>1210.2</v>
      </c>
      <c r="R714">
        <v>2519826</v>
      </c>
    </row>
    <row r="715" spans="1:18" x14ac:dyDescent="0.25">
      <c r="A715" s="170">
        <v>43054</v>
      </c>
      <c r="B715" s="116">
        <v>1224.75</v>
      </c>
      <c r="C715" s="116">
        <v>1207.8</v>
      </c>
      <c r="D715" s="116">
        <v>1202</v>
      </c>
      <c r="E715" s="116">
        <v>1212</v>
      </c>
      <c r="F715" s="116">
        <v>1207.8</v>
      </c>
      <c r="G715">
        <v>122266</v>
      </c>
      <c r="H715" s="116"/>
      <c r="I715" s="116"/>
      <c r="L715" s="170">
        <v>43054</v>
      </c>
      <c r="M715" s="116">
        <v>1209.5</v>
      </c>
      <c r="N715" s="116">
        <v>1225</v>
      </c>
      <c r="O715" s="116">
        <v>1206.05</v>
      </c>
      <c r="P715" s="116">
        <v>1210.5</v>
      </c>
      <c r="Q715" s="116">
        <v>1209.5</v>
      </c>
      <c r="R715">
        <v>1801470</v>
      </c>
    </row>
    <row r="716" spans="1:18" x14ac:dyDescent="0.25">
      <c r="A716" s="170">
        <v>43055</v>
      </c>
      <c r="B716" s="116">
        <v>1224</v>
      </c>
      <c r="C716" s="116">
        <v>1217.55</v>
      </c>
      <c r="D716" s="116">
        <v>1209.25</v>
      </c>
      <c r="E716" s="116">
        <v>1218.9000000000001</v>
      </c>
      <c r="F716" s="116">
        <v>1217.55</v>
      </c>
      <c r="G716">
        <v>81494</v>
      </c>
      <c r="H716" s="116"/>
      <c r="I716" s="116"/>
      <c r="L716" s="170">
        <v>43055</v>
      </c>
      <c r="M716" s="116">
        <v>1219.3</v>
      </c>
      <c r="N716" s="116">
        <v>1223.9000000000001</v>
      </c>
      <c r="O716" s="116">
        <v>1209</v>
      </c>
      <c r="P716" s="116">
        <v>1211.0999999999999</v>
      </c>
      <c r="Q716" s="116">
        <v>1219.3</v>
      </c>
      <c r="R716">
        <v>2003168</v>
      </c>
    </row>
    <row r="717" spans="1:18" x14ac:dyDescent="0.25">
      <c r="A717" s="170">
        <v>43056</v>
      </c>
      <c r="B717" s="116">
        <v>1239.5</v>
      </c>
      <c r="C717" s="116">
        <v>1221.25</v>
      </c>
      <c r="D717" s="116">
        <v>1215</v>
      </c>
      <c r="E717" s="116">
        <v>1229</v>
      </c>
      <c r="F717" s="116">
        <v>1221.25</v>
      </c>
      <c r="G717">
        <v>250337</v>
      </c>
      <c r="H717" s="116"/>
      <c r="I717" s="116"/>
      <c r="L717" s="170">
        <v>43056</v>
      </c>
      <c r="M717" s="116">
        <v>1222.8</v>
      </c>
      <c r="N717" s="116">
        <v>1239.45</v>
      </c>
      <c r="O717" s="116">
        <v>1215</v>
      </c>
      <c r="P717" s="116">
        <v>1230</v>
      </c>
      <c r="Q717" s="116">
        <v>1222.8</v>
      </c>
      <c r="R717">
        <v>2261694</v>
      </c>
    </row>
    <row r="718" spans="1:18" x14ac:dyDescent="0.25">
      <c r="A718" s="170">
        <v>43059</v>
      </c>
      <c r="B718" s="116">
        <v>1248.45</v>
      </c>
      <c r="C718" s="116">
        <v>1227.75</v>
      </c>
      <c r="D718" s="116">
        <v>1225</v>
      </c>
      <c r="E718" s="116">
        <v>1240</v>
      </c>
      <c r="F718" s="116">
        <v>1227.75</v>
      </c>
      <c r="G718">
        <v>169478</v>
      </c>
      <c r="H718" s="116"/>
      <c r="I718" s="116"/>
      <c r="L718" s="170">
        <v>43059</v>
      </c>
      <c r="M718" s="116">
        <v>1229.8</v>
      </c>
      <c r="N718" s="116">
        <v>1248</v>
      </c>
      <c r="O718" s="116">
        <v>1224</v>
      </c>
      <c r="P718" s="116">
        <v>1240</v>
      </c>
      <c r="Q718" s="116">
        <v>1229.8</v>
      </c>
      <c r="R718">
        <v>2799314</v>
      </c>
    </row>
    <row r="719" spans="1:18" x14ac:dyDescent="0.25">
      <c r="A719" s="170">
        <v>43060</v>
      </c>
      <c r="B719" s="116">
        <v>1233.1500000000001</v>
      </c>
      <c r="C719" s="116">
        <v>1221.7</v>
      </c>
      <c r="D719" s="116">
        <v>1213.55</v>
      </c>
      <c r="E719" s="116">
        <v>1230.05</v>
      </c>
      <c r="F719" s="116">
        <v>1221.7</v>
      </c>
      <c r="G719">
        <v>99574</v>
      </c>
      <c r="H719" s="116"/>
      <c r="I719" s="116"/>
      <c r="L719" s="170">
        <v>43060</v>
      </c>
      <c r="M719" s="116">
        <v>1222.6500000000001</v>
      </c>
      <c r="N719" s="116">
        <v>1235.5</v>
      </c>
      <c r="O719" s="116">
        <v>1212.25</v>
      </c>
      <c r="P719" s="116">
        <v>1235.5</v>
      </c>
      <c r="Q719" s="116">
        <v>1222.6500000000001</v>
      </c>
      <c r="R719">
        <v>2192795</v>
      </c>
    </row>
    <row r="720" spans="1:18" x14ac:dyDescent="0.25">
      <c r="A720" s="170">
        <v>43061</v>
      </c>
      <c r="B720" s="116">
        <v>1229.9000000000001</v>
      </c>
      <c r="C720" s="116">
        <v>1221.25</v>
      </c>
      <c r="D720" s="116">
        <v>1215.8</v>
      </c>
      <c r="E720" s="116">
        <v>1225</v>
      </c>
      <c r="F720" s="116">
        <v>1221.25</v>
      </c>
      <c r="G720">
        <v>358481</v>
      </c>
      <c r="H720" s="116"/>
      <c r="I720" s="116"/>
      <c r="L720" s="170">
        <v>43061</v>
      </c>
      <c r="M720" s="116">
        <v>1222.7</v>
      </c>
      <c r="N720" s="116">
        <v>1232</v>
      </c>
      <c r="O720" s="116">
        <v>1215.1500000000001</v>
      </c>
      <c r="P720" s="116">
        <v>1225</v>
      </c>
      <c r="Q720" s="116">
        <v>1222.7</v>
      </c>
      <c r="R720">
        <v>2266995</v>
      </c>
    </row>
    <row r="721" spans="1:18" x14ac:dyDescent="0.25">
      <c r="A721" s="170">
        <v>43062</v>
      </c>
      <c r="B721" s="116">
        <v>1228.75</v>
      </c>
      <c r="C721" s="116">
        <v>1216.3</v>
      </c>
      <c r="D721" s="116">
        <v>1211.3499999999999</v>
      </c>
      <c r="E721" s="116">
        <v>1217.1500000000001</v>
      </c>
      <c r="F721" s="116">
        <v>1216.3</v>
      </c>
      <c r="G721">
        <v>185194</v>
      </c>
      <c r="H721" s="116"/>
      <c r="I721" s="116"/>
      <c r="L721" s="170">
        <v>43062</v>
      </c>
      <c r="M721" s="116">
        <v>1215.95</v>
      </c>
      <c r="N721" s="116">
        <v>1229.2</v>
      </c>
      <c r="O721" s="116">
        <v>1211.3</v>
      </c>
      <c r="P721" s="116">
        <v>1222</v>
      </c>
      <c r="Q721" s="116">
        <v>1215.95</v>
      </c>
      <c r="R721">
        <v>1654930</v>
      </c>
    </row>
    <row r="722" spans="1:18" x14ac:dyDescent="0.25">
      <c r="A722" s="170">
        <v>43063</v>
      </c>
      <c r="B722" s="116">
        <v>1223.7</v>
      </c>
      <c r="C722" s="116">
        <v>1216.3</v>
      </c>
      <c r="D722" s="116">
        <v>1213.6500000000001</v>
      </c>
      <c r="E722" s="116">
        <v>1216.8</v>
      </c>
      <c r="F722" s="116">
        <v>1216.3</v>
      </c>
      <c r="G722">
        <v>126477</v>
      </c>
      <c r="H722" s="116"/>
      <c r="I722" s="116"/>
      <c r="L722" s="170">
        <v>43063</v>
      </c>
      <c r="M722" s="116">
        <v>1218.5</v>
      </c>
      <c r="N722" s="116">
        <v>1224</v>
      </c>
      <c r="O722" s="116">
        <v>1213.5</v>
      </c>
      <c r="P722" s="116">
        <v>1216</v>
      </c>
      <c r="Q722" s="116">
        <v>1218.5</v>
      </c>
      <c r="R722">
        <v>1637839</v>
      </c>
    </row>
    <row r="723" spans="1:18" x14ac:dyDescent="0.25">
      <c r="A723" s="170">
        <v>43066</v>
      </c>
      <c r="B723" s="116">
        <v>1230</v>
      </c>
      <c r="C723" s="116">
        <v>1222.5999999999999</v>
      </c>
      <c r="D723" s="116">
        <v>1216.3</v>
      </c>
      <c r="E723" s="116">
        <v>1217.55</v>
      </c>
      <c r="F723" s="116">
        <v>1222.5999999999999</v>
      </c>
      <c r="G723">
        <v>94205</v>
      </c>
      <c r="H723" s="116"/>
      <c r="I723" s="116"/>
      <c r="L723" s="170">
        <v>43066</v>
      </c>
      <c r="M723" s="116">
        <v>1224.75</v>
      </c>
      <c r="N723" s="116">
        <v>1234</v>
      </c>
      <c r="O723" s="116">
        <v>1215</v>
      </c>
      <c r="P723" s="116">
        <v>1215</v>
      </c>
      <c r="Q723" s="116">
        <v>1224.75</v>
      </c>
      <c r="R723">
        <v>1464649</v>
      </c>
    </row>
    <row r="724" spans="1:18" x14ac:dyDescent="0.25">
      <c r="A724" s="170">
        <v>43067</v>
      </c>
      <c r="B724" s="116">
        <v>1230</v>
      </c>
      <c r="C724" s="116">
        <v>1212.3</v>
      </c>
      <c r="D724" s="116">
        <v>1209.0999999999999</v>
      </c>
      <c r="E724" s="116">
        <v>1230</v>
      </c>
      <c r="F724" s="116">
        <v>1212.3</v>
      </c>
      <c r="G724">
        <v>114297</v>
      </c>
      <c r="H724" s="116"/>
      <c r="I724" s="116"/>
      <c r="L724" s="170">
        <v>43067</v>
      </c>
      <c r="M724" s="116">
        <v>1211.7</v>
      </c>
      <c r="N724" s="116">
        <v>1228</v>
      </c>
      <c r="O724" s="116">
        <v>1209</v>
      </c>
      <c r="P724" s="116">
        <v>1228</v>
      </c>
      <c r="Q724" s="116">
        <v>1211.7</v>
      </c>
      <c r="R724">
        <v>4940494</v>
      </c>
    </row>
    <row r="725" spans="1:18" x14ac:dyDescent="0.25">
      <c r="A725" s="170">
        <v>43068</v>
      </c>
      <c r="B725" s="116">
        <v>1223</v>
      </c>
      <c r="C725" s="116">
        <v>1217.3</v>
      </c>
      <c r="D725" s="116">
        <v>1213.3</v>
      </c>
      <c r="E725" s="116">
        <v>1219.9000000000001</v>
      </c>
      <c r="F725" s="116">
        <v>1217.3</v>
      </c>
      <c r="G725">
        <v>101560</v>
      </c>
      <c r="H725" s="116"/>
      <c r="I725" s="116"/>
      <c r="L725" s="170">
        <v>43068</v>
      </c>
      <c r="M725" s="116">
        <v>1217.8499999999999</v>
      </c>
      <c r="N725" s="116">
        <v>1223</v>
      </c>
      <c r="O725" s="116">
        <v>1212</v>
      </c>
      <c r="P725" s="116">
        <v>1215.45</v>
      </c>
      <c r="Q725" s="116">
        <v>1217.8499999999999</v>
      </c>
      <c r="R725">
        <v>2046078</v>
      </c>
    </row>
    <row r="726" spans="1:18" x14ac:dyDescent="0.25">
      <c r="A726" s="170">
        <v>43069</v>
      </c>
      <c r="B726" s="116">
        <v>1226.0999999999999</v>
      </c>
      <c r="C726" s="116">
        <v>1216.8499999999999</v>
      </c>
      <c r="D726" s="116">
        <v>1209.2</v>
      </c>
      <c r="E726" s="116">
        <v>1220</v>
      </c>
      <c r="F726" s="116">
        <v>1216.8499999999999</v>
      </c>
      <c r="G726">
        <v>86060</v>
      </c>
      <c r="H726" s="116"/>
      <c r="I726" s="116"/>
      <c r="L726" s="170">
        <v>43069</v>
      </c>
      <c r="M726" s="116">
        <v>1216.55</v>
      </c>
      <c r="N726" s="116">
        <v>1223.9000000000001</v>
      </c>
      <c r="O726" s="116">
        <v>1209</v>
      </c>
      <c r="P726" s="116">
        <v>1215</v>
      </c>
      <c r="Q726" s="116">
        <v>1216.55</v>
      </c>
      <c r="R726">
        <v>3419336</v>
      </c>
    </row>
    <row r="727" spans="1:18" x14ac:dyDescent="0.25">
      <c r="A727" s="170">
        <v>43070</v>
      </c>
      <c r="B727" s="116">
        <v>1235</v>
      </c>
      <c r="C727" s="116">
        <v>1212.5999999999999</v>
      </c>
      <c r="D727" s="116">
        <v>1208.55</v>
      </c>
      <c r="E727" s="116">
        <v>1222</v>
      </c>
      <c r="F727" s="116">
        <v>1212.5999999999999</v>
      </c>
      <c r="G727">
        <v>98681</v>
      </c>
      <c r="H727" s="116"/>
      <c r="I727" s="116"/>
      <c r="L727" s="170">
        <v>43070</v>
      </c>
      <c r="M727" s="116">
        <v>1211.6500000000001</v>
      </c>
      <c r="N727" s="116">
        <v>1235</v>
      </c>
      <c r="O727" s="116">
        <v>1208</v>
      </c>
      <c r="P727" s="116">
        <v>1216.1500000000001</v>
      </c>
      <c r="Q727" s="116">
        <v>1211.6500000000001</v>
      </c>
      <c r="R727">
        <v>1772981</v>
      </c>
    </row>
    <row r="728" spans="1:18" x14ac:dyDescent="0.25">
      <c r="A728" s="170">
        <v>43073</v>
      </c>
      <c r="B728" s="116">
        <v>1225</v>
      </c>
      <c r="C728" s="116">
        <v>1217.8499999999999</v>
      </c>
      <c r="D728" s="116">
        <v>1202.75</v>
      </c>
      <c r="E728" s="116">
        <v>1213</v>
      </c>
      <c r="F728" s="116">
        <v>1217.8499999999999</v>
      </c>
      <c r="G728">
        <v>106515</v>
      </c>
      <c r="H728" s="116"/>
      <c r="I728" s="116"/>
      <c r="L728" s="170">
        <v>43073</v>
      </c>
      <c r="M728" s="116">
        <v>1217.5</v>
      </c>
      <c r="N728" s="116">
        <v>1225.0999999999999</v>
      </c>
      <c r="O728" s="116">
        <v>1201.8</v>
      </c>
      <c r="P728" s="116">
        <v>1217</v>
      </c>
      <c r="Q728" s="116">
        <v>1217.5</v>
      </c>
      <c r="R728">
        <v>1796642</v>
      </c>
    </row>
    <row r="729" spans="1:18" x14ac:dyDescent="0.25">
      <c r="A729" s="170">
        <v>43074</v>
      </c>
      <c r="B729" s="116">
        <v>1217</v>
      </c>
      <c r="C729" s="116">
        <v>1207.3</v>
      </c>
      <c r="D729" s="116">
        <v>1192.6500000000001</v>
      </c>
      <c r="E729" s="116">
        <v>1217</v>
      </c>
      <c r="F729" s="116">
        <v>1207.3</v>
      </c>
      <c r="G729">
        <v>110917</v>
      </c>
      <c r="H729" s="116"/>
      <c r="I729" s="116"/>
      <c r="L729" s="170">
        <v>43074</v>
      </c>
      <c r="M729" s="116">
        <v>1209.9000000000001</v>
      </c>
      <c r="N729" s="116">
        <v>1214.5</v>
      </c>
      <c r="O729" s="116">
        <v>1191.3499999999999</v>
      </c>
      <c r="P729" s="116">
        <v>1214.5</v>
      </c>
      <c r="Q729" s="116">
        <v>1209.9000000000001</v>
      </c>
      <c r="R729">
        <v>2139688</v>
      </c>
    </row>
    <row r="730" spans="1:18" x14ac:dyDescent="0.25">
      <c r="A730" s="170">
        <v>43075</v>
      </c>
      <c r="B730" s="116">
        <v>1212</v>
      </c>
      <c r="C730" s="116">
        <v>1190.05</v>
      </c>
      <c r="D730" s="116">
        <v>1188</v>
      </c>
      <c r="E730" s="116">
        <v>1212</v>
      </c>
      <c r="F730" s="116">
        <v>1190.05</v>
      </c>
      <c r="G730">
        <v>517303</v>
      </c>
      <c r="H730" s="116"/>
      <c r="I730" s="116"/>
      <c r="L730" s="170">
        <v>43075</v>
      </c>
      <c r="M730" s="116">
        <v>1191.25</v>
      </c>
      <c r="N730" s="116">
        <v>1212</v>
      </c>
      <c r="O730" s="116">
        <v>1189</v>
      </c>
      <c r="P730" s="116">
        <v>1205.9000000000001</v>
      </c>
      <c r="Q730" s="116">
        <v>1191.25</v>
      </c>
      <c r="R730">
        <v>1696890</v>
      </c>
    </row>
    <row r="731" spans="1:18" x14ac:dyDescent="0.25">
      <c r="A731" s="170">
        <v>43076</v>
      </c>
      <c r="B731" s="116">
        <v>1228.75</v>
      </c>
      <c r="C731" s="116">
        <v>1219.1500000000001</v>
      </c>
      <c r="D731" s="116">
        <v>1182</v>
      </c>
      <c r="E731" s="116">
        <v>1182</v>
      </c>
      <c r="F731" s="116">
        <v>1219.1500000000001</v>
      </c>
      <c r="G731">
        <v>155491</v>
      </c>
      <c r="H731" s="116"/>
      <c r="I731" s="116"/>
      <c r="L731" s="170">
        <v>43076</v>
      </c>
      <c r="M731" s="116">
        <v>1218.4000000000001</v>
      </c>
      <c r="N731" s="116">
        <v>1228.45</v>
      </c>
      <c r="O731" s="116">
        <v>1196</v>
      </c>
      <c r="P731" s="116">
        <v>1196</v>
      </c>
      <c r="Q731" s="116">
        <v>1218.4000000000001</v>
      </c>
      <c r="R731">
        <v>2476888</v>
      </c>
    </row>
    <row r="732" spans="1:18" x14ac:dyDescent="0.25">
      <c r="A732" s="170">
        <v>43077</v>
      </c>
      <c r="B732" s="116">
        <v>1226</v>
      </c>
      <c r="C732" s="116">
        <v>1219.3</v>
      </c>
      <c r="D732" s="116">
        <v>1217.5</v>
      </c>
      <c r="E732" s="116">
        <v>1220</v>
      </c>
      <c r="F732" s="116">
        <v>1219.3</v>
      </c>
      <c r="G732">
        <v>86213</v>
      </c>
      <c r="H732" s="116"/>
      <c r="I732" s="116"/>
      <c r="L732" s="170">
        <v>43077</v>
      </c>
      <c r="M732" s="116">
        <v>1220.3499999999999</v>
      </c>
      <c r="N732" s="116">
        <v>1227</v>
      </c>
      <c r="O732" s="116">
        <v>1217.7</v>
      </c>
      <c r="P732" s="116">
        <v>1225</v>
      </c>
      <c r="Q732" s="116">
        <v>1220.3499999999999</v>
      </c>
      <c r="R732">
        <v>2316890</v>
      </c>
    </row>
    <row r="733" spans="1:18" x14ac:dyDescent="0.25">
      <c r="A733" s="170">
        <v>43080</v>
      </c>
      <c r="B733" s="116">
        <v>1228.8</v>
      </c>
      <c r="C733" s="116">
        <v>1221.4000000000001</v>
      </c>
      <c r="D733" s="116">
        <v>1215.55</v>
      </c>
      <c r="E733" s="116">
        <v>1220</v>
      </c>
      <c r="F733" s="116">
        <v>1221.4000000000001</v>
      </c>
      <c r="G733">
        <v>2492847</v>
      </c>
      <c r="H733" s="116"/>
      <c r="I733" s="116"/>
      <c r="L733" s="170">
        <v>43080</v>
      </c>
      <c r="M733" s="116">
        <v>1221.8499999999999</v>
      </c>
      <c r="N733" s="116">
        <v>1229</v>
      </c>
      <c r="O733" s="116">
        <v>1215.25</v>
      </c>
      <c r="P733" s="116">
        <v>1224</v>
      </c>
      <c r="Q733" s="116">
        <v>1221.8499999999999</v>
      </c>
      <c r="R733">
        <v>2227028</v>
      </c>
    </row>
    <row r="734" spans="1:18" x14ac:dyDescent="0.25">
      <c r="A734" s="170">
        <v>43081</v>
      </c>
      <c r="B734" s="116">
        <v>1221</v>
      </c>
      <c r="C734" s="116">
        <v>1202.8499999999999</v>
      </c>
      <c r="D734" s="116">
        <v>1201.3</v>
      </c>
      <c r="E734" s="116">
        <v>1220</v>
      </c>
      <c r="F734" s="116">
        <v>1202.8499999999999</v>
      </c>
      <c r="G734">
        <v>72595</v>
      </c>
      <c r="H734" s="116"/>
      <c r="I734" s="116"/>
      <c r="L734" s="170">
        <v>43081</v>
      </c>
      <c r="M734" s="116">
        <v>1202.9000000000001</v>
      </c>
      <c r="N734" s="116">
        <v>1221.5</v>
      </c>
      <c r="O734" s="116">
        <v>1200.5</v>
      </c>
      <c r="P734" s="116">
        <v>1221.2</v>
      </c>
      <c r="Q734" s="116">
        <v>1202.9000000000001</v>
      </c>
      <c r="R734">
        <v>2009798</v>
      </c>
    </row>
    <row r="735" spans="1:18" x14ac:dyDescent="0.25">
      <c r="A735" s="170">
        <v>43082</v>
      </c>
      <c r="B735" s="116">
        <v>1209.8499999999999</v>
      </c>
      <c r="C735" s="116">
        <v>1189</v>
      </c>
      <c r="D735" s="116">
        <v>1185.0999999999999</v>
      </c>
      <c r="E735" s="116">
        <v>1203</v>
      </c>
      <c r="F735" s="116">
        <v>1189</v>
      </c>
      <c r="G735">
        <v>330532</v>
      </c>
      <c r="H735" s="116"/>
      <c r="I735" s="116"/>
      <c r="L735" s="170">
        <v>43082</v>
      </c>
      <c r="M735" s="116">
        <v>1189.25</v>
      </c>
      <c r="N735" s="116">
        <v>1210</v>
      </c>
      <c r="O735" s="116">
        <v>1185</v>
      </c>
      <c r="P735" s="116">
        <v>1204.5</v>
      </c>
      <c r="Q735" s="116">
        <v>1189.25</v>
      </c>
      <c r="R735">
        <v>2262858</v>
      </c>
    </row>
    <row r="736" spans="1:18" x14ac:dyDescent="0.25">
      <c r="A736" s="170">
        <v>43083</v>
      </c>
      <c r="B736" s="116">
        <v>1218</v>
      </c>
      <c r="C736" s="116">
        <v>1188.8499999999999</v>
      </c>
      <c r="D736" s="116">
        <v>1176</v>
      </c>
      <c r="E736" s="116">
        <v>1193.0999999999999</v>
      </c>
      <c r="F736" s="116">
        <v>1188.8499999999999</v>
      </c>
      <c r="G736">
        <v>93192</v>
      </c>
      <c r="H736" s="116"/>
      <c r="I736" s="116"/>
      <c r="L736" s="170">
        <v>43083</v>
      </c>
      <c r="M736" s="116">
        <v>1188.8</v>
      </c>
      <c r="N736" s="116">
        <v>1200</v>
      </c>
      <c r="O736" s="116">
        <v>1176.0999999999999</v>
      </c>
      <c r="P736" s="116">
        <v>1196.5</v>
      </c>
      <c r="Q736" s="116">
        <v>1188.8</v>
      </c>
      <c r="R736">
        <v>1709762</v>
      </c>
    </row>
    <row r="737" spans="1:18" x14ac:dyDescent="0.25">
      <c r="A737" s="170">
        <v>43084</v>
      </c>
      <c r="B737" s="116">
        <v>1216</v>
      </c>
      <c r="C737" s="116">
        <v>1203.3</v>
      </c>
      <c r="D737" s="116">
        <v>1201</v>
      </c>
      <c r="E737" s="116">
        <v>1204</v>
      </c>
      <c r="F737" s="116">
        <v>1203.3</v>
      </c>
      <c r="G737">
        <v>102408</v>
      </c>
      <c r="H737" s="116"/>
      <c r="I737" s="116"/>
      <c r="L737" s="170">
        <v>43084</v>
      </c>
      <c r="M737" s="116">
        <v>1203.55</v>
      </c>
      <c r="N737" s="116">
        <v>1216.25</v>
      </c>
      <c r="O737" s="116">
        <v>1201</v>
      </c>
      <c r="P737" s="116">
        <v>1202</v>
      </c>
      <c r="Q737" s="116">
        <v>1203.55</v>
      </c>
      <c r="R737">
        <v>2161729</v>
      </c>
    </row>
    <row r="738" spans="1:18" x14ac:dyDescent="0.25">
      <c r="A738" s="170">
        <v>43087</v>
      </c>
      <c r="B738" s="116">
        <v>1223</v>
      </c>
      <c r="C738" s="116">
        <v>1214.8499999999999</v>
      </c>
      <c r="D738" s="116">
        <v>1177.45</v>
      </c>
      <c r="E738" s="116">
        <v>1199</v>
      </c>
      <c r="F738" s="116">
        <v>1214.8499999999999</v>
      </c>
      <c r="G738">
        <v>162716</v>
      </c>
      <c r="H738" s="116"/>
      <c r="I738" s="116"/>
      <c r="L738" s="170">
        <v>43087</v>
      </c>
      <c r="M738" s="116">
        <v>1217.9000000000001</v>
      </c>
      <c r="N738" s="116">
        <v>1224</v>
      </c>
      <c r="O738" s="116">
        <v>1175</v>
      </c>
      <c r="P738" s="116">
        <v>1195</v>
      </c>
      <c r="Q738" s="116">
        <v>1217.9000000000001</v>
      </c>
      <c r="R738">
        <v>2851823</v>
      </c>
    </row>
    <row r="739" spans="1:18" x14ac:dyDescent="0.25">
      <c r="A739" s="170">
        <v>43088</v>
      </c>
      <c r="B739" s="116">
        <v>1221.45</v>
      </c>
      <c r="C739" s="116">
        <v>1217.3</v>
      </c>
      <c r="D739" s="116">
        <v>1211.3</v>
      </c>
      <c r="E739" s="116">
        <v>1220.3</v>
      </c>
      <c r="F739" s="116">
        <v>1217.3</v>
      </c>
      <c r="G739">
        <v>230171</v>
      </c>
      <c r="H739" s="116"/>
      <c r="I739" s="116"/>
      <c r="L739" s="170">
        <v>43088</v>
      </c>
      <c r="M739" s="116">
        <v>1219.9000000000001</v>
      </c>
      <c r="N739" s="116">
        <v>1222</v>
      </c>
      <c r="O739" s="116">
        <v>1213.3499999999999</v>
      </c>
      <c r="P739" s="116">
        <v>1222</v>
      </c>
      <c r="Q739" s="116">
        <v>1219.9000000000001</v>
      </c>
      <c r="R739">
        <v>2878543</v>
      </c>
    </row>
    <row r="740" spans="1:18" x14ac:dyDescent="0.25">
      <c r="A740" s="170">
        <v>43089</v>
      </c>
      <c r="B740" s="116">
        <v>1239.9000000000001</v>
      </c>
      <c r="C740" s="116">
        <v>1230.1500000000001</v>
      </c>
      <c r="D740" s="116">
        <v>1210</v>
      </c>
      <c r="E740" s="116">
        <v>1220</v>
      </c>
      <c r="F740" s="116">
        <v>1230.1500000000001</v>
      </c>
      <c r="G740">
        <v>616296</v>
      </c>
      <c r="H740" s="116"/>
      <c r="I740" s="116"/>
      <c r="L740" s="170">
        <v>43089</v>
      </c>
      <c r="M740" s="116">
        <v>1232.5</v>
      </c>
      <c r="N740" s="116">
        <v>1240.45</v>
      </c>
      <c r="O740" s="116">
        <v>1209</v>
      </c>
      <c r="P740" s="116">
        <v>1217.2</v>
      </c>
      <c r="Q740" s="116">
        <v>1232.5</v>
      </c>
      <c r="R740">
        <v>3293207</v>
      </c>
    </row>
    <row r="741" spans="1:18" x14ac:dyDescent="0.25">
      <c r="A741" s="170">
        <v>43090</v>
      </c>
      <c r="B741" s="116">
        <v>1266</v>
      </c>
      <c r="C741" s="116">
        <v>1253.8</v>
      </c>
      <c r="D741" s="116">
        <v>1232.0999999999999</v>
      </c>
      <c r="E741" s="116">
        <v>1232.0999999999999</v>
      </c>
      <c r="F741" s="116">
        <v>1253.8</v>
      </c>
      <c r="G741">
        <v>4076302</v>
      </c>
      <c r="H741" s="116"/>
      <c r="I741" s="116"/>
      <c r="L741" s="170">
        <v>43090</v>
      </c>
      <c r="M741" s="116">
        <v>1258.8</v>
      </c>
      <c r="N741" s="116">
        <v>1265</v>
      </c>
      <c r="O741" s="116">
        <v>1237</v>
      </c>
      <c r="P741" s="116">
        <v>1239</v>
      </c>
      <c r="Q741" s="116">
        <v>1258.8</v>
      </c>
      <c r="R741">
        <v>3664052</v>
      </c>
    </row>
    <row r="742" spans="1:18" x14ac:dyDescent="0.25">
      <c r="A742" s="170">
        <v>43091</v>
      </c>
      <c r="B742" s="116">
        <v>1270</v>
      </c>
      <c r="C742" s="116">
        <v>1266.6500000000001</v>
      </c>
      <c r="D742" s="116">
        <v>1253.3</v>
      </c>
      <c r="E742" s="116">
        <v>1254.05</v>
      </c>
      <c r="F742" s="116">
        <v>1266.6500000000001</v>
      </c>
      <c r="G742">
        <v>185552</v>
      </c>
      <c r="H742" s="116"/>
      <c r="I742" s="116"/>
      <c r="L742" s="170">
        <v>43091</v>
      </c>
      <c r="M742" s="116">
        <v>1266.1500000000001</v>
      </c>
      <c r="N742" s="116">
        <v>1270</v>
      </c>
      <c r="O742" s="116">
        <v>1253</v>
      </c>
      <c r="P742" s="116">
        <v>1260.4000000000001</v>
      </c>
      <c r="Q742" s="116">
        <v>1266.1500000000001</v>
      </c>
      <c r="R742">
        <v>2490561</v>
      </c>
    </row>
    <row r="743" spans="1:18" x14ac:dyDescent="0.25">
      <c r="A743" s="170">
        <v>43095</v>
      </c>
      <c r="B743" s="116">
        <v>1274.5</v>
      </c>
      <c r="C743" s="116">
        <v>1269.5999999999999</v>
      </c>
      <c r="D743" s="116">
        <v>1258.5</v>
      </c>
      <c r="E743" s="116">
        <v>1267.55</v>
      </c>
      <c r="F743" s="116">
        <v>1269.5999999999999</v>
      </c>
      <c r="G743">
        <v>141479</v>
      </c>
      <c r="H743" s="116"/>
      <c r="I743" s="116"/>
      <c r="L743" s="170">
        <v>43095</v>
      </c>
      <c r="M743" s="116">
        <v>1269.7</v>
      </c>
      <c r="N743" s="116">
        <v>1275</v>
      </c>
      <c r="O743" s="116">
        <v>1257.3</v>
      </c>
      <c r="P743" s="116">
        <v>1271.8</v>
      </c>
      <c r="Q743" s="116">
        <v>1269.7</v>
      </c>
      <c r="R743">
        <v>2493302</v>
      </c>
    </row>
    <row r="744" spans="1:18" x14ac:dyDescent="0.25">
      <c r="A744" s="170">
        <v>43096</v>
      </c>
      <c r="B744" s="116">
        <v>1275</v>
      </c>
      <c r="C744" s="116">
        <v>1258.5999999999999</v>
      </c>
      <c r="D744" s="116">
        <v>1252.4000000000001</v>
      </c>
      <c r="E744" s="116">
        <v>1269</v>
      </c>
      <c r="F744" s="116">
        <v>1258.5999999999999</v>
      </c>
      <c r="G744">
        <v>75616</v>
      </c>
      <c r="H744" s="116"/>
      <c r="I744" s="116"/>
      <c r="L744" s="170">
        <v>43096</v>
      </c>
      <c r="M744" s="116">
        <v>1257.8499999999999</v>
      </c>
      <c r="N744" s="116">
        <v>1275.95</v>
      </c>
      <c r="O744" s="116">
        <v>1251.3</v>
      </c>
      <c r="P744" s="116">
        <v>1268.9000000000001</v>
      </c>
      <c r="Q744" s="116">
        <v>1257.8499999999999</v>
      </c>
      <c r="R744">
        <v>1675081</v>
      </c>
    </row>
    <row r="745" spans="1:18" x14ac:dyDescent="0.25">
      <c r="A745" s="170">
        <v>43097</v>
      </c>
      <c r="B745" s="116">
        <v>1265</v>
      </c>
      <c r="C745" s="116">
        <v>1253.25</v>
      </c>
      <c r="D745" s="116">
        <v>1250.5999999999999</v>
      </c>
      <c r="E745" s="116">
        <v>1256</v>
      </c>
      <c r="F745" s="116">
        <v>1253.25</v>
      </c>
      <c r="G745">
        <v>131301</v>
      </c>
      <c r="H745" s="116"/>
      <c r="I745" s="116"/>
      <c r="L745" s="170">
        <v>43097</v>
      </c>
      <c r="M745" s="116">
        <v>1252.75</v>
      </c>
      <c r="N745" s="116">
        <v>1264.95</v>
      </c>
      <c r="O745" s="116">
        <v>1249.45</v>
      </c>
      <c r="P745" s="116">
        <v>1257.5</v>
      </c>
      <c r="Q745" s="116">
        <v>1252.75</v>
      </c>
      <c r="R745">
        <v>2850194</v>
      </c>
    </row>
    <row r="746" spans="1:18" x14ac:dyDescent="0.25">
      <c r="A746" s="170">
        <v>43098</v>
      </c>
      <c r="B746" s="116">
        <v>1270</v>
      </c>
      <c r="C746" s="116">
        <v>1256.95</v>
      </c>
      <c r="D746" s="116">
        <v>1248</v>
      </c>
      <c r="E746" s="116">
        <v>1259</v>
      </c>
      <c r="F746" s="116">
        <v>1256.95</v>
      </c>
      <c r="G746">
        <v>93237</v>
      </c>
      <c r="H746" s="116"/>
      <c r="I746" s="116"/>
      <c r="L746" s="170">
        <v>43098</v>
      </c>
      <c r="M746" s="116">
        <v>1258.25</v>
      </c>
      <c r="N746" s="116">
        <v>1270</v>
      </c>
      <c r="O746" s="116">
        <v>1247.95</v>
      </c>
      <c r="P746" s="116">
        <v>1262</v>
      </c>
      <c r="Q746" s="116">
        <v>1258.25</v>
      </c>
      <c r="R746">
        <v>1819413</v>
      </c>
    </row>
    <row r="747" spans="1:18" x14ac:dyDescent="0.25">
      <c r="A747" s="170">
        <v>43101</v>
      </c>
      <c r="B747" s="116">
        <v>1273.3499999999999</v>
      </c>
      <c r="C747" s="116">
        <v>1261.8</v>
      </c>
      <c r="D747" s="116">
        <v>1258.1500000000001</v>
      </c>
      <c r="E747" s="116">
        <v>1264.9000000000001</v>
      </c>
      <c r="F747" s="116">
        <v>1261.8</v>
      </c>
      <c r="G747">
        <v>77414</v>
      </c>
      <c r="H747" s="116"/>
      <c r="I747" s="116"/>
      <c r="L747" s="170">
        <v>43101</v>
      </c>
      <c r="M747" s="116">
        <v>1260.7</v>
      </c>
      <c r="N747" s="116">
        <v>1274</v>
      </c>
      <c r="O747" s="116">
        <v>1255.9000000000001</v>
      </c>
      <c r="P747" s="116">
        <v>1261</v>
      </c>
      <c r="Q747" s="116">
        <v>1260.7</v>
      </c>
      <c r="R747">
        <v>2048058</v>
      </c>
    </row>
    <row r="748" spans="1:18" x14ac:dyDescent="0.25">
      <c r="A748" s="170">
        <v>43102</v>
      </c>
      <c r="B748" s="116">
        <v>1270.5</v>
      </c>
      <c r="C748" s="116">
        <v>1249.0999999999999</v>
      </c>
      <c r="D748" s="116">
        <v>1243.1500000000001</v>
      </c>
      <c r="E748" s="116">
        <v>1270.5</v>
      </c>
      <c r="F748" s="116">
        <v>1249.0999999999999</v>
      </c>
      <c r="G748">
        <v>149232</v>
      </c>
      <c r="H748" s="116"/>
      <c r="I748" s="116"/>
      <c r="L748" s="170">
        <v>43102</v>
      </c>
      <c r="M748" s="116">
        <v>1249.75</v>
      </c>
      <c r="N748" s="116">
        <v>1269.9000000000001</v>
      </c>
      <c r="O748" s="116">
        <v>1242.8499999999999</v>
      </c>
      <c r="P748" s="116">
        <v>1267</v>
      </c>
      <c r="Q748" s="116">
        <v>1249.75</v>
      </c>
      <c r="R748">
        <v>1512324</v>
      </c>
    </row>
    <row r="749" spans="1:18" x14ac:dyDescent="0.25">
      <c r="A749" s="170">
        <v>43103</v>
      </c>
      <c r="B749" s="116">
        <v>1284</v>
      </c>
      <c r="C749" s="116">
        <v>1276.1500000000001</v>
      </c>
      <c r="D749" s="116">
        <v>1251</v>
      </c>
      <c r="E749" s="116">
        <v>1254.5999999999999</v>
      </c>
      <c r="F749" s="116">
        <v>1276.1500000000001</v>
      </c>
      <c r="G749">
        <v>470140</v>
      </c>
      <c r="H749" s="116"/>
      <c r="I749" s="116"/>
      <c r="L749" s="170">
        <v>43103</v>
      </c>
      <c r="M749" s="116">
        <v>1275.3</v>
      </c>
      <c r="N749" s="116">
        <v>1283.95</v>
      </c>
      <c r="O749" s="116">
        <v>1251.5</v>
      </c>
      <c r="P749" s="116">
        <v>1255.9000000000001</v>
      </c>
      <c r="Q749" s="116">
        <v>1275.3</v>
      </c>
      <c r="R749">
        <v>2720736</v>
      </c>
    </row>
    <row r="750" spans="1:18" x14ac:dyDescent="0.25">
      <c r="A750" s="170">
        <v>43104</v>
      </c>
      <c r="B750" s="116">
        <v>1318.65</v>
      </c>
      <c r="C750" s="116">
        <v>1315.4</v>
      </c>
      <c r="D750" s="116">
        <v>1280.3</v>
      </c>
      <c r="E750" s="116">
        <v>1282.4000000000001</v>
      </c>
      <c r="F750" s="116">
        <v>1315.4</v>
      </c>
      <c r="G750">
        <v>269371</v>
      </c>
      <c r="H750" s="116"/>
      <c r="I750" s="116"/>
      <c r="L750" s="170">
        <v>43104</v>
      </c>
      <c r="M750" s="116">
        <v>1315.7</v>
      </c>
      <c r="N750" s="116">
        <v>1320</v>
      </c>
      <c r="O750" s="116">
        <v>1280.0999999999999</v>
      </c>
      <c r="P750" s="116">
        <v>1284.95</v>
      </c>
      <c r="Q750" s="116">
        <v>1315.7</v>
      </c>
      <c r="R750">
        <v>4546456</v>
      </c>
    </row>
    <row r="751" spans="1:18" x14ac:dyDescent="0.25">
      <c r="A751" s="170">
        <v>43105</v>
      </c>
      <c r="B751" s="116">
        <v>1328.8</v>
      </c>
      <c r="C751" s="116">
        <v>1314.5</v>
      </c>
      <c r="D751" s="116">
        <v>1308.3499999999999</v>
      </c>
      <c r="E751" s="116">
        <v>1320</v>
      </c>
      <c r="F751" s="116">
        <v>1314.5</v>
      </c>
      <c r="G751">
        <v>187226</v>
      </c>
      <c r="H751" s="116"/>
      <c r="I751" s="116"/>
      <c r="L751" s="170">
        <v>43105</v>
      </c>
      <c r="M751" s="116">
        <v>1314.9</v>
      </c>
      <c r="N751" s="116">
        <v>1328.95</v>
      </c>
      <c r="O751" s="116">
        <v>1308</v>
      </c>
      <c r="P751" s="116">
        <v>1325</v>
      </c>
      <c r="Q751" s="116">
        <v>1314.9</v>
      </c>
      <c r="R751">
        <v>2418902</v>
      </c>
    </row>
    <row r="752" spans="1:18" x14ac:dyDescent="0.25">
      <c r="A752" s="170">
        <v>43108</v>
      </c>
      <c r="B752" s="116">
        <v>1345.5</v>
      </c>
      <c r="C752" s="116">
        <v>1338.1</v>
      </c>
      <c r="D752" s="116">
        <v>1312</v>
      </c>
      <c r="E752" s="116">
        <v>1312</v>
      </c>
      <c r="F752" s="116">
        <v>1338.1</v>
      </c>
      <c r="G752">
        <v>265822</v>
      </c>
      <c r="H752" s="116"/>
      <c r="I752" s="116"/>
      <c r="L752" s="170">
        <v>43108</v>
      </c>
      <c r="M752" s="116">
        <v>1338.25</v>
      </c>
      <c r="N752" s="116">
        <v>1345.95</v>
      </c>
      <c r="O752" s="116">
        <v>1316.5</v>
      </c>
      <c r="P752" s="116">
        <v>1316.5</v>
      </c>
      <c r="Q752" s="116">
        <v>1338.25</v>
      </c>
      <c r="R752">
        <v>3513256</v>
      </c>
    </row>
    <row r="753" spans="1:18" x14ac:dyDescent="0.25">
      <c r="A753" s="170">
        <v>43109</v>
      </c>
      <c r="B753" s="116">
        <v>1342.95</v>
      </c>
      <c r="C753" s="116">
        <v>1332.8</v>
      </c>
      <c r="D753" s="116">
        <v>1325.9</v>
      </c>
      <c r="E753" s="116">
        <v>1341.8</v>
      </c>
      <c r="F753" s="116">
        <v>1332.8</v>
      </c>
      <c r="G753">
        <v>72066</v>
      </c>
      <c r="H753" s="116"/>
      <c r="I753" s="116"/>
      <c r="L753" s="170">
        <v>43109</v>
      </c>
      <c r="M753" s="116">
        <v>1332.75</v>
      </c>
      <c r="N753" s="116">
        <v>1343</v>
      </c>
      <c r="O753" s="116">
        <v>1326.4</v>
      </c>
      <c r="P753" s="116">
        <v>1340</v>
      </c>
      <c r="Q753" s="116">
        <v>1332.75</v>
      </c>
      <c r="R753">
        <v>1703294</v>
      </c>
    </row>
    <row r="754" spans="1:18" x14ac:dyDescent="0.25">
      <c r="A754" s="170">
        <v>43110</v>
      </c>
      <c r="B754" s="116">
        <v>1339</v>
      </c>
      <c r="C754" s="116">
        <v>1323.85</v>
      </c>
      <c r="D754" s="116">
        <v>1317.3</v>
      </c>
      <c r="E754" s="116">
        <v>1339</v>
      </c>
      <c r="F754" s="116">
        <v>1323.85</v>
      </c>
      <c r="G754">
        <v>91543</v>
      </c>
      <c r="H754" s="116"/>
      <c r="I754" s="116"/>
      <c r="L754" s="170">
        <v>43110</v>
      </c>
      <c r="M754" s="116">
        <v>1323.75</v>
      </c>
      <c r="N754" s="116">
        <v>1336.5</v>
      </c>
      <c r="O754" s="116">
        <v>1317.65</v>
      </c>
      <c r="P754" s="116">
        <v>1332.2</v>
      </c>
      <c r="Q754" s="116">
        <v>1323.75</v>
      </c>
      <c r="R754">
        <v>1098019</v>
      </c>
    </row>
    <row r="755" spans="1:18" x14ac:dyDescent="0.25">
      <c r="A755" s="170">
        <v>43111</v>
      </c>
      <c r="B755" s="116">
        <v>1325.65</v>
      </c>
      <c r="C755" s="116">
        <v>1320.3</v>
      </c>
      <c r="D755" s="116">
        <v>1313.5</v>
      </c>
      <c r="E755" s="116">
        <v>1323</v>
      </c>
      <c r="F755" s="116">
        <v>1320.3</v>
      </c>
      <c r="G755">
        <v>52968</v>
      </c>
      <c r="H755" s="116"/>
      <c r="I755" s="116"/>
      <c r="L755" s="170">
        <v>43111</v>
      </c>
      <c r="M755" s="116">
        <v>1323.55</v>
      </c>
      <c r="N755" s="116">
        <v>1326.8</v>
      </c>
      <c r="O755" s="116">
        <v>1313.05</v>
      </c>
      <c r="P755" s="116">
        <v>1320.2</v>
      </c>
      <c r="Q755" s="116">
        <v>1323.55</v>
      </c>
      <c r="R755">
        <v>1232290</v>
      </c>
    </row>
    <row r="756" spans="1:18" x14ac:dyDescent="0.25">
      <c r="A756" s="170">
        <v>43112</v>
      </c>
      <c r="B756" s="116">
        <v>1331.6</v>
      </c>
      <c r="C756" s="116">
        <v>1329.2</v>
      </c>
      <c r="D756" s="116">
        <v>1310</v>
      </c>
      <c r="E756" s="116">
        <v>1325.3</v>
      </c>
      <c r="F756" s="116">
        <v>1329.2</v>
      </c>
      <c r="G756">
        <v>108467</v>
      </c>
      <c r="H756" s="116"/>
      <c r="I756" s="116"/>
      <c r="L756" s="170">
        <v>43112</v>
      </c>
      <c r="M756" s="116">
        <v>1329.15</v>
      </c>
      <c r="N756" s="116">
        <v>1332.3</v>
      </c>
      <c r="O756" s="116">
        <v>1309.75</v>
      </c>
      <c r="P756" s="116">
        <v>1325.5</v>
      </c>
      <c r="Q756" s="116">
        <v>1329.15</v>
      </c>
      <c r="R756">
        <v>1825056</v>
      </c>
    </row>
    <row r="757" spans="1:18" x14ac:dyDescent="0.25">
      <c r="A757" s="170">
        <v>43115</v>
      </c>
      <c r="B757" s="116">
        <v>1350</v>
      </c>
      <c r="C757" s="116">
        <v>1323.1</v>
      </c>
      <c r="D757" s="116">
        <v>1323</v>
      </c>
      <c r="E757" s="116">
        <v>1332.25</v>
      </c>
      <c r="F757" s="116">
        <v>1323.1</v>
      </c>
      <c r="G757">
        <v>547908</v>
      </c>
      <c r="H757" s="116"/>
      <c r="I757" s="116"/>
      <c r="L757" s="170">
        <v>43115</v>
      </c>
      <c r="M757" s="116">
        <v>1325.95</v>
      </c>
      <c r="N757" s="116">
        <v>1351.2</v>
      </c>
      <c r="O757" s="116">
        <v>1323.6</v>
      </c>
      <c r="P757" s="116">
        <v>1334.85</v>
      </c>
      <c r="Q757" s="116">
        <v>1325.95</v>
      </c>
      <c r="R757">
        <v>2386631</v>
      </c>
    </row>
    <row r="758" spans="1:18" x14ac:dyDescent="0.25">
      <c r="A758" s="170">
        <v>43116</v>
      </c>
      <c r="B758" s="116">
        <v>1340</v>
      </c>
      <c r="C758" s="116">
        <v>1323.25</v>
      </c>
      <c r="D758" s="116">
        <v>1320.8</v>
      </c>
      <c r="E758" s="116">
        <v>1327.05</v>
      </c>
      <c r="F758" s="116">
        <v>1323.25</v>
      </c>
      <c r="G758">
        <v>541609</v>
      </c>
      <c r="H758" s="116"/>
      <c r="I758" s="116"/>
      <c r="L758" s="170">
        <v>43116</v>
      </c>
      <c r="M758" s="116">
        <v>1326.2</v>
      </c>
      <c r="N758" s="116">
        <v>1339.65</v>
      </c>
      <c r="O758" s="116">
        <v>1323.35</v>
      </c>
      <c r="P758" s="116">
        <v>1331.05</v>
      </c>
      <c r="Q758" s="116">
        <v>1326.2</v>
      </c>
      <c r="R758">
        <v>3139385</v>
      </c>
    </row>
    <row r="759" spans="1:18" x14ac:dyDescent="0.25">
      <c r="A759" s="170">
        <v>43117</v>
      </c>
      <c r="B759" s="116">
        <v>1358</v>
      </c>
      <c r="C759" s="116">
        <v>1352.25</v>
      </c>
      <c r="D759" s="116">
        <v>1318.05</v>
      </c>
      <c r="E759" s="116">
        <v>1326</v>
      </c>
      <c r="F759" s="116">
        <v>1352.25</v>
      </c>
      <c r="G759">
        <v>612313</v>
      </c>
      <c r="H759" s="116"/>
      <c r="I759" s="116"/>
      <c r="L759" s="170">
        <v>43117</v>
      </c>
      <c r="M759" s="116">
        <v>1353.35</v>
      </c>
      <c r="N759" s="116">
        <v>1357</v>
      </c>
      <c r="O759" s="116">
        <v>1320.25</v>
      </c>
      <c r="P759" s="116">
        <v>1323</v>
      </c>
      <c r="Q759" s="116">
        <v>1353.35</v>
      </c>
      <c r="R759">
        <v>2724814</v>
      </c>
    </row>
    <row r="760" spans="1:18" x14ac:dyDescent="0.25">
      <c r="A760" s="170">
        <v>43118</v>
      </c>
      <c r="B760" s="116">
        <v>1384.35</v>
      </c>
      <c r="C760" s="116">
        <v>1358.8</v>
      </c>
      <c r="D760" s="116">
        <v>1350.9</v>
      </c>
      <c r="E760" s="116">
        <v>1355.5</v>
      </c>
      <c r="F760" s="116">
        <v>1358.8</v>
      </c>
      <c r="G760">
        <v>521339</v>
      </c>
      <c r="H760" s="116"/>
      <c r="I760" s="116"/>
      <c r="L760" s="170">
        <v>43118</v>
      </c>
      <c r="M760" s="116">
        <v>1360.8</v>
      </c>
      <c r="N760" s="116">
        <v>1385</v>
      </c>
      <c r="O760" s="116">
        <v>1350.45</v>
      </c>
      <c r="P760" s="116">
        <v>1360</v>
      </c>
      <c r="Q760" s="116">
        <v>1360.8</v>
      </c>
      <c r="R760">
        <v>4966982</v>
      </c>
    </row>
    <row r="761" spans="1:18" x14ac:dyDescent="0.25">
      <c r="A761" s="170">
        <v>43119</v>
      </c>
      <c r="B761" s="116">
        <v>1377.7</v>
      </c>
      <c r="C761" s="116">
        <v>1371.95</v>
      </c>
      <c r="D761" s="116">
        <v>1355</v>
      </c>
      <c r="E761" s="116">
        <v>1361.55</v>
      </c>
      <c r="F761" s="116">
        <v>1371.95</v>
      </c>
      <c r="G761">
        <v>667193</v>
      </c>
      <c r="H761" s="116"/>
      <c r="I761" s="116"/>
      <c r="L761" s="170">
        <v>43119</v>
      </c>
      <c r="M761" s="116">
        <v>1371.45</v>
      </c>
      <c r="N761" s="116">
        <v>1378.65</v>
      </c>
      <c r="O761" s="116">
        <v>1353.5</v>
      </c>
      <c r="P761" s="116">
        <v>1362</v>
      </c>
      <c r="Q761" s="116">
        <v>1371.45</v>
      </c>
      <c r="R761">
        <v>2127776</v>
      </c>
    </row>
    <row r="762" spans="1:18" x14ac:dyDescent="0.25">
      <c r="A762" s="170">
        <v>43122</v>
      </c>
      <c r="B762" s="116">
        <v>1405</v>
      </c>
      <c r="C762" s="116">
        <v>1398.95</v>
      </c>
      <c r="D762" s="116">
        <v>1348</v>
      </c>
      <c r="E762" s="116">
        <v>1370.55</v>
      </c>
      <c r="F762" s="116">
        <v>1398.95</v>
      </c>
      <c r="G762">
        <v>640553</v>
      </c>
      <c r="H762" s="116"/>
      <c r="I762" s="116"/>
      <c r="L762" s="170">
        <v>43122</v>
      </c>
      <c r="M762" s="116">
        <v>1398.85</v>
      </c>
      <c r="N762" s="116">
        <v>1403.65</v>
      </c>
      <c r="O762" s="116">
        <v>1289.2</v>
      </c>
      <c r="P762" s="116">
        <v>1289.2</v>
      </c>
      <c r="Q762" s="116">
        <v>1398.85</v>
      </c>
      <c r="R762">
        <v>3067658</v>
      </c>
    </row>
    <row r="763" spans="1:18" x14ac:dyDescent="0.25">
      <c r="A763" s="170">
        <v>43123</v>
      </c>
      <c r="B763" s="116">
        <v>1415</v>
      </c>
      <c r="C763" s="116">
        <v>1409.55</v>
      </c>
      <c r="D763" s="116">
        <v>1394</v>
      </c>
      <c r="E763" s="116">
        <v>1405</v>
      </c>
      <c r="F763" s="116">
        <v>1409.55</v>
      </c>
      <c r="G763">
        <v>225907</v>
      </c>
      <c r="H763" s="116"/>
      <c r="I763" s="116"/>
      <c r="L763" s="170">
        <v>43123</v>
      </c>
      <c r="M763" s="116">
        <v>1410.7</v>
      </c>
      <c r="N763" s="116">
        <v>1415</v>
      </c>
      <c r="O763" s="116">
        <v>1393.1</v>
      </c>
      <c r="P763" s="116">
        <v>1406</v>
      </c>
      <c r="Q763" s="116">
        <v>1410.7</v>
      </c>
      <c r="R763">
        <v>4804202</v>
      </c>
    </row>
    <row r="764" spans="1:18" x14ac:dyDescent="0.25">
      <c r="A764" s="170">
        <v>43124</v>
      </c>
      <c r="B764" s="116">
        <v>1410.25</v>
      </c>
      <c r="C764" s="116">
        <v>1400.4</v>
      </c>
      <c r="D764" s="116">
        <v>1392</v>
      </c>
      <c r="E764" s="116">
        <v>1409.4</v>
      </c>
      <c r="F764" s="116">
        <v>1400.4</v>
      </c>
      <c r="G764">
        <v>519193</v>
      </c>
      <c r="H764" s="116"/>
      <c r="I764" s="116"/>
      <c r="L764" s="170">
        <v>43124</v>
      </c>
      <c r="M764" s="116">
        <v>1401.2</v>
      </c>
      <c r="N764" s="116">
        <v>1409.8</v>
      </c>
      <c r="O764" s="116">
        <v>1389.8</v>
      </c>
      <c r="P764" s="116">
        <v>1407.1</v>
      </c>
      <c r="Q764" s="116">
        <v>1401.2</v>
      </c>
      <c r="R764">
        <v>2147973</v>
      </c>
    </row>
    <row r="765" spans="1:18" x14ac:dyDescent="0.25">
      <c r="A765" s="170">
        <v>43125</v>
      </c>
      <c r="B765" s="116">
        <v>1425</v>
      </c>
      <c r="C765" s="116">
        <v>1412.95</v>
      </c>
      <c r="D765" s="116">
        <v>1395</v>
      </c>
      <c r="E765" s="116">
        <v>1399.4</v>
      </c>
      <c r="F765" s="116">
        <v>1412.95</v>
      </c>
      <c r="G765">
        <v>299987</v>
      </c>
      <c r="H765" s="116"/>
      <c r="I765" s="116"/>
      <c r="L765" s="170">
        <v>43125</v>
      </c>
      <c r="M765" s="116">
        <v>1416.5</v>
      </c>
      <c r="N765" s="116">
        <v>1427.05</v>
      </c>
      <c r="O765" s="116">
        <v>1392</v>
      </c>
      <c r="P765" s="116">
        <v>1392</v>
      </c>
      <c r="Q765" s="116">
        <v>1416.5</v>
      </c>
      <c r="R765">
        <v>6113475</v>
      </c>
    </row>
    <row r="766" spans="1:18" x14ac:dyDescent="0.25">
      <c r="A766" s="170">
        <v>43129</v>
      </c>
      <c r="B766" s="116">
        <v>1441</v>
      </c>
      <c r="C766" s="116">
        <v>1428.3</v>
      </c>
      <c r="D766" s="116">
        <v>1415</v>
      </c>
      <c r="E766" s="116">
        <v>1415.2</v>
      </c>
      <c r="F766" s="116">
        <v>1428.3</v>
      </c>
      <c r="G766">
        <v>240250</v>
      </c>
      <c r="H766" s="116"/>
      <c r="I766" s="116"/>
      <c r="L766" s="170">
        <v>43129</v>
      </c>
      <c r="M766" s="116">
        <v>1431.95</v>
      </c>
      <c r="N766" s="116">
        <v>1441.65</v>
      </c>
      <c r="O766" s="116">
        <v>1418</v>
      </c>
      <c r="P766" s="116">
        <v>1418</v>
      </c>
      <c r="Q766" s="116">
        <v>1431.95</v>
      </c>
      <c r="R766">
        <v>2945415</v>
      </c>
    </row>
    <row r="767" spans="1:18" x14ac:dyDescent="0.25">
      <c r="A767" s="170">
        <v>43130</v>
      </c>
      <c r="B767" s="116">
        <v>1436.15</v>
      </c>
      <c r="C767" s="116">
        <v>1429.1</v>
      </c>
      <c r="D767" s="116">
        <v>1406.5</v>
      </c>
      <c r="E767" s="116">
        <v>1426.6</v>
      </c>
      <c r="F767" s="116">
        <v>1429.1</v>
      </c>
      <c r="G767">
        <v>289830</v>
      </c>
      <c r="H767" s="116"/>
      <c r="I767" s="116"/>
      <c r="L767" s="170">
        <v>43130</v>
      </c>
      <c r="M767" s="116">
        <v>1429.9</v>
      </c>
      <c r="N767" s="116">
        <v>1436.7</v>
      </c>
      <c r="O767" s="116">
        <v>1406.75</v>
      </c>
      <c r="P767" s="116">
        <v>1429.95</v>
      </c>
      <c r="Q767" s="116">
        <v>1429.9</v>
      </c>
      <c r="R767">
        <v>1988140</v>
      </c>
    </row>
    <row r="768" spans="1:18" x14ac:dyDescent="0.25">
      <c r="A768" s="170">
        <v>43131</v>
      </c>
      <c r="B768" s="116">
        <v>1438.4</v>
      </c>
      <c r="C768" s="116">
        <v>1416.6</v>
      </c>
      <c r="D768" s="116">
        <v>1412.3</v>
      </c>
      <c r="E768" s="116">
        <v>1428.95</v>
      </c>
      <c r="F768" s="116">
        <v>1416.6</v>
      </c>
      <c r="G768">
        <v>268552</v>
      </c>
      <c r="H768" s="116"/>
      <c r="I768" s="116"/>
      <c r="L768" s="170">
        <v>43131</v>
      </c>
      <c r="M768" s="116">
        <v>1416.5</v>
      </c>
      <c r="N768" s="116">
        <v>1439.7</v>
      </c>
      <c r="O768" s="116">
        <v>1412</v>
      </c>
      <c r="P768" s="116">
        <v>1431.9</v>
      </c>
      <c r="Q768" s="116">
        <v>1416.5</v>
      </c>
      <c r="R768">
        <v>2614515</v>
      </c>
    </row>
    <row r="769" spans="1:18" x14ac:dyDescent="0.25">
      <c r="A769" s="170">
        <v>43132</v>
      </c>
      <c r="B769" s="116">
        <v>1469.6</v>
      </c>
      <c r="C769" s="116">
        <v>1455.8</v>
      </c>
      <c r="D769" s="116">
        <v>1408</v>
      </c>
      <c r="E769" s="116">
        <v>1455</v>
      </c>
      <c r="F769" s="116">
        <v>1455.8</v>
      </c>
      <c r="G769">
        <v>704620</v>
      </c>
      <c r="H769" s="116"/>
      <c r="I769" s="116"/>
      <c r="L769" s="170">
        <v>43132</v>
      </c>
      <c r="M769" s="116">
        <v>1455.6</v>
      </c>
      <c r="N769" s="116">
        <v>1470</v>
      </c>
      <c r="O769" s="116">
        <v>1405.2</v>
      </c>
      <c r="P769" s="116">
        <v>1458.9</v>
      </c>
      <c r="Q769" s="116">
        <v>1455.6</v>
      </c>
      <c r="R769">
        <v>8187730</v>
      </c>
    </row>
    <row r="770" spans="1:18" x14ac:dyDescent="0.25">
      <c r="A770" s="170">
        <v>43133</v>
      </c>
      <c r="B770" s="116">
        <v>1453</v>
      </c>
      <c r="C770" s="116">
        <v>1414.4</v>
      </c>
      <c r="D770" s="116">
        <v>1410</v>
      </c>
      <c r="E770" s="116">
        <v>1453</v>
      </c>
      <c r="F770" s="116">
        <v>1414.4</v>
      </c>
      <c r="G770">
        <v>1337632</v>
      </c>
      <c r="H770" s="116"/>
      <c r="I770" s="116"/>
      <c r="L770" s="170">
        <v>43133</v>
      </c>
      <c r="M770" s="116">
        <v>1415.45</v>
      </c>
      <c r="N770" s="116">
        <v>1448</v>
      </c>
      <c r="O770" s="116">
        <v>1410.05</v>
      </c>
      <c r="P770" s="116">
        <v>1448</v>
      </c>
      <c r="Q770" s="116">
        <v>1415.45</v>
      </c>
      <c r="R770">
        <v>3621563</v>
      </c>
    </row>
    <row r="771" spans="1:18" x14ac:dyDescent="0.25">
      <c r="A771" s="170">
        <v>43136</v>
      </c>
      <c r="B771" s="116">
        <v>1399.9</v>
      </c>
      <c r="C771" s="116">
        <v>1362.75</v>
      </c>
      <c r="D771" s="116">
        <v>1356.05</v>
      </c>
      <c r="E771" s="116">
        <v>1398.6</v>
      </c>
      <c r="F771" s="116">
        <v>1362.75</v>
      </c>
      <c r="G771">
        <v>382239</v>
      </c>
      <c r="H771" s="116"/>
      <c r="I771" s="116"/>
      <c r="L771" s="170">
        <v>43136</v>
      </c>
      <c r="M771" s="116">
        <v>1363.65</v>
      </c>
      <c r="N771" s="116">
        <v>1400</v>
      </c>
      <c r="O771" s="116">
        <v>1355.1</v>
      </c>
      <c r="P771" s="116">
        <v>1380</v>
      </c>
      <c r="Q771" s="116">
        <v>1363.65</v>
      </c>
      <c r="R771">
        <v>3060688</v>
      </c>
    </row>
    <row r="772" spans="1:18" x14ac:dyDescent="0.25">
      <c r="A772" s="170">
        <v>43137</v>
      </c>
      <c r="B772" s="116">
        <v>1372.7</v>
      </c>
      <c r="C772" s="116">
        <v>1354</v>
      </c>
      <c r="D772" s="116">
        <v>1300.0999999999999</v>
      </c>
      <c r="E772" s="116">
        <v>1325</v>
      </c>
      <c r="F772" s="116">
        <v>1354</v>
      </c>
      <c r="G772">
        <v>365019</v>
      </c>
      <c r="H772" s="116"/>
      <c r="I772" s="116"/>
      <c r="L772" s="170">
        <v>43137</v>
      </c>
      <c r="M772" s="116">
        <v>1353.05</v>
      </c>
      <c r="N772" s="116">
        <v>1372.35</v>
      </c>
      <c r="O772" s="116">
        <v>1294.25</v>
      </c>
      <c r="P772" s="116">
        <v>1319.95</v>
      </c>
      <c r="Q772" s="116">
        <v>1353.05</v>
      </c>
      <c r="R772">
        <v>4230633</v>
      </c>
    </row>
    <row r="773" spans="1:18" x14ac:dyDescent="0.25">
      <c r="A773" s="170">
        <v>43138</v>
      </c>
      <c r="B773" s="116">
        <v>1372</v>
      </c>
      <c r="C773" s="116">
        <v>1332.65</v>
      </c>
      <c r="D773" s="116">
        <v>1329</v>
      </c>
      <c r="E773" s="116">
        <v>1371</v>
      </c>
      <c r="F773" s="116">
        <v>1332.65</v>
      </c>
      <c r="G773">
        <v>298808</v>
      </c>
      <c r="H773" s="116"/>
      <c r="I773" s="116"/>
      <c r="L773" s="170">
        <v>43138</v>
      </c>
      <c r="M773" s="116">
        <v>1333.75</v>
      </c>
      <c r="N773" s="116">
        <v>1370</v>
      </c>
      <c r="O773" s="116">
        <v>1330</v>
      </c>
      <c r="P773" s="116">
        <v>1370</v>
      </c>
      <c r="Q773" s="116">
        <v>1333.75</v>
      </c>
      <c r="R773">
        <v>2927403</v>
      </c>
    </row>
    <row r="774" spans="1:18" x14ac:dyDescent="0.25">
      <c r="A774" s="170">
        <v>43139</v>
      </c>
      <c r="B774" s="116">
        <v>1359.15</v>
      </c>
      <c r="C774" s="116">
        <v>1347.25</v>
      </c>
      <c r="D774" s="116">
        <v>1334</v>
      </c>
      <c r="E774" s="116">
        <v>1342.2</v>
      </c>
      <c r="F774" s="116">
        <v>1347.25</v>
      </c>
      <c r="G774">
        <v>752289</v>
      </c>
      <c r="H774" s="116"/>
      <c r="I774" s="116"/>
      <c r="L774" s="170">
        <v>43139</v>
      </c>
      <c r="M774" s="116">
        <v>1347.4</v>
      </c>
      <c r="N774" s="116">
        <v>1359.5</v>
      </c>
      <c r="O774" s="116">
        <v>1333</v>
      </c>
      <c r="P774" s="116">
        <v>1345</v>
      </c>
      <c r="Q774" s="116">
        <v>1347.4</v>
      </c>
      <c r="R774">
        <v>1932082</v>
      </c>
    </row>
    <row r="775" spans="1:18" x14ac:dyDescent="0.25">
      <c r="A775" s="170">
        <v>43140</v>
      </c>
      <c r="B775" s="116">
        <v>1342.35</v>
      </c>
      <c r="C775" s="116">
        <v>1329.35</v>
      </c>
      <c r="D775" s="116">
        <v>1320.15</v>
      </c>
      <c r="E775" s="116">
        <v>1329.7</v>
      </c>
      <c r="F775" s="116">
        <v>1329.35</v>
      </c>
      <c r="G775">
        <v>474127</v>
      </c>
      <c r="H775" s="116"/>
      <c r="I775" s="116"/>
      <c r="L775" s="170">
        <v>43140</v>
      </c>
      <c r="M775" s="116">
        <v>1329.25</v>
      </c>
      <c r="N775" s="116">
        <v>1343</v>
      </c>
      <c r="O775" s="116">
        <v>1318.1</v>
      </c>
      <c r="P775" s="116">
        <v>1324.8</v>
      </c>
      <c r="Q775" s="116">
        <v>1329.25</v>
      </c>
      <c r="R775">
        <v>2029257</v>
      </c>
    </row>
    <row r="776" spans="1:18" x14ac:dyDescent="0.25">
      <c r="A776" s="170">
        <v>43143</v>
      </c>
      <c r="B776" s="116">
        <v>1355</v>
      </c>
      <c r="C776" s="116">
        <v>1351.05</v>
      </c>
      <c r="D776" s="116">
        <v>1333</v>
      </c>
      <c r="E776" s="116">
        <v>1333</v>
      </c>
      <c r="F776" s="116">
        <v>1351.05</v>
      </c>
      <c r="G776">
        <v>144721</v>
      </c>
      <c r="H776" s="116"/>
      <c r="I776" s="116"/>
      <c r="L776" s="170">
        <v>43143</v>
      </c>
      <c r="M776" s="116">
        <v>1350.5</v>
      </c>
      <c r="N776" s="116">
        <v>1355</v>
      </c>
      <c r="O776" s="116">
        <v>1334.55</v>
      </c>
      <c r="P776" s="116">
        <v>1334.55</v>
      </c>
      <c r="Q776" s="116">
        <v>1350.5</v>
      </c>
      <c r="R776">
        <v>1543603</v>
      </c>
    </row>
    <row r="777" spans="1:18" x14ac:dyDescent="0.25">
      <c r="A777" s="170">
        <v>43145</v>
      </c>
      <c r="B777" s="116">
        <v>1370.7</v>
      </c>
      <c r="C777" s="116">
        <v>1357.7</v>
      </c>
      <c r="D777" s="116">
        <v>1338.65</v>
      </c>
      <c r="E777" s="116">
        <v>1353.05</v>
      </c>
      <c r="F777" s="116">
        <v>1357.7</v>
      </c>
      <c r="G777">
        <v>185604</v>
      </c>
      <c r="H777" s="116"/>
      <c r="I777" s="116"/>
      <c r="L777" s="170">
        <v>43145</v>
      </c>
      <c r="M777" s="116">
        <v>1361.2</v>
      </c>
      <c r="N777" s="116">
        <v>1372.5</v>
      </c>
      <c r="O777" s="116">
        <v>1345.6</v>
      </c>
      <c r="P777" s="116">
        <v>1354.7</v>
      </c>
      <c r="Q777" s="116">
        <v>1361.2</v>
      </c>
      <c r="R777">
        <v>2310144</v>
      </c>
    </row>
    <row r="778" spans="1:18" x14ac:dyDescent="0.25">
      <c r="A778" s="170">
        <v>43146</v>
      </c>
      <c r="B778" s="116">
        <v>1369</v>
      </c>
      <c r="C778" s="116">
        <v>1350.15</v>
      </c>
      <c r="D778" s="116">
        <v>1347</v>
      </c>
      <c r="E778" s="116">
        <v>1360</v>
      </c>
      <c r="F778" s="116">
        <v>1350.15</v>
      </c>
      <c r="G778">
        <v>137974</v>
      </c>
      <c r="H778" s="116"/>
      <c r="I778" s="116"/>
      <c r="L778" s="170">
        <v>43146</v>
      </c>
      <c r="M778" s="116">
        <v>1350.35</v>
      </c>
      <c r="N778" s="116">
        <v>1370</v>
      </c>
      <c r="O778" s="116">
        <v>1346.4</v>
      </c>
      <c r="P778" s="116">
        <v>1364.4</v>
      </c>
      <c r="Q778" s="116">
        <v>1350.35</v>
      </c>
      <c r="R778">
        <v>1861841</v>
      </c>
    </row>
    <row r="779" spans="1:18" x14ac:dyDescent="0.25">
      <c r="A779" s="170">
        <v>43147</v>
      </c>
      <c r="B779" s="116">
        <v>1363.65</v>
      </c>
      <c r="C779" s="116">
        <v>1327.95</v>
      </c>
      <c r="D779" s="116">
        <v>1320.5</v>
      </c>
      <c r="E779" s="116">
        <v>1351</v>
      </c>
      <c r="F779" s="116">
        <v>1327.95</v>
      </c>
      <c r="G779">
        <v>104844</v>
      </c>
      <c r="H779" s="116"/>
      <c r="I779" s="116"/>
      <c r="L779" s="170">
        <v>43147</v>
      </c>
      <c r="M779" s="116">
        <v>1328.4</v>
      </c>
      <c r="N779" s="116">
        <v>1364</v>
      </c>
      <c r="O779" s="116">
        <v>1320.45</v>
      </c>
      <c r="P779" s="116">
        <v>1358</v>
      </c>
      <c r="Q779" s="116">
        <v>1328.4</v>
      </c>
      <c r="R779">
        <v>1424576</v>
      </c>
    </row>
    <row r="780" spans="1:18" x14ac:dyDescent="0.25">
      <c r="A780" s="170">
        <v>43150</v>
      </c>
      <c r="B780" s="116">
        <v>1330</v>
      </c>
      <c r="C780" s="116">
        <v>1296.75</v>
      </c>
      <c r="D780" s="116">
        <v>1288.0999999999999</v>
      </c>
      <c r="E780" s="116">
        <v>1327.95</v>
      </c>
      <c r="F780" s="116">
        <v>1296.75</v>
      </c>
      <c r="G780">
        <v>194261</v>
      </c>
      <c r="H780" s="116"/>
      <c r="I780" s="116"/>
      <c r="L780" s="170">
        <v>43150</v>
      </c>
      <c r="M780" s="116">
        <v>1295.5</v>
      </c>
      <c r="N780" s="116">
        <v>1330.95</v>
      </c>
      <c r="O780" s="116">
        <v>1287</v>
      </c>
      <c r="P780" s="116">
        <v>1328</v>
      </c>
      <c r="Q780" s="116">
        <v>1295.5</v>
      </c>
      <c r="R780">
        <v>4275673</v>
      </c>
    </row>
    <row r="781" spans="1:18" x14ac:dyDescent="0.25">
      <c r="A781" s="170">
        <v>43151</v>
      </c>
      <c r="B781" s="116">
        <v>1310.4000000000001</v>
      </c>
      <c r="C781" s="116">
        <v>1290.45</v>
      </c>
      <c r="D781" s="116">
        <v>1285</v>
      </c>
      <c r="E781" s="116">
        <v>1291</v>
      </c>
      <c r="F781" s="116">
        <v>1290.45</v>
      </c>
      <c r="G781">
        <v>102568</v>
      </c>
      <c r="H781" s="116"/>
      <c r="I781" s="116"/>
      <c r="L781" s="170">
        <v>43151</v>
      </c>
      <c r="M781" s="116">
        <v>1290.5999999999999</v>
      </c>
      <c r="N781" s="116">
        <v>1309.5999999999999</v>
      </c>
      <c r="O781" s="116">
        <v>1287.25</v>
      </c>
      <c r="P781" s="116">
        <v>1300</v>
      </c>
      <c r="Q781" s="116">
        <v>1290.5999999999999</v>
      </c>
      <c r="R781">
        <v>2063972</v>
      </c>
    </row>
    <row r="782" spans="1:18" x14ac:dyDescent="0.25">
      <c r="A782" s="170">
        <v>43152</v>
      </c>
      <c r="B782" s="116">
        <v>1303.95</v>
      </c>
      <c r="C782" s="116">
        <v>1283.1500000000001</v>
      </c>
      <c r="D782" s="116">
        <v>1280</v>
      </c>
      <c r="E782" s="116">
        <v>1303.95</v>
      </c>
      <c r="F782" s="116">
        <v>1283.1500000000001</v>
      </c>
      <c r="G782">
        <v>104379</v>
      </c>
      <c r="H782" s="116"/>
      <c r="I782" s="116"/>
      <c r="L782" s="170">
        <v>43152</v>
      </c>
      <c r="M782" s="116">
        <v>1282.8</v>
      </c>
      <c r="N782" s="116">
        <v>1299.5999999999999</v>
      </c>
      <c r="O782" s="116">
        <v>1279</v>
      </c>
      <c r="P782" s="116">
        <v>1299</v>
      </c>
      <c r="Q782" s="116">
        <v>1282.8</v>
      </c>
      <c r="R782">
        <v>1584305</v>
      </c>
    </row>
    <row r="783" spans="1:18" x14ac:dyDescent="0.25">
      <c r="A783" s="170">
        <v>43153</v>
      </c>
      <c r="B783" s="116">
        <v>1296.75</v>
      </c>
      <c r="C783" s="116">
        <v>1291.25</v>
      </c>
      <c r="D783" s="116">
        <v>1275.8499999999999</v>
      </c>
      <c r="E783" s="116">
        <v>1281.9000000000001</v>
      </c>
      <c r="F783" s="116">
        <v>1291.25</v>
      </c>
      <c r="G783">
        <v>99294</v>
      </c>
      <c r="H783" s="116"/>
      <c r="I783" s="116"/>
      <c r="L783" s="170">
        <v>43153</v>
      </c>
      <c r="M783" s="116">
        <v>1292</v>
      </c>
      <c r="N783" s="116">
        <v>1298</v>
      </c>
      <c r="O783" s="116">
        <v>1276</v>
      </c>
      <c r="P783" s="116">
        <v>1278</v>
      </c>
      <c r="Q783" s="116">
        <v>1292</v>
      </c>
      <c r="R783">
        <v>3028574</v>
      </c>
    </row>
    <row r="784" spans="1:18" x14ac:dyDescent="0.25">
      <c r="A784" s="170">
        <v>43154</v>
      </c>
      <c r="B784" s="116">
        <v>1305.8</v>
      </c>
      <c r="C784" s="116">
        <v>1302.3499999999999</v>
      </c>
      <c r="D784" s="116">
        <v>1280.7</v>
      </c>
      <c r="E784" s="116">
        <v>1292</v>
      </c>
      <c r="F784" s="116">
        <v>1302.3499999999999</v>
      </c>
      <c r="G784">
        <v>105618</v>
      </c>
      <c r="H784" s="116"/>
      <c r="I784" s="116"/>
      <c r="L784" s="170">
        <v>43154</v>
      </c>
      <c r="M784" s="116">
        <v>1301.7</v>
      </c>
      <c r="N784" s="116">
        <v>1305</v>
      </c>
      <c r="O784" s="116">
        <v>1280.4000000000001</v>
      </c>
      <c r="P784" s="116">
        <v>1292.5999999999999</v>
      </c>
      <c r="Q784" s="116">
        <v>1301.7</v>
      </c>
      <c r="R784">
        <v>2176017</v>
      </c>
    </row>
    <row r="785" spans="1:18" x14ac:dyDescent="0.25">
      <c r="A785" s="170">
        <v>43157</v>
      </c>
      <c r="B785" s="116">
        <v>1347.5</v>
      </c>
      <c r="C785" s="116">
        <v>1339.2</v>
      </c>
      <c r="D785" s="116">
        <v>1303.5</v>
      </c>
      <c r="E785" s="116">
        <v>1303.5</v>
      </c>
      <c r="F785" s="116">
        <v>1339.2</v>
      </c>
      <c r="G785">
        <v>225413</v>
      </c>
      <c r="H785" s="116"/>
      <c r="I785" s="116"/>
      <c r="L785" s="170">
        <v>43157</v>
      </c>
      <c r="M785" s="116">
        <v>1344.25</v>
      </c>
      <c r="N785" s="116">
        <v>1347.7</v>
      </c>
      <c r="O785" s="116">
        <v>1306</v>
      </c>
      <c r="P785" s="116">
        <v>1306</v>
      </c>
      <c r="Q785" s="116">
        <v>1344.25</v>
      </c>
      <c r="R785">
        <v>2239306</v>
      </c>
    </row>
    <row r="786" spans="1:18" x14ac:dyDescent="0.25">
      <c r="A786" s="170">
        <v>43158</v>
      </c>
      <c r="B786" s="116">
        <v>1355.5</v>
      </c>
      <c r="C786" s="116">
        <v>1337.8</v>
      </c>
      <c r="D786" s="116">
        <v>1332.05</v>
      </c>
      <c r="E786" s="116">
        <v>1347.8</v>
      </c>
      <c r="F786" s="116">
        <v>1337.8</v>
      </c>
      <c r="G786">
        <v>244092</v>
      </c>
      <c r="H786" s="116"/>
      <c r="I786" s="116"/>
      <c r="L786" s="170">
        <v>43158</v>
      </c>
      <c r="M786" s="116">
        <v>1338.1</v>
      </c>
      <c r="N786" s="116">
        <v>1355.8</v>
      </c>
      <c r="O786" s="116">
        <v>1331.3</v>
      </c>
      <c r="P786" s="116">
        <v>1347.5</v>
      </c>
      <c r="Q786" s="116">
        <v>1338.1</v>
      </c>
      <c r="R786">
        <v>2243499</v>
      </c>
    </row>
    <row r="787" spans="1:18" x14ac:dyDescent="0.25">
      <c r="A787" s="170">
        <v>43159</v>
      </c>
      <c r="B787" s="116">
        <v>1332</v>
      </c>
      <c r="C787" s="116">
        <v>1319.1</v>
      </c>
      <c r="D787" s="116">
        <v>1313.5</v>
      </c>
      <c r="E787" s="116">
        <v>1330</v>
      </c>
      <c r="F787" s="116">
        <v>1319.1</v>
      </c>
      <c r="G787">
        <v>106728</v>
      </c>
      <c r="H787" s="116"/>
      <c r="I787" s="116"/>
      <c r="L787" s="170">
        <v>43159</v>
      </c>
      <c r="M787" s="116">
        <v>1318.15</v>
      </c>
      <c r="N787" s="116">
        <v>1331.6</v>
      </c>
      <c r="O787" s="116">
        <v>1310.5999999999999</v>
      </c>
      <c r="P787" s="116">
        <v>1328</v>
      </c>
      <c r="Q787" s="116">
        <v>1318.15</v>
      </c>
      <c r="R787">
        <v>2439968</v>
      </c>
    </row>
    <row r="788" spans="1:18" x14ac:dyDescent="0.25">
      <c r="A788" s="170">
        <v>43160</v>
      </c>
      <c r="B788" s="116">
        <v>1332.3</v>
      </c>
      <c r="C788" s="116">
        <v>1313.2</v>
      </c>
      <c r="D788" s="116">
        <v>1300</v>
      </c>
      <c r="E788" s="116">
        <v>1323</v>
      </c>
      <c r="F788" s="116">
        <v>1313.2</v>
      </c>
      <c r="G788">
        <v>113789</v>
      </c>
      <c r="H788" s="116"/>
      <c r="I788" s="116"/>
      <c r="L788" s="170">
        <v>43160</v>
      </c>
      <c r="M788" s="116">
        <v>1315.2</v>
      </c>
      <c r="N788" s="116">
        <v>1332.9</v>
      </c>
      <c r="O788" s="116">
        <v>1313.1</v>
      </c>
      <c r="P788" s="116">
        <v>1319</v>
      </c>
      <c r="Q788" s="116">
        <v>1315.2</v>
      </c>
      <c r="R788">
        <v>1927606</v>
      </c>
    </row>
    <row r="789" spans="1:18" x14ac:dyDescent="0.25">
      <c r="A789" s="170">
        <v>43164</v>
      </c>
      <c r="B789" s="116">
        <v>1314</v>
      </c>
      <c r="C789" s="116">
        <v>1301.75</v>
      </c>
      <c r="D789" s="116">
        <v>1298.5</v>
      </c>
      <c r="E789" s="116">
        <v>1314</v>
      </c>
      <c r="F789" s="116">
        <v>1301.75</v>
      </c>
      <c r="G789">
        <v>75868</v>
      </c>
      <c r="H789" s="116"/>
      <c r="I789" s="116"/>
      <c r="L789" s="170">
        <v>43164</v>
      </c>
      <c r="M789" s="116">
        <v>1300.7</v>
      </c>
      <c r="N789" s="116">
        <v>1312.7</v>
      </c>
      <c r="O789" s="116">
        <v>1297.95</v>
      </c>
      <c r="P789" s="116">
        <v>1312.7</v>
      </c>
      <c r="Q789" s="116">
        <v>1300.7</v>
      </c>
      <c r="R789">
        <v>1302005</v>
      </c>
    </row>
    <row r="790" spans="1:18" x14ac:dyDescent="0.25">
      <c r="A790" s="170">
        <v>43165</v>
      </c>
      <c r="B790" s="116">
        <v>1319</v>
      </c>
      <c r="C790" s="116">
        <v>1284.2</v>
      </c>
      <c r="D790" s="116">
        <v>1279</v>
      </c>
      <c r="E790" s="116">
        <v>1309</v>
      </c>
      <c r="F790" s="116">
        <v>1284.2</v>
      </c>
      <c r="G790">
        <v>134990</v>
      </c>
      <c r="H790" s="116"/>
      <c r="I790" s="116"/>
      <c r="L790" s="170">
        <v>43165</v>
      </c>
      <c r="M790" s="116">
        <v>1283.4000000000001</v>
      </c>
      <c r="N790" s="116">
        <v>1318.9</v>
      </c>
      <c r="O790" s="116">
        <v>1275</v>
      </c>
      <c r="P790" s="116">
        <v>1308.7</v>
      </c>
      <c r="Q790" s="116">
        <v>1283.4000000000001</v>
      </c>
      <c r="R790">
        <v>2381856</v>
      </c>
    </row>
    <row r="791" spans="1:18" x14ac:dyDescent="0.25">
      <c r="A791" s="170">
        <v>43166</v>
      </c>
      <c r="B791" s="116">
        <v>1292.9000000000001</v>
      </c>
      <c r="C791" s="116">
        <v>1263.0999999999999</v>
      </c>
      <c r="D791" s="116">
        <v>1260</v>
      </c>
      <c r="E791" s="116">
        <v>1280</v>
      </c>
      <c r="F791" s="116">
        <v>1263.0999999999999</v>
      </c>
      <c r="G791">
        <v>177237</v>
      </c>
      <c r="H791" s="116"/>
      <c r="I791" s="116"/>
      <c r="L791" s="170">
        <v>43166</v>
      </c>
      <c r="M791" s="116">
        <v>1263.3</v>
      </c>
      <c r="N791" s="116">
        <v>1293.9000000000001</v>
      </c>
      <c r="O791" s="116">
        <v>1260</v>
      </c>
      <c r="P791" s="116">
        <v>1284</v>
      </c>
      <c r="Q791" s="116">
        <v>1263.3</v>
      </c>
      <c r="R791">
        <v>2156582</v>
      </c>
    </row>
    <row r="792" spans="1:18" x14ac:dyDescent="0.25">
      <c r="A792" s="170">
        <v>43167</v>
      </c>
      <c r="B792" s="116">
        <v>1289.5999999999999</v>
      </c>
      <c r="C792" s="116">
        <v>1283.25</v>
      </c>
      <c r="D792" s="116">
        <v>1259.7</v>
      </c>
      <c r="E792" s="116">
        <v>1263.25</v>
      </c>
      <c r="F792" s="116">
        <v>1283.25</v>
      </c>
      <c r="G792">
        <v>117700</v>
      </c>
      <c r="H792" s="116"/>
      <c r="I792" s="116"/>
      <c r="L792" s="170">
        <v>43167</v>
      </c>
      <c r="M792" s="116">
        <v>1283.8</v>
      </c>
      <c r="N792" s="116">
        <v>1289.8</v>
      </c>
      <c r="O792" s="116">
        <v>1259.25</v>
      </c>
      <c r="P792" s="116">
        <v>1271.9000000000001</v>
      </c>
      <c r="Q792" s="116">
        <v>1283.8</v>
      </c>
      <c r="R792">
        <v>3588828</v>
      </c>
    </row>
    <row r="793" spans="1:18" x14ac:dyDescent="0.25">
      <c r="A793" s="170">
        <v>43168</v>
      </c>
      <c r="B793" s="116">
        <v>1295.5999999999999</v>
      </c>
      <c r="C793" s="116">
        <v>1290.1500000000001</v>
      </c>
      <c r="D793" s="116">
        <v>1280</v>
      </c>
      <c r="E793" s="116">
        <v>1288</v>
      </c>
      <c r="F793" s="116">
        <v>1290.1500000000001</v>
      </c>
      <c r="G793">
        <v>83619</v>
      </c>
      <c r="H793" s="116"/>
      <c r="I793" s="116"/>
      <c r="L793" s="170">
        <v>43168</v>
      </c>
      <c r="M793" s="116">
        <v>1290.5</v>
      </c>
      <c r="N793" s="116">
        <v>1296.05</v>
      </c>
      <c r="O793" s="116">
        <v>1280</v>
      </c>
      <c r="P793" s="116">
        <v>1285.2</v>
      </c>
      <c r="Q793" s="116">
        <v>1290.5</v>
      </c>
      <c r="R793">
        <v>2508919</v>
      </c>
    </row>
    <row r="794" spans="1:18" x14ac:dyDescent="0.25">
      <c r="A794" s="170">
        <v>43171</v>
      </c>
      <c r="B794" s="116">
        <v>1312</v>
      </c>
      <c r="C794" s="116">
        <v>1309.8499999999999</v>
      </c>
      <c r="D794" s="116">
        <v>1296.8</v>
      </c>
      <c r="E794" s="116">
        <v>1300.3</v>
      </c>
      <c r="F794" s="116">
        <v>1309.8499999999999</v>
      </c>
      <c r="G794">
        <v>183634</v>
      </c>
      <c r="H794" s="116"/>
      <c r="I794" s="116"/>
      <c r="L794" s="170">
        <v>43171</v>
      </c>
      <c r="M794" s="116">
        <v>1310.05</v>
      </c>
      <c r="N794" s="116">
        <v>1312</v>
      </c>
      <c r="O794" s="116">
        <v>1297</v>
      </c>
      <c r="P794" s="116">
        <v>1300</v>
      </c>
      <c r="Q794" s="116">
        <v>1310.05</v>
      </c>
      <c r="R794">
        <v>2267260</v>
      </c>
    </row>
    <row r="795" spans="1:18" x14ac:dyDescent="0.25">
      <c r="A795" s="170">
        <v>43172</v>
      </c>
      <c r="B795" s="116">
        <v>1322.65</v>
      </c>
      <c r="C795" s="116">
        <v>1302.1500000000001</v>
      </c>
      <c r="D795" s="116">
        <v>1294.4000000000001</v>
      </c>
      <c r="E795" s="116">
        <v>1310</v>
      </c>
      <c r="F795" s="116">
        <v>1302.1500000000001</v>
      </c>
      <c r="G795">
        <v>161758</v>
      </c>
      <c r="H795" s="116"/>
      <c r="I795" s="116"/>
      <c r="L795" s="170">
        <v>43172</v>
      </c>
      <c r="M795" s="116">
        <v>1302.75</v>
      </c>
      <c r="N795" s="116">
        <v>1322.95</v>
      </c>
      <c r="O795" s="116">
        <v>1294.05</v>
      </c>
      <c r="P795" s="116">
        <v>1311.4</v>
      </c>
      <c r="Q795" s="116">
        <v>1302.75</v>
      </c>
      <c r="R795">
        <v>1915199</v>
      </c>
    </row>
    <row r="796" spans="1:18" x14ac:dyDescent="0.25">
      <c r="A796" s="170">
        <v>43173</v>
      </c>
      <c r="B796" s="116">
        <v>1312.05</v>
      </c>
      <c r="C796" s="116">
        <v>1302.45</v>
      </c>
      <c r="D796" s="116">
        <v>1293.0999999999999</v>
      </c>
      <c r="E796" s="116">
        <v>1305</v>
      </c>
      <c r="F796" s="116">
        <v>1302.45</v>
      </c>
      <c r="G796">
        <v>145003</v>
      </c>
      <c r="H796" s="116"/>
      <c r="I796" s="116"/>
      <c r="L796" s="170">
        <v>43173</v>
      </c>
      <c r="M796" s="116">
        <v>1303.25</v>
      </c>
      <c r="N796" s="116">
        <v>1313</v>
      </c>
      <c r="O796" s="116">
        <v>1292</v>
      </c>
      <c r="P796" s="116">
        <v>1303</v>
      </c>
      <c r="Q796" s="116">
        <v>1303.25</v>
      </c>
      <c r="R796">
        <v>1714051</v>
      </c>
    </row>
    <row r="797" spans="1:18" x14ac:dyDescent="0.25">
      <c r="A797" s="170">
        <v>43174</v>
      </c>
      <c r="B797" s="116">
        <v>1309.4000000000001</v>
      </c>
      <c r="C797" s="116">
        <v>1295.05</v>
      </c>
      <c r="D797" s="116">
        <v>1292</v>
      </c>
      <c r="E797" s="116">
        <v>1305</v>
      </c>
      <c r="F797" s="116">
        <v>1295.05</v>
      </c>
      <c r="G797">
        <v>213695</v>
      </c>
      <c r="H797" s="116"/>
      <c r="I797" s="116"/>
      <c r="L797" s="170">
        <v>43174</v>
      </c>
      <c r="M797" s="116">
        <v>1295.0999999999999</v>
      </c>
      <c r="N797" s="116">
        <v>1309.5999999999999</v>
      </c>
      <c r="O797" s="116">
        <v>1292.0999999999999</v>
      </c>
      <c r="P797" s="116">
        <v>1304.9000000000001</v>
      </c>
      <c r="Q797" s="116">
        <v>1295.0999999999999</v>
      </c>
      <c r="R797">
        <v>1178352</v>
      </c>
    </row>
    <row r="798" spans="1:18" x14ac:dyDescent="0.25">
      <c r="A798" s="170">
        <v>43175</v>
      </c>
      <c r="B798" s="116">
        <v>1303.0999999999999</v>
      </c>
      <c r="C798" s="116">
        <v>1267.5999999999999</v>
      </c>
      <c r="D798" s="116">
        <v>1260.3499999999999</v>
      </c>
      <c r="E798" s="116">
        <v>1299.75</v>
      </c>
      <c r="F798" s="116">
        <v>1267.5999999999999</v>
      </c>
      <c r="G798">
        <v>619393</v>
      </c>
      <c r="H798" s="116"/>
      <c r="I798" s="116"/>
      <c r="L798" s="170">
        <v>43175</v>
      </c>
      <c r="M798" s="116">
        <v>1269.3</v>
      </c>
      <c r="N798" s="116">
        <v>1303.9000000000001</v>
      </c>
      <c r="O798" s="116">
        <v>1260.4000000000001</v>
      </c>
      <c r="P798" s="116">
        <v>1299.9000000000001</v>
      </c>
      <c r="Q798" s="116">
        <v>1269.3</v>
      </c>
      <c r="R798">
        <v>5152611</v>
      </c>
    </row>
    <row r="799" spans="1:18" x14ac:dyDescent="0.25">
      <c r="A799" s="170">
        <v>43178</v>
      </c>
      <c r="B799" s="116">
        <v>1292.3</v>
      </c>
      <c r="C799" s="116">
        <v>1279.7</v>
      </c>
      <c r="D799" s="116">
        <v>1266.8499999999999</v>
      </c>
      <c r="E799" s="116">
        <v>1284</v>
      </c>
      <c r="F799" s="116">
        <v>1279.7</v>
      </c>
      <c r="G799">
        <v>166154</v>
      </c>
      <c r="H799" s="116"/>
      <c r="I799" s="116"/>
      <c r="L799" s="170">
        <v>43178</v>
      </c>
      <c r="M799" s="116">
        <v>1279.55</v>
      </c>
      <c r="N799" s="116">
        <v>1292</v>
      </c>
      <c r="O799" s="116">
        <v>1265.8499999999999</v>
      </c>
      <c r="P799" s="116">
        <v>1280</v>
      </c>
      <c r="Q799" s="116">
        <v>1279.55</v>
      </c>
      <c r="R799">
        <v>4452882</v>
      </c>
    </row>
    <row r="800" spans="1:18" x14ac:dyDescent="0.25">
      <c r="A800" s="170">
        <v>43179</v>
      </c>
      <c r="B800" s="116">
        <v>1300</v>
      </c>
      <c r="C800" s="116">
        <v>1293.7</v>
      </c>
      <c r="D800" s="116">
        <v>1272.0999999999999</v>
      </c>
      <c r="E800" s="116">
        <v>1285</v>
      </c>
      <c r="F800" s="116">
        <v>1293.7</v>
      </c>
      <c r="G800">
        <v>127537</v>
      </c>
      <c r="H800" s="116"/>
      <c r="I800" s="116"/>
      <c r="L800" s="170">
        <v>43179</v>
      </c>
      <c r="M800" s="116">
        <v>1293.5</v>
      </c>
      <c r="N800" s="116">
        <v>1300</v>
      </c>
      <c r="O800" s="116">
        <v>1275</v>
      </c>
      <c r="P800" s="116">
        <v>1275</v>
      </c>
      <c r="Q800" s="116">
        <v>1293.5</v>
      </c>
      <c r="R800">
        <v>2831066</v>
      </c>
    </row>
    <row r="801" spans="1:18" x14ac:dyDescent="0.25">
      <c r="A801" s="170">
        <v>43180</v>
      </c>
      <c r="B801" s="116">
        <v>1312.55</v>
      </c>
      <c r="C801" s="116">
        <v>1308.4000000000001</v>
      </c>
      <c r="D801" s="116">
        <v>1296.3</v>
      </c>
      <c r="E801" s="116">
        <v>1296.3</v>
      </c>
      <c r="F801" s="116">
        <v>1308.4000000000001</v>
      </c>
      <c r="G801">
        <v>117184</v>
      </c>
      <c r="H801" s="116"/>
      <c r="I801" s="116"/>
      <c r="L801" s="170">
        <v>43180</v>
      </c>
      <c r="M801" s="116">
        <v>1309.3499999999999</v>
      </c>
      <c r="N801" s="116">
        <v>1313.6</v>
      </c>
      <c r="O801" s="116">
        <v>1295</v>
      </c>
      <c r="P801" s="116">
        <v>1295</v>
      </c>
      <c r="Q801" s="116">
        <v>1309.3499999999999</v>
      </c>
      <c r="R801">
        <v>2835466</v>
      </c>
    </row>
    <row r="802" spans="1:18" x14ac:dyDescent="0.25">
      <c r="A802" s="170">
        <v>43181</v>
      </c>
      <c r="B802" s="116">
        <v>1320</v>
      </c>
      <c r="C802" s="116">
        <v>1294.5</v>
      </c>
      <c r="D802" s="116">
        <v>1289.2</v>
      </c>
      <c r="E802" s="116">
        <v>1312.4</v>
      </c>
      <c r="F802" s="116">
        <v>1294.5</v>
      </c>
      <c r="G802">
        <v>122212</v>
      </c>
      <c r="H802" s="116"/>
      <c r="I802" s="116"/>
      <c r="L802" s="170">
        <v>43181</v>
      </c>
      <c r="M802" s="116">
        <v>1296.25</v>
      </c>
      <c r="N802" s="116">
        <v>1321.4</v>
      </c>
      <c r="O802" s="116">
        <v>1289</v>
      </c>
      <c r="P802" s="116">
        <v>1314.8</v>
      </c>
      <c r="Q802" s="116">
        <v>1296.25</v>
      </c>
      <c r="R802">
        <v>1834024</v>
      </c>
    </row>
    <row r="803" spans="1:18" x14ac:dyDescent="0.25">
      <c r="A803" s="170">
        <v>43182</v>
      </c>
      <c r="B803" s="116">
        <v>1284.95</v>
      </c>
      <c r="C803" s="116">
        <v>1267.75</v>
      </c>
      <c r="D803" s="116">
        <v>1262.5999999999999</v>
      </c>
      <c r="E803" s="116">
        <v>1284.95</v>
      </c>
      <c r="F803" s="116">
        <v>1267.75</v>
      </c>
      <c r="G803">
        <v>166992</v>
      </c>
      <c r="H803" s="116"/>
      <c r="I803" s="116"/>
      <c r="L803" s="170">
        <v>43182</v>
      </c>
      <c r="M803" s="116">
        <v>1267.9000000000001</v>
      </c>
      <c r="N803" s="116">
        <v>1283.3</v>
      </c>
      <c r="O803" s="116">
        <v>1261.5</v>
      </c>
      <c r="P803" s="116">
        <v>1278.5999999999999</v>
      </c>
      <c r="Q803" s="116">
        <v>1267.9000000000001</v>
      </c>
      <c r="R803">
        <v>2280525</v>
      </c>
    </row>
    <row r="804" spans="1:18" x14ac:dyDescent="0.25">
      <c r="A804" s="170">
        <v>43185</v>
      </c>
      <c r="B804" s="116">
        <v>1302.4000000000001</v>
      </c>
      <c r="C804" s="116">
        <v>1295.1500000000001</v>
      </c>
      <c r="D804" s="116">
        <v>1266.95</v>
      </c>
      <c r="E804" s="116">
        <v>1267</v>
      </c>
      <c r="F804" s="116">
        <v>1295.1500000000001</v>
      </c>
      <c r="G804">
        <v>178683</v>
      </c>
      <c r="H804" s="116"/>
      <c r="I804" s="116"/>
      <c r="L804" s="170">
        <v>43185</v>
      </c>
      <c r="M804" s="116">
        <v>1297.4000000000001</v>
      </c>
      <c r="N804" s="116">
        <v>1300.0999999999999</v>
      </c>
      <c r="O804" s="116">
        <v>1268</v>
      </c>
      <c r="P804" s="116">
        <v>1268</v>
      </c>
      <c r="Q804" s="116">
        <v>1297.4000000000001</v>
      </c>
      <c r="R804">
        <v>1697069</v>
      </c>
    </row>
    <row r="805" spans="1:18" x14ac:dyDescent="0.25">
      <c r="A805" s="170">
        <v>43186</v>
      </c>
      <c r="B805" s="116">
        <v>1314.55</v>
      </c>
      <c r="C805" s="116">
        <v>1306.8499999999999</v>
      </c>
      <c r="D805" s="116">
        <v>1301</v>
      </c>
      <c r="E805" s="116">
        <v>1303.55</v>
      </c>
      <c r="F805" s="116">
        <v>1306.8499999999999</v>
      </c>
      <c r="G805">
        <v>100606</v>
      </c>
      <c r="H805" s="116"/>
      <c r="I805" s="116"/>
      <c r="L805" s="170">
        <v>43186</v>
      </c>
      <c r="M805" s="116">
        <v>1307.55</v>
      </c>
      <c r="N805" s="116">
        <v>1314</v>
      </c>
      <c r="O805" s="116">
        <v>1301</v>
      </c>
      <c r="P805" s="116">
        <v>1307</v>
      </c>
      <c r="Q805" s="116">
        <v>1307.55</v>
      </c>
      <c r="R805">
        <v>2003736</v>
      </c>
    </row>
    <row r="806" spans="1:18" x14ac:dyDescent="0.25">
      <c r="A806" s="170">
        <v>43187</v>
      </c>
      <c r="B806" s="116">
        <v>1322.5</v>
      </c>
      <c r="C806" s="116">
        <v>1311.9</v>
      </c>
      <c r="D806" s="116">
        <v>1293.2</v>
      </c>
      <c r="E806" s="116">
        <v>1303.9000000000001</v>
      </c>
      <c r="F806" s="116">
        <v>1311.9</v>
      </c>
      <c r="G806">
        <v>119554</v>
      </c>
      <c r="H806" s="116"/>
      <c r="I806" s="116"/>
      <c r="L806" s="170">
        <v>43187</v>
      </c>
      <c r="M806" s="116">
        <v>1310.9</v>
      </c>
      <c r="N806" s="116">
        <v>1325</v>
      </c>
      <c r="O806" s="116">
        <v>1292.4000000000001</v>
      </c>
      <c r="P806" s="116">
        <v>1301.0999999999999</v>
      </c>
      <c r="Q806" s="116">
        <v>1310.9</v>
      </c>
      <c r="R806">
        <v>3989865</v>
      </c>
    </row>
    <row r="807" spans="1:18" x14ac:dyDescent="0.25">
      <c r="A807" s="170">
        <v>43192</v>
      </c>
      <c r="B807" s="116">
        <v>1339</v>
      </c>
      <c r="C807" s="116">
        <v>1336</v>
      </c>
      <c r="D807" s="116">
        <v>1311.2</v>
      </c>
      <c r="E807" s="116">
        <v>1311.2</v>
      </c>
      <c r="F807" s="116">
        <v>1336</v>
      </c>
      <c r="G807">
        <v>89201</v>
      </c>
      <c r="H807" s="116"/>
      <c r="I807" s="116"/>
      <c r="L807" s="170">
        <v>43192</v>
      </c>
      <c r="M807" s="116">
        <v>1335.95</v>
      </c>
      <c r="N807" s="116">
        <v>1339.5</v>
      </c>
      <c r="O807" s="116">
        <v>1312.05</v>
      </c>
      <c r="P807" s="116">
        <v>1313</v>
      </c>
      <c r="Q807" s="116">
        <v>1335.95</v>
      </c>
      <c r="R807">
        <v>1302024</v>
      </c>
    </row>
    <row r="808" spans="1:18" x14ac:dyDescent="0.25">
      <c r="A808" s="170">
        <v>43193</v>
      </c>
      <c r="B808" s="116">
        <v>1338</v>
      </c>
      <c r="C808" s="116">
        <v>1329.9</v>
      </c>
      <c r="D808" s="116">
        <v>1317.4</v>
      </c>
      <c r="E808" s="116">
        <v>1335</v>
      </c>
      <c r="F808" s="116">
        <v>1329.9</v>
      </c>
      <c r="G808">
        <v>96041</v>
      </c>
      <c r="H808" s="116"/>
      <c r="I808" s="116"/>
      <c r="L808" s="170">
        <v>43193</v>
      </c>
      <c r="M808" s="116">
        <v>1330.4</v>
      </c>
      <c r="N808" s="116">
        <v>1339</v>
      </c>
      <c r="O808" s="116">
        <v>1318.05</v>
      </c>
      <c r="P808" s="116">
        <v>1332.75</v>
      </c>
      <c r="Q808" s="116">
        <v>1330.4</v>
      </c>
      <c r="R808">
        <v>1123582</v>
      </c>
    </row>
    <row r="809" spans="1:18" x14ac:dyDescent="0.25">
      <c r="A809" s="170">
        <v>43194</v>
      </c>
      <c r="B809" s="116">
        <v>1333.4</v>
      </c>
      <c r="C809" s="116">
        <v>1296.3499999999999</v>
      </c>
      <c r="D809" s="116">
        <v>1291.8</v>
      </c>
      <c r="E809" s="116">
        <v>1333</v>
      </c>
      <c r="F809" s="116">
        <v>1296.3499999999999</v>
      </c>
      <c r="G809">
        <v>96433</v>
      </c>
      <c r="H809" s="116"/>
      <c r="I809" s="116"/>
      <c r="L809" s="170">
        <v>43194</v>
      </c>
      <c r="M809" s="116">
        <v>1296.1500000000001</v>
      </c>
      <c r="N809" s="116">
        <v>1332.7</v>
      </c>
      <c r="O809" s="116">
        <v>1290.2</v>
      </c>
      <c r="P809" s="116">
        <v>1331</v>
      </c>
      <c r="Q809" s="116">
        <v>1296.1500000000001</v>
      </c>
      <c r="R809">
        <v>1285513</v>
      </c>
    </row>
    <row r="810" spans="1:18" x14ac:dyDescent="0.25">
      <c r="A810" s="170">
        <v>43195</v>
      </c>
      <c r="B810" s="116">
        <v>1335.2</v>
      </c>
      <c r="C810" s="116">
        <v>1328.55</v>
      </c>
      <c r="D810" s="116">
        <v>1310.3499999999999</v>
      </c>
      <c r="E810" s="116">
        <v>1310.3499999999999</v>
      </c>
      <c r="F810" s="116">
        <v>1328.55</v>
      </c>
      <c r="G810">
        <v>482822</v>
      </c>
      <c r="H810" s="116"/>
      <c r="I810" s="116"/>
      <c r="L810" s="170">
        <v>43195</v>
      </c>
      <c r="M810" s="116">
        <v>1328.8</v>
      </c>
      <c r="N810" s="116">
        <v>1335.05</v>
      </c>
      <c r="O810" s="116">
        <v>1311</v>
      </c>
      <c r="P810" s="116">
        <v>1314</v>
      </c>
      <c r="Q810" s="116">
        <v>1328.8</v>
      </c>
      <c r="R810">
        <v>1758313</v>
      </c>
    </row>
    <row r="811" spans="1:18" x14ac:dyDescent="0.25">
      <c r="A811" s="170">
        <v>43196</v>
      </c>
      <c r="B811" s="116">
        <v>1323.75</v>
      </c>
      <c r="C811" s="116">
        <v>1311.1</v>
      </c>
      <c r="D811" s="116">
        <v>1304.3</v>
      </c>
      <c r="E811" s="116">
        <v>1311</v>
      </c>
      <c r="F811" s="116">
        <v>1311.1</v>
      </c>
      <c r="G811">
        <v>250873</v>
      </c>
      <c r="H811" s="116"/>
      <c r="I811" s="116"/>
      <c r="L811" s="170">
        <v>43196</v>
      </c>
      <c r="M811" s="116">
        <v>1316.55</v>
      </c>
      <c r="N811" s="116">
        <v>1323</v>
      </c>
      <c r="O811" s="116">
        <v>1305.2</v>
      </c>
      <c r="P811" s="116">
        <v>1305.2</v>
      </c>
      <c r="Q811" s="116">
        <v>1316.55</v>
      </c>
      <c r="R811">
        <v>1492796</v>
      </c>
    </row>
    <row r="812" spans="1:18" x14ac:dyDescent="0.25">
      <c r="A812" s="170">
        <v>43199</v>
      </c>
      <c r="B812" s="116">
        <v>1331.3</v>
      </c>
      <c r="C812" s="116">
        <v>1326.25</v>
      </c>
      <c r="D812" s="116">
        <v>1315.3</v>
      </c>
      <c r="E812" s="116">
        <v>1316</v>
      </c>
      <c r="F812" s="116">
        <v>1326.25</v>
      </c>
      <c r="G812">
        <v>101908</v>
      </c>
      <c r="H812" s="116"/>
      <c r="I812" s="116"/>
      <c r="L812" s="170">
        <v>43199</v>
      </c>
      <c r="M812" s="116">
        <v>1327.9</v>
      </c>
      <c r="N812" s="116">
        <v>1333</v>
      </c>
      <c r="O812" s="116">
        <v>1317.85</v>
      </c>
      <c r="P812" s="116">
        <v>1318</v>
      </c>
      <c r="Q812" s="116">
        <v>1327.9</v>
      </c>
      <c r="R812">
        <v>1118116</v>
      </c>
    </row>
    <row r="813" spans="1:18" x14ac:dyDescent="0.25">
      <c r="A813" s="170">
        <v>43200</v>
      </c>
      <c r="B813" s="116">
        <v>1355.25</v>
      </c>
      <c r="C813" s="116">
        <v>1348.55</v>
      </c>
      <c r="D813" s="116">
        <v>1330</v>
      </c>
      <c r="E813" s="116">
        <v>1330</v>
      </c>
      <c r="F813" s="116">
        <v>1348.55</v>
      </c>
      <c r="G813">
        <v>260071</v>
      </c>
      <c r="H813" s="116"/>
      <c r="I813" s="116"/>
      <c r="L813" s="170">
        <v>43200</v>
      </c>
      <c r="M813" s="116">
        <v>1349.9</v>
      </c>
      <c r="N813" s="116">
        <v>1355.45</v>
      </c>
      <c r="O813" s="116">
        <v>1328</v>
      </c>
      <c r="P813" s="116">
        <v>1328</v>
      </c>
      <c r="Q813" s="116">
        <v>1349.9</v>
      </c>
      <c r="R813">
        <v>2177789</v>
      </c>
    </row>
    <row r="814" spans="1:18" x14ac:dyDescent="0.25">
      <c r="A814" s="170">
        <v>43201</v>
      </c>
      <c r="B814" s="116">
        <v>1359</v>
      </c>
      <c r="C814" s="116">
        <v>1351.4</v>
      </c>
      <c r="D814" s="116">
        <v>1340</v>
      </c>
      <c r="E814" s="116">
        <v>1359</v>
      </c>
      <c r="F814" s="116">
        <v>1351.4</v>
      </c>
      <c r="G814">
        <v>75823</v>
      </c>
      <c r="H814" s="116"/>
      <c r="I814" s="116"/>
      <c r="L814" s="170">
        <v>43201</v>
      </c>
      <c r="M814" s="116">
        <v>1352.75</v>
      </c>
      <c r="N814" s="116">
        <v>1359.4</v>
      </c>
      <c r="O814" s="116">
        <v>1340</v>
      </c>
      <c r="P814" s="116">
        <v>1358.4</v>
      </c>
      <c r="Q814" s="116">
        <v>1352.75</v>
      </c>
      <c r="R814">
        <v>1536552</v>
      </c>
    </row>
    <row r="815" spans="1:18" x14ac:dyDescent="0.25">
      <c r="A815" s="170">
        <v>43202</v>
      </c>
      <c r="B815" s="116">
        <v>1359.9</v>
      </c>
      <c r="C815" s="116">
        <v>1357.55</v>
      </c>
      <c r="D815" s="116">
        <v>1347.1</v>
      </c>
      <c r="E815" s="116">
        <v>1352.2</v>
      </c>
      <c r="F815" s="116">
        <v>1357.55</v>
      </c>
      <c r="G815">
        <v>68856</v>
      </c>
      <c r="H815" s="116"/>
      <c r="I815" s="116"/>
      <c r="L815" s="170">
        <v>43202</v>
      </c>
      <c r="M815" s="116">
        <v>1357.45</v>
      </c>
      <c r="N815" s="116">
        <v>1361.4</v>
      </c>
      <c r="O815" s="116">
        <v>1345.55</v>
      </c>
      <c r="P815" s="116">
        <v>1356.3</v>
      </c>
      <c r="Q815" s="116">
        <v>1357.45</v>
      </c>
      <c r="R815">
        <v>1695410</v>
      </c>
    </row>
    <row r="816" spans="1:18" x14ac:dyDescent="0.25">
      <c r="A816" s="170">
        <v>43203</v>
      </c>
      <c r="B816" s="116">
        <v>1364.05</v>
      </c>
      <c r="C816" s="116">
        <v>1355.3</v>
      </c>
      <c r="D816" s="116">
        <v>1341</v>
      </c>
      <c r="E816" s="116">
        <v>1357.45</v>
      </c>
      <c r="F816" s="116">
        <v>1355.3</v>
      </c>
      <c r="G816">
        <v>88643</v>
      </c>
      <c r="H816" s="116"/>
      <c r="I816" s="116"/>
      <c r="L816" s="170">
        <v>43203</v>
      </c>
      <c r="M816" s="116">
        <v>1354.85</v>
      </c>
      <c r="N816" s="116">
        <v>1364.35</v>
      </c>
      <c r="O816" s="116">
        <v>1340.6</v>
      </c>
      <c r="P816" s="116">
        <v>1362</v>
      </c>
      <c r="Q816" s="116">
        <v>1354.85</v>
      </c>
      <c r="R816">
        <v>1320241</v>
      </c>
    </row>
    <row r="817" spans="1:18" x14ac:dyDescent="0.25">
      <c r="A817" s="170">
        <v>43206</v>
      </c>
      <c r="B817" s="116">
        <v>1371.9</v>
      </c>
      <c r="C817" s="116">
        <v>1367.35</v>
      </c>
      <c r="D817" s="116">
        <v>1343.3</v>
      </c>
      <c r="E817" s="116">
        <v>1343.3</v>
      </c>
      <c r="F817" s="116">
        <v>1367.35</v>
      </c>
      <c r="G817">
        <v>121039</v>
      </c>
      <c r="H817" s="116"/>
      <c r="I817" s="116"/>
      <c r="L817" s="170">
        <v>43206</v>
      </c>
      <c r="M817" s="116">
        <v>1368.1</v>
      </c>
      <c r="N817" s="116">
        <v>1372</v>
      </c>
      <c r="O817" s="116">
        <v>1346.15</v>
      </c>
      <c r="P817" s="116">
        <v>1347.9</v>
      </c>
      <c r="Q817" s="116">
        <v>1368.1</v>
      </c>
      <c r="R817">
        <v>1304778</v>
      </c>
    </row>
    <row r="818" spans="1:18" x14ac:dyDescent="0.25">
      <c r="A818" s="170">
        <v>43207</v>
      </c>
      <c r="B818" s="116">
        <v>1377</v>
      </c>
      <c r="C818" s="116">
        <v>1360.25</v>
      </c>
      <c r="D818" s="116">
        <v>1356.4</v>
      </c>
      <c r="E818" s="116">
        <v>1369</v>
      </c>
      <c r="F818" s="116">
        <v>1360.25</v>
      </c>
      <c r="G818">
        <v>145457</v>
      </c>
      <c r="H818" s="116"/>
      <c r="I818" s="116"/>
      <c r="L818" s="170">
        <v>43207</v>
      </c>
      <c r="M818" s="116">
        <v>1359.55</v>
      </c>
      <c r="N818" s="116">
        <v>1377.9</v>
      </c>
      <c r="O818" s="116">
        <v>1355.2</v>
      </c>
      <c r="P818" s="116">
        <v>1370.5</v>
      </c>
      <c r="Q818" s="116">
        <v>1359.55</v>
      </c>
      <c r="R818">
        <v>1058589</v>
      </c>
    </row>
    <row r="819" spans="1:18" x14ac:dyDescent="0.25">
      <c r="A819" s="170">
        <v>43208</v>
      </c>
      <c r="B819" s="116">
        <v>1371</v>
      </c>
      <c r="C819" s="116">
        <v>1360.65</v>
      </c>
      <c r="D819" s="116">
        <v>1353.3</v>
      </c>
      <c r="E819" s="116">
        <v>1355.1</v>
      </c>
      <c r="F819" s="116">
        <v>1360.65</v>
      </c>
      <c r="G819">
        <v>118958</v>
      </c>
      <c r="H819" s="116"/>
      <c r="I819" s="116"/>
      <c r="L819" s="170">
        <v>43208</v>
      </c>
      <c r="M819" s="116">
        <v>1360.1</v>
      </c>
      <c r="N819" s="116">
        <v>1371.45</v>
      </c>
      <c r="O819" s="116">
        <v>1351</v>
      </c>
      <c r="P819" s="116">
        <v>1363.1</v>
      </c>
      <c r="Q819" s="116">
        <v>1360.1</v>
      </c>
      <c r="R819">
        <v>1459202</v>
      </c>
    </row>
    <row r="820" spans="1:18" x14ac:dyDescent="0.25">
      <c r="A820" s="170">
        <v>43209</v>
      </c>
      <c r="B820" s="116">
        <v>1387.9</v>
      </c>
      <c r="C820" s="116">
        <v>1384.3</v>
      </c>
      <c r="D820" s="116">
        <v>1360</v>
      </c>
      <c r="E820" s="116">
        <v>1360</v>
      </c>
      <c r="F820" s="116">
        <v>1384.3</v>
      </c>
      <c r="G820">
        <v>207841</v>
      </c>
      <c r="H820" s="116"/>
      <c r="I820" s="116"/>
      <c r="L820" s="170">
        <v>43209</v>
      </c>
      <c r="M820" s="116">
        <v>1385</v>
      </c>
      <c r="N820" s="116">
        <v>1388.1</v>
      </c>
      <c r="O820" s="116">
        <v>1361.8</v>
      </c>
      <c r="P820" s="116">
        <v>1365.1</v>
      </c>
      <c r="Q820" s="116">
        <v>1385</v>
      </c>
      <c r="R820">
        <v>2229317</v>
      </c>
    </row>
    <row r="821" spans="1:18" x14ac:dyDescent="0.25">
      <c r="A821" s="170">
        <v>43210</v>
      </c>
      <c r="B821" s="116">
        <v>1384.3</v>
      </c>
      <c r="C821" s="116">
        <v>1363.7</v>
      </c>
      <c r="D821" s="116">
        <v>1359.1</v>
      </c>
      <c r="E821" s="116">
        <v>1384.3</v>
      </c>
      <c r="F821" s="116">
        <v>1363.7</v>
      </c>
      <c r="G821">
        <v>298806</v>
      </c>
      <c r="H821" s="116"/>
      <c r="I821" s="116"/>
      <c r="L821" s="170">
        <v>43210</v>
      </c>
      <c r="M821" s="116">
        <v>1365.05</v>
      </c>
      <c r="N821" s="116">
        <v>1385</v>
      </c>
      <c r="O821" s="116">
        <v>1359</v>
      </c>
      <c r="P821" s="116">
        <v>1385</v>
      </c>
      <c r="Q821" s="116">
        <v>1365.05</v>
      </c>
      <c r="R821">
        <v>1091415</v>
      </c>
    </row>
    <row r="822" spans="1:18" x14ac:dyDescent="0.25">
      <c r="A822" s="170">
        <v>43213</v>
      </c>
      <c r="B822" s="116">
        <v>1378</v>
      </c>
      <c r="C822" s="116">
        <v>1360.45</v>
      </c>
      <c r="D822" s="116">
        <v>1355.15</v>
      </c>
      <c r="E822" s="116">
        <v>1370</v>
      </c>
      <c r="F822" s="116">
        <v>1360.45</v>
      </c>
      <c r="G822">
        <v>98000</v>
      </c>
      <c r="H822" s="116"/>
      <c r="I822" s="116"/>
      <c r="L822" s="170">
        <v>43213</v>
      </c>
      <c r="M822" s="116">
        <v>1360</v>
      </c>
      <c r="N822" s="116">
        <v>1378</v>
      </c>
      <c r="O822" s="116">
        <v>1355.5</v>
      </c>
      <c r="P822" s="116">
        <v>1370</v>
      </c>
      <c r="Q822" s="116">
        <v>1360</v>
      </c>
      <c r="R822">
        <v>1364935</v>
      </c>
    </row>
    <row r="823" spans="1:18" x14ac:dyDescent="0.25">
      <c r="A823" s="170">
        <v>43214</v>
      </c>
      <c r="B823" s="116">
        <v>1383.4</v>
      </c>
      <c r="C823" s="116">
        <v>1377.45</v>
      </c>
      <c r="D823" s="116">
        <v>1351.85</v>
      </c>
      <c r="E823" s="116">
        <v>1359.9</v>
      </c>
      <c r="F823" s="116">
        <v>1377.45</v>
      </c>
      <c r="G823">
        <v>88152</v>
      </c>
      <c r="H823" s="116"/>
      <c r="I823" s="116"/>
      <c r="L823" s="170">
        <v>43214</v>
      </c>
      <c r="M823" s="116">
        <v>1378</v>
      </c>
      <c r="N823" s="116">
        <v>1382.2</v>
      </c>
      <c r="O823" s="116">
        <v>1352</v>
      </c>
      <c r="P823" s="116">
        <v>1355.7</v>
      </c>
      <c r="Q823" s="116">
        <v>1378</v>
      </c>
      <c r="R823">
        <v>1002866</v>
      </c>
    </row>
    <row r="824" spans="1:18" x14ac:dyDescent="0.25">
      <c r="A824" s="170">
        <v>43215</v>
      </c>
      <c r="B824" s="116">
        <v>1376.05</v>
      </c>
      <c r="C824" s="116">
        <v>1359.75</v>
      </c>
      <c r="D824" s="116">
        <v>1356.25</v>
      </c>
      <c r="E824" s="116">
        <v>1375</v>
      </c>
      <c r="F824" s="116">
        <v>1359.75</v>
      </c>
      <c r="G824">
        <v>80462</v>
      </c>
      <c r="H824" s="116"/>
      <c r="I824" s="116"/>
      <c r="L824" s="170">
        <v>43215</v>
      </c>
      <c r="M824" s="116">
        <v>1362.9</v>
      </c>
      <c r="N824" s="116">
        <v>1376.75</v>
      </c>
      <c r="O824" s="116">
        <v>1356.95</v>
      </c>
      <c r="P824" s="116">
        <v>1375.9</v>
      </c>
      <c r="Q824" s="116">
        <v>1362.9</v>
      </c>
      <c r="R824">
        <v>1536003</v>
      </c>
    </row>
    <row r="825" spans="1:18" x14ac:dyDescent="0.25">
      <c r="A825" s="170">
        <v>43216</v>
      </c>
      <c r="B825" s="116">
        <v>1364.8</v>
      </c>
      <c r="C825" s="116">
        <v>1347</v>
      </c>
      <c r="D825" s="116">
        <v>1330.2</v>
      </c>
      <c r="E825" s="116">
        <v>1361</v>
      </c>
      <c r="F825" s="116">
        <v>1347</v>
      </c>
      <c r="G825">
        <v>106304</v>
      </c>
      <c r="H825" s="116"/>
      <c r="I825" s="116"/>
      <c r="L825" s="170">
        <v>43216</v>
      </c>
      <c r="M825" s="116">
        <v>1347.2</v>
      </c>
      <c r="N825" s="116">
        <v>1366.25</v>
      </c>
      <c r="O825" s="116">
        <v>1330.1</v>
      </c>
      <c r="P825" s="116">
        <v>1365.5</v>
      </c>
      <c r="Q825" s="116">
        <v>1347.2</v>
      </c>
      <c r="R825">
        <v>4513014</v>
      </c>
    </row>
    <row r="826" spans="1:18" x14ac:dyDescent="0.25">
      <c r="A826" s="170">
        <v>43217</v>
      </c>
      <c r="B826" s="116">
        <v>1382.3</v>
      </c>
      <c r="C826" s="116">
        <v>1376.8</v>
      </c>
      <c r="D826" s="116">
        <v>1348.2</v>
      </c>
      <c r="E826" s="116">
        <v>1348.2</v>
      </c>
      <c r="F826" s="116">
        <v>1376.8</v>
      </c>
      <c r="G826">
        <v>131231</v>
      </c>
      <c r="H826" s="116"/>
      <c r="I826" s="116"/>
      <c r="L826" s="170">
        <v>43217</v>
      </c>
      <c r="M826" s="116">
        <v>1377.75</v>
      </c>
      <c r="N826" s="116">
        <v>1383</v>
      </c>
      <c r="O826" s="116">
        <v>1353.5</v>
      </c>
      <c r="P826" s="116">
        <v>1353.5</v>
      </c>
      <c r="Q826" s="116">
        <v>1377.75</v>
      </c>
      <c r="R826">
        <v>1746280</v>
      </c>
    </row>
    <row r="827" spans="1:18" x14ac:dyDescent="0.25">
      <c r="A827" s="170">
        <v>43220</v>
      </c>
      <c r="B827" s="116">
        <v>1405</v>
      </c>
      <c r="C827" s="116">
        <v>1400.6</v>
      </c>
      <c r="D827" s="116">
        <v>1380</v>
      </c>
      <c r="E827" s="116">
        <v>1380.2</v>
      </c>
      <c r="F827" s="116">
        <v>1400.6</v>
      </c>
      <c r="G827">
        <v>124808</v>
      </c>
      <c r="H827" s="116"/>
      <c r="I827" s="116"/>
      <c r="L827" s="170">
        <v>43220</v>
      </c>
      <c r="M827" s="116">
        <v>1400.9</v>
      </c>
      <c r="N827" s="116">
        <v>1405</v>
      </c>
      <c r="O827" s="116">
        <v>1381.3</v>
      </c>
      <c r="P827" s="116">
        <v>1381.3</v>
      </c>
      <c r="Q827" s="116">
        <v>1400.9</v>
      </c>
      <c r="R827">
        <v>1309980</v>
      </c>
    </row>
    <row r="828" spans="1:18" x14ac:dyDescent="0.25">
      <c r="A828" s="170">
        <v>43222</v>
      </c>
      <c r="B828" s="116">
        <v>1424.5</v>
      </c>
      <c r="C828" s="116">
        <v>1401.6</v>
      </c>
      <c r="D828" s="116">
        <v>1391.1</v>
      </c>
      <c r="E828" s="116">
        <v>1416.3</v>
      </c>
      <c r="F828" s="116">
        <v>1401.6</v>
      </c>
      <c r="G828">
        <v>161170</v>
      </c>
      <c r="H828" s="116"/>
      <c r="I828" s="116"/>
      <c r="L828" s="170">
        <v>43222</v>
      </c>
      <c r="M828" s="116">
        <v>1403.15</v>
      </c>
      <c r="N828" s="116">
        <v>1423.75</v>
      </c>
      <c r="O828" s="116">
        <v>1390.1</v>
      </c>
      <c r="P828" s="116">
        <v>1420</v>
      </c>
      <c r="Q828" s="116">
        <v>1403.15</v>
      </c>
      <c r="R828">
        <v>3975516</v>
      </c>
    </row>
    <row r="829" spans="1:18" x14ac:dyDescent="0.25">
      <c r="A829" s="170">
        <v>43223</v>
      </c>
      <c r="B829" s="116">
        <v>1405.95</v>
      </c>
      <c r="C829" s="116">
        <v>1380.25</v>
      </c>
      <c r="D829" s="116">
        <v>1376</v>
      </c>
      <c r="E829" s="116">
        <v>1400.55</v>
      </c>
      <c r="F829" s="116">
        <v>1380.25</v>
      </c>
      <c r="G829">
        <v>75928</v>
      </c>
      <c r="H829" s="116"/>
      <c r="I829" s="116"/>
      <c r="L829" s="170">
        <v>43223</v>
      </c>
      <c r="M829" s="116">
        <v>1377.75</v>
      </c>
      <c r="N829" s="116">
        <v>1406.55</v>
      </c>
      <c r="O829" s="116">
        <v>1374.6</v>
      </c>
      <c r="P829" s="116">
        <v>1405.7</v>
      </c>
      <c r="Q829" s="116">
        <v>1377.75</v>
      </c>
      <c r="R829">
        <v>1278892</v>
      </c>
    </row>
    <row r="830" spans="1:18" x14ac:dyDescent="0.25">
      <c r="A830" s="170">
        <v>43224</v>
      </c>
      <c r="B830" s="116">
        <v>1386.1</v>
      </c>
      <c r="C830" s="116">
        <v>1370.25</v>
      </c>
      <c r="D830" s="116">
        <v>1364</v>
      </c>
      <c r="E830" s="116">
        <v>1382</v>
      </c>
      <c r="F830" s="116">
        <v>1370.25</v>
      </c>
      <c r="G830">
        <v>66154</v>
      </c>
      <c r="H830" s="116"/>
      <c r="I830" s="116"/>
      <c r="L830" s="170">
        <v>43224</v>
      </c>
      <c r="M830" s="116">
        <v>1368.7</v>
      </c>
      <c r="N830" s="116">
        <v>1386.75</v>
      </c>
      <c r="O830" s="116">
        <v>1362</v>
      </c>
      <c r="P830" s="116">
        <v>1380</v>
      </c>
      <c r="Q830" s="116">
        <v>1368.7</v>
      </c>
      <c r="R830">
        <v>1274703</v>
      </c>
    </row>
    <row r="831" spans="1:18" x14ac:dyDescent="0.25">
      <c r="A831" s="170">
        <v>43227</v>
      </c>
      <c r="B831" s="116">
        <v>1393.95</v>
      </c>
      <c r="C831" s="116">
        <v>1388.5</v>
      </c>
      <c r="D831" s="116">
        <v>1367.6</v>
      </c>
      <c r="E831" s="116">
        <v>1369</v>
      </c>
      <c r="F831" s="116">
        <v>1388.5</v>
      </c>
      <c r="G831">
        <v>79445</v>
      </c>
      <c r="H831" s="116"/>
      <c r="I831" s="116"/>
      <c r="L831" s="170">
        <v>43227</v>
      </c>
      <c r="M831" s="116">
        <v>1389.15</v>
      </c>
      <c r="N831" s="116">
        <v>1393.9</v>
      </c>
      <c r="O831" s="116">
        <v>1366.3</v>
      </c>
      <c r="P831" s="116">
        <v>1374</v>
      </c>
      <c r="Q831" s="116">
        <v>1389.15</v>
      </c>
      <c r="R831">
        <v>1250082</v>
      </c>
    </row>
    <row r="832" spans="1:18" x14ac:dyDescent="0.25">
      <c r="A832" s="170">
        <v>43228</v>
      </c>
      <c r="B832" s="116">
        <v>1394.45</v>
      </c>
      <c r="C832" s="116">
        <v>1364.85</v>
      </c>
      <c r="D832" s="116">
        <v>1356.25</v>
      </c>
      <c r="E832" s="116">
        <v>1389</v>
      </c>
      <c r="F832" s="116">
        <v>1364.85</v>
      </c>
      <c r="G832">
        <v>132118</v>
      </c>
      <c r="H832" s="116"/>
      <c r="I832" s="116"/>
      <c r="L832" s="170">
        <v>43228</v>
      </c>
      <c r="M832" s="116">
        <v>1364.9</v>
      </c>
      <c r="N832" s="116">
        <v>1393</v>
      </c>
      <c r="O832" s="116">
        <v>1356.15</v>
      </c>
      <c r="P832" s="116">
        <v>1391.3</v>
      </c>
      <c r="Q832" s="116">
        <v>1364.9</v>
      </c>
      <c r="R832">
        <v>1604486</v>
      </c>
    </row>
    <row r="833" spans="1:18" x14ac:dyDescent="0.25">
      <c r="A833" s="170">
        <v>43229</v>
      </c>
      <c r="B833" s="116">
        <v>1382</v>
      </c>
      <c r="C833" s="116">
        <v>1373.05</v>
      </c>
      <c r="D833" s="116">
        <v>1361.45</v>
      </c>
      <c r="E833" s="116">
        <v>1364</v>
      </c>
      <c r="F833" s="116">
        <v>1373.05</v>
      </c>
      <c r="G833">
        <v>68917</v>
      </c>
      <c r="H833" s="116"/>
      <c r="I833" s="116"/>
      <c r="L833" s="170">
        <v>43229</v>
      </c>
      <c r="M833" s="116">
        <v>1375.65</v>
      </c>
      <c r="N833" s="116">
        <v>1382.6</v>
      </c>
      <c r="O833" s="116">
        <v>1361.25</v>
      </c>
      <c r="P833" s="116">
        <v>1362.2</v>
      </c>
      <c r="Q833" s="116">
        <v>1375.65</v>
      </c>
      <c r="R833">
        <v>1270004</v>
      </c>
    </row>
    <row r="834" spans="1:18" x14ac:dyDescent="0.25">
      <c r="A834" s="170">
        <v>43230</v>
      </c>
      <c r="B834" s="116">
        <v>1385</v>
      </c>
      <c r="C834" s="116">
        <v>1364</v>
      </c>
      <c r="D834" s="116">
        <v>1357.2</v>
      </c>
      <c r="E834" s="116">
        <v>1381</v>
      </c>
      <c r="F834" s="116">
        <v>1364</v>
      </c>
      <c r="G834">
        <v>69199</v>
      </c>
      <c r="H834" s="116"/>
      <c r="I834" s="116"/>
      <c r="L834" s="170">
        <v>43230</v>
      </c>
      <c r="M834" s="116">
        <v>1362.2</v>
      </c>
      <c r="N834" s="116">
        <v>1385.2</v>
      </c>
      <c r="O834" s="116">
        <v>1355.15</v>
      </c>
      <c r="P834" s="116">
        <v>1380.1</v>
      </c>
      <c r="Q834" s="116">
        <v>1362.2</v>
      </c>
      <c r="R834">
        <v>1262157</v>
      </c>
    </row>
    <row r="835" spans="1:18" x14ac:dyDescent="0.25">
      <c r="A835" s="170">
        <v>43231</v>
      </c>
      <c r="B835" s="116">
        <v>1389.95</v>
      </c>
      <c r="C835" s="116">
        <v>1387.05</v>
      </c>
      <c r="D835" s="116">
        <v>1361.55</v>
      </c>
      <c r="E835" s="116">
        <v>1361.55</v>
      </c>
      <c r="F835" s="116">
        <v>1387.05</v>
      </c>
      <c r="G835">
        <v>89373</v>
      </c>
      <c r="H835" s="116"/>
      <c r="I835" s="116"/>
      <c r="L835" s="170">
        <v>43231</v>
      </c>
      <c r="M835" s="116">
        <v>1387.4</v>
      </c>
      <c r="N835" s="116">
        <v>1389.5</v>
      </c>
      <c r="O835" s="116">
        <v>1364.3</v>
      </c>
      <c r="P835" s="116">
        <v>1367.5</v>
      </c>
      <c r="Q835" s="116">
        <v>1387.4</v>
      </c>
      <c r="R835">
        <v>1033691</v>
      </c>
    </row>
    <row r="836" spans="1:18" x14ac:dyDescent="0.25">
      <c r="A836" s="170">
        <v>43234</v>
      </c>
      <c r="B836" s="116">
        <v>1398.7</v>
      </c>
      <c r="C836" s="116">
        <v>1380.35</v>
      </c>
      <c r="D836" s="116">
        <v>1377.35</v>
      </c>
      <c r="E836" s="116">
        <v>1386.7</v>
      </c>
      <c r="F836" s="116">
        <v>1380.35</v>
      </c>
      <c r="G836">
        <v>58273</v>
      </c>
      <c r="H836" s="116"/>
      <c r="I836" s="116"/>
      <c r="L836" s="170">
        <v>43234</v>
      </c>
      <c r="M836" s="116">
        <v>1381.75</v>
      </c>
      <c r="N836" s="116">
        <v>1399</v>
      </c>
      <c r="O836" s="116">
        <v>1377</v>
      </c>
      <c r="P836" s="116">
        <v>1381.55</v>
      </c>
      <c r="Q836" s="116">
        <v>1381.75</v>
      </c>
      <c r="R836">
        <v>1265158</v>
      </c>
    </row>
    <row r="837" spans="1:18" x14ac:dyDescent="0.25">
      <c r="A837" s="170">
        <v>43235</v>
      </c>
      <c r="B837" s="116">
        <v>1403.3</v>
      </c>
      <c r="C837" s="116">
        <v>1376.1</v>
      </c>
      <c r="D837" s="116">
        <v>1370.1</v>
      </c>
      <c r="E837" s="116">
        <v>1375</v>
      </c>
      <c r="F837" s="116">
        <v>1376.1</v>
      </c>
      <c r="G837">
        <v>95944</v>
      </c>
      <c r="H837" s="116"/>
      <c r="I837" s="116"/>
      <c r="L837" s="170">
        <v>43235</v>
      </c>
      <c r="M837" s="116">
        <v>1374.2</v>
      </c>
      <c r="N837" s="116">
        <v>1403</v>
      </c>
      <c r="O837" s="116">
        <v>1368.9</v>
      </c>
      <c r="P837" s="116">
        <v>1381</v>
      </c>
      <c r="Q837" s="116">
        <v>1374.2</v>
      </c>
      <c r="R837">
        <v>1824434</v>
      </c>
    </row>
    <row r="838" spans="1:18" x14ac:dyDescent="0.25">
      <c r="A838" s="170">
        <v>43236</v>
      </c>
      <c r="B838" s="116">
        <v>1374.95</v>
      </c>
      <c r="C838" s="116">
        <v>1364.75</v>
      </c>
      <c r="D838" s="116">
        <v>1360.2</v>
      </c>
      <c r="E838" s="116">
        <v>1362</v>
      </c>
      <c r="F838" s="116">
        <v>1364.75</v>
      </c>
      <c r="G838">
        <v>72602</v>
      </c>
      <c r="H838" s="116"/>
      <c r="I838" s="116"/>
      <c r="L838" s="170">
        <v>43236</v>
      </c>
      <c r="M838" s="116">
        <v>1362.35</v>
      </c>
      <c r="N838" s="116">
        <v>1374.05</v>
      </c>
      <c r="O838" s="116">
        <v>1358.7</v>
      </c>
      <c r="P838" s="116">
        <v>1364.9</v>
      </c>
      <c r="Q838" s="116">
        <v>1362.35</v>
      </c>
      <c r="R838">
        <v>1491335</v>
      </c>
    </row>
    <row r="839" spans="1:18" x14ac:dyDescent="0.25">
      <c r="A839" s="170">
        <v>43237</v>
      </c>
      <c r="B839" s="116">
        <v>1375.9</v>
      </c>
      <c r="C839" s="116">
        <v>1364.3</v>
      </c>
      <c r="D839" s="116">
        <v>1352</v>
      </c>
      <c r="E839" s="116">
        <v>1366</v>
      </c>
      <c r="F839" s="116">
        <v>1364.3</v>
      </c>
      <c r="G839">
        <v>273314</v>
      </c>
      <c r="H839" s="116"/>
      <c r="I839" s="116"/>
      <c r="L839" s="170">
        <v>43237</v>
      </c>
      <c r="M839" s="116">
        <v>1355.95</v>
      </c>
      <c r="N839" s="116">
        <v>1375</v>
      </c>
      <c r="O839" s="116">
        <v>1350</v>
      </c>
      <c r="P839" s="116">
        <v>1368</v>
      </c>
      <c r="Q839" s="116">
        <v>1355.95</v>
      </c>
      <c r="R839">
        <v>1833028</v>
      </c>
    </row>
    <row r="840" spans="1:18" x14ac:dyDescent="0.25">
      <c r="A840" s="170">
        <v>43238</v>
      </c>
      <c r="B840" s="116">
        <v>1360</v>
      </c>
      <c r="C840" s="116">
        <v>1316.05</v>
      </c>
      <c r="D840" s="116">
        <v>1311.95</v>
      </c>
      <c r="E840" s="116">
        <v>1354</v>
      </c>
      <c r="F840" s="116">
        <v>1316.05</v>
      </c>
      <c r="G840">
        <v>237270</v>
      </c>
      <c r="H840" s="116"/>
      <c r="I840" s="116"/>
      <c r="L840" s="170">
        <v>43238</v>
      </c>
      <c r="M840" s="116">
        <v>1315.55</v>
      </c>
      <c r="N840" s="116">
        <v>1360.6</v>
      </c>
      <c r="O840" s="116">
        <v>1312</v>
      </c>
      <c r="P840" s="116">
        <v>1350</v>
      </c>
      <c r="Q840" s="116">
        <v>1315.55</v>
      </c>
      <c r="R840">
        <v>2070654</v>
      </c>
    </row>
    <row r="841" spans="1:18" x14ac:dyDescent="0.25">
      <c r="A841" s="170">
        <v>43241</v>
      </c>
      <c r="B841" s="116">
        <v>1337.15</v>
      </c>
      <c r="C841" s="116">
        <v>1314</v>
      </c>
      <c r="D841" s="116">
        <v>1311</v>
      </c>
      <c r="E841" s="116">
        <v>1316</v>
      </c>
      <c r="F841" s="116">
        <v>1314</v>
      </c>
      <c r="G841">
        <v>99549</v>
      </c>
      <c r="H841" s="116"/>
      <c r="I841" s="116"/>
      <c r="L841" s="170">
        <v>43241</v>
      </c>
      <c r="M841" s="116">
        <v>1313.25</v>
      </c>
      <c r="N841" s="116">
        <v>1336.85</v>
      </c>
      <c r="O841" s="116">
        <v>1311</v>
      </c>
      <c r="P841" s="116">
        <v>1311</v>
      </c>
      <c r="Q841" s="116">
        <v>1313.25</v>
      </c>
      <c r="R841">
        <v>2047129</v>
      </c>
    </row>
    <row r="842" spans="1:18" x14ac:dyDescent="0.25">
      <c r="A842" s="170">
        <v>43242</v>
      </c>
      <c r="B842" s="116">
        <v>1339.75</v>
      </c>
      <c r="C842" s="116">
        <v>1319.95</v>
      </c>
      <c r="D842" s="116">
        <v>1313</v>
      </c>
      <c r="E842" s="116">
        <v>1313</v>
      </c>
      <c r="F842" s="116">
        <v>1319.95</v>
      </c>
      <c r="G842">
        <v>92976</v>
      </c>
      <c r="H842" s="116"/>
      <c r="I842" s="116"/>
      <c r="L842" s="170">
        <v>43242</v>
      </c>
      <c r="M842" s="116">
        <v>1320.15</v>
      </c>
      <c r="N842" s="116">
        <v>1340.9</v>
      </c>
      <c r="O842" s="116">
        <v>1316.1</v>
      </c>
      <c r="P842" s="116">
        <v>1317.9</v>
      </c>
      <c r="Q842" s="116">
        <v>1320.15</v>
      </c>
      <c r="R842">
        <v>1375132</v>
      </c>
    </row>
    <row r="843" spans="1:18" x14ac:dyDescent="0.25">
      <c r="A843" s="170">
        <v>43243</v>
      </c>
      <c r="B843" s="116">
        <v>1349.8</v>
      </c>
      <c r="C843" s="116">
        <v>1327.2</v>
      </c>
      <c r="D843" s="116">
        <v>1315.1</v>
      </c>
      <c r="E843" s="116">
        <v>1317</v>
      </c>
      <c r="F843" s="116">
        <v>1327.2</v>
      </c>
      <c r="G843">
        <v>115965</v>
      </c>
      <c r="H843" s="116"/>
      <c r="I843" s="116"/>
      <c r="L843" s="170">
        <v>43243</v>
      </c>
      <c r="M843" s="116">
        <v>1326.9</v>
      </c>
      <c r="N843" s="116">
        <v>1350</v>
      </c>
      <c r="O843" s="116">
        <v>1315</v>
      </c>
      <c r="P843" s="116">
        <v>1317</v>
      </c>
      <c r="Q843" s="116">
        <v>1326.9</v>
      </c>
      <c r="R843">
        <v>1851368</v>
      </c>
    </row>
    <row r="844" spans="1:18" x14ac:dyDescent="0.25">
      <c r="A844" s="170">
        <v>43244</v>
      </c>
      <c r="B844" s="116">
        <v>1347.45</v>
      </c>
      <c r="C844" s="116">
        <v>1338.65</v>
      </c>
      <c r="D844" s="116">
        <v>1327.65</v>
      </c>
      <c r="E844" s="116">
        <v>1335</v>
      </c>
      <c r="F844" s="116">
        <v>1338.65</v>
      </c>
      <c r="G844">
        <v>63766</v>
      </c>
      <c r="H844" s="116"/>
      <c r="I844" s="116"/>
      <c r="L844" s="170">
        <v>43244</v>
      </c>
      <c r="M844" s="116">
        <v>1338.05</v>
      </c>
      <c r="N844" s="116">
        <v>1347.5</v>
      </c>
      <c r="O844" s="116">
        <v>1326.4</v>
      </c>
      <c r="P844" s="116">
        <v>1336</v>
      </c>
      <c r="Q844" s="116">
        <v>1338.05</v>
      </c>
      <c r="R844">
        <v>1482329</v>
      </c>
    </row>
    <row r="845" spans="1:18" x14ac:dyDescent="0.25">
      <c r="A845" s="170">
        <v>43245</v>
      </c>
      <c r="B845" s="116">
        <v>1347.25</v>
      </c>
      <c r="C845" s="116">
        <v>1343.8</v>
      </c>
      <c r="D845" s="116">
        <v>1333.6</v>
      </c>
      <c r="E845" s="116">
        <v>1341.4</v>
      </c>
      <c r="F845" s="116">
        <v>1343.8</v>
      </c>
      <c r="G845">
        <v>60105</v>
      </c>
      <c r="H845" s="116"/>
      <c r="I845" s="116"/>
      <c r="L845" s="170">
        <v>43245</v>
      </c>
      <c r="M845" s="116">
        <v>1342</v>
      </c>
      <c r="N845" s="116">
        <v>1347.6</v>
      </c>
      <c r="O845" s="116">
        <v>1331.75</v>
      </c>
      <c r="P845" s="116">
        <v>1340.95</v>
      </c>
      <c r="Q845" s="116">
        <v>1342</v>
      </c>
      <c r="R845">
        <v>1696915</v>
      </c>
    </row>
    <row r="846" spans="1:18" x14ac:dyDescent="0.25">
      <c r="A846" s="170">
        <v>43248</v>
      </c>
      <c r="B846" s="116">
        <v>1383.8</v>
      </c>
      <c r="C846" s="116">
        <v>1377.6</v>
      </c>
      <c r="D846" s="116">
        <v>1345.05</v>
      </c>
      <c r="E846" s="116">
        <v>1347.05</v>
      </c>
      <c r="F846" s="116">
        <v>1377.6</v>
      </c>
      <c r="G846">
        <v>139714</v>
      </c>
      <c r="H846" s="116"/>
      <c r="I846" s="116"/>
      <c r="L846" s="170">
        <v>43248</v>
      </c>
      <c r="M846" s="116">
        <v>1376.45</v>
      </c>
      <c r="N846" s="116">
        <v>1384.95</v>
      </c>
      <c r="O846" s="116">
        <v>1344.1</v>
      </c>
      <c r="P846" s="116">
        <v>1346</v>
      </c>
      <c r="Q846" s="116">
        <v>1376.45</v>
      </c>
      <c r="R846">
        <v>2127978</v>
      </c>
    </row>
    <row r="847" spans="1:18" x14ac:dyDescent="0.25">
      <c r="A847" s="170">
        <v>43249</v>
      </c>
      <c r="B847" s="116">
        <v>1423.9</v>
      </c>
      <c r="C847" s="116">
        <v>1380.1</v>
      </c>
      <c r="D847" s="116">
        <v>1376.7</v>
      </c>
      <c r="E847" s="116">
        <v>1395</v>
      </c>
      <c r="F847" s="116">
        <v>1380.1</v>
      </c>
      <c r="G847">
        <v>338182</v>
      </c>
      <c r="H847" s="116"/>
      <c r="I847" s="116"/>
      <c r="L847" s="170">
        <v>43249</v>
      </c>
      <c r="M847" s="116">
        <v>1380.6</v>
      </c>
      <c r="N847" s="116">
        <v>1424.95</v>
      </c>
      <c r="O847" s="116">
        <v>1375.4</v>
      </c>
      <c r="P847" s="116">
        <v>1393.7</v>
      </c>
      <c r="Q847" s="116">
        <v>1380.6</v>
      </c>
      <c r="R847">
        <v>6814062</v>
      </c>
    </row>
    <row r="848" spans="1:18" x14ac:dyDescent="0.25">
      <c r="A848" s="170">
        <v>43250</v>
      </c>
      <c r="B848" s="116">
        <v>1380</v>
      </c>
      <c r="C848" s="116">
        <v>1365.2</v>
      </c>
      <c r="D848" s="116">
        <v>1357.5</v>
      </c>
      <c r="E848" s="116">
        <v>1380</v>
      </c>
      <c r="F848" s="116">
        <v>1365.2</v>
      </c>
      <c r="G848">
        <v>110043</v>
      </c>
      <c r="H848" s="116"/>
      <c r="I848" s="116"/>
      <c r="L848" s="170">
        <v>43250</v>
      </c>
      <c r="M848" s="116">
        <v>1365.65</v>
      </c>
      <c r="N848" s="116">
        <v>1380</v>
      </c>
      <c r="O848" s="116">
        <v>1357.15</v>
      </c>
      <c r="P848" s="116">
        <v>1380</v>
      </c>
      <c r="Q848" s="116">
        <v>1365.65</v>
      </c>
      <c r="R848">
        <v>2286366</v>
      </c>
    </row>
    <row r="849" spans="1:18" x14ac:dyDescent="0.25">
      <c r="A849" s="170">
        <v>43251</v>
      </c>
      <c r="B849" s="116">
        <v>1377.15</v>
      </c>
      <c r="C849" s="116">
        <v>1367.6</v>
      </c>
      <c r="D849" s="116">
        <v>1355.1</v>
      </c>
      <c r="E849" s="116">
        <v>1366.05</v>
      </c>
      <c r="F849" s="116">
        <v>1367.6</v>
      </c>
      <c r="G849">
        <v>655969</v>
      </c>
      <c r="H849" s="116"/>
      <c r="I849" s="116"/>
      <c r="L849" s="170">
        <v>43251</v>
      </c>
      <c r="M849" s="116">
        <v>1370.4</v>
      </c>
      <c r="N849" s="116">
        <v>1377.45</v>
      </c>
      <c r="O849" s="116">
        <v>1356</v>
      </c>
      <c r="P849" s="116">
        <v>1370.95</v>
      </c>
      <c r="Q849" s="116">
        <v>1370.4</v>
      </c>
      <c r="R849">
        <v>2930988</v>
      </c>
    </row>
    <row r="850" spans="1:18" x14ac:dyDescent="0.25">
      <c r="A850" s="170">
        <v>43252</v>
      </c>
      <c r="B850" s="116">
        <v>1395.95</v>
      </c>
      <c r="C850" s="116">
        <v>1371.3</v>
      </c>
      <c r="D850" s="116">
        <v>1363.15</v>
      </c>
      <c r="E850" s="116">
        <v>1379.75</v>
      </c>
      <c r="F850" s="116">
        <v>1371.3</v>
      </c>
      <c r="G850">
        <v>195094</v>
      </c>
      <c r="H850" s="116"/>
      <c r="I850" s="116"/>
      <c r="L850" s="170">
        <v>43252</v>
      </c>
      <c r="M850" s="116">
        <v>1372.4</v>
      </c>
      <c r="N850" s="116">
        <v>1396</v>
      </c>
      <c r="O850" s="116">
        <v>1362.6</v>
      </c>
      <c r="P850" s="116">
        <v>1375.8</v>
      </c>
      <c r="Q850" s="116">
        <v>1372.4</v>
      </c>
      <c r="R850">
        <v>2234018</v>
      </c>
    </row>
    <row r="851" spans="1:18" x14ac:dyDescent="0.25">
      <c r="A851" s="170">
        <v>43255</v>
      </c>
      <c r="B851" s="116">
        <v>1385</v>
      </c>
      <c r="C851" s="116">
        <v>1360.3</v>
      </c>
      <c r="D851" s="116">
        <v>1355.4</v>
      </c>
      <c r="E851" s="116">
        <v>1378</v>
      </c>
      <c r="F851" s="116">
        <v>1360.3</v>
      </c>
      <c r="G851">
        <v>393099</v>
      </c>
      <c r="H851" s="116"/>
      <c r="I851" s="116"/>
      <c r="L851" s="170">
        <v>43255</v>
      </c>
      <c r="M851" s="116">
        <v>1357.85</v>
      </c>
      <c r="N851" s="116">
        <v>1385</v>
      </c>
      <c r="O851" s="116">
        <v>1354</v>
      </c>
      <c r="P851" s="116">
        <v>1375.95</v>
      </c>
      <c r="Q851" s="116">
        <v>1357.85</v>
      </c>
      <c r="R851">
        <v>1346919</v>
      </c>
    </row>
    <row r="852" spans="1:18" x14ac:dyDescent="0.25">
      <c r="A852" s="170">
        <v>43256</v>
      </c>
      <c r="B852" s="116">
        <v>1364</v>
      </c>
      <c r="C852" s="116">
        <v>1334</v>
      </c>
      <c r="D852" s="116">
        <v>1328.6</v>
      </c>
      <c r="E852" s="116">
        <v>1364</v>
      </c>
      <c r="F852" s="116">
        <v>1334</v>
      </c>
      <c r="G852">
        <v>76146</v>
      </c>
      <c r="H852" s="116"/>
      <c r="I852" s="116"/>
      <c r="L852" s="170">
        <v>43256</v>
      </c>
      <c r="M852" s="116">
        <v>1333.75</v>
      </c>
      <c r="N852" s="116">
        <v>1361.8</v>
      </c>
      <c r="O852" s="116">
        <v>1326.6</v>
      </c>
      <c r="P852" s="116">
        <v>1361.8</v>
      </c>
      <c r="Q852" s="116">
        <v>1333.75</v>
      </c>
      <c r="R852">
        <v>1905926</v>
      </c>
    </row>
    <row r="853" spans="1:18" x14ac:dyDescent="0.25">
      <c r="A853" s="170">
        <v>43257</v>
      </c>
      <c r="B853" s="116">
        <v>1353.95</v>
      </c>
      <c r="C853" s="116">
        <v>1349.6</v>
      </c>
      <c r="D853" s="116">
        <v>1333</v>
      </c>
      <c r="E853" s="116">
        <v>1333</v>
      </c>
      <c r="F853" s="116">
        <v>1349.6</v>
      </c>
      <c r="G853">
        <v>71138</v>
      </c>
      <c r="H853" s="116"/>
      <c r="I853" s="116"/>
      <c r="L853" s="170">
        <v>43257</v>
      </c>
      <c r="M853" s="116">
        <v>1350.55</v>
      </c>
      <c r="N853" s="116">
        <v>1355</v>
      </c>
      <c r="O853" s="116">
        <v>1331</v>
      </c>
      <c r="P853" s="116">
        <v>1331</v>
      </c>
      <c r="Q853" s="116">
        <v>1350.55</v>
      </c>
      <c r="R853">
        <v>1581905</v>
      </c>
    </row>
    <row r="854" spans="1:18" x14ac:dyDescent="0.25">
      <c r="A854" s="170">
        <v>43258</v>
      </c>
      <c r="B854" s="116">
        <v>1364.9</v>
      </c>
      <c r="C854" s="116">
        <v>1354.2</v>
      </c>
      <c r="D854" s="116">
        <v>1349</v>
      </c>
      <c r="E854" s="116">
        <v>1354</v>
      </c>
      <c r="F854" s="116">
        <v>1354.2</v>
      </c>
      <c r="G854">
        <v>314454</v>
      </c>
      <c r="H854" s="116"/>
      <c r="I854" s="116"/>
      <c r="L854" s="170">
        <v>43258</v>
      </c>
      <c r="M854" s="116">
        <v>1355.15</v>
      </c>
      <c r="N854" s="116">
        <v>1366</v>
      </c>
      <c r="O854" s="116">
        <v>1348.95</v>
      </c>
      <c r="P854" s="116">
        <v>1360.4</v>
      </c>
      <c r="Q854" s="116">
        <v>1355.15</v>
      </c>
      <c r="R854">
        <v>2272271</v>
      </c>
    </row>
    <row r="855" spans="1:18" x14ac:dyDescent="0.25">
      <c r="A855" s="170">
        <v>43259</v>
      </c>
      <c r="B855" s="116">
        <v>1354.75</v>
      </c>
      <c r="C855" s="116">
        <v>1343.6</v>
      </c>
      <c r="D855" s="116">
        <v>1331.35</v>
      </c>
      <c r="E855" s="116">
        <v>1353</v>
      </c>
      <c r="F855" s="116">
        <v>1343.6</v>
      </c>
      <c r="G855">
        <v>110797</v>
      </c>
      <c r="H855" s="116"/>
      <c r="I855" s="116"/>
      <c r="L855" s="170">
        <v>43259</v>
      </c>
      <c r="M855" s="116">
        <v>1343.95</v>
      </c>
      <c r="N855" s="116">
        <v>1355</v>
      </c>
      <c r="O855" s="116">
        <v>1331.1</v>
      </c>
      <c r="P855" s="116">
        <v>1349.05</v>
      </c>
      <c r="Q855" s="116">
        <v>1343.95</v>
      </c>
      <c r="R855">
        <v>2483519</v>
      </c>
    </row>
    <row r="856" spans="1:18" x14ac:dyDescent="0.25">
      <c r="A856" s="170">
        <v>43262</v>
      </c>
      <c r="B856" s="116">
        <v>1354.4</v>
      </c>
      <c r="C856" s="116">
        <v>1342.6</v>
      </c>
      <c r="D856" s="116">
        <v>1336</v>
      </c>
      <c r="E856" s="116">
        <v>1340</v>
      </c>
      <c r="F856" s="116">
        <v>1342.6</v>
      </c>
      <c r="G856">
        <v>76753</v>
      </c>
      <c r="H856" s="116"/>
      <c r="I856" s="116"/>
      <c r="L856" s="170">
        <v>43262</v>
      </c>
      <c r="M856" s="116">
        <v>1343.25</v>
      </c>
      <c r="N856" s="116">
        <v>1355</v>
      </c>
      <c r="O856" s="116">
        <v>1337</v>
      </c>
      <c r="P856" s="116">
        <v>1343</v>
      </c>
      <c r="Q856" s="116">
        <v>1343.25</v>
      </c>
      <c r="R856">
        <v>1417401</v>
      </c>
    </row>
    <row r="857" spans="1:18" x14ac:dyDescent="0.25">
      <c r="A857" s="170">
        <v>43263</v>
      </c>
      <c r="B857" s="116">
        <v>1366.2</v>
      </c>
      <c r="C857" s="116">
        <v>1363.75</v>
      </c>
      <c r="D857" s="116">
        <v>1344.4</v>
      </c>
      <c r="E857" s="116">
        <v>1350</v>
      </c>
      <c r="F857" s="116">
        <v>1363.75</v>
      </c>
      <c r="G857">
        <v>94393</v>
      </c>
      <c r="H857" s="116"/>
      <c r="I857" s="116"/>
      <c r="L857" s="170">
        <v>43263</v>
      </c>
      <c r="M857" s="116">
        <v>1366.4</v>
      </c>
      <c r="N857" s="116">
        <v>1368.45</v>
      </c>
      <c r="O857" s="116">
        <v>1344.6</v>
      </c>
      <c r="P857" s="116">
        <v>1348</v>
      </c>
      <c r="Q857" s="116">
        <v>1366.4</v>
      </c>
      <c r="R857">
        <v>1853562</v>
      </c>
    </row>
    <row r="858" spans="1:18" x14ac:dyDescent="0.25">
      <c r="A858" s="170">
        <v>43264</v>
      </c>
      <c r="B858" s="116">
        <v>1369.8</v>
      </c>
      <c r="C858" s="116">
        <v>1357.15</v>
      </c>
      <c r="D858" s="116">
        <v>1353</v>
      </c>
      <c r="E858" s="116">
        <v>1365</v>
      </c>
      <c r="F858" s="116">
        <v>1357.15</v>
      </c>
      <c r="G858">
        <v>57539</v>
      </c>
      <c r="H858" s="116"/>
      <c r="I858" s="116"/>
      <c r="L858" s="170">
        <v>43264</v>
      </c>
      <c r="M858" s="116">
        <v>1358.75</v>
      </c>
      <c r="N858" s="116">
        <v>1368.25</v>
      </c>
      <c r="O858" s="116">
        <v>1353</v>
      </c>
      <c r="P858" s="116">
        <v>1366.8</v>
      </c>
      <c r="Q858" s="116">
        <v>1358.75</v>
      </c>
      <c r="R858">
        <v>1253808</v>
      </c>
    </row>
    <row r="859" spans="1:18" x14ac:dyDescent="0.25">
      <c r="A859" s="170">
        <v>43265</v>
      </c>
      <c r="B859" s="116">
        <v>1360</v>
      </c>
      <c r="C859" s="116">
        <v>1345.3</v>
      </c>
      <c r="D859" s="116">
        <v>1342.25</v>
      </c>
      <c r="E859" s="116">
        <v>1360</v>
      </c>
      <c r="F859" s="116">
        <v>1345.3</v>
      </c>
      <c r="G859">
        <v>67842</v>
      </c>
      <c r="H859" s="116"/>
      <c r="I859" s="116"/>
      <c r="L859" s="170">
        <v>43265</v>
      </c>
      <c r="M859" s="116">
        <v>1343</v>
      </c>
      <c r="N859" s="116">
        <v>1359.45</v>
      </c>
      <c r="O859" s="116">
        <v>1340</v>
      </c>
      <c r="P859" s="116">
        <v>1354</v>
      </c>
      <c r="Q859" s="116">
        <v>1343</v>
      </c>
      <c r="R859">
        <v>1325652</v>
      </c>
    </row>
    <row r="860" spans="1:18" x14ac:dyDescent="0.25">
      <c r="A860" s="170">
        <v>43266</v>
      </c>
      <c r="B860" s="116">
        <v>1345.3</v>
      </c>
      <c r="C860" s="116">
        <v>1328.7</v>
      </c>
      <c r="D860" s="116">
        <v>1323.5</v>
      </c>
      <c r="E860" s="116">
        <v>1340</v>
      </c>
      <c r="F860" s="116">
        <v>1328.7</v>
      </c>
      <c r="G860">
        <v>102901</v>
      </c>
      <c r="H860" s="116"/>
      <c r="I860" s="116"/>
      <c r="L860" s="170">
        <v>43266</v>
      </c>
      <c r="M860" s="116">
        <v>1329.9</v>
      </c>
      <c r="N860" s="116">
        <v>1343</v>
      </c>
      <c r="O860" s="116">
        <v>1323.25</v>
      </c>
      <c r="P860" s="116">
        <v>1341</v>
      </c>
      <c r="Q860" s="116">
        <v>1329.9</v>
      </c>
      <c r="R860">
        <v>2660969</v>
      </c>
    </row>
    <row r="861" spans="1:18" x14ac:dyDescent="0.25">
      <c r="A861" s="170">
        <v>43269</v>
      </c>
      <c r="B861" s="116">
        <v>1336.7</v>
      </c>
      <c r="C861" s="116">
        <v>1323.15</v>
      </c>
      <c r="D861" s="116">
        <v>1321</v>
      </c>
      <c r="E861" s="116">
        <v>1330</v>
      </c>
      <c r="F861" s="116">
        <v>1323.15</v>
      </c>
      <c r="G861">
        <v>58208</v>
      </c>
      <c r="H861" s="116"/>
      <c r="I861" s="116"/>
      <c r="L861" s="170">
        <v>43269</v>
      </c>
      <c r="M861" s="116">
        <v>1323.2</v>
      </c>
      <c r="N861" s="116">
        <v>1337.4</v>
      </c>
      <c r="O861" s="116">
        <v>1321.05</v>
      </c>
      <c r="P861" s="116">
        <v>1331.25</v>
      </c>
      <c r="Q861" s="116">
        <v>1323.2</v>
      </c>
      <c r="R861">
        <v>951701</v>
      </c>
    </row>
    <row r="862" spans="1:18" x14ac:dyDescent="0.25">
      <c r="A862" s="170">
        <v>43270</v>
      </c>
      <c r="B862" s="116">
        <v>1327</v>
      </c>
      <c r="C862" s="116">
        <v>1314.1</v>
      </c>
      <c r="D862" s="116">
        <v>1309.5</v>
      </c>
      <c r="E862" s="116">
        <v>1321.8</v>
      </c>
      <c r="F862" s="116">
        <v>1314.1</v>
      </c>
      <c r="G862">
        <v>221541</v>
      </c>
      <c r="H862" s="116"/>
      <c r="I862" s="116"/>
      <c r="L862" s="170">
        <v>43270</v>
      </c>
      <c r="M862" s="116">
        <v>1310.4000000000001</v>
      </c>
      <c r="N862" s="116">
        <v>1327.5</v>
      </c>
      <c r="O862" s="116">
        <v>1307.05</v>
      </c>
      <c r="P862" s="116">
        <v>1318.85</v>
      </c>
      <c r="Q862" s="116">
        <v>1310.4000000000001</v>
      </c>
      <c r="R862">
        <v>1607343</v>
      </c>
    </row>
    <row r="863" spans="1:18" x14ac:dyDescent="0.25">
      <c r="A863" s="170">
        <v>43271</v>
      </c>
      <c r="B863" s="116">
        <v>1318.05</v>
      </c>
      <c r="C863" s="116">
        <v>1307.05</v>
      </c>
      <c r="D863" s="116">
        <v>1300</v>
      </c>
      <c r="E863" s="116">
        <v>1310</v>
      </c>
      <c r="F863" s="116">
        <v>1307.05</v>
      </c>
      <c r="G863">
        <v>112411</v>
      </c>
      <c r="H863" s="116"/>
      <c r="I863" s="116"/>
      <c r="L863" s="170">
        <v>43271</v>
      </c>
      <c r="M863" s="116">
        <v>1306.75</v>
      </c>
      <c r="N863" s="116">
        <v>1319.2</v>
      </c>
      <c r="O863" s="116">
        <v>1300</v>
      </c>
      <c r="P863" s="116">
        <v>1311.05</v>
      </c>
      <c r="Q863" s="116">
        <v>1306.75</v>
      </c>
      <c r="R863">
        <v>2207289</v>
      </c>
    </row>
    <row r="864" spans="1:18" x14ac:dyDescent="0.25">
      <c r="A864" s="170">
        <v>43272</v>
      </c>
      <c r="B864" s="116">
        <v>1316.35</v>
      </c>
      <c r="C864" s="116">
        <v>1290.3</v>
      </c>
      <c r="D864" s="116">
        <v>1287</v>
      </c>
      <c r="E864" s="116">
        <v>1310</v>
      </c>
      <c r="F864" s="116">
        <v>1290.3</v>
      </c>
      <c r="G864">
        <v>193188</v>
      </c>
      <c r="H864" s="116"/>
      <c r="I864" s="116"/>
      <c r="L864" s="170">
        <v>43272</v>
      </c>
      <c r="M864" s="116">
        <v>1289.8</v>
      </c>
      <c r="N864" s="116">
        <v>1316</v>
      </c>
      <c r="O864" s="116">
        <v>1286</v>
      </c>
      <c r="P864" s="116">
        <v>1310</v>
      </c>
      <c r="Q864" s="116">
        <v>1289.8</v>
      </c>
      <c r="R864">
        <v>2161971</v>
      </c>
    </row>
    <row r="865" spans="1:18" x14ac:dyDescent="0.25">
      <c r="A865" s="170">
        <v>43273</v>
      </c>
      <c r="B865" s="116">
        <v>1305.9000000000001</v>
      </c>
      <c r="C865" s="116">
        <v>1295.5</v>
      </c>
      <c r="D865" s="116">
        <v>1282.0999999999999</v>
      </c>
      <c r="E865" s="116">
        <v>1287.2</v>
      </c>
      <c r="F865" s="116">
        <v>1295.5</v>
      </c>
      <c r="G865">
        <v>688897</v>
      </c>
      <c r="H865" s="116"/>
      <c r="I865" s="116"/>
      <c r="L865" s="170">
        <v>43273</v>
      </c>
      <c r="M865" s="116">
        <v>1299.8499999999999</v>
      </c>
      <c r="N865" s="116">
        <v>1305</v>
      </c>
      <c r="O865" s="116">
        <v>1283.5</v>
      </c>
      <c r="P865" s="116">
        <v>1288.7</v>
      </c>
      <c r="Q865" s="116">
        <v>1299.8499999999999</v>
      </c>
      <c r="R865">
        <v>3364048</v>
      </c>
    </row>
    <row r="866" spans="1:18" x14ac:dyDescent="0.25">
      <c r="A866" s="170">
        <v>43276</v>
      </c>
      <c r="B866" s="116">
        <v>1307.5999999999999</v>
      </c>
      <c r="C866" s="116">
        <v>1269</v>
      </c>
      <c r="D866" s="116">
        <v>1265.8499999999999</v>
      </c>
      <c r="E866" s="116">
        <v>1307.4000000000001</v>
      </c>
      <c r="F866" s="116">
        <v>1269</v>
      </c>
      <c r="G866">
        <v>104067</v>
      </c>
      <c r="H866" s="116"/>
      <c r="I866" s="116"/>
      <c r="L866" s="170">
        <v>43276</v>
      </c>
      <c r="M866" s="116">
        <v>1268.1500000000001</v>
      </c>
      <c r="N866" s="116">
        <v>1303.75</v>
      </c>
      <c r="O866" s="116">
        <v>1264.25</v>
      </c>
      <c r="P866" s="116">
        <v>1301</v>
      </c>
      <c r="Q866" s="116">
        <v>1268.1500000000001</v>
      </c>
      <c r="R866">
        <v>1622133</v>
      </c>
    </row>
    <row r="867" spans="1:18" x14ac:dyDescent="0.25">
      <c r="A867" s="170">
        <v>43277</v>
      </c>
      <c r="B867" s="116">
        <v>1283.5</v>
      </c>
      <c r="C867" s="116">
        <v>1269.5</v>
      </c>
      <c r="D867" s="116">
        <v>1262.1500000000001</v>
      </c>
      <c r="E867" s="116">
        <v>1269</v>
      </c>
      <c r="F867" s="116">
        <v>1269.5</v>
      </c>
      <c r="G867">
        <v>167580</v>
      </c>
      <c r="H867" s="116"/>
      <c r="I867" s="116"/>
      <c r="L867" s="170">
        <v>43277</v>
      </c>
      <c r="M867" s="116">
        <v>1270.05</v>
      </c>
      <c r="N867" s="116">
        <v>1283.5</v>
      </c>
      <c r="O867" s="116">
        <v>1261.0999999999999</v>
      </c>
      <c r="P867" s="116">
        <v>1268.8</v>
      </c>
      <c r="Q867" s="116">
        <v>1270.05</v>
      </c>
      <c r="R867">
        <v>2003243</v>
      </c>
    </row>
    <row r="868" spans="1:18" x14ac:dyDescent="0.25">
      <c r="A868" s="170">
        <v>43278</v>
      </c>
      <c r="B868" s="116">
        <v>1274.2</v>
      </c>
      <c r="C868" s="116">
        <v>1235.0999999999999</v>
      </c>
      <c r="D868" s="116">
        <v>1232</v>
      </c>
      <c r="E868" s="116">
        <v>1271</v>
      </c>
      <c r="F868" s="116">
        <v>1235.0999999999999</v>
      </c>
      <c r="G868">
        <v>163581</v>
      </c>
      <c r="H868" s="116"/>
      <c r="I868" s="116"/>
      <c r="L868" s="170">
        <v>43278</v>
      </c>
      <c r="M868" s="116">
        <v>1232.75</v>
      </c>
      <c r="N868" s="116">
        <v>1275</v>
      </c>
      <c r="O868" s="116">
        <v>1229</v>
      </c>
      <c r="P868" s="116">
        <v>1273</v>
      </c>
      <c r="Q868" s="116">
        <v>1232.75</v>
      </c>
      <c r="R868">
        <v>2332129</v>
      </c>
    </row>
    <row r="869" spans="1:18" x14ac:dyDescent="0.25">
      <c r="A869" s="170">
        <v>43279</v>
      </c>
      <c r="B869" s="116">
        <v>1240.8499999999999</v>
      </c>
      <c r="C869" s="116">
        <v>1236</v>
      </c>
      <c r="D869" s="116">
        <v>1205.5999999999999</v>
      </c>
      <c r="E869" s="116">
        <v>1234.75</v>
      </c>
      <c r="F869" s="116">
        <v>1236</v>
      </c>
      <c r="G869">
        <v>175711</v>
      </c>
      <c r="H869" s="116"/>
      <c r="I869" s="116"/>
      <c r="L869" s="170">
        <v>43279</v>
      </c>
      <c r="M869" s="116">
        <v>1234.95</v>
      </c>
      <c r="N869" s="116">
        <v>1240</v>
      </c>
      <c r="O869" s="116">
        <v>1206</v>
      </c>
      <c r="P869" s="116">
        <v>1228</v>
      </c>
      <c r="Q869" s="116">
        <v>1234.95</v>
      </c>
      <c r="R869">
        <v>4677061</v>
      </c>
    </row>
    <row r="870" spans="1:18" x14ac:dyDescent="0.25">
      <c r="A870" s="170">
        <v>43280</v>
      </c>
      <c r="B870" s="116">
        <v>1274.8</v>
      </c>
      <c r="C870" s="116">
        <v>1271.3</v>
      </c>
      <c r="D870" s="116">
        <v>1235</v>
      </c>
      <c r="E870" s="116">
        <v>1238</v>
      </c>
      <c r="F870" s="116">
        <v>1271.3</v>
      </c>
      <c r="G870">
        <v>129485</v>
      </c>
      <c r="H870" s="116"/>
      <c r="I870" s="116"/>
      <c r="L870" s="170">
        <v>43280</v>
      </c>
      <c r="M870" s="116">
        <v>1275.0999999999999</v>
      </c>
      <c r="N870" s="116">
        <v>1277.95</v>
      </c>
      <c r="O870" s="116">
        <v>1233.05</v>
      </c>
      <c r="P870" s="116">
        <v>1235.95</v>
      </c>
      <c r="Q870" s="116">
        <v>1275.0999999999999</v>
      </c>
      <c r="R870">
        <v>2324572</v>
      </c>
    </row>
    <row r="871" spans="1:18" x14ac:dyDescent="0.25">
      <c r="A871" s="170">
        <v>43283</v>
      </c>
      <c r="B871" s="116">
        <v>1278</v>
      </c>
      <c r="C871" s="116">
        <v>1255.8499999999999</v>
      </c>
      <c r="D871" s="116">
        <v>1243.5</v>
      </c>
      <c r="E871" s="116">
        <v>1277.55</v>
      </c>
      <c r="F871" s="116">
        <v>1255.8499999999999</v>
      </c>
      <c r="G871">
        <v>261465</v>
      </c>
      <c r="H871" s="116"/>
      <c r="I871" s="116"/>
      <c r="L871" s="170">
        <v>43283</v>
      </c>
      <c r="M871" s="116">
        <v>1255.95</v>
      </c>
      <c r="N871" s="116">
        <v>1277.95</v>
      </c>
      <c r="O871" s="116">
        <v>1242.9000000000001</v>
      </c>
      <c r="P871" s="116">
        <v>1277.9000000000001</v>
      </c>
      <c r="Q871" s="116">
        <v>1255.95</v>
      </c>
      <c r="R871">
        <v>3832519</v>
      </c>
    </row>
    <row r="872" spans="1:18" x14ac:dyDescent="0.25">
      <c r="A872" s="170">
        <v>43284</v>
      </c>
      <c r="B872" s="116">
        <v>1263.05</v>
      </c>
      <c r="C872" s="116">
        <v>1252.3499999999999</v>
      </c>
      <c r="D872" s="116">
        <v>1246</v>
      </c>
      <c r="E872" s="116">
        <v>1260</v>
      </c>
      <c r="F872" s="116">
        <v>1252.3499999999999</v>
      </c>
      <c r="G872">
        <v>81807</v>
      </c>
      <c r="H872" s="116"/>
      <c r="I872" s="116"/>
      <c r="L872" s="170">
        <v>43284</v>
      </c>
      <c r="M872" s="116">
        <v>1251.5</v>
      </c>
      <c r="N872" s="116">
        <v>1264</v>
      </c>
      <c r="O872" s="116">
        <v>1246.05</v>
      </c>
      <c r="P872" s="116">
        <v>1259.25</v>
      </c>
      <c r="Q872" s="116">
        <v>1251.5</v>
      </c>
      <c r="R872">
        <v>2096700</v>
      </c>
    </row>
    <row r="873" spans="1:18" x14ac:dyDescent="0.25">
      <c r="A873" s="170">
        <v>43285</v>
      </c>
      <c r="B873" s="116">
        <v>1262.45</v>
      </c>
      <c r="C873" s="116">
        <v>1259.4000000000001</v>
      </c>
      <c r="D873" s="116">
        <v>1243.95</v>
      </c>
      <c r="E873" s="116">
        <v>1246.0999999999999</v>
      </c>
      <c r="F873" s="116">
        <v>1259.4000000000001</v>
      </c>
      <c r="G873">
        <v>138211</v>
      </c>
      <c r="H873" s="116"/>
      <c r="I873" s="116"/>
      <c r="L873" s="170">
        <v>43285</v>
      </c>
      <c r="M873" s="116">
        <v>1259.5</v>
      </c>
      <c r="N873" s="116">
        <v>1261.4000000000001</v>
      </c>
      <c r="O873" s="116">
        <v>1243.2</v>
      </c>
      <c r="P873" s="116">
        <v>1251.9000000000001</v>
      </c>
      <c r="Q873" s="116">
        <v>1259.5</v>
      </c>
      <c r="R873">
        <v>1842579</v>
      </c>
    </row>
    <row r="874" spans="1:18" x14ac:dyDescent="0.25">
      <c r="A874" s="170">
        <v>43286</v>
      </c>
      <c r="B874" s="116">
        <v>1265.4000000000001</v>
      </c>
      <c r="C874" s="116">
        <v>1253.5</v>
      </c>
      <c r="D874" s="116">
        <v>1246.1500000000001</v>
      </c>
      <c r="E874" s="116">
        <v>1263</v>
      </c>
      <c r="F874" s="116">
        <v>1253.5</v>
      </c>
      <c r="G874">
        <v>98029</v>
      </c>
      <c r="H874" s="116"/>
      <c r="I874" s="116"/>
      <c r="L874" s="170">
        <v>43286</v>
      </c>
      <c r="M874" s="116">
        <v>1254.45</v>
      </c>
      <c r="N874" s="116">
        <v>1265</v>
      </c>
      <c r="O874" s="116">
        <v>1245.5999999999999</v>
      </c>
      <c r="P874" s="116">
        <v>1265</v>
      </c>
      <c r="Q874" s="116">
        <v>1254.45</v>
      </c>
      <c r="R874">
        <v>2006459</v>
      </c>
    </row>
    <row r="875" spans="1:18" x14ac:dyDescent="0.25">
      <c r="A875" s="170">
        <v>43287</v>
      </c>
      <c r="B875" s="116">
        <v>1277.6500000000001</v>
      </c>
      <c r="C875" s="116">
        <v>1266.6500000000001</v>
      </c>
      <c r="D875" s="116">
        <v>1245</v>
      </c>
      <c r="E875" s="116">
        <v>1252.8499999999999</v>
      </c>
      <c r="F875" s="116">
        <v>1266.6500000000001</v>
      </c>
      <c r="G875">
        <v>100875</v>
      </c>
      <c r="H875" s="116"/>
      <c r="I875" s="116"/>
      <c r="L875" s="170">
        <v>43287</v>
      </c>
      <c r="M875" s="116">
        <v>1266.3</v>
      </c>
      <c r="N875" s="116">
        <v>1278.25</v>
      </c>
      <c r="O875" s="116">
        <v>1244.9000000000001</v>
      </c>
      <c r="P875" s="116">
        <v>1251</v>
      </c>
      <c r="Q875" s="116">
        <v>1266.3</v>
      </c>
      <c r="R875">
        <v>2064484</v>
      </c>
    </row>
    <row r="876" spans="1:18" x14ac:dyDescent="0.25">
      <c r="A876" s="170">
        <v>43290</v>
      </c>
      <c r="B876" s="116">
        <v>1290</v>
      </c>
      <c r="C876" s="116">
        <v>1286.5</v>
      </c>
      <c r="D876" s="116">
        <v>1264</v>
      </c>
      <c r="E876" s="116">
        <v>1270.3</v>
      </c>
      <c r="F876" s="116">
        <v>1286.5</v>
      </c>
      <c r="G876">
        <v>254071</v>
      </c>
      <c r="H876" s="116"/>
      <c r="I876" s="116"/>
      <c r="L876" s="170">
        <v>43290</v>
      </c>
      <c r="M876" s="116">
        <v>1288</v>
      </c>
      <c r="N876" s="116">
        <v>1291.45</v>
      </c>
      <c r="O876" s="116">
        <v>1263.2</v>
      </c>
      <c r="P876" s="116">
        <v>1271.8</v>
      </c>
      <c r="Q876" s="116">
        <v>1288</v>
      </c>
      <c r="R876">
        <v>2021357</v>
      </c>
    </row>
    <row r="877" spans="1:18" x14ac:dyDescent="0.25">
      <c r="A877" s="170">
        <v>43291</v>
      </c>
      <c r="B877" s="116">
        <v>1298</v>
      </c>
      <c r="C877" s="116">
        <v>1284.5</v>
      </c>
      <c r="D877" s="116">
        <v>1273.5</v>
      </c>
      <c r="E877" s="116">
        <v>1290</v>
      </c>
      <c r="F877" s="116">
        <v>1284.5</v>
      </c>
      <c r="G877">
        <v>107576</v>
      </c>
      <c r="H877" s="116"/>
      <c r="I877" s="116"/>
      <c r="L877" s="170">
        <v>43291</v>
      </c>
      <c r="M877" s="116">
        <v>1284.5999999999999</v>
      </c>
      <c r="N877" s="116">
        <v>1298</v>
      </c>
      <c r="O877" s="116">
        <v>1272.75</v>
      </c>
      <c r="P877" s="116">
        <v>1294.45</v>
      </c>
      <c r="Q877" s="116">
        <v>1284.5999999999999</v>
      </c>
      <c r="R877">
        <v>1923397</v>
      </c>
    </row>
    <row r="878" spans="1:18" x14ac:dyDescent="0.25">
      <c r="A878" s="170">
        <v>43292</v>
      </c>
      <c r="B878" s="116">
        <v>1292.9000000000001</v>
      </c>
      <c r="C878" s="116">
        <v>1275.05</v>
      </c>
      <c r="D878" s="116">
        <v>1272.8499999999999</v>
      </c>
      <c r="E878" s="116">
        <v>1292.9000000000001</v>
      </c>
      <c r="F878" s="116">
        <v>1275.05</v>
      </c>
      <c r="G878">
        <v>64444</v>
      </c>
      <c r="H878" s="116"/>
      <c r="I878" s="116"/>
      <c r="L878" s="170">
        <v>43292</v>
      </c>
      <c r="M878" s="116">
        <v>1274.75</v>
      </c>
      <c r="N878" s="116">
        <v>1285.95</v>
      </c>
      <c r="O878" s="116">
        <v>1271.5999999999999</v>
      </c>
      <c r="P878" s="116">
        <v>1283.55</v>
      </c>
      <c r="Q878" s="116">
        <v>1274.75</v>
      </c>
      <c r="R878">
        <v>1326221</v>
      </c>
    </row>
    <row r="879" spans="1:18" x14ac:dyDescent="0.25">
      <c r="A879" s="170">
        <v>43293</v>
      </c>
      <c r="B879" s="116">
        <v>1304.5</v>
      </c>
      <c r="C879" s="116">
        <v>1299.75</v>
      </c>
      <c r="D879" s="116">
        <v>1275.1500000000001</v>
      </c>
      <c r="E879" s="116">
        <v>1277.05</v>
      </c>
      <c r="F879" s="116">
        <v>1299.75</v>
      </c>
      <c r="G879">
        <v>158155</v>
      </c>
      <c r="H879" s="116"/>
      <c r="I879" s="116"/>
      <c r="L879" s="170">
        <v>43293</v>
      </c>
      <c r="M879" s="116">
        <v>1299.75</v>
      </c>
      <c r="N879" s="116">
        <v>1304.5</v>
      </c>
      <c r="O879" s="116">
        <v>1275</v>
      </c>
      <c r="P879" s="116">
        <v>1280.0999999999999</v>
      </c>
      <c r="Q879" s="116">
        <v>1299.75</v>
      </c>
      <c r="R879">
        <v>2777124</v>
      </c>
    </row>
    <row r="880" spans="1:18" x14ac:dyDescent="0.25">
      <c r="A880" s="170">
        <v>43294</v>
      </c>
      <c r="B880" s="116">
        <v>1319</v>
      </c>
      <c r="C880" s="116">
        <v>1294.0999999999999</v>
      </c>
      <c r="D880" s="116">
        <v>1288</v>
      </c>
      <c r="E880" s="116">
        <v>1305.5</v>
      </c>
      <c r="F880" s="116">
        <v>1294.0999999999999</v>
      </c>
      <c r="G880">
        <v>168588</v>
      </c>
      <c r="H880" s="116"/>
      <c r="I880" s="116"/>
      <c r="L880" s="170">
        <v>43294</v>
      </c>
      <c r="M880" s="116">
        <v>1298.4000000000001</v>
      </c>
      <c r="N880" s="116">
        <v>1319</v>
      </c>
      <c r="O880" s="116">
        <v>1287.25</v>
      </c>
      <c r="P880" s="116">
        <v>1307</v>
      </c>
      <c r="Q880" s="116">
        <v>1298.4000000000001</v>
      </c>
      <c r="R880">
        <v>2360493</v>
      </c>
    </row>
    <row r="881" spans="1:18" x14ac:dyDescent="0.25">
      <c r="A881" s="170">
        <v>43297</v>
      </c>
      <c r="B881" s="116">
        <v>1300</v>
      </c>
      <c r="C881" s="116">
        <v>1282.5999999999999</v>
      </c>
      <c r="D881" s="116">
        <v>1278</v>
      </c>
      <c r="E881" s="116">
        <v>1298</v>
      </c>
      <c r="F881" s="116">
        <v>1282.5999999999999</v>
      </c>
      <c r="G881">
        <v>67904</v>
      </c>
      <c r="H881" s="116"/>
      <c r="I881" s="116"/>
      <c r="L881" s="170">
        <v>43297</v>
      </c>
      <c r="M881" s="116">
        <v>1283.0999999999999</v>
      </c>
      <c r="N881" s="116">
        <v>1301.1500000000001</v>
      </c>
      <c r="O881" s="116">
        <v>1277.9000000000001</v>
      </c>
      <c r="P881" s="116">
        <v>1300</v>
      </c>
      <c r="Q881" s="116">
        <v>1283.0999999999999</v>
      </c>
      <c r="R881">
        <v>1593400</v>
      </c>
    </row>
    <row r="882" spans="1:18" x14ac:dyDescent="0.25">
      <c r="A882" s="170">
        <v>43298</v>
      </c>
      <c r="B882" s="116">
        <v>1291.75</v>
      </c>
      <c r="C882" s="116">
        <v>1288.05</v>
      </c>
      <c r="D882" s="116">
        <v>1270.6500000000001</v>
      </c>
      <c r="E882" s="116">
        <v>1287.95</v>
      </c>
      <c r="F882" s="116">
        <v>1288.05</v>
      </c>
      <c r="G882">
        <v>73783</v>
      </c>
      <c r="H882" s="116"/>
      <c r="I882" s="116"/>
      <c r="L882" s="170">
        <v>43298</v>
      </c>
      <c r="M882" s="116">
        <v>1286.8499999999999</v>
      </c>
      <c r="N882" s="116">
        <v>1291</v>
      </c>
      <c r="O882" s="116">
        <v>1268.8</v>
      </c>
      <c r="P882" s="116">
        <v>1285.05</v>
      </c>
      <c r="Q882" s="116">
        <v>1286.8499999999999</v>
      </c>
      <c r="R882">
        <v>1598278</v>
      </c>
    </row>
    <row r="883" spans="1:18" x14ac:dyDescent="0.25">
      <c r="A883" s="170">
        <v>43299</v>
      </c>
      <c r="B883" s="116">
        <v>1307</v>
      </c>
      <c r="C883" s="116">
        <v>1289.1500000000001</v>
      </c>
      <c r="D883" s="116">
        <v>1284</v>
      </c>
      <c r="E883" s="116">
        <v>1288.5</v>
      </c>
      <c r="F883" s="116">
        <v>1289.1500000000001</v>
      </c>
      <c r="G883">
        <v>127242</v>
      </c>
      <c r="H883" s="116"/>
      <c r="I883" s="116"/>
      <c r="L883" s="170">
        <v>43299</v>
      </c>
      <c r="M883" s="116">
        <v>1292.1500000000001</v>
      </c>
      <c r="N883" s="116">
        <v>1308</v>
      </c>
      <c r="O883" s="116">
        <v>1283</v>
      </c>
      <c r="P883" s="116">
        <v>1295</v>
      </c>
      <c r="Q883" s="116">
        <v>1292.1500000000001</v>
      </c>
      <c r="R883">
        <v>1855985</v>
      </c>
    </row>
    <row r="884" spans="1:18" x14ac:dyDescent="0.25">
      <c r="A884" s="170">
        <v>43300</v>
      </c>
      <c r="B884" s="116">
        <v>1294.0999999999999</v>
      </c>
      <c r="C884" s="116">
        <v>1255.55</v>
      </c>
      <c r="D884" s="116">
        <v>1252.2</v>
      </c>
      <c r="E884" s="116">
        <v>1289.25</v>
      </c>
      <c r="F884" s="116">
        <v>1255.55</v>
      </c>
      <c r="G884">
        <v>171691</v>
      </c>
      <c r="H884" s="116"/>
      <c r="I884" s="116"/>
      <c r="L884" s="170">
        <v>43300</v>
      </c>
      <c r="M884" s="116">
        <v>1258.0999999999999</v>
      </c>
      <c r="N884" s="116">
        <v>1296.6500000000001</v>
      </c>
      <c r="O884" s="116">
        <v>1253</v>
      </c>
      <c r="P884" s="116">
        <v>1294.3</v>
      </c>
      <c r="Q884" s="116">
        <v>1258.0999999999999</v>
      </c>
      <c r="R884">
        <v>1468552</v>
      </c>
    </row>
    <row r="885" spans="1:18" x14ac:dyDescent="0.25">
      <c r="A885" s="170">
        <v>43301</v>
      </c>
      <c r="B885" s="116">
        <v>1289</v>
      </c>
      <c r="C885" s="116">
        <v>1269.3499999999999</v>
      </c>
      <c r="D885" s="116">
        <v>1255</v>
      </c>
      <c r="E885" s="116">
        <v>1258.8499999999999</v>
      </c>
      <c r="F885" s="116">
        <v>1269.3499999999999</v>
      </c>
      <c r="G885">
        <v>208287</v>
      </c>
      <c r="H885" s="116"/>
      <c r="I885" s="116"/>
      <c r="L885" s="170">
        <v>43301</v>
      </c>
      <c r="M885" s="116">
        <v>1270.3499999999999</v>
      </c>
      <c r="N885" s="116">
        <v>1289</v>
      </c>
      <c r="O885" s="116">
        <v>1255.55</v>
      </c>
      <c r="P885" s="116">
        <v>1257.5</v>
      </c>
      <c r="Q885" s="116">
        <v>1270.3499999999999</v>
      </c>
      <c r="R885">
        <v>1937969</v>
      </c>
    </row>
    <row r="886" spans="1:18" x14ac:dyDescent="0.25">
      <c r="A886" s="170">
        <v>43304</v>
      </c>
      <c r="B886" s="116">
        <v>1284</v>
      </c>
      <c r="C886" s="116">
        <v>1279.5</v>
      </c>
      <c r="D886" s="116">
        <v>1262.4000000000001</v>
      </c>
      <c r="E886" s="116">
        <v>1272</v>
      </c>
      <c r="F886" s="116">
        <v>1279.5</v>
      </c>
      <c r="G886">
        <v>102891</v>
      </c>
      <c r="H886" s="116"/>
      <c r="I886" s="116"/>
      <c r="L886" s="170">
        <v>43304</v>
      </c>
      <c r="M886" s="116">
        <v>1279.1500000000001</v>
      </c>
      <c r="N886" s="116">
        <v>1283</v>
      </c>
      <c r="O886" s="116">
        <v>1262.2</v>
      </c>
      <c r="P886" s="116">
        <v>1270.5</v>
      </c>
      <c r="Q886" s="116">
        <v>1279.1500000000001</v>
      </c>
      <c r="R886">
        <v>1229445</v>
      </c>
    </row>
    <row r="887" spans="1:18" x14ac:dyDescent="0.25">
      <c r="A887" s="170">
        <v>43305</v>
      </c>
      <c r="B887" s="116">
        <v>1325</v>
      </c>
      <c r="C887" s="116">
        <v>1322.55</v>
      </c>
      <c r="D887" s="116">
        <v>1282</v>
      </c>
      <c r="E887" s="116">
        <v>1287</v>
      </c>
      <c r="F887" s="116">
        <v>1322.55</v>
      </c>
      <c r="G887">
        <v>274667</v>
      </c>
      <c r="H887" s="116"/>
      <c r="I887" s="116"/>
      <c r="L887" s="170">
        <v>43305</v>
      </c>
      <c r="M887" s="116">
        <v>1324</v>
      </c>
      <c r="N887" s="116">
        <v>1328</v>
      </c>
      <c r="O887" s="116">
        <v>1281</v>
      </c>
      <c r="P887" s="116">
        <v>1285</v>
      </c>
      <c r="Q887" s="116">
        <v>1324</v>
      </c>
      <c r="R887">
        <v>4071039</v>
      </c>
    </row>
    <row r="888" spans="1:18" x14ac:dyDescent="0.25">
      <c r="A888" s="170">
        <v>43306</v>
      </c>
      <c r="B888" s="116">
        <v>1335</v>
      </c>
      <c r="C888" s="116">
        <v>1320.05</v>
      </c>
      <c r="D888" s="116">
        <v>1315.5</v>
      </c>
      <c r="E888" s="116">
        <v>1335</v>
      </c>
      <c r="F888" s="116">
        <v>1320.05</v>
      </c>
      <c r="G888">
        <v>142185</v>
      </c>
      <c r="H888" s="116"/>
      <c r="I888" s="116"/>
      <c r="L888" s="170">
        <v>43306</v>
      </c>
      <c r="M888" s="116">
        <v>1320.7</v>
      </c>
      <c r="N888" s="116">
        <v>1335.95</v>
      </c>
      <c r="O888" s="116">
        <v>1313.65</v>
      </c>
      <c r="P888" s="116">
        <v>1331.45</v>
      </c>
      <c r="Q888" s="116">
        <v>1320.7</v>
      </c>
      <c r="R888">
        <v>2254936</v>
      </c>
    </row>
    <row r="889" spans="1:18" x14ac:dyDescent="0.25">
      <c r="A889" s="170">
        <v>43307</v>
      </c>
      <c r="B889" s="116">
        <v>1346.8</v>
      </c>
      <c r="C889" s="116">
        <v>1306.05</v>
      </c>
      <c r="D889" s="116">
        <v>1295.3499999999999</v>
      </c>
      <c r="E889" s="116">
        <v>1339</v>
      </c>
      <c r="F889" s="116">
        <v>1306.05</v>
      </c>
      <c r="G889">
        <v>427180</v>
      </c>
      <c r="H889" s="116"/>
      <c r="I889" s="116"/>
      <c r="L889" s="170">
        <v>43307</v>
      </c>
      <c r="M889" s="116">
        <v>1305.95</v>
      </c>
      <c r="N889" s="116">
        <v>1346.9</v>
      </c>
      <c r="O889" s="116">
        <v>1293.25</v>
      </c>
      <c r="P889" s="116">
        <v>1331.8</v>
      </c>
      <c r="Q889" s="116">
        <v>1305.95</v>
      </c>
      <c r="R889">
        <v>7489743</v>
      </c>
    </row>
    <row r="890" spans="1:18" x14ac:dyDescent="0.25">
      <c r="A890" s="170">
        <v>43308</v>
      </c>
      <c r="B890" s="116">
        <v>1319.15</v>
      </c>
      <c r="C890" s="116">
        <v>1311.4</v>
      </c>
      <c r="D890" s="116">
        <v>1301.7</v>
      </c>
      <c r="E890" s="116">
        <v>1307.5</v>
      </c>
      <c r="F890" s="116">
        <v>1311.4</v>
      </c>
      <c r="G890">
        <v>110133</v>
      </c>
      <c r="H890" s="116"/>
      <c r="I890" s="116"/>
      <c r="L890" s="170">
        <v>43308</v>
      </c>
      <c r="M890" s="116">
        <v>1311.45</v>
      </c>
      <c r="N890" s="116">
        <v>1319.5</v>
      </c>
      <c r="O890" s="116">
        <v>1300.5</v>
      </c>
      <c r="P890" s="116">
        <v>1313.7</v>
      </c>
      <c r="Q890" s="116">
        <v>1311.45</v>
      </c>
      <c r="R890">
        <v>1785314</v>
      </c>
    </row>
    <row r="891" spans="1:18" x14ac:dyDescent="0.25">
      <c r="A891" s="170">
        <v>43311</v>
      </c>
      <c r="B891" s="116">
        <v>1320</v>
      </c>
      <c r="C891" s="116">
        <v>1295.8</v>
      </c>
      <c r="D891" s="116">
        <v>1292</v>
      </c>
      <c r="E891" s="116">
        <v>1319</v>
      </c>
      <c r="F891" s="116">
        <v>1295.8</v>
      </c>
      <c r="G891">
        <v>107127</v>
      </c>
      <c r="H891" s="116"/>
      <c r="I891" s="116"/>
      <c r="L891" s="170">
        <v>43311</v>
      </c>
      <c r="M891" s="116">
        <v>1295.3499999999999</v>
      </c>
      <c r="N891" s="116">
        <v>1316.5</v>
      </c>
      <c r="O891" s="116">
        <v>1291.2</v>
      </c>
      <c r="P891" s="116">
        <v>1312.5</v>
      </c>
      <c r="Q891" s="116">
        <v>1295.3499999999999</v>
      </c>
      <c r="R891">
        <v>3090391</v>
      </c>
    </row>
    <row r="892" spans="1:18" x14ac:dyDescent="0.25">
      <c r="A892" s="170">
        <v>43312</v>
      </c>
      <c r="B892" s="116">
        <v>1309.45</v>
      </c>
      <c r="C892" s="116">
        <v>1302.5999999999999</v>
      </c>
      <c r="D892" s="116">
        <v>1285.75</v>
      </c>
      <c r="E892" s="116">
        <v>1306.4000000000001</v>
      </c>
      <c r="F892" s="116">
        <v>1302.5999999999999</v>
      </c>
      <c r="G892">
        <v>238123</v>
      </c>
      <c r="H892" s="116"/>
      <c r="I892" s="116"/>
      <c r="L892" s="170">
        <v>43312</v>
      </c>
      <c r="M892" s="116">
        <v>1302.3</v>
      </c>
      <c r="N892" s="116">
        <v>1310.45</v>
      </c>
      <c r="O892" s="116">
        <v>1285</v>
      </c>
      <c r="P892" s="116">
        <v>1299.95</v>
      </c>
      <c r="Q892" s="116">
        <v>1302.3</v>
      </c>
      <c r="R892">
        <v>2304148</v>
      </c>
    </row>
    <row r="893" spans="1:18" x14ac:dyDescent="0.25">
      <c r="A893" s="170">
        <v>43313</v>
      </c>
      <c r="B893" s="116">
        <v>1309.45</v>
      </c>
      <c r="C893" s="116">
        <v>1297.6500000000001</v>
      </c>
      <c r="D893" s="116">
        <v>1294.3499999999999</v>
      </c>
      <c r="E893" s="116">
        <v>1308</v>
      </c>
      <c r="F893" s="116">
        <v>1297.6500000000001</v>
      </c>
      <c r="G893">
        <v>81408</v>
      </c>
      <c r="H893" s="116"/>
      <c r="I893" s="116"/>
      <c r="L893" s="170">
        <v>43313</v>
      </c>
      <c r="M893" s="116">
        <v>1298</v>
      </c>
      <c r="N893" s="116">
        <v>1308.8499999999999</v>
      </c>
      <c r="O893" s="116">
        <v>1292.95</v>
      </c>
      <c r="P893" s="116">
        <v>1306</v>
      </c>
      <c r="Q893" s="116">
        <v>1298</v>
      </c>
      <c r="R893">
        <v>1924210</v>
      </c>
    </row>
    <row r="894" spans="1:18" x14ac:dyDescent="0.25">
      <c r="A894" s="170">
        <v>43314</v>
      </c>
      <c r="B894" s="116">
        <v>1301.9000000000001</v>
      </c>
      <c r="C894" s="116">
        <v>1281.8</v>
      </c>
      <c r="D894" s="116">
        <v>1280.0999999999999</v>
      </c>
      <c r="E894" s="116">
        <v>1301.9000000000001</v>
      </c>
      <c r="F894" s="116">
        <v>1281.8</v>
      </c>
      <c r="G894">
        <v>660546</v>
      </c>
      <c r="H894" s="116"/>
      <c r="I894" s="116"/>
      <c r="L894" s="170">
        <v>43314</v>
      </c>
      <c r="M894" s="116">
        <v>1282.4000000000001</v>
      </c>
      <c r="N894" s="116">
        <v>1296.95</v>
      </c>
      <c r="O894" s="116">
        <v>1280</v>
      </c>
      <c r="P894" s="116">
        <v>1294.4000000000001</v>
      </c>
      <c r="Q894" s="116">
        <v>1282.4000000000001</v>
      </c>
      <c r="R894">
        <v>1415162</v>
      </c>
    </row>
    <row r="895" spans="1:18" x14ac:dyDescent="0.25">
      <c r="A895" s="170">
        <v>43315</v>
      </c>
      <c r="B895" s="116">
        <v>1297.8</v>
      </c>
      <c r="C895" s="116">
        <v>1291.3499999999999</v>
      </c>
      <c r="D895" s="116">
        <v>1283.0999999999999</v>
      </c>
      <c r="E895" s="116">
        <v>1283.0999999999999</v>
      </c>
      <c r="F895" s="116">
        <v>1291.3499999999999</v>
      </c>
      <c r="G895">
        <v>105946</v>
      </c>
      <c r="H895" s="116"/>
      <c r="I895" s="116"/>
      <c r="L895" s="170">
        <v>43315</v>
      </c>
      <c r="M895" s="116">
        <v>1290</v>
      </c>
      <c r="N895" s="116">
        <v>1297.7</v>
      </c>
      <c r="O895" s="116">
        <v>1283.05</v>
      </c>
      <c r="P895" s="116">
        <v>1285.2</v>
      </c>
      <c r="Q895" s="116">
        <v>1290</v>
      </c>
      <c r="R895">
        <v>1279774</v>
      </c>
    </row>
    <row r="896" spans="1:18" x14ac:dyDescent="0.25">
      <c r="A896" s="170">
        <v>43318</v>
      </c>
      <c r="B896" s="116">
        <v>1298.2</v>
      </c>
      <c r="C896" s="116">
        <v>1291.2</v>
      </c>
      <c r="D896" s="116">
        <v>1286.25</v>
      </c>
      <c r="E896" s="116">
        <v>1290.05</v>
      </c>
      <c r="F896" s="116">
        <v>1291.2</v>
      </c>
      <c r="G896">
        <v>57683</v>
      </c>
      <c r="H896" s="116"/>
      <c r="I896" s="116"/>
      <c r="L896" s="170">
        <v>43318</v>
      </c>
      <c r="M896" s="116">
        <v>1290.45</v>
      </c>
      <c r="N896" s="116">
        <v>1299.8</v>
      </c>
      <c r="O896" s="116">
        <v>1285.8</v>
      </c>
      <c r="P896" s="116">
        <v>1294</v>
      </c>
      <c r="Q896" s="116">
        <v>1290.45</v>
      </c>
      <c r="R896">
        <v>842106</v>
      </c>
    </row>
    <row r="897" spans="1:18" x14ac:dyDescent="0.25">
      <c r="A897" s="170">
        <v>43319</v>
      </c>
      <c r="B897" s="116">
        <v>1308</v>
      </c>
      <c r="C897" s="116">
        <v>1295.6500000000001</v>
      </c>
      <c r="D897" s="116">
        <v>1292.45</v>
      </c>
      <c r="E897" s="116">
        <v>1298.0999999999999</v>
      </c>
      <c r="F897" s="116">
        <v>1295.6500000000001</v>
      </c>
      <c r="G897">
        <v>91308</v>
      </c>
      <c r="H897" s="116"/>
      <c r="I897" s="116"/>
      <c r="L897" s="170">
        <v>43319</v>
      </c>
      <c r="M897" s="116">
        <v>1295.3</v>
      </c>
      <c r="N897" s="116">
        <v>1308</v>
      </c>
      <c r="O897" s="116">
        <v>1292.3499999999999</v>
      </c>
      <c r="P897" s="116">
        <v>1296.7</v>
      </c>
      <c r="Q897" s="116">
        <v>1295.3</v>
      </c>
      <c r="R897">
        <v>1458197</v>
      </c>
    </row>
    <row r="898" spans="1:18" x14ac:dyDescent="0.25">
      <c r="A898" s="170">
        <v>43320</v>
      </c>
      <c r="B898" s="116">
        <v>1307.95</v>
      </c>
      <c r="C898" s="116">
        <v>1297.75</v>
      </c>
      <c r="D898" s="116">
        <v>1290.95</v>
      </c>
      <c r="E898" s="116">
        <v>1295.55</v>
      </c>
      <c r="F898" s="116">
        <v>1297.75</v>
      </c>
      <c r="G898">
        <v>67025</v>
      </c>
      <c r="H898" s="116"/>
      <c r="I898" s="116"/>
      <c r="L898" s="170">
        <v>43320</v>
      </c>
      <c r="M898" s="116">
        <v>1298.25</v>
      </c>
      <c r="N898" s="116">
        <v>1308.8</v>
      </c>
      <c r="O898" s="116">
        <v>1290.1500000000001</v>
      </c>
      <c r="P898" s="116">
        <v>1297.6500000000001</v>
      </c>
      <c r="Q898" s="116">
        <v>1298.25</v>
      </c>
      <c r="R898">
        <v>1308818</v>
      </c>
    </row>
    <row r="899" spans="1:18" x14ac:dyDescent="0.25">
      <c r="A899" s="170">
        <v>43321</v>
      </c>
      <c r="B899" s="116">
        <v>1304</v>
      </c>
      <c r="C899" s="116">
        <v>1286.3499999999999</v>
      </c>
      <c r="D899" s="116">
        <v>1284</v>
      </c>
      <c r="E899" s="116">
        <v>1300.05</v>
      </c>
      <c r="F899" s="116">
        <v>1286.3499999999999</v>
      </c>
      <c r="G899">
        <v>82650</v>
      </c>
      <c r="H899" s="116"/>
      <c r="I899" s="116"/>
      <c r="L899" s="170">
        <v>43321</v>
      </c>
      <c r="M899" s="116">
        <v>1284.7</v>
      </c>
      <c r="N899" s="116">
        <v>1303.9000000000001</v>
      </c>
      <c r="O899" s="116">
        <v>1282.75</v>
      </c>
      <c r="P899" s="116">
        <v>1299.95</v>
      </c>
      <c r="Q899" s="116">
        <v>1284.7</v>
      </c>
      <c r="R899">
        <v>1035908</v>
      </c>
    </row>
    <row r="900" spans="1:18" x14ac:dyDescent="0.25">
      <c r="A900" s="170">
        <v>43322</v>
      </c>
      <c r="B900" s="116">
        <v>1295.55</v>
      </c>
      <c r="C900" s="116">
        <v>1264.9000000000001</v>
      </c>
      <c r="D900" s="116">
        <v>1261</v>
      </c>
      <c r="E900" s="116">
        <v>1285</v>
      </c>
      <c r="F900" s="116">
        <v>1264.9000000000001</v>
      </c>
      <c r="G900">
        <v>177123</v>
      </c>
      <c r="H900" s="116"/>
      <c r="I900" s="116"/>
      <c r="L900" s="170">
        <v>43322</v>
      </c>
      <c r="M900" s="116">
        <v>1264.6500000000001</v>
      </c>
      <c r="N900" s="116">
        <v>1295.4000000000001</v>
      </c>
      <c r="O900" s="116">
        <v>1262</v>
      </c>
      <c r="P900" s="116">
        <v>1282.3499999999999</v>
      </c>
      <c r="Q900" s="116">
        <v>1264.6500000000001</v>
      </c>
      <c r="R900">
        <v>1784956</v>
      </c>
    </row>
    <row r="901" spans="1:18" x14ac:dyDescent="0.25">
      <c r="A901" s="170">
        <v>43325</v>
      </c>
      <c r="B901" s="116">
        <v>1278.45</v>
      </c>
      <c r="C901" s="116">
        <v>1268.55</v>
      </c>
      <c r="D901" s="116">
        <v>1252</v>
      </c>
      <c r="E901" s="116">
        <v>1265.9000000000001</v>
      </c>
      <c r="F901" s="116">
        <v>1268.55</v>
      </c>
      <c r="G901">
        <v>94652</v>
      </c>
      <c r="H901" s="116"/>
      <c r="I901" s="116"/>
      <c r="L901" s="170">
        <v>43325</v>
      </c>
      <c r="M901" s="116">
        <v>1269.05</v>
      </c>
      <c r="N901" s="116">
        <v>1278.8</v>
      </c>
      <c r="O901" s="116">
        <v>1252</v>
      </c>
      <c r="P901" s="116">
        <v>1264.5</v>
      </c>
      <c r="Q901" s="116">
        <v>1269.05</v>
      </c>
      <c r="R901">
        <v>1627092</v>
      </c>
    </row>
    <row r="902" spans="1:18" x14ac:dyDescent="0.25">
      <c r="A902" s="170">
        <v>43326</v>
      </c>
      <c r="B902" s="116">
        <v>1266.75</v>
      </c>
      <c r="C902" s="116">
        <v>1253.5</v>
      </c>
      <c r="D902" s="116">
        <v>1250.0999999999999</v>
      </c>
      <c r="E902" s="116">
        <v>1266.75</v>
      </c>
      <c r="F902" s="116">
        <v>1253.5</v>
      </c>
      <c r="G902">
        <v>165451</v>
      </c>
      <c r="H902" s="116"/>
      <c r="I902" s="116"/>
      <c r="L902" s="170">
        <v>43326</v>
      </c>
      <c r="M902" s="116">
        <v>1253.25</v>
      </c>
      <c r="N902" s="116">
        <v>1266.7</v>
      </c>
      <c r="O902" s="116">
        <v>1250.0999999999999</v>
      </c>
      <c r="P902" s="116">
        <v>1264.1500000000001</v>
      </c>
      <c r="Q902" s="116">
        <v>1253.25</v>
      </c>
      <c r="R902">
        <v>2146242</v>
      </c>
    </row>
    <row r="903" spans="1:18" x14ac:dyDescent="0.25">
      <c r="A903" s="170">
        <v>43328</v>
      </c>
      <c r="B903" s="116">
        <v>1262.5</v>
      </c>
      <c r="C903" s="116">
        <v>1232.95</v>
      </c>
      <c r="D903" s="116">
        <v>1226.05</v>
      </c>
      <c r="E903" s="116">
        <v>1253.9000000000001</v>
      </c>
      <c r="F903" s="116">
        <v>1232.95</v>
      </c>
      <c r="G903">
        <v>172646</v>
      </c>
      <c r="H903" s="116"/>
      <c r="I903" s="116"/>
      <c r="L903" s="170">
        <v>43328</v>
      </c>
      <c r="M903" s="116">
        <v>1231.6500000000001</v>
      </c>
      <c r="N903" s="116">
        <v>1262.6500000000001</v>
      </c>
      <c r="O903" s="116">
        <v>1226</v>
      </c>
      <c r="P903" s="116">
        <v>1247.9000000000001</v>
      </c>
      <c r="Q903" s="116">
        <v>1231.6500000000001</v>
      </c>
      <c r="R903">
        <v>2292161</v>
      </c>
    </row>
    <row r="904" spans="1:18" x14ac:dyDescent="0.25">
      <c r="A904" s="170">
        <v>43329</v>
      </c>
      <c r="B904" s="116">
        <v>1247.5</v>
      </c>
      <c r="C904" s="116">
        <v>1240.3</v>
      </c>
      <c r="D904" s="116">
        <v>1231.5</v>
      </c>
      <c r="E904" s="116">
        <v>1244</v>
      </c>
      <c r="F904" s="116">
        <v>1240.3</v>
      </c>
      <c r="G904">
        <v>158035</v>
      </c>
      <c r="H904" s="116"/>
      <c r="I904" s="116"/>
      <c r="L904" s="170">
        <v>43329</v>
      </c>
      <c r="M904" s="116">
        <v>1240.1500000000001</v>
      </c>
      <c r="N904" s="116">
        <v>1247.8</v>
      </c>
      <c r="O904" s="116">
        <v>1231.45</v>
      </c>
      <c r="P904" s="116">
        <v>1239</v>
      </c>
      <c r="Q904" s="116">
        <v>1240.1500000000001</v>
      </c>
      <c r="R904">
        <v>1750983</v>
      </c>
    </row>
    <row r="905" spans="1:18" x14ac:dyDescent="0.25">
      <c r="A905" s="170">
        <v>43332</v>
      </c>
      <c r="B905" s="116">
        <v>1331</v>
      </c>
      <c r="C905" s="116">
        <v>1323.95</v>
      </c>
      <c r="D905" s="116">
        <v>1281.9000000000001</v>
      </c>
      <c r="E905" s="116">
        <v>1300</v>
      </c>
      <c r="F905" s="116">
        <v>1323.95</v>
      </c>
      <c r="G905">
        <v>1090486</v>
      </c>
      <c r="H905" s="116"/>
      <c r="I905" s="116"/>
      <c r="L905" s="170">
        <v>43332</v>
      </c>
      <c r="M905" s="116">
        <v>1323.7</v>
      </c>
      <c r="N905" s="116">
        <v>1331.9</v>
      </c>
      <c r="O905" s="116">
        <v>1282</v>
      </c>
      <c r="P905" s="116">
        <v>1300</v>
      </c>
      <c r="Q905" s="116">
        <v>1323.7</v>
      </c>
      <c r="R905">
        <v>11227838</v>
      </c>
    </row>
    <row r="906" spans="1:18" x14ac:dyDescent="0.25">
      <c r="A906" s="170">
        <v>43333</v>
      </c>
      <c r="B906" s="116">
        <v>1334.5</v>
      </c>
      <c r="C906" s="116">
        <v>1322.15</v>
      </c>
      <c r="D906" s="116">
        <v>1315.1</v>
      </c>
      <c r="E906" s="116">
        <v>1331.9</v>
      </c>
      <c r="F906" s="116">
        <v>1322.15</v>
      </c>
      <c r="G906">
        <v>227709</v>
      </c>
      <c r="H906" s="116"/>
      <c r="I906" s="116"/>
      <c r="L906" s="170">
        <v>43333</v>
      </c>
      <c r="M906" s="116">
        <v>1322.55</v>
      </c>
      <c r="N906" s="116">
        <v>1335</v>
      </c>
      <c r="O906" s="116">
        <v>1315</v>
      </c>
      <c r="P906" s="116">
        <v>1335</v>
      </c>
      <c r="Q906" s="116">
        <v>1322.55</v>
      </c>
      <c r="R906">
        <v>3057182</v>
      </c>
    </row>
    <row r="907" spans="1:18" x14ac:dyDescent="0.25">
      <c r="A907" s="170">
        <v>43335</v>
      </c>
      <c r="B907" s="116">
        <v>1363.9</v>
      </c>
      <c r="C907" s="116">
        <v>1352.5</v>
      </c>
      <c r="D907" s="116">
        <v>1320</v>
      </c>
      <c r="E907" s="116">
        <v>1326.1</v>
      </c>
      <c r="F907" s="116">
        <v>1352.5</v>
      </c>
      <c r="G907">
        <v>666874</v>
      </c>
      <c r="H907" s="116"/>
      <c r="I907" s="116"/>
      <c r="L907" s="170">
        <v>43335</v>
      </c>
      <c r="M907" s="116">
        <v>1352.05</v>
      </c>
      <c r="N907" s="116">
        <v>1363.9</v>
      </c>
      <c r="O907" s="116">
        <v>1318.7</v>
      </c>
      <c r="P907" s="116">
        <v>1329.2</v>
      </c>
      <c r="Q907" s="116">
        <v>1352.05</v>
      </c>
      <c r="R907">
        <v>8248115</v>
      </c>
    </row>
    <row r="908" spans="1:18" x14ac:dyDescent="0.25">
      <c r="A908" s="170">
        <v>43336</v>
      </c>
      <c r="B908" s="116">
        <v>1363.6</v>
      </c>
      <c r="C908" s="116">
        <v>1342.8</v>
      </c>
      <c r="D908" s="116">
        <v>1341</v>
      </c>
      <c r="E908" s="116">
        <v>1356</v>
      </c>
      <c r="F908" s="116">
        <v>1342.8</v>
      </c>
      <c r="G908">
        <v>306642</v>
      </c>
      <c r="H908" s="116"/>
      <c r="I908" s="116"/>
      <c r="L908" s="170">
        <v>43336</v>
      </c>
      <c r="M908" s="116">
        <v>1342.9</v>
      </c>
      <c r="N908" s="116">
        <v>1363</v>
      </c>
      <c r="O908" s="116">
        <v>1341</v>
      </c>
      <c r="P908" s="116">
        <v>1353.7</v>
      </c>
      <c r="Q908" s="116">
        <v>1342.9</v>
      </c>
      <c r="R908">
        <v>3506532</v>
      </c>
    </row>
    <row r="909" spans="1:18" x14ac:dyDescent="0.25">
      <c r="A909" s="170">
        <v>43339</v>
      </c>
      <c r="B909" s="116">
        <v>1366.7</v>
      </c>
      <c r="C909" s="116">
        <v>1356.15</v>
      </c>
      <c r="D909" s="116">
        <v>1345.6</v>
      </c>
      <c r="E909" s="116">
        <v>1350.35</v>
      </c>
      <c r="F909" s="116">
        <v>1356.15</v>
      </c>
      <c r="G909">
        <v>212010</v>
      </c>
      <c r="H909" s="116"/>
      <c r="I909" s="116"/>
      <c r="L909" s="170">
        <v>43339</v>
      </c>
      <c r="M909" s="116">
        <v>1356.1</v>
      </c>
      <c r="N909" s="116">
        <v>1366</v>
      </c>
      <c r="O909" s="116">
        <v>1345.4</v>
      </c>
      <c r="P909" s="116">
        <v>1355</v>
      </c>
      <c r="Q909" s="116">
        <v>1356.1</v>
      </c>
      <c r="R909">
        <v>2595682</v>
      </c>
    </row>
    <row r="910" spans="1:18" x14ac:dyDescent="0.25">
      <c r="A910" s="170">
        <v>43340</v>
      </c>
      <c r="B910" s="116">
        <v>1366.75</v>
      </c>
      <c r="C910" s="116">
        <v>1355.8</v>
      </c>
      <c r="D910" s="116">
        <v>1352.25</v>
      </c>
      <c r="E910" s="116">
        <v>1360.2</v>
      </c>
      <c r="F910" s="116">
        <v>1355.8</v>
      </c>
      <c r="G910">
        <v>451279</v>
      </c>
      <c r="H910" s="116"/>
      <c r="I910" s="116"/>
      <c r="L910" s="170">
        <v>43340</v>
      </c>
      <c r="M910" s="116">
        <v>1355.6</v>
      </c>
      <c r="N910" s="116">
        <v>1366</v>
      </c>
      <c r="O910" s="116">
        <v>1352</v>
      </c>
      <c r="P910" s="116">
        <v>1362.35</v>
      </c>
      <c r="Q910" s="116">
        <v>1355.6</v>
      </c>
      <c r="R910">
        <v>1889337</v>
      </c>
    </row>
    <row r="911" spans="1:18" x14ac:dyDescent="0.25">
      <c r="A911" s="170">
        <v>43341</v>
      </c>
      <c r="B911" s="116">
        <v>1359.8</v>
      </c>
      <c r="C911" s="116">
        <v>1351.4</v>
      </c>
      <c r="D911" s="116">
        <v>1346.25</v>
      </c>
      <c r="E911" s="116">
        <v>1356</v>
      </c>
      <c r="F911" s="116">
        <v>1351.4</v>
      </c>
      <c r="G911">
        <v>123575</v>
      </c>
      <c r="H911" s="116"/>
      <c r="I911" s="116"/>
      <c r="L911" s="170">
        <v>43341</v>
      </c>
      <c r="M911" s="116">
        <v>1351.55</v>
      </c>
      <c r="N911" s="116">
        <v>1356.8</v>
      </c>
      <c r="O911" s="116">
        <v>1344.7</v>
      </c>
      <c r="P911" s="116">
        <v>1356.8</v>
      </c>
      <c r="Q911" s="116">
        <v>1351.55</v>
      </c>
      <c r="R911">
        <v>1435495</v>
      </c>
    </row>
    <row r="912" spans="1:18" x14ac:dyDescent="0.25">
      <c r="A912" s="170">
        <v>43342</v>
      </c>
      <c r="B912" s="116">
        <v>1362.65</v>
      </c>
      <c r="C912" s="116">
        <v>1349.55</v>
      </c>
      <c r="D912" s="116">
        <v>1347.7</v>
      </c>
      <c r="E912" s="116">
        <v>1357</v>
      </c>
      <c r="F912" s="116">
        <v>1349.55</v>
      </c>
      <c r="G912">
        <v>116646</v>
      </c>
      <c r="H912" s="116"/>
      <c r="I912" s="116"/>
      <c r="L912" s="170">
        <v>43342</v>
      </c>
      <c r="M912" s="116">
        <v>1346.55</v>
      </c>
      <c r="N912" s="116">
        <v>1362.9</v>
      </c>
      <c r="O912" s="116">
        <v>1344</v>
      </c>
      <c r="P912" s="116">
        <v>1351.15</v>
      </c>
      <c r="Q912" s="116">
        <v>1346.55</v>
      </c>
      <c r="R912">
        <v>2288925</v>
      </c>
    </row>
    <row r="913" spans="1:18" x14ac:dyDescent="0.25">
      <c r="A913" s="170">
        <v>43343</v>
      </c>
      <c r="B913" s="116">
        <v>1373.9</v>
      </c>
      <c r="C913" s="116">
        <v>1369.1</v>
      </c>
      <c r="D913" s="116">
        <v>1350</v>
      </c>
      <c r="E913" s="116">
        <v>1353</v>
      </c>
      <c r="F913" s="116">
        <v>1369.1</v>
      </c>
      <c r="G913">
        <v>218196</v>
      </c>
      <c r="H913" s="116"/>
      <c r="I913" s="116"/>
      <c r="L913" s="170">
        <v>43343</v>
      </c>
      <c r="M913" s="116">
        <v>1369.55</v>
      </c>
      <c r="N913" s="116">
        <v>1374</v>
      </c>
      <c r="O913" s="116">
        <v>1348.95</v>
      </c>
      <c r="P913" s="116">
        <v>1348.95</v>
      </c>
      <c r="Q913" s="116">
        <v>1369.55</v>
      </c>
      <c r="R913">
        <v>3549583</v>
      </c>
    </row>
    <row r="914" spans="1:18" x14ac:dyDescent="0.25">
      <c r="A914" s="170">
        <v>43346</v>
      </c>
      <c r="B914" s="116">
        <v>1389</v>
      </c>
      <c r="C914" s="116">
        <v>1364.3</v>
      </c>
      <c r="D914" s="116">
        <v>1361.5</v>
      </c>
      <c r="E914" s="116">
        <v>1375</v>
      </c>
      <c r="F914" s="116">
        <v>1364.3</v>
      </c>
      <c r="G914">
        <v>183460</v>
      </c>
      <c r="H914" s="116"/>
      <c r="I914" s="116"/>
      <c r="L914" s="170">
        <v>43346</v>
      </c>
      <c r="M914" s="116">
        <v>1363</v>
      </c>
      <c r="N914" s="116">
        <v>1390</v>
      </c>
      <c r="O914" s="116">
        <v>1360.1</v>
      </c>
      <c r="P914" s="116">
        <v>1375</v>
      </c>
      <c r="Q914" s="116">
        <v>1363</v>
      </c>
      <c r="R914">
        <v>2347852</v>
      </c>
    </row>
    <row r="915" spans="1:18" x14ac:dyDescent="0.25">
      <c r="A915" s="170">
        <v>43347</v>
      </c>
      <c r="B915" s="116">
        <v>1371.65</v>
      </c>
      <c r="C915" s="116">
        <v>1359.5</v>
      </c>
      <c r="D915" s="116">
        <v>1355</v>
      </c>
      <c r="E915" s="116">
        <v>1368</v>
      </c>
      <c r="F915" s="116">
        <v>1359.5</v>
      </c>
      <c r="G915">
        <v>162954</v>
      </c>
      <c r="H915" s="116"/>
      <c r="I915" s="116"/>
      <c r="L915" s="170">
        <v>43347</v>
      </c>
      <c r="M915" s="116">
        <v>1359.3</v>
      </c>
      <c r="N915" s="116">
        <v>1371.6</v>
      </c>
      <c r="O915" s="116">
        <v>1354.1</v>
      </c>
      <c r="P915" s="116">
        <v>1365</v>
      </c>
      <c r="Q915" s="116">
        <v>1359.3</v>
      </c>
      <c r="R915">
        <v>1517216</v>
      </c>
    </row>
    <row r="916" spans="1:18" x14ac:dyDescent="0.25">
      <c r="A916" s="170">
        <v>43348</v>
      </c>
      <c r="B916" s="116">
        <v>1363</v>
      </c>
      <c r="C916" s="116">
        <v>1348.3</v>
      </c>
      <c r="D916" s="116">
        <v>1341.55</v>
      </c>
      <c r="E916" s="116">
        <v>1359.9</v>
      </c>
      <c r="F916" s="116">
        <v>1348.3</v>
      </c>
      <c r="G916">
        <v>175740</v>
      </c>
      <c r="H916" s="116"/>
      <c r="I916" s="116"/>
      <c r="L916" s="170">
        <v>43348</v>
      </c>
      <c r="M916" s="116">
        <v>1348</v>
      </c>
      <c r="N916" s="116">
        <v>1363.9</v>
      </c>
      <c r="O916" s="116">
        <v>1341.4</v>
      </c>
      <c r="P916" s="116">
        <v>1357.9</v>
      </c>
      <c r="Q916" s="116">
        <v>1348</v>
      </c>
      <c r="R916">
        <v>2413590</v>
      </c>
    </row>
    <row r="917" spans="1:18" x14ac:dyDescent="0.25">
      <c r="A917" s="170">
        <v>43349</v>
      </c>
      <c r="B917" s="116">
        <v>1355.7</v>
      </c>
      <c r="C917" s="116">
        <v>1346.6</v>
      </c>
      <c r="D917" s="116">
        <v>1340</v>
      </c>
      <c r="E917" s="116">
        <v>1351.3</v>
      </c>
      <c r="F917" s="116">
        <v>1346.6</v>
      </c>
      <c r="G917">
        <v>122220</v>
      </c>
      <c r="H917" s="116"/>
      <c r="I917" s="116"/>
      <c r="L917" s="170">
        <v>43349</v>
      </c>
      <c r="M917" s="116">
        <v>1347.1</v>
      </c>
      <c r="N917" s="116">
        <v>1355.6</v>
      </c>
      <c r="O917" s="116">
        <v>1338.8</v>
      </c>
      <c r="P917" s="116">
        <v>1349.8</v>
      </c>
      <c r="Q917" s="116">
        <v>1347.1</v>
      </c>
      <c r="R917">
        <v>1586350</v>
      </c>
    </row>
    <row r="918" spans="1:18" x14ac:dyDescent="0.25">
      <c r="A918" s="170">
        <v>43350</v>
      </c>
      <c r="B918" s="116">
        <v>1357.05</v>
      </c>
      <c r="C918" s="116">
        <v>1348.75</v>
      </c>
      <c r="D918" s="116">
        <v>1341</v>
      </c>
      <c r="E918" s="116">
        <v>1346.6</v>
      </c>
      <c r="F918" s="116">
        <v>1348.75</v>
      </c>
      <c r="G918">
        <v>112515</v>
      </c>
      <c r="H918" s="116"/>
      <c r="I918" s="116"/>
      <c r="L918" s="170">
        <v>43350</v>
      </c>
      <c r="M918" s="116">
        <v>1347.5</v>
      </c>
      <c r="N918" s="116">
        <v>1357</v>
      </c>
      <c r="O918" s="116">
        <v>1341</v>
      </c>
      <c r="P918" s="116">
        <v>1349</v>
      </c>
      <c r="Q918" s="116">
        <v>1347.5</v>
      </c>
      <c r="R918">
        <v>1307928</v>
      </c>
    </row>
    <row r="919" spans="1:18" x14ac:dyDescent="0.25">
      <c r="A919" s="170">
        <v>43353</v>
      </c>
      <c r="B919" s="116">
        <v>1352.2</v>
      </c>
      <c r="C919" s="116">
        <v>1339.6</v>
      </c>
      <c r="D919" s="116">
        <v>1336.5</v>
      </c>
      <c r="E919" s="116">
        <v>1351.35</v>
      </c>
      <c r="F919" s="116">
        <v>1339.6</v>
      </c>
      <c r="G919">
        <v>147016</v>
      </c>
      <c r="H919" s="116"/>
      <c r="I919" s="116"/>
      <c r="L919" s="170">
        <v>43353</v>
      </c>
      <c r="M919" s="116">
        <v>1336.8</v>
      </c>
      <c r="N919" s="116">
        <v>1352</v>
      </c>
      <c r="O919" s="116">
        <v>1335</v>
      </c>
      <c r="P919" s="116">
        <v>1347.75</v>
      </c>
      <c r="Q919" s="116">
        <v>1336.8</v>
      </c>
      <c r="R919">
        <v>1228247</v>
      </c>
    </row>
    <row r="920" spans="1:18" x14ac:dyDescent="0.25">
      <c r="A920" s="170">
        <v>43354</v>
      </c>
      <c r="B920" s="116">
        <v>1347.85</v>
      </c>
      <c r="C920" s="116">
        <v>1329.9</v>
      </c>
      <c r="D920" s="116">
        <v>1327.2</v>
      </c>
      <c r="E920" s="116">
        <v>1346.95</v>
      </c>
      <c r="F920" s="116">
        <v>1329.9</v>
      </c>
      <c r="G920">
        <v>128970</v>
      </c>
      <c r="H920" s="116"/>
      <c r="I920" s="116"/>
      <c r="L920" s="170">
        <v>43354</v>
      </c>
      <c r="M920" s="116">
        <v>1329.65</v>
      </c>
      <c r="N920" s="116">
        <v>1347.75</v>
      </c>
      <c r="O920" s="116">
        <v>1326.8</v>
      </c>
      <c r="P920" s="116">
        <v>1341.55</v>
      </c>
      <c r="Q920" s="116">
        <v>1329.65</v>
      </c>
      <c r="R920">
        <v>1617176</v>
      </c>
    </row>
    <row r="921" spans="1:18" x14ac:dyDescent="0.25">
      <c r="A921" s="170">
        <v>43355</v>
      </c>
      <c r="B921" s="116">
        <v>1355</v>
      </c>
      <c r="C921" s="116">
        <v>1350.85</v>
      </c>
      <c r="D921" s="116">
        <v>1320.55</v>
      </c>
      <c r="E921" s="116">
        <v>1331.9</v>
      </c>
      <c r="F921" s="116">
        <v>1350.85</v>
      </c>
      <c r="G921">
        <v>116099</v>
      </c>
      <c r="H921" s="116"/>
      <c r="I921" s="116"/>
      <c r="L921" s="170">
        <v>43355</v>
      </c>
      <c r="M921" s="116">
        <v>1352.25</v>
      </c>
      <c r="N921" s="116">
        <v>1355.95</v>
      </c>
      <c r="O921" s="116">
        <v>1320.5</v>
      </c>
      <c r="P921" s="116">
        <v>1335</v>
      </c>
      <c r="Q921" s="116">
        <v>1352.25</v>
      </c>
      <c r="R921">
        <v>1319469</v>
      </c>
    </row>
    <row r="922" spans="1:18" x14ac:dyDescent="0.25">
      <c r="A922" s="170">
        <v>43357</v>
      </c>
      <c r="B922" s="116">
        <v>1365</v>
      </c>
      <c r="C922" s="116">
        <v>1358.9</v>
      </c>
      <c r="D922" s="116">
        <v>1352</v>
      </c>
      <c r="E922" s="116">
        <v>1355.2</v>
      </c>
      <c r="F922" s="116">
        <v>1358.9</v>
      </c>
      <c r="G922">
        <v>99522</v>
      </c>
      <c r="H922" s="116"/>
      <c r="I922" s="116"/>
      <c r="L922" s="170">
        <v>43357</v>
      </c>
      <c r="M922" s="116">
        <v>1358.85</v>
      </c>
      <c r="N922" s="116">
        <v>1367.2</v>
      </c>
      <c r="O922" s="116">
        <v>1350.55</v>
      </c>
      <c r="P922" s="116">
        <v>1356</v>
      </c>
      <c r="Q922" s="116">
        <v>1358.85</v>
      </c>
      <c r="R922">
        <v>1462192</v>
      </c>
    </row>
    <row r="923" spans="1:18" x14ac:dyDescent="0.25">
      <c r="A923" s="170">
        <v>43360</v>
      </c>
      <c r="B923" s="116">
        <v>1356</v>
      </c>
      <c r="C923" s="116">
        <v>1344.25</v>
      </c>
      <c r="D923" s="116">
        <v>1340.5</v>
      </c>
      <c r="E923" s="116">
        <v>1356</v>
      </c>
      <c r="F923" s="116">
        <v>1344.25</v>
      </c>
      <c r="G923">
        <v>84150</v>
      </c>
      <c r="H923" s="116"/>
      <c r="I923" s="116"/>
      <c r="L923" s="170">
        <v>43360</v>
      </c>
      <c r="M923" s="116">
        <v>1344.75</v>
      </c>
      <c r="N923" s="116">
        <v>1353.8</v>
      </c>
      <c r="O923" s="116">
        <v>1339.6</v>
      </c>
      <c r="P923" s="116">
        <v>1351.55</v>
      </c>
      <c r="Q923" s="116">
        <v>1344.75</v>
      </c>
      <c r="R923">
        <v>912431</v>
      </c>
    </row>
    <row r="924" spans="1:18" x14ac:dyDescent="0.25">
      <c r="A924" s="170">
        <v>43361</v>
      </c>
      <c r="B924" s="116">
        <v>1350.5</v>
      </c>
      <c r="C924" s="116">
        <v>1328.7</v>
      </c>
      <c r="D924" s="116">
        <v>1325.05</v>
      </c>
      <c r="E924" s="116">
        <v>1344.25</v>
      </c>
      <c r="F924" s="116">
        <v>1328.7</v>
      </c>
      <c r="G924">
        <v>126381</v>
      </c>
      <c r="H924" s="116"/>
      <c r="I924" s="116"/>
      <c r="L924" s="170">
        <v>43361</v>
      </c>
      <c r="M924" s="116">
        <v>1327.9</v>
      </c>
      <c r="N924" s="116">
        <v>1350.15</v>
      </c>
      <c r="O924" s="116">
        <v>1325.25</v>
      </c>
      <c r="P924" s="116">
        <v>1343.8</v>
      </c>
      <c r="Q924" s="116">
        <v>1327.9</v>
      </c>
      <c r="R924">
        <v>1501479</v>
      </c>
    </row>
    <row r="925" spans="1:18" x14ac:dyDescent="0.25">
      <c r="A925" s="170">
        <v>43362</v>
      </c>
      <c r="B925" s="116">
        <v>1344</v>
      </c>
      <c r="C925" s="116">
        <v>1332.25</v>
      </c>
      <c r="D925" s="116">
        <v>1327.7</v>
      </c>
      <c r="E925" s="116">
        <v>1336</v>
      </c>
      <c r="F925" s="116">
        <v>1332.25</v>
      </c>
      <c r="G925">
        <v>79847</v>
      </c>
      <c r="H925" s="116"/>
      <c r="I925" s="116"/>
      <c r="L925" s="170">
        <v>43362</v>
      </c>
      <c r="M925" s="116">
        <v>1332.9</v>
      </c>
      <c r="N925" s="116">
        <v>1343</v>
      </c>
      <c r="O925" s="116">
        <v>1326</v>
      </c>
      <c r="P925" s="116">
        <v>1332.95</v>
      </c>
      <c r="Q925" s="116">
        <v>1332.9</v>
      </c>
      <c r="R925">
        <v>867001</v>
      </c>
    </row>
    <row r="926" spans="1:18" x14ac:dyDescent="0.25">
      <c r="A926" s="170">
        <v>43364</v>
      </c>
      <c r="B926" s="116">
        <v>1352</v>
      </c>
      <c r="C926" s="116">
        <v>1331.75</v>
      </c>
      <c r="D926" s="116">
        <v>1308.7</v>
      </c>
      <c r="E926" s="116">
        <v>1338.65</v>
      </c>
      <c r="F926" s="116">
        <v>1331.75</v>
      </c>
      <c r="G926">
        <v>216725</v>
      </c>
      <c r="H926" s="116"/>
      <c r="I926" s="116"/>
      <c r="L926" s="170">
        <v>43364</v>
      </c>
      <c r="M926" s="116">
        <v>1329.7</v>
      </c>
      <c r="N926" s="116">
        <v>1352.45</v>
      </c>
      <c r="O926" s="116">
        <v>1309.55</v>
      </c>
      <c r="P926" s="116">
        <v>1342.2</v>
      </c>
      <c r="Q926" s="116">
        <v>1329.7</v>
      </c>
      <c r="R926">
        <v>2309530</v>
      </c>
    </row>
    <row r="927" spans="1:18" x14ac:dyDescent="0.25">
      <c r="A927" s="170">
        <v>43367</v>
      </c>
      <c r="B927" s="116">
        <v>1337.7</v>
      </c>
      <c r="C927" s="116">
        <v>1318.4</v>
      </c>
      <c r="D927" s="116">
        <v>1304.2</v>
      </c>
      <c r="E927" s="116">
        <v>1330</v>
      </c>
      <c r="F927" s="116">
        <v>1318.4</v>
      </c>
      <c r="G927">
        <v>198856</v>
      </c>
      <c r="H927" s="116"/>
      <c r="I927" s="116"/>
      <c r="L927" s="170">
        <v>43367</v>
      </c>
      <c r="M927" s="116">
        <v>1318.35</v>
      </c>
      <c r="N927" s="116">
        <v>1338.8</v>
      </c>
      <c r="O927" s="116">
        <v>1302.3</v>
      </c>
      <c r="P927" s="116">
        <v>1333.3</v>
      </c>
      <c r="Q927" s="116">
        <v>1318.35</v>
      </c>
      <c r="R927">
        <v>2425415</v>
      </c>
    </row>
    <row r="928" spans="1:18" x14ac:dyDescent="0.25">
      <c r="A928" s="170">
        <v>43368</v>
      </c>
      <c r="B928" s="116">
        <v>1332.95</v>
      </c>
      <c r="C928" s="116">
        <v>1318.85</v>
      </c>
      <c r="D928" s="116">
        <v>1308.05</v>
      </c>
      <c r="E928" s="116">
        <v>1318</v>
      </c>
      <c r="F928" s="116">
        <v>1318.85</v>
      </c>
      <c r="G928">
        <v>402337</v>
      </c>
      <c r="H928" s="116"/>
      <c r="I928" s="116"/>
      <c r="L928" s="170">
        <v>43368</v>
      </c>
      <c r="M928" s="116">
        <v>1319.05</v>
      </c>
      <c r="N928" s="116">
        <v>1332.7</v>
      </c>
      <c r="O928" s="116">
        <v>1308</v>
      </c>
      <c r="P928" s="116">
        <v>1316</v>
      </c>
      <c r="Q928" s="116">
        <v>1319.05</v>
      </c>
      <c r="R928">
        <v>2684511</v>
      </c>
    </row>
    <row r="929" spans="1:18" x14ac:dyDescent="0.25">
      <c r="A929" s="170">
        <v>43369</v>
      </c>
      <c r="B929" s="116">
        <v>1337.65</v>
      </c>
      <c r="C929" s="116">
        <v>1332.7</v>
      </c>
      <c r="D929" s="116">
        <v>1310.5</v>
      </c>
      <c r="E929" s="116">
        <v>1321.05</v>
      </c>
      <c r="F929" s="116">
        <v>1332.7</v>
      </c>
      <c r="G929">
        <v>138521</v>
      </c>
      <c r="H929" s="116"/>
      <c r="I929" s="116"/>
      <c r="L929" s="170">
        <v>43369</v>
      </c>
      <c r="M929" s="116">
        <v>1332.65</v>
      </c>
      <c r="N929" s="116">
        <v>1336.8</v>
      </c>
      <c r="O929" s="116">
        <v>1309</v>
      </c>
      <c r="P929" s="116">
        <v>1329</v>
      </c>
      <c r="Q929" s="116">
        <v>1332.65</v>
      </c>
      <c r="R929">
        <v>2846089</v>
      </c>
    </row>
    <row r="930" spans="1:18" x14ac:dyDescent="0.25">
      <c r="A930" s="170">
        <v>43370</v>
      </c>
      <c r="B930" s="116">
        <v>1336.8</v>
      </c>
      <c r="C930" s="116">
        <v>1308.6500000000001</v>
      </c>
      <c r="D930" s="116">
        <v>1296.7</v>
      </c>
      <c r="E930" s="116">
        <v>1335</v>
      </c>
      <c r="F930" s="116">
        <v>1308.6500000000001</v>
      </c>
      <c r="G930">
        <v>742760</v>
      </c>
      <c r="H930" s="116"/>
      <c r="I930" s="116"/>
      <c r="L930" s="170">
        <v>43370</v>
      </c>
      <c r="M930" s="116">
        <v>1309.9000000000001</v>
      </c>
      <c r="N930" s="116">
        <v>1337</v>
      </c>
      <c r="O930" s="116">
        <v>1296.5</v>
      </c>
      <c r="P930" s="116">
        <v>1336.85</v>
      </c>
      <c r="Q930" s="116">
        <v>1309.9000000000001</v>
      </c>
      <c r="R930">
        <v>3847372</v>
      </c>
    </row>
    <row r="931" spans="1:18" x14ac:dyDescent="0.25">
      <c r="A931" s="170">
        <v>43371</v>
      </c>
      <c r="B931" s="116">
        <v>1317</v>
      </c>
      <c r="C931" s="116">
        <v>1266.6500000000001</v>
      </c>
      <c r="D931" s="116">
        <v>1250</v>
      </c>
      <c r="E931" s="116">
        <v>1312</v>
      </c>
      <c r="F931" s="116">
        <v>1266.6500000000001</v>
      </c>
      <c r="G931">
        <v>363806</v>
      </c>
      <c r="H931" s="116"/>
      <c r="I931" s="116"/>
      <c r="L931" s="170">
        <v>43371</v>
      </c>
      <c r="M931" s="116">
        <v>1272.0999999999999</v>
      </c>
      <c r="N931" s="116">
        <v>1316.7</v>
      </c>
      <c r="O931" s="116">
        <v>1250.1500000000001</v>
      </c>
      <c r="P931" s="116">
        <v>1314.5</v>
      </c>
      <c r="Q931" s="116">
        <v>1272.0999999999999</v>
      </c>
      <c r="R931">
        <v>4301355</v>
      </c>
    </row>
    <row r="932" spans="1:18" x14ac:dyDescent="0.25">
      <c r="A932" s="170">
        <v>43374</v>
      </c>
      <c r="B932" s="116">
        <v>1274.8</v>
      </c>
      <c r="C932" s="116">
        <v>1247.45</v>
      </c>
      <c r="D932" s="116">
        <v>1218</v>
      </c>
      <c r="E932" s="116">
        <v>1272.0999999999999</v>
      </c>
      <c r="F932" s="116">
        <v>1247.45</v>
      </c>
      <c r="G932">
        <v>326031</v>
      </c>
      <c r="H932" s="116"/>
      <c r="I932" s="116"/>
      <c r="L932" s="170">
        <v>43374</v>
      </c>
      <c r="M932" s="116">
        <v>1248.0999999999999</v>
      </c>
      <c r="N932" s="116">
        <v>1274</v>
      </c>
      <c r="O932" s="116">
        <v>1217.55</v>
      </c>
      <c r="P932" s="116">
        <v>1274</v>
      </c>
      <c r="Q932" s="116">
        <v>1248.0999999999999</v>
      </c>
      <c r="R932">
        <v>4955435</v>
      </c>
    </row>
    <row r="933" spans="1:18" x14ac:dyDescent="0.25">
      <c r="A933" s="170">
        <v>43376</v>
      </c>
      <c r="B933" s="116">
        <v>1262</v>
      </c>
      <c r="C933" s="116">
        <v>1244.45</v>
      </c>
      <c r="D933" s="116">
        <v>1227.55</v>
      </c>
      <c r="E933" s="116">
        <v>1247</v>
      </c>
      <c r="F933" s="116">
        <v>1244.45</v>
      </c>
      <c r="G933">
        <v>225171</v>
      </c>
      <c r="H933" s="116"/>
      <c r="I933" s="116"/>
      <c r="L933" s="170">
        <v>43376</v>
      </c>
      <c r="M933" s="116">
        <v>1245.45</v>
      </c>
      <c r="N933" s="116">
        <v>1262</v>
      </c>
      <c r="O933" s="116">
        <v>1226.6500000000001</v>
      </c>
      <c r="P933" s="116">
        <v>1247.0999999999999</v>
      </c>
      <c r="Q933" s="116">
        <v>1245.45</v>
      </c>
      <c r="R933">
        <v>4302314</v>
      </c>
    </row>
    <row r="934" spans="1:18" x14ac:dyDescent="0.25">
      <c r="A934" s="170">
        <v>43377</v>
      </c>
      <c r="B934" s="116">
        <v>1293.45</v>
      </c>
      <c r="C934" s="116">
        <v>1259.1500000000001</v>
      </c>
      <c r="D934" s="116">
        <v>1252.45</v>
      </c>
      <c r="E934" s="116">
        <v>1260</v>
      </c>
      <c r="F934" s="116">
        <v>1259.1500000000001</v>
      </c>
      <c r="G934">
        <v>476542</v>
      </c>
      <c r="H934" s="116"/>
      <c r="I934" s="116"/>
      <c r="L934" s="170">
        <v>43377</v>
      </c>
      <c r="M934" s="116">
        <v>1257.9000000000001</v>
      </c>
      <c r="N934" s="116">
        <v>1292.9000000000001</v>
      </c>
      <c r="O934" s="116">
        <v>1251.25</v>
      </c>
      <c r="P934" s="116">
        <v>1258</v>
      </c>
      <c r="Q934" s="116">
        <v>1257.9000000000001</v>
      </c>
      <c r="R934">
        <v>7398229</v>
      </c>
    </row>
    <row r="935" spans="1:18" x14ac:dyDescent="0.25">
      <c r="A935" s="170">
        <v>43378</v>
      </c>
      <c r="B935" s="116">
        <v>1268.75</v>
      </c>
      <c r="C935" s="116">
        <v>1229.3</v>
      </c>
      <c r="D935" s="116">
        <v>1222</v>
      </c>
      <c r="E935" s="116">
        <v>1259.5</v>
      </c>
      <c r="F935" s="116">
        <v>1229.3</v>
      </c>
      <c r="G935">
        <v>320281</v>
      </c>
      <c r="H935" s="116"/>
      <c r="I935" s="116"/>
      <c r="L935" s="170">
        <v>43378</v>
      </c>
      <c r="M935" s="116">
        <v>1227.4000000000001</v>
      </c>
      <c r="N935" s="116">
        <v>1267.7</v>
      </c>
      <c r="O935" s="116">
        <v>1215.8499999999999</v>
      </c>
      <c r="P935" s="116">
        <v>1258</v>
      </c>
      <c r="Q935" s="116">
        <v>1227.4000000000001</v>
      </c>
      <c r="R935">
        <v>4206887</v>
      </c>
    </row>
    <row r="936" spans="1:18" x14ac:dyDescent="0.25">
      <c r="A936" s="170">
        <v>43381</v>
      </c>
      <c r="B936" s="116">
        <v>1244</v>
      </c>
      <c r="C936" s="116">
        <v>1216</v>
      </c>
      <c r="D936" s="116">
        <v>1203.5</v>
      </c>
      <c r="E936" s="116">
        <v>1231.25</v>
      </c>
      <c r="F936" s="116">
        <v>1216</v>
      </c>
      <c r="G936">
        <v>344333</v>
      </c>
      <c r="H936" s="116"/>
      <c r="I936" s="116"/>
      <c r="L936" s="170">
        <v>43381</v>
      </c>
      <c r="M936" s="116">
        <v>1215.3499999999999</v>
      </c>
      <c r="N936" s="116">
        <v>1244</v>
      </c>
      <c r="O936" s="116">
        <v>1203.0999999999999</v>
      </c>
      <c r="P936" s="116">
        <v>1230</v>
      </c>
      <c r="Q936" s="116">
        <v>1215.3499999999999</v>
      </c>
      <c r="R936">
        <v>3957900</v>
      </c>
    </row>
    <row r="937" spans="1:18" x14ac:dyDescent="0.25">
      <c r="A937" s="170">
        <v>43382</v>
      </c>
      <c r="B937" s="116">
        <v>1236.0999999999999</v>
      </c>
      <c r="C937" s="116">
        <v>1221.3499999999999</v>
      </c>
      <c r="D937" s="116">
        <v>1215.6500000000001</v>
      </c>
      <c r="E937" s="116">
        <v>1225</v>
      </c>
      <c r="F937" s="116">
        <v>1221.3499999999999</v>
      </c>
      <c r="G937">
        <v>219592</v>
      </c>
      <c r="H937" s="116"/>
      <c r="I937" s="116"/>
      <c r="L937" s="170">
        <v>43382</v>
      </c>
      <c r="M937" s="116">
        <v>1221.05</v>
      </c>
      <c r="N937" s="116">
        <v>1236.05</v>
      </c>
      <c r="O937" s="116">
        <v>1215.45</v>
      </c>
      <c r="P937" s="116">
        <v>1222.8</v>
      </c>
      <c r="Q937" s="116">
        <v>1221.05</v>
      </c>
      <c r="R937">
        <v>2559815</v>
      </c>
    </row>
    <row r="938" spans="1:18" x14ac:dyDescent="0.25">
      <c r="A938" s="170">
        <v>43383</v>
      </c>
      <c r="B938" s="116">
        <v>1266</v>
      </c>
      <c r="C938" s="116">
        <v>1252.3499999999999</v>
      </c>
      <c r="D938" s="116">
        <v>1225.1500000000001</v>
      </c>
      <c r="E938" s="116">
        <v>1225.1500000000001</v>
      </c>
      <c r="F938" s="116">
        <v>1252.3499999999999</v>
      </c>
      <c r="G938">
        <v>297888</v>
      </c>
      <c r="H938" s="116"/>
      <c r="I938" s="116"/>
      <c r="L938" s="170">
        <v>43383</v>
      </c>
      <c r="M938" s="116">
        <v>1250.6500000000001</v>
      </c>
      <c r="N938" s="116">
        <v>1265.9000000000001</v>
      </c>
      <c r="O938" s="116">
        <v>1223.7</v>
      </c>
      <c r="P938" s="116">
        <v>1227</v>
      </c>
      <c r="Q938" s="116">
        <v>1250.6500000000001</v>
      </c>
      <c r="R938">
        <v>4134413</v>
      </c>
    </row>
    <row r="939" spans="1:18" x14ac:dyDescent="0.25">
      <c r="A939" s="170">
        <v>43384</v>
      </c>
      <c r="B939" s="116">
        <v>1237.25</v>
      </c>
      <c r="C939" s="116">
        <v>1226.2</v>
      </c>
      <c r="D939" s="116">
        <v>1221</v>
      </c>
      <c r="E939" s="116">
        <v>1230</v>
      </c>
      <c r="F939" s="116">
        <v>1226.2</v>
      </c>
      <c r="G939">
        <v>321473</v>
      </c>
      <c r="H939" s="116"/>
      <c r="I939" s="116"/>
      <c r="L939" s="170">
        <v>43384</v>
      </c>
      <c r="M939" s="116">
        <v>1225.8499999999999</v>
      </c>
      <c r="N939" s="116">
        <v>1237</v>
      </c>
      <c r="O939" s="116">
        <v>1220.0999999999999</v>
      </c>
      <c r="P939" s="116">
        <v>1230</v>
      </c>
      <c r="Q939" s="116">
        <v>1225.8499999999999</v>
      </c>
      <c r="R939">
        <v>3942878</v>
      </c>
    </row>
    <row r="940" spans="1:18" x14ac:dyDescent="0.25">
      <c r="A940" s="170">
        <v>43385</v>
      </c>
      <c r="B940" s="116">
        <v>1244.25</v>
      </c>
      <c r="C940" s="116">
        <v>1234.95</v>
      </c>
      <c r="D940" s="116">
        <v>1218</v>
      </c>
      <c r="E940" s="116">
        <v>1222</v>
      </c>
      <c r="F940" s="116">
        <v>1234.95</v>
      </c>
      <c r="G940">
        <v>133925</v>
      </c>
      <c r="H940" s="116"/>
      <c r="I940" s="116"/>
      <c r="L940" s="170">
        <v>43385</v>
      </c>
      <c r="M940" s="116">
        <v>1235.25</v>
      </c>
      <c r="N940" s="116">
        <v>1245</v>
      </c>
      <c r="O940" s="116">
        <v>1218.75</v>
      </c>
      <c r="P940" s="116">
        <v>1224.8</v>
      </c>
      <c r="Q940" s="116">
        <v>1235.25</v>
      </c>
      <c r="R940">
        <v>2773440</v>
      </c>
    </row>
    <row r="941" spans="1:18" x14ac:dyDescent="0.25">
      <c r="A941" s="170">
        <v>43388</v>
      </c>
      <c r="B941" s="116">
        <v>1234.9000000000001</v>
      </c>
      <c r="C941" s="116">
        <v>1216.95</v>
      </c>
      <c r="D941" s="116">
        <v>1210</v>
      </c>
      <c r="E941" s="116">
        <v>1225.5999999999999</v>
      </c>
      <c r="F941" s="116">
        <v>1216.95</v>
      </c>
      <c r="G941">
        <v>140806</v>
      </c>
      <c r="H941" s="116"/>
      <c r="I941" s="116"/>
      <c r="L941" s="170">
        <v>43388</v>
      </c>
      <c r="M941" s="116">
        <v>1216.4000000000001</v>
      </c>
      <c r="N941" s="116">
        <v>1236.8</v>
      </c>
      <c r="O941" s="116">
        <v>1208.4000000000001</v>
      </c>
      <c r="P941" s="116">
        <v>1230</v>
      </c>
      <c r="Q941" s="116">
        <v>1216.4000000000001</v>
      </c>
      <c r="R941">
        <v>2945137</v>
      </c>
    </row>
    <row r="942" spans="1:18" x14ac:dyDescent="0.25">
      <c r="A942" s="170">
        <v>43389</v>
      </c>
      <c r="B942" s="116">
        <v>1229.5</v>
      </c>
      <c r="C942" s="116">
        <v>1224.3499999999999</v>
      </c>
      <c r="D942" s="116">
        <v>1217.5</v>
      </c>
      <c r="E942" s="116">
        <v>1220.0999999999999</v>
      </c>
      <c r="F942" s="116">
        <v>1224.3499999999999</v>
      </c>
      <c r="G942">
        <v>90398</v>
      </c>
      <c r="H942" s="116"/>
      <c r="I942" s="116"/>
      <c r="L942" s="170">
        <v>43389</v>
      </c>
      <c r="M942" s="116">
        <v>1224.6500000000001</v>
      </c>
      <c r="N942" s="116">
        <v>1228.95</v>
      </c>
      <c r="O942" s="116">
        <v>1215.55</v>
      </c>
      <c r="P942" s="116">
        <v>1220</v>
      </c>
      <c r="Q942" s="116">
        <v>1224.6500000000001</v>
      </c>
      <c r="R942">
        <v>2336499</v>
      </c>
    </row>
    <row r="943" spans="1:18" x14ac:dyDescent="0.25">
      <c r="A943" s="170">
        <v>43390</v>
      </c>
      <c r="B943" s="116">
        <v>1240</v>
      </c>
      <c r="C943" s="116">
        <v>1211.25</v>
      </c>
      <c r="D943" s="116">
        <v>1208</v>
      </c>
      <c r="E943" s="116">
        <v>1233.05</v>
      </c>
      <c r="F943" s="116">
        <v>1211.25</v>
      </c>
      <c r="G943">
        <v>116613</v>
      </c>
      <c r="H943" s="116"/>
      <c r="I943" s="116"/>
      <c r="L943" s="170">
        <v>43390</v>
      </c>
      <c r="M943" s="116">
        <v>1211.9000000000001</v>
      </c>
      <c r="N943" s="116">
        <v>1238</v>
      </c>
      <c r="O943" s="116">
        <v>1208.7</v>
      </c>
      <c r="P943" s="116">
        <v>1236.6500000000001</v>
      </c>
      <c r="Q943" s="116">
        <v>1211.9000000000001</v>
      </c>
      <c r="R943">
        <v>1746801</v>
      </c>
    </row>
    <row r="944" spans="1:18" x14ac:dyDescent="0.25">
      <c r="A944" s="170">
        <v>43392</v>
      </c>
      <c r="B944" s="116">
        <v>1215.1500000000001</v>
      </c>
      <c r="C944" s="116">
        <v>1208.1500000000001</v>
      </c>
      <c r="D944" s="116">
        <v>1186</v>
      </c>
      <c r="E944" s="116">
        <v>1203</v>
      </c>
      <c r="F944" s="116">
        <v>1208.1500000000001</v>
      </c>
      <c r="G944">
        <v>140491</v>
      </c>
      <c r="H944" s="116"/>
      <c r="I944" s="116"/>
      <c r="L944" s="170">
        <v>43392</v>
      </c>
      <c r="M944" s="116">
        <v>1206.05</v>
      </c>
      <c r="N944" s="116">
        <v>1211.9000000000001</v>
      </c>
      <c r="O944" s="116">
        <v>1186</v>
      </c>
      <c r="P944" s="116">
        <v>1200</v>
      </c>
      <c r="Q944" s="116">
        <v>1206.05</v>
      </c>
      <c r="R944">
        <v>2006965</v>
      </c>
    </row>
    <row r="945" spans="1:18" x14ac:dyDescent="0.25">
      <c r="A945" s="170">
        <v>43395</v>
      </c>
      <c r="B945" s="116">
        <v>1217.7</v>
      </c>
      <c r="C945" s="116">
        <v>1206.5</v>
      </c>
      <c r="D945" s="116">
        <v>1201</v>
      </c>
      <c r="E945" s="116">
        <v>1212</v>
      </c>
      <c r="F945" s="116">
        <v>1206.5</v>
      </c>
      <c r="G945">
        <v>64288</v>
      </c>
      <c r="H945" s="116"/>
      <c r="I945" s="116"/>
      <c r="L945" s="170">
        <v>43395</v>
      </c>
      <c r="M945" s="116">
        <v>1206.5999999999999</v>
      </c>
      <c r="N945" s="116">
        <v>1218.6500000000001</v>
      </c>
      <c r="O945" s="116">
        <v>1200.0999999999999</v>
      </c>
      <c r="P945" s="116">
        <v>1214</v>
      </c>
      <c r="Q945" s="116">
        <v>1206.5999999999999</v>
      </c>
      <c r="R945">
        <v>1452784</v>
      </c>
    </row>
    <row r="946" spans="1:18" x14ac:dyDescent="0.25">
      <c r="A946" s="170">
        <v>43396</v>
      </c>
      <c r="B946" s="116">
        <v>1209.3499999999999</v>
      </c>
      <c r="C946" s="116">
        <v>1197.8</v>
      </c>
      <c r="D946" s="116">
        <v>1183.4000000000001</v>
      </c>
      <c r="E946" s="116">
        <v>1198</v>
      </c>
      <c r="F946" s="116">
        <v>1197.8</v>
      </c>
      <c r="G946">
        <v>102702</v>
      </c>
      <c r="H946" s="116"/>
      <c r="I946" s="116"/>
      <c r="L946" s="170">
        <v>43396</v>
      </c>
      <c r="M946" s="116">
        <v>1200.7</v>
      </c>
      <c r="N946" s="116">
        <v>1209.05</v>
      </c>
      <c r="O946" s="116">
        <v>1182.5</v>
      </c>
      <c r="P946" s="116">
        <v>1195.9000000000001</v>
      </c>
      <c r="Q946" s="116">
        <v>1200.7</v>
      </c>
      <c r="R946">
        <v>2109820</v>
      </c>
    </row>
    <row r="947" spans="1:18" x14ac:dyDescent="0.25">
      <c r="A947" s="170">
        <v>43397</v>
      </c>
      <c r="B947" s="116">
        <v>1222</v>
      </c>
      <c r="C947" s="116">
        <v>1218.8499999999999</v>
      </c>
      <c r="D947" s="116">
        <v>1205.0999999999999</v>
      </c>
      <c r="E947" s="116">
        <v>1210.05</v>
      </c>
      <c r="F947" s="116">
        <v>1218.8499999999999</v>
      </c>
      <c r="G947">
        <v>85373</v>
      </c>
      <c r="H947" s="116"/>
      <c r="I947" s="116"/>
      <c r="L947" s="170">
        <v>43397</v>
      </c>
      <c r="M947" s="116">
        <v>1218.9000000000001</v>
      </c>
      <c r="N947" s="116">
        <v>1222.3</v>
      </c>
      <c r="O947" s="116">
        <v>1204.0999999999999</v>
      </c>
      <c r="P947" s="116">
        <v>1211.2</v>
      </c>
      <c r="Q947" s="116">
        <v>1218.9000000000001</v>
      </c>
      <c r="R947">
        <v>1484693</v>
      </c>
    </row>
    <row r="948" spans="1:18" x14ac:dyDescent="0.25">
      <c r="A948" s="170">
        <v>43398</v>
      </c>
      <c r="B948" s="116">
        <v>1218.8499999999999</v>
      </c>
      <c r="C948" s="116">
        <v>1202.8</v>
      </c>
      <c r="D948" s="116">
        <v>1195.25</v>
      </c>
      <c r="E948" s="116">
        <v>1218.8499999999999</v>
      </c>
      <c r="F948" s="116">
        <v>1202.8</v>
      </c>
      <c r="G948">
        <v>118181</v>
      </c>
      <c r="H948" s="116"/>
      <c r="I948" s="116"/>
      <c r="L948" s="170">
        <v>43398</v>
      </c>
      <c r="M948" s="116">
        <v>1201.55</v>
      </c>
      <c r="N948" s="116">
        <v>1212.05</v>
      </c>
      <c r="O948" s="116">
        <v>1195.1500000000001</v>
      </c>
      <c r="P948" s="116">
        <v>1208</v>
      </c>
      <c r="Q948" s="116">
        <v>1201.55</v>
      </c>
      <c r="R948">
        <v>3063065</v>
      </c>
    </row>
    <row r="949" spans="1:18" x14ac:dyDescent="0.25">
      <c r="A949" s="170">
        <v>43399</v>
      </c>
      <c r="B949" s="116">
        <v>1211.95</v>
      </c>
      <c r="C949" s="116">
        <v>1197.95</v>
      </c>
      <c r="D949" s="116">
        <v>1192.0999999999999</v>
      </c>
      <c r="E949" s="116">
        <v>1202.8</v>
      </c>
      <c r="F949" s="116">
        <v>1197.95</v>
      </c>
      <c r="G949">
        <v>102250</v>
      </c>
      <c r="H949" s="116"/>
      <c r="I949" s="116"/>
      <c r="L949" s="170">
        <v>43399</v>
      </c>
      <c r="M949" s="116">
        <v>1197.45</v>
      </c>
      <c r="N949" s="116">
        <v>1213</v>
      </c>
      <c r="O949" s="116">
        <v>1191.3</v>
      </c>
      <c r="P949" s="116">
        <v>1200.5999999999999</v>
      </c>
      <c r="Q949" s="116">
        <v>1197.45</v>
      </c>
      <c r="R949">
        <v>1101325</v>
      </c>
    </row>
    <row r="950" spans="1:18" x14ac:dyDescent="0.25">
      <c r="A950" s="170">
        <v>43402</v>
      </c>
      <c r="B950" s="116">
        <v>1264.9000000000001</v>
      </c>
      <c r="C950" s="116">
        <v>1260.8</v>
      </c>
      <c r="D950" s="116">
        <v>1199</v>
      </c>
      <c r="E950" s="116">
        <v>1210</v>
      </c>
      <c r="F950" s="116">
        <v>1260.8</v>
      </c>
      <c r="G950">
        <v>164986</v>
      </c>
      <c r="H950" s="116"/>
      <c r="I950" s="116"/>
      <c r="L950" s="170">
        <v>43402</v>
      </c>
      <c r="M950" s="116">
        <v>1261.3</v>
      </c>
      <c r="N950" s="116">
        <v>1264.5</v>
      </c>
      <c r="O950" s="116">
        <v>1198.25</v>
      </c>
      <c r="P950" s="116">
        <v>1201</v>
      </c>
      <c r="Q950" s="116">
        <v>1261.3</v>
      </c>
      <c r="R950">
        <v>2140956</v>
      </c>
    </row>
    <row r="951" spans="1:18" x14ac:dyDescent="0.25">
      <c r="A951" s="170">
        <v>43403</v>
      </c>
      <c r="B951" s="116">
        <v>1277.25</v>
      </c>
      <c r="C951" s="116">
        <v>1271.5</v>
      </c>
      <c r="D951" s="116">
        <v>1249.25</v>
      </c>
      <c r="E951" s="116">
        <v>1260</v>
      </c>
      <c r="F951" s="116">
        <v>1271.5</v>
      </c>
      <c r="G951">
        <v>166104</v>
      </c>
      <c r="H951" s="116"/>
      <c r="I951" s="116"/>
      <c r="L951" s="170">
        <v>43403</v>
      </c>
      <c r="M951" s="116">
        <v>1271.25</v>
      </c>
      <c r="N951" s="116">
        <v>1278.6500000000001</v>
      </c>
      <c r="O951" s="116">
        <v>1248.25</v>
      </c>
      <c r="P951" s="116">
        <v>1258.4000000000001</v>
      </c>
      <c r="Q951" s="116">
        <v>1271.25</v>
      </c>
      <c r="R951">
        <v>1957735</v>
      </c>
    </row>
    <row r="952" spans="1:18" x14ac:dyDescent="0.25">
      <c r="A952" s="170">
        <v>43404</v>
      </c>
      <c r="B952" s="116">
        <v>1303</v>
      </c>
      <c r="C952" s="116">
        <v>1298.3499999999999</v>
      </c>
      <c r="D952" s="116">
        <v>1250</v>
      </c>
      <c r="E952" s="116">
        <v>1267</v>
      </c>
      <c r="F952" s="116">
        <v>1298.3499999999999</v>
      </c>
      <c r="G952">
        <v>190198</v>
      </c>
      <c r="H952" s="116"/>
      <c r="I952" s="116"/>
      <c r="L952" s="170">
        <v>43404</v>
      </c>
      <c r="M952" s="116">
        <v>1297.5</v>
      </c>
      <c r="N952" s="116">
        <v>1304</v>
      </c>
      <c r="O952" s="116">
        <v>1249.2</v>
      </c>
      <c r="P952" s="116">
        <v>1266</v>
      </c>
      <c r="Q952" s="116">
        <v>1297.5</v>
      </c>
      <c r="R952">
        <v>3117499</v>
      </c>
    </row>
    <row r="953" spans="1:18" x14ac:dyDescent="0.25">
      <c r="A953" s="170">
        <v>43405</v>
      </c>
      <c r="B953" s="116">
        <v>1382</v>
      </c>
      <c r="C953" s="116">
        <v>1332.8</v>
      </c>
      <c r="D953" s="116">
        <v>1321.95</v>
      </c>
      <c r="E953" s="116">
        <v>1336.15</v>
      </c>
      <c r="F953" s="116">
        <v>1332.8</v>
      </c>
      <c r="G953">
        <v>1083228</v>
      </c>
      <c r="H953" s="116"/>
      <c r="I953" s="116"/>
      <c r="L953" s="170">
        <v>43405</v>
      </c>
      <c r="M953" s="116">
        <v>1326.75</v>
      </c>
      <c r="N953" s="116">
        <v>1384</v>
      </c>
      <c r="O953" s="116">
        <v>1321.6</v>
      </c>
      <c r="P953" s="116">
        <v>1337.45</v>
      </c>
      <c r="Q953" s="116">
        <v>1326.75</v>
      </c>
      <c r="R953">
        <v>8903105</v>
      </c>
    </row>
    <row r="954" spans="1:18" x14ac:dyDescent="0.25">
      <c r="A954" s="170">
        <v>43406</v>
      </c>
      <c r="B954" s="116">
        <v>1369</v>
      </c>
      <c r="C954" s="116">
        <v>1357.2</v>
      </c>
      <c r="D954" s="116">
        <v>1339.55</v>
      </c>
      <c r="E954" s="116">
        <v>1344</v>
      </c>
      <c r="F954" s="116">
        <v>1357.2</v>
      </c>
      <c r="G954">
        <v>201756</v>
      </c>
      <c r="H954" s="116"/>
      <c r="I954" s="116"/>
      <c r="L954" s="170">
        <v>43406</v>
      </c>
      <c r="M954" s="116">
        <v>1358.2</v>
      </c>
      <c r="N954" s="116">
        <v>1369.85</v>
      </c>
      <c r="O954" s="116">
        <v>1340</v>
      </c>
      <c r="P954" s="116">
        <v>1340</v>
      </c>
      <c r="Q954" s="116">
        <v>1358.2</v>
      </c>
      <c r="R954">
        <v>2665756</v>
      </c>
    </row>
    <row r="955" spans="1:18" x14ac:dyDescent="0.25">
      <c r="A955" s="170">
        <v>43409</v>
      </c>
      <c r="B955" s="116">
        <v>1364.75</v>
      </c>
      <c r="C955" s="116">
        <v>1351.05</v>
      </c>
      <c r="D955" s="116">
        <v>1344</v>
      </c>
      <c r="E955" s="116">
        <v>1359</v>
      </c>
      <c r="F955" s="116">
        <v>1351.05</v>
      </c>
      <c r="G955">
        <v>99997</v>
      </c>
      <c r="H955" s="116"/>
      <c r="I955" s="116"/>
      <c r="L955" s="170">
        <v>43409</v>
      </c>
      <c r="M955" s="116">
        <v>1350.15</v>
      </c>
      <c r="N955" s="116">
        <v>1365</v>
      </c>
      <c r="O955" s="116">
        <v>1343.55</v>
      </c>
      <c r="P955" s="116">
        <v>1358.3</v>
      </c>
      <c r="Q955" s="116">
        <v>1350.15</v>
      </c>
      <c r="R955">
        <v>1457946</v>
      </c>
    </row>
    <row r="956" spans="1:18" x14ac:dyDescent="0.25">
      <c r="A956" s="170">
        <v>43410</v>
      </c>
      <c r="B956" s="116">
        <v>1369.5</v>
      </c>
      <c r="C956" s="116">
        <v>1358.05</v>
      </c>
      <c r="D956" s="116">
        <v>1351</v>
      </c>
      <c r="E956" s="116">
        <v>1351</v>
      </c>
      <c r="F956" s="116">
        <v>1358.05</v>
      </c>
      <c r="G956">
        <v>252571</v>
      </c>
      <c r="H956" s="116"/>
      <c r="I956" s="116"/>
      <c r="L956" s="170">
        <v>43410</v>
      </c>
      <c r="M956" s="116">
        <v>1363.85</v>
      </c>
      <c r="N956" s="116">
        <v>1369.8</v>
      </c>
      <c r="O956" s="116">
        <v>1350.05</v>
      </c>
      <c r="P956" s="116">
        <v>1350.15</v>
      </c>
      <c r="Q956" s="116">
        <v>1363.85</v>
      </c>
      <c r="R956">
        <v>1616734</v>
      </c>
    </row>
    <row r="957" spans="1:18" x14ac:dyDescent="0.25">
      <c r="A957" s="170">
        <v>43411</v>
      </c>
      <c r="B957" s="116">
        <v>1370.6</v>
      </c>
      <c r="C957" s="116">
        <v>1366.45</v>
      </c>
      <c r="D957" s="116">
        <v>1364</v>
      </c>
      <c r="E957" s="116">
        <v>1370</v>
      </c>
      <c r="F957" s="116">
        <v>1366.45</v>
      </c>
      <c r="G957">
        <v>31050</v>
      </c>
      <c r="H957" s="116"/>
      <c r="I957" s="116"/>
      <c r="L957" s="170">
        <v>43411</v>
      </c>
      <c r="M957" s="116">
        <v>1365.95</v>
      </c>
      <c r="N957" s="116">
        <v>1370</v>
      </c>
      <c r="O957" s="116">
        <v>1363.65</v>
      </c>
      <c r="P957" s="116">
        <v>1370</v>
      </c>
      <c r="Q957" s="116">
        <v>1365.95</v>
      </c>
      <c r="R957">
        <v>255086</v>
      </c>
    </row>
    <row r="958" spans="1:18" x14ac:dyDescent="0.25">
      <c r="A958" s="170">
        <v>43413</v>
      </c>
      <c r="B958" s="116">
        <v>1377.65</v>
      </c>
      <c r="C958" s="116">
        <v>1366.7</v>
      </c>
      <c r="D958" s="116">
        <v>1360</v>
      </c>
      <c r="E958" s="116">
        <v>1365</v>
      </c>
      <c r="F958" s="116">
        <v>1366.7</v>
      </c>
      <c r="G958">
        <v>73934</v>
      </c>
      <c r="H958" s="116"/>
      <c r="I958" s="116"/>
      <c r="L958" s="170">
        <v>43413</v>
      </c>
      <c r="M958" s="116">
        <v>1368.6</v>
      </c>
      <c r="N958" s="116">
        <v>1379</v>
      </c>
      <c r="O958" s="116">
        <v>1360</v>
      </c>
      <c r="P958" s="116">
        <v>1365.95</v>
      </c>
      <c r="Q958" s="116">
        <v>1368.6</v>
      </c>
      <c r="R958">
        <v>1247358</v>
      </c>
    </row>
    <row r="959" spans="1:18" x14ac:dyDescent="0.25">
      <c r="A959" s="170">
        <v>43416</v>
      </c>
      <c r="B959" s="116">
        <v>1383</v>
      </c>
      <c r="C959" s="116">
        <v>1367</v>
      </c>
      <c r="D959" s="116">
        <v>1362.8</v>
      </c>
      <c r="E959" s="116">
        <v>1369.9</v>
      </c>
      <c r="F959" s="116">
        <v>1367</v>
      </c>
      <c r="G959">
        <v>112964</v>
      </c>
      <c r="H959" s="116"/>
      <c r="I959" s="116"/>
      <c r="L959" s="170">
        <v>43416</v>
      </c>
      <c r="M959" s="116">
        <v>1367.2</v>
      </c>
      <c r="N959" s="116">
        <v>1384.5</v>
      </c>
      <c r="O959" s="116">
        <v>1362</v>
      </c>
      <c r="P959" s="116">
        <v>1372.9</v>
      </c>
      <c r="Q959" s="116">
        <v>1367.2</v>
      </c>
      <c r="R959">
        <v>2174698</v>
      </c>
    </row>
    <row r="960" spans="1:18" x14ac:dyDescent="0.25">
      <c r="A960" s="170">
        <v>43417</v>
      </c>
      <c r="B960" s="116">
        <v>1395</v>
      </c>
      <c r="C960" s="116">
        <v>1391.15</v>
      </c>
      <c r="D960" s="116">
        <v>1358.8</v>
      </c>
      <c r="E960" s="116">
        <v>1365</v>
      </c>
      <c r="F960" s="116">
        <v>1391.15</v>
      </c>
      <c r="G960">
        <v>428295</v>
      </c>
      <c r="H960" s="116"/>
      <c r="I960" s="116"/>
      <c r="L960" s="170">
        <v>43417</v>
      </c>
      <c r="M960" s="116">
        <v>1391.1</v>
      </c>
      <c r="N960" s="116">
        <v>1395</v>
      </c>
      <c r="O960" s="116">
        <v>1358.2</v>
      </c>
      <c r="P960" s="116">
        <v>1364</v>
      </c>
      <c r="Q960" s="116">
        <v>1391.1</v>
      </c>
      <c r="R960">
        <v>2068670</v>
      </c>
    </row>
    <row r="961" spans="1:18" x14ac:dyDescent="0.25">
      <c r="A961" s="170">
        <v>43418</v>
      </c>
      <c r="B961" s="116">
        <v>1396.45</v>
      </c>
      <c r="C961" s="116">
        <v>1383.95</v>
      </c>
      <c r="D961" s="116">
        <v>1378.7</v>
      </c>
      <c r="E961" s="116">
        <v>1392</v>
      </c>
      <c r="F961" s="116">
        <v>1383.95</v>
      </c>
      <c r="G961">
        <v>85678</v>
      </c>
      <c r="H961" s="116"/>
      <c r="I961" s="116"/>
      <c r="L961" s="170">
        <v>43418</v>
      </c>
      <c r="M961" s="116">
        <v>1384.7</v>
      </c>
      <c r="N961" s="116">
        <v>1398</v>
      </c>
      <c r="O961" s="116">
        <v>1379</v>
      </c>
      <c r="P961" s="116">
        <v>1394</v>
      </c>
      <c r="Q961" s="116">
        <v>1384.7</v>
      </c>
      <c r="R961">
        <v>1364551</v>
      </c>
    </row>
    <row r="962" spans="1:18" x14ac:dyDescent="0.25">
      <c r="A962" s="170">
        <v>43419</v>
      </c>
      <c r="B962" s="116">
        <v>1408.7</v>
      </c>
      <c r="C962" s="116">
        <v>1397.35</v>
      </c>
      <c r="D962" s="116">
        <v>1385</v>
      </c>
      <c r="E962" s="116">
        <v>1385.05</v>
      </c>
      <c r="F962" s="116">
        <v>1397.35</v>
      </c>
      <c r="G962">
        <v>229342</v>
      </c>
      <c r="H962" s="116"/>
      <c r="I962" s="116"/>
      <c r="L962" s="170">
        <v>43419</v>
      </c>
      <c r="M962" s="116">
        <v>1398.5</v>
      </c>
      <c r="N962" s="116">
        <v>1408</v>
      </c>
      <c r="O962" s="116">
        <v>1386.1</v>
      </c>
      <c r="P962" s="116">
        <v>1388</v>
      </c>
      <c r="Q962" s="116">
        <v>1398.5</v>
      </c>
      <c r="R962">
        <v>2890196</v>
      </c>
    </row>
    <row r="963" spans="1:18" x14ac:dyDescent="0.25">
      <c r="A963" s="170">
        <v>43420</v>
      </c>
      <c r="B963" s="116">
        <v>1412.85</v>
      </c>
      <c r="C963" s="116">
        <v>1396</v>
      </c>
      <c r="D963" s="116">
        <v>1391</v>
      </c>
      <c r="E963" s="116">
        <v>1401</v>
      </c>
      <c r="F963" s="116">
        <v>1396</v>
      </c>
      <c r="G963">
        <v>122052</v>
      </c>
      <c r="H963" s="116"/>
      <c r="I963" s="116"/>
      <c r="L963" s="170">
        <v>43420</v>
      </c>
      <c r="M963" s="116">
        <v>1399.05</v>
      </c>
      <c r="N963" s="116">
        <v>1414</v>
      </c>
      <c r="O963" s="116">
        <v>1391.5</v>
      </c>
      <c r="P963" s="116">
        <v>1402.75</v>
      </c>
      <c r="Q963" s="116">
        <v>1399.05</v>
      </c>
      <c r="R963">
        <v>1732865</v>
      </c>
    </row>
    <row r="964" spans="1:18" x14ac:dyDescent="0.25">
      <c r="A964" s="170">
        <v>43423</v>
      </c>
      <c r="B964" s="116">
        <v>1419.5</v>
      </c>
      <c r="C964" s="116">
        <v>1416.05</v>
      </c>
      <c r="D964" s="116">
        <v>1394.1</v>
      </c>
      <c r="E964" s="116">
        <v>1402</v>
      </c>
      <c r="F964" s="116">
        <v>1416.05</v>
      </c>
      <c r="G964">
        <v>144492</v>
      </c>
      <c r="H964" s="116"/>
      <c r="I964" s="116"/>
      <c r="L964" s="170">
        <v>43423</v>
      </c>
      <c r="M964" s="116">
        <v>1417.2</v>
      </c>
      <c r="N964" s="116">
        <v>1419.85</v>
      </c>
      <c r="O964" s="116">
        <v>1395.05</v>
      </c>
      <c r="P964" s="116">
        <v>1400</v>
      </c>
      <c r="Q964" s="116">
        <v>1417.2</v>
      </c>
      <c r="R964">
        <v>1932311</v>
      </c>
    </row>
    <row r="965" spans="1:18" x14ac:dyDescent="0.25">
      <c r="A965" s="170">
        <v>43424</v>
      </c>
      <c r="B965" s="116">
        <v>1422</v>
      </c>
      <c r="C965" s="116">
        <v>1412.7</v>
      </c>
      <c r="D965" s="116">
        <v>1405.1</v>
      </c>
      <c r="E965" s="116">
        <v>1410</v>
      </c>
      <c r="F965" s="116">
        <v>1412.7</v>
      </c>
      <c r="G965">
        <v>130487</v>
      </c>
      <c r="H965" s="116"/>
      <c r="I965" s="116"/>
      <c r="L965" s="170">
        <v>43424</v>
      </c>
      <c r="M965" s="116">
        <v>1413.1</v>
      </c>
      <c r="N965" s="116">
        <v>1423.1</v>
      </c>
      <c r="O965" s="116">
        <v>1407.7</v>
      </c>
      <c r="P965" s="116">
        <v>1410.25</v>
      </c>
      <c r="Q965" s="116">
        <v>1413.1</v>
      </c>
      <c r="R965">
        <v>1889461</v>
      </c>
    </row>
    <row r="966" spans="1:18" x14ac:dyDescent="0.25">
      <c r="A966" s="170">
        <v>43425</v>
      </c>
      <c r="B966" s="116">
        <v>1413.2</v>
      </c>
      <c r="C966" s="116">
        <v>1402.5</v>
      </c>
      <c r="D966" s="116">
        <v>1393.7</v>
      </c>
      <c r="E966" s="116">
        <v>1410.3</v>
      </c>
      <c r="F966" s="116">
        <v>1402.5</v>
      </c>
      <c r="G966">
        <v>89254</v>
      </c>
      <c r="H966" s="116"/>
      <c r="I966" s="116"/>
      <c r="L966" s="170">
        <v>43425</v>
      </c>
      <c r="M966" s="116">
        <v>1402.1</v>
      </c>
      <c r="N966" s="116">
        <v>1413.75</v>
      </c>
      <c r="O966" s="116">
        <v>1393.25</v>
      </c>
      <c r="P966" s="116">
        <v>1410</v>
      </c>
      <c r="Q966" s="116">
        <v>1402.1</v>
      </c>
      <c r="R966">
        <v>1320423</v>
      </c>
    </row>
    <row r="967" spans="1:18" x14ac:dyDescent="0.25">
      <c r="A967" s="170">
        <v>43426</v>
      </c>
      <c r="B967" s="116">
        <v>1418.2</v>
      </c>
      <c r="C967" s="116">
        <v>1409.35</v>
      </c>
      <c r="D967" s="116">
        <v>1396.3</v>
      </c>
      <c r="E967" s="116">
        <v>1403</v>
      </c>
      <c r="F967" s="116">
        <v>1409.35</v>
      </c>
      <c r="G967">
        <v>109660</v>
      </c>
      <c r="H967" s="116"/>
      <c r="I967" s="116"/>
      <c r="L967" s="170">
        <v>43426</v>
      </c>
      <c r="M967" s="116">
        <v>1410.15</v>
      </c>
      <c r="N967" s="116">
        <v>1419.5</v>
      </c>
      <c r="O967" s="116">
        <v>1396.2</v>
      </c>
      <c r="P967" s="116">
        <v>1405</v>
      </c>
      <c r="Q967" s="116">
        <v>1410.15</v>
      </c>
      <c r="R967">
        <v>1723570</v>
      </c>
    </row>
    <row r="968" spans="1:18" x14ac:dyDescent="0.25">
      <c r="A968" s="170">
        <v>43430</v>
      </c>
      <c r="B968" s="116">
        <v>1429.85</v>
      </c>
      <c r="C968" s="116">
        <v>1421.3</v>
      </c>
      <c r="D968" s="116">
        <v>1410.3</v>
      </c>
      <c r="E968" s="116">
        <v>1410.3</v>
      </c>
      <c r="F968" s="116">
        <v>1421.3</v>
      </c>
      <c r="G968">
        <v>389011</v>
      </c>
      <c r="H968" s="116"/>
      <c r="I968" s="116"/>
      <c r="L968" s="170">
        <v>43430</v>
      </c>
      <c r="M968" s="116">
        <v>1422</v>
      </c>
      <c r="N968" s="116">
        <v>1430</v>
      </c>
      <c r="O968" s="116">
        <v>1410.2</v>
      </c>
      <c r="P968" s="116">
        <v>1410.2</v>
      </c>
      <c r="Q968" s="116">
        <v>1422</v>
      </c>
      <c r="R968">
        <v>2630117</v>
      </c>
    </row>
    <row r="969" spans="1:18" x14ac:dyDescent="0.25">
      <c r="A969" s="170">
        <v>43431</v>
      </c>
      <c r="B969" s="116">
        <v>1433.8</v>
      </c>
      <c r="C969" s="116">
        <v>1431.5</v>
      </c>
      <c r="D969" s="116">
        <v>1415.55</v>
      </c>
      <c r="E969" s="116">
        <v>1421.3</v>
      </c>
      <c r="F969" s="116">
        <v>1431.5</v>
      </c>
      <c r="G969">
        <v>154651</v>
      </c>
      <c r="H969" s="116"/>
      <c r="I969" s="116"/>
      <c r="L969" s="170">
        <v>43431</v>
      </c>
      <c r="M969" s="116">
        <v>1431.6</v>
      </c>
      <c r="N969" s="116">
        <v>1434</v>
      </c>
      <c r="O969" s="116">
        <v>1415.35</v>
      </c>
      <c r="P969" s="116">
        <v>1419.45</v>
      </c>
      <c r="Q969" s="116">
        <v>1431.6</v>
      </c>
      <c r="R969">
        <v>1956946</v>
      </c>
    </row>
    <row r="970" spans="1:18" x14ac:dyDescent="0.25">
      <c r="A970" s="170">
        <v>43432</v>
      </c>
      <c r="B970" s="116">
        <v>1432.95</v>
      </c>
      <c r="C970" s="116">
        <v>1403.6</v>
      </c>
      <c r="D970" s="116">
        <v>1399.25</v>
      </c>
      <c r="E970" s="116">
        <v>1430.1</v>
      </c>
      <c r="F970" s="116">
        <v>1403.6</v>
      </c>
      <c r="G970">
        <v>111804</v>
      </c>
      <c r="H970" s="116"/>
      <c r="I970" s="116"/>
      <c r="L970" s="170">
        <v>43432</v>
      </c>
      <c r="M970" s="116">
        <v>1403.4</v>
      </c>
      <c r="N970" s="116">
        <v>1434</v>
      </c>
      <c r="O970" s="116">
        <v>1399</v>
      </c>
      <c r="P970" s="116">
        <v>1431.6</v>
      </c>
      <c r="Q970" s="116">
        <v>1403.4</v>
      </c>
      <c r="R970">
        <v>1390580</v>
      </c>
    </row>
    <row r="971" spans="1:18" x14ac:dyDescent="0.25">
      <c r="A971" s="170">
        <v>43433</v>
      </c>
      <c r="B971" s="116">
        <v>1435</v>
      </c>
      <c r="C971" s="116">
        <v>1422.4</v>
      </c>
      <c r="D971" s="116">
        <v>1409.65</v>
      </c>
      <c r="E971" s="116">
        <v>1411.05</v>
      </c>
      <c r="F971" s="116">
        <v>1422.4</v>
      </c>
      <c r="G971">
        <v>382837</v>
      </c>
      <c r="H971" s="116"/>
      <c r="I971" s="116"/>
      <c r="L971" s="170">
        <v>43433</v>
      </c>
      <c r="M971" s="116">
        <v>1422.45</v>
      </c>
      <c r="N971" s="116">
        <v>1435.5</v>
      </c>
      <c r="O971" s="116">
        <v>1407.5</v>
      </c>
      <c r="P971" s="116">
        <v>1413.65</v>
      </c>
      <c r="Q971" s="116">
        <v>1422.45</v>
      </c>
      <c r="R971">
        <v>2816724</v>
      </c>
    </row>
    <row r="972" spans="1:18" x14ac:dyDescent="0.25">
      <c r="A972" s="170">
        <v>43434</v>
      </c>
      <c r="B972" s="116">
        <v>1434.5</v>
      </c>
      <c r="C972" s="116">
        <v>1429.65</v>
      </c>
      <c r="D972" s="116">
        <v>1410.5</v>
      </c>
      <c r="E972" s="116">
        <v>1427.95</v>
      </c>
      <c r="F972" s="116">
        <v>1429.65</v>
      </c>
      <c r="G972">
        <v>104460</v>
      </c>
      <c r="H972" s="116"/>
      <c r="I972" s="116"/>
      <c r="L972" s="170">
        <v>43434</v>
      </c>
      <c r="M972" s="116">
        <v>1432.5</v>
      </c>
      <c r="N972" s="116">
        <v>1438.15</v>
      </c>
      <c r="O972" s="116">
        <v>1410</v>
      </c>
      <c r="P972" s="116">
        <v>1425.15</v>
      </c>
      <c r="Q972" s="116">
        <v>1432.5</v>
      </c>
      <c r="R972">
        <v>2018571</v>
      </c>
    </row>
    <row r="973" spans="1:18" x14ac:dyDescent="0.25">
      <c r="A973" s="170">
        <v>43437</v>
      </c>
      <c r="B973" s="116">
        <v>1438.95</v>
      </c>
      <c r="C973" s="116">
        <v>1424.75</v>
      </c>
      <c r="D973" s="116">
        <v>1411.55</v>
      </c>
      <c r="E973" s="116">
        <v>1435</v>
      </c>
      <c r="F973" s="116">
        <v>1424.75</v>
      </c>
      <c r="G973">
        <v>101352</v>
      </c>
      <c r="H973" s="116"/>
      <c r="I973" s="116"/>
      <c r="L973" s="170">
        <v>43437</v>
      </c>
      <c r="M973" s="116">
        <v>1427.5</v>
      </c>
      <c r="N973" s="116">
        <v>1439.95</v>
      </c>
      <c r="O973" s="116">
        <v>1412</v>
      </c>
      <c r="P973" s="116">
        <v>1435.05</v>
      </c>
      <c r="Q973" s="116">
        <v>1427.5</v>
      </c>
      <c r="R973">
        <v>1115862</v>
      </c>
    </row>
    <row r="974" spans="1:18" x14ac:dyDescent="0.25">
      <c r="A974" s="170">
        <v>43438</v>
      </c>
      <c r="B974" s="116">
        <v>1429.6</v>
      </c>
      <c r="C974" s="116">
        <v>1419.65</v>
      </c>
      <c r="D974" s="116">
        <v>1415.1</v>
      </c>
      <c r="E974" s="116">
        <v>1424.6</v>
      </c>
      <c r="F974" s="116">
        <v>1419.65</v>
      </c>
      <c r="G974">
        <v>73502</v>
      </c>
      <c r="H974" s="116"/>
      <c r="I974" s="116"/>
      <c r="L974" s="170">
        <v>43438</v>
      </c>
      <c r="M974" s="116">
        <v>1419.9</v>
      </c>
      <c r="N974" s="116">
        <v>1429.75</v>
      </c>
      <c r="O974" s="116">
        <v>1415</v>
      </c>
      <c r="P974" s="116">
        <v>1423.05</v>
      </c>
      <c r="Q974" s="116">
        <v>1419.9</v>
      </c>
      <c r="R974">
        <v>1061729</v>
      </c>
    </row>
    <row r="975" spans="1:18" x14ac:dyDescent="0.25">
      <c r="A975" s="170">
        <v>43439</v>
      </c>
      <c r="B975" s="116">
        <v>1418.45</v>
      </c>
      <c r="C975" s="116">
        <v>1395.65</v>
      </c>
      <c r="D975" s="116">
        <v>1390</v>
      </c>
      <c r="E975" s="116">
        <v>1413</v>
      </c>
      <c r="F975" s="116">
        <v>1395.65</v>
      </c>
      <c r="G975">
        <v>83896</v>
      </c>
      <c r="H975" s="116"/>
      <c r="I975" s="116"/>
      <c r="L975" s="170">
        <v>43439</v>
      </c>
      <c r="M975" s="116">
        <v>1394.8</v>
      </c>
      <c r="N975" s="116">
        <v>1419</v>
      </c>
      <c r="O975" s="116">
        <v>1389.15</v>
      </c>
      <c r="P975" s="116">
        <v>1412</v>
      </c>
      <c r="Q975" s="116">
        <v>1394.8</v>
      </c>
      <c r="R975">
        <v>1582751</v>
      </c>
    </row>
    <row r="976" spans="1:18" x14ac:dyDescent="0.25">
      <c r="A976" s="170">
        <v>43440</v>
      </c>
      <c r="B976" s="116">
        <v>1397.5</v>
      </c>
      <c r="C976" s="116">
        <v>1379.6</v>
      </c>
      <c r="D976" s="116">
        <v>1372.1</v>
      </c>
      <c r="E976" s="116">
        <v>1390</v>
      </c>
      <c r="F976" s="116">
        <v>1379.6</v>
      </c>
      <c r="G976">
        <v>109007</v>
      </c>
      <c r="H976" s="116"/>
      <c r="I976" s="116"/>
      <c r="L976" s="170">
        <v>43440</v>
      </c>
      <c r="M976" s="116">
        <v>1379.5</v>
      </c>
      <c r="N976" s="116">
        <v>1397.05</v>
      </c>
      <c r="O976" s="116">
        <v>1372.05</v>
      </c>
      <c r="P976" s="116">
        <v>1387.8</v>
      </c>
      <c r="Q976" s="116">
        <v>1379.5</v>
      </c>
      <c r="R976">
        <v>1574405</v>
      </c>
    </row>
    <row r="977" spans="1:18" x14ac:dyDescent="0.25">
      <c r="A977" s="170">
        <v>43441</v>
      </c>
      <c r="B977" s="116">
        <v>1402.55</v>
      </c>
      <c r="C977" s="116">
        <v>1398.45</v>
      </c>
      <c r="D977" s="116">
        <v>1371.75</v>
      </c>
      <c r="E977" s="116">
        <v>1388.6</v>
      </c>
      <c r="F977" s="116">
        <v>1398.45</v>
      </c>
      <c r="G977">
        <v>94105</v>
      </c>
      <c r="H977" s="116"/>
      <c r="I977" s="116"/>
      <c r="L977" s="170">
        <v>43441</v>
      </c>
      <c r="M977" s="116">
        <v>1399.9</v>
      </c>
      <c r="N977" s="116">
        <v>1404</v>
      </c>
      <c r="O977" s="116">
        <v>1372.1</v>
      </c>
      <c r="P977" s="116">
        <v>1387</v>
      </c>
      <c r="Q977" s="116">
        <v>1399.9</v>
      </c>
      <c r="R977">
        <v>1185686</v>
      </c>
    </row>
    <row r="978" spans="1:18" x14ac:dyDescent="0.25">
      <c r="A978" s="170">
        <v>43444</v>
      </c>
      <c r="B978" s="116">
        <v>1384.8</v>
      </c>
      <c r="C978" s="116">
        <v>1366.45</v>
      </c>
      <c r="D978" s="116">
        <v>1358.05</v>
      </c>
      <c r="E978" s="116">
        <v>1383.9</v>
      </c>
      <c r="F978" s="116">
        <v>1366.45</v>
      </c>
      <c r="G978">
        <v>103633</v>
      </c>
      <c r="H978" s="116"/>
      <c r="I978" s="116"/>
      <c r="L978" s="170">
        <v>43444</v>
      </c>
      <c r="M978" s="116">
        <v>1367.75</v>
      </c>
      <c r="N978" s="116">
        <v>1386.4</v>
      </c>
      <c r="O978" s="116">
        <v>1358.2</v>
      </c>
      <c r="P978" s="116">
        <v>1374.7</v>
      </c>
      <c r="Q978" s="116">
        <v>1367.75</v>
      </c>
      <c r="R978">
        <v>1657418</v>
      </c>
    </row>
    <row r="979" spans="1:18" x14ac:dyDescent="0.25">
      <c r="A979" s="170">
        <v>43445</v>
      </c>
      <c r="B979" s="116">
        <v>1369.9</v>
      </c>
      <c r="C979" s="116">
        <v>1364.7</v>
      </c>
      <c r="D979" s="116">
        <v>1344.5</v>
      </c>
      <c r="E979" s="116">
        <v>1356</v>
      </c>
      <c r="F979" s="116">
        <v>1364.7</v>
      </c>
      <c r="G979">
        <v>164756</v>
      </c>
      <c r="H979" s="116"/>
      <c r="I979" s="116"/>
      <c r="L979" s="170">
        <v>43445</v>
      </c>
      <c r="M979" s="116">
        <v>1361.4</v>
      </c>
      <c r="N979" s="116">
        <v>1369.85</v>
      </c>
      <c r="O979" s="116">
        <v>1343.65</v>
      </c>
      <c r="P979" s="116">
        <v>1358</v>
      </c>
      <c r="Q979" s="116">
        <v>1361.4</v>
      </c>
      <c r="R979">
        <v>2302505</v>
      </c>
    </row>
    <row r="980" spans="1:18" x14ac:dyDescent="0.25">
      <c r="A980" s="170">
        <v>43446</v>
      </c>
      <c r="B980" s="116">
        <v>1407</v>
      </c>
      <c r="C980" s="116">
        <v>1400.35</v>
      </c>
      <c r="D980" s="116">
        <v>1365.65</v>
      </c>
      <c r="E980" s="116">
        <v>1366.05</v>
      </c>
      <c r="F980" s="116">
        <v>1400.35</v>
      </c>
      <c r="G980">
        <v>113262</v>
      </c>
      <c r="H980" s="116"/>
      <c r="I980" s="116"/>
      <c r="L980" s="170">
        <v>43446</v>
      </c>
      <c r="M980" s="116">
        <v>1400.3</v>
      </c>
      <c r="N980" s="116">
        <v>1407.65</v>
      </c>
      <c r="O980" s="116">
        <v>1365.5</v>
      </c>
      <c r="P980" s="116">
        <v>1368.6</v>
      </c>
      <c r="Q980" s="116">
        <v>1400.3</v>
      </c>
      <c r="R980">
        <v>1751549</v>
      </c>
    </row>
    <row r="981" spans="1:18" x14ac:dyDescent="0.25">
      <c r="A981" s="170">
        <v>43447</v>
      </c>
      <c r="B981" s="116">
        <v>1428.35</v>
      </c>
      <c r="C981" s="116">
        <v>1425.15</v>
      </c>
      <c r="D981" s="116">
        <v>1406.1</v>
      </c>
      <c r="E981" s="116">
        <v>1412</v>
      </c>
      <c r="F981" s="116">
        <v>1425.15</v>
      </c>
      <c r="G981">
        <v>560258</v>
      </c>
      <c r="H981" s="116"/>
      <c r="I981" s="116"/>
      <c r="L981" s="170">
        <v>43447</v>
      </c>
      <c r="M981" s="116">
        <v>1426.45</v>
      </c>
      <c r="N981" s="116">
        <v>1429</v>
      </c>
      <c r="O981" s="116">
        <v>1406</v>
      </c>
      <c r="P981" s="116">
        <v>1413.7</v>
      </c>
      <c r="Q981" s="116">
        <v>1426.45</v>
      </c>
      <c r="R981">
        <v>1863210</v>
      </c>
    </row>
    <row r="982" spans="1:18" x14ac:dyDescent="0.25">
      <c r="A982" s="170">
        <v>43448</v>
      </c>
      <c r="B982" s="116">
        <v>1428.75</v>
      </c>
      <c r="C982" s="116">
        <v>1411.55</v>
      </c>
      <c r="D982" s="116">
        <v>1406</v>
      </c>
      <c r="E982" s="116">
        <v>1424.9</v>
      </c>
      <c r="F982" s="116">
        <v>1411.55</v>
      </c>
      <c r="G982">
        <v>98176</v>
      </c>
      <c r="H982" s="116"/>
      <c r="I982" s="116"/>
      <c r="L982" s="170">
        <v>43448</v>
      </c>
      <c r="M982" s="116">
        <v>1411.4</v>
      </c>
      <c r="N982" s="116">
        <v>1428.55</v>
      </c>
      <c r="O982" s="116">
        <v>1405.05</v>
      </c>
      <c r="P982" s="116">
        <v>1423.45</v>
      </c>
      <c r="Q982" s="116">
        <v>1411.4</v>
      </c>
      <c r="R982">
        <v>2189734</v>
      </c>
    </row>
    <row r="983" spans="1:18" x14ac:dyDescent="0.25">
      <c r="A983" s="170">
        <v>43451</v>
      </c>
      <c r="B983" s="116">
        <v>1424.05</v>
      </c>
      <c r="C983" s="116">
        <v>1408.45</v>
      </c>
      <c r="D983" s="116">
        <v>1395</v>
      </c>
      <c r="E983" s="116">
        <v>1395</v>
      </c>
      <c r="F983" s="116">
        <v>1408.45</v>
      </c>
      <c r="G983">
        <v>111106</v>
      </c>
      <c r="H983" s="116"/>
      <c r="I983" s="116"/>
      <c r="L983" s="170">
        <v>43451</v>
      </c>
      <c r="M983" s="116">
        <v>1408</v>
      </c>
      <c r="N983" s="116">
        <v>1424.4</v>
      </c>
      <c r="O983" s="116">
        <v>1395.05</v>
      </c>
      <c r="P983" s="116">
        <v>1395.4</v>
      </c>
      <c r="Q983" s="116">
        <v>1408</v>
      </c>
      <c r="R983">
        <v>1610515</v>
      </c>
    </row>
    <row r="984" spans="1:18" x14ac:dyDescent="0.25">
      <c r="A984" s="170">
        <v>43452</v>
      </c>
      <c r="B984" s="116">
        <v>1430</v>
      </c>
      <c r="C984" s="116">
        <v>1428.4</v>
      </c>
      <c r="D984" s="116">
        <v>1405.05</v>
      </c>
      <c r="E984" s="116">
        <v>1407</v>
      </c>
      <c r="F984" s="116">
        <v>1428.4</v>
      </c>
      <c r="G984">
        <v>116485</v>
      </c>
      <c r="H984" s="116"/>
      <c r="I984" s="116"/>
      <c r="L984" s="170">
        <v>43452</v>
      </c>
      <c r="M984" s="116">
        <v>1428.5</v>
      </c>
      <c r="N984" s="116">
        <v>1430</v>
      </c>
      <c r="O984" s="116">
        <v>1405</v>
      </c>
      <c r="P984" s="116">
        <v>1405</v>
      </c>
      <c r="Q984" s="116">
        <v>1428.5</v>
      </c>
      <c r="R984">
        <v>1568498</v>
      </c>
    </row>
    <row r="985" spans="1:18" x14ac:dyDescent="0.25">
      <c r="A985" s="170">
        <v>43453</v>
      </c>
      <c r="B985" s="116">
        <v>1438.8</v>
      </c>
      <c r="C985" s="116">
        <v>1434.65</v>
      </c>
      <c r="D985" s="116">
        <v>1426.8</v>
      </c>
      <c r="E985" s="116">
        <v>1428.5</v>
      </c>
      <c r="F985" s="116">
        <v>1434.65</v>
      </c>
      <c r="G985">
        <v>122952</v>
      </c>
      <c r="H985" s="116"/>
      <c r="I985" s="116"/>
      <c r="L985" s="170">
        <v>43453</v>
      </c>
      <c r="M985" s="116">
        <v>1434.75</v>
      </c>
      <c r="N985" s="116">
        <v>1438</v>
      </c>
      <c r="O985" s="116">
        <v>1426.4</v>
      </c>
      <c r="P985" s="116">
        <v>1431</v>
      </c>
      <c r="Q985" s="116">
        <v>1434.75</v>
      </c>
      <c r="R985">
        <v>2073536</v>
      </c>
    </row>
    <row r="986" spans="1:18" x14ac:dyDescent="0.25">
      <c r="A986" s="170">
        <v>43454</v>
      </c>
      <c r="B986" s="116">
        <v>1450.8</v>
      </c>
      <c r="C986" s="116">
        <v>1449.2</v>
      </c>
      <c r="D986" s="116">
        <v>1423.3</v>
      </c>
      <c r="E986" s="116">
        <v>1431.75</v>
      </c>
      <c r="F986" s="116">
        <v>1449.2</v>
      </c>
      <c r="G986">
        <v>294716</v>
      </c>
      <c r="H986" s="116"/>
      <c r="I986" s="116"/>
      <c r="L986" s="170">
        <v>43454</v>
      </c>
      <c r="M986" s="116">
        <v>1450.8</v>
      </c>
      <c r="N986" s="116">
        <v>1453</v>
      </c>
      <c r="O986" s="116">
        <v>1423.25</v>
      </c>
      <c r="P986" s="116">
        <v>1430.6</v>
      </c>
      <c r="Q986" s="116">
        <v>1450.8</v>
      </c>
      <c r="R986">
        <v>2782410</v>
      </c>
    </row>
    <row r="987" spans="1:18" x14ac:dyDescent="0.25">
      <c r="A987" s="170">
        <v>43455</v>
      </c>
      <c r="B987" s="116">
        <v>1459.1</v>
      </c>
      <c r="C987" s="116">
        <v>1420.4</v>
      </c>
      <c r="D987" s="116">
        <v>1415.85</v>
      </c>
      <c r="E987" s="116">
        <v>1451.1</v>
      </c>
      <c r="F987" s="116">
        <v>1420.4</v>
      </c>
      <c r="G987">
        <v>149653</v>
      </c>
      <c r="H987" s="116"/>
      <c r="I987" s="116"/>
      <c r="L987" s="170">
        <v>43455</v>
      </c>
      <c r="M987" s="116">
        <v>1420</v>
      </c>
      <c r="N987" s="116">
        <v>1459.7</v>
      </c>
      <c r="O987" s="116">
        <v>1415.2</v>
      </c>
      <c r="P987" s="116">
        <v>1450.8</v>
      </c>
      <c r="Q987" s="116">
        <v>1420</v>
      </c>
      <c r="R987">
        <v>1975704</v>
      </c>
    </row>
    <row r="988" spans="1:18" x14ac:dyDescent="0.25">
      <c r="A988" s="170">
        <v>43458</v>
      </c>
      <c r="B988" s="116">
        <v>1429.7</v>
      </c>
      <c r="C988" s="116">
        <v>1405.05</v>
      </c>
      <c r="D988" s="116">
        <v>1401</v>
      </c>
      <c r="E988" s="116">
        <v>1423.5</v>
      </c>
      <c r="F988" s="116">
        <v>1405.05</v>
      </c>
      <c r="G988">
        <v>77024</v>
      </c>
      <c r="H988" s="116"/>
      <c r="I988" s="116"/>
      <c r="L988" s="170">
        <v>43458</v>
      </c>
      <c r="M988" s="116">
        <v>1404.8</v>
      </c>
      <c r="N988" s="116">
        <v>1428.7</v>
      </c>
      <c r="O988" s="116">
        <v>1400</v>
      </c>
      <c r="P988" s="116">
        <v>1427.6</v>
      </c>
      <c r="Q988" s="116">
        <v>1404.8</v>
      </c>
      <c r="R988">
        <v>1390194</v>
      </c>
    </row>
    <row r="989" spans="1:18" x14ac:dyDescent="0.25">
      <c r="A989" s="170">
        <v>43460</v>
      </c>
      <c r="B989" s="116">
        <v>1429.65</v>
      </c>
      <c r="C989" s="116">
        <v>1422.5</v>
      </c>
      <c r="D989" s="116">
        <v>1385</v>
      </c>
      <c r="E989" s="116">
        <v>1403</v>
      </c>
      <c r="F989" s="116">
        <v>1422.5</v>
      </c>
      <c r="G989">
        <v>196198</v>
      </c>
      <c r="H989" s="116"/>
      <c r="I989" s="116"/>
      <c r="L989" s="170">
        <v>43460</v>
      </c>
      <c r="M989" s="116">
        <v>1422.65</v>
      </c>
      <c r="N989" s="116">
        <v>1432</v>
      </c>
      <c r="O989" s="116">
        <v>1384.3</v>
      </c>
      <c r="P989" s="116">
        <v>1398.8</v>
      </c>
      <c r="Q989" s="116">
        <v>1422.65</v>
      </c>
      <c r="R989">
        <v>1712084</v>
      </c>
    </row>
    <row r="990" spans="1:18" x14ac:dyDescent="0.25">
      <c r="A990" s="170">
        <v>43461</v>
      </c>
      <c r="B990" s="116">
        <v>1433.55</v>
      </c>
      <c r="C990" s="116">
        <v>1423.3</v>
      </c>
      <c r="D990" s="116">
        <v>1408.9</v>
      </c>
      <c r="E990" s="116">
        <v>1429</v>
      </c>
      <c r="F990" s="116">
        <v>1423.3</v>
      </c>
      <c r="G990">
        <v>105854</v>
      </c>
      <c r="H990" s="116"/>
      <c r="I990" s="116"/>
      <c r="L990" s="170">
        <v>43461</v>
      </c>
      <c r="M990" s="116">
        <v>1425.05</v>
      </c>
      <c r="N990" s="116">
        <v>1434.35</v>
      </c>
      <c r="O990" s="116">
        <v>1408.5</v>
      </c>
      <c r="P990" s="116">
        <v>1429.2</v>
      </c>
      <c r="Q990" s="116">
        <v>1425.05</v>
      </c>
      <c r="R990">
        <v>1872745</v>
      </c>
    </row>
    <row r="991" spans="1:18" x14ac:dyDescent="0.25">
      <c r="A991" s="170">
        <v>43462</v>
      </c>
      <c r="B991" s="116">
        <v>1446.85</v>
      </c>
      <c r="C991" s="116">
        <v>1439.05</v>
      </c>
      <c r="D991" s="116">
        <v>1415</v>
      </c>
      <c r="E991" s="116">
        <v>1415</v>
      </c>
      <c r="F991" s="116">
        <v>1439.05</v>
      </c>
      <c r="G991">
        <v>140061</v>
      </c>
      <c r="H991" s="116"/>
      <c r="I991" s="116"/>
      <c r="L991" s="170">
        <v>43462</v>
      </c>
      <c r="M991" s="116">
        <v>1439.4</v>
      </c>
      <c r="N991" s="116">
        <v>1448</v>
      </c>
      <c r="O991" s="116">
        <v>1426.3</v>
      </c>
      <c r="P991" s="116">
        <v>1426.55</v>
      </c>
      <c r="Q991" s="116">
        <v>1439.4</v>
      </c>
      <c r="R991">
        <v>1918767</v>
      </c>
    </row>
    <row r="992" spans="1:18" x14ac:dyDescent="0.25">
      <c r="A992" s="170">
        <v>43465</v>
      </c>
      <c r="B992" s="116">
        <v>1450</v>
      </c>
      <c r="C992" s="116">
        <v>1438.5</v>
      </c>
      <c r="D992" s="116">
        <v>1434</v>
      </c>
      <c r="E992" s="116">
        <v>1444</v>
      </c>
      <c r="F992" s="116">
        <v>1438.5</v>
      </c>
      <c r="G992">
        <v>94843</v>
      </c>
      <c r="H992" s="116"/>
      <c r="I992" s="116"/>
      <c r="L992" s="170">
        <v>43465</v>
      </c>
      <c r="M992" s="116">
        <v>1437.55</v>
      </c>
      <c r="N992" s="116">
        <v>1450</v>
      </c>
      <c r="O992" s="116">
        <v>1431.2</v>
      </c>
      <c r="P992" s="116">
        <v>1445</v>
      </c>
      <c r="Q992" s="116">
        <v>1437.55</v>
      </c>
      <c r="R992">
        <v>1487860</v>
      </c>
    </row>
    <row r="993" spans="1:18" x14ac:dyDescent="0.25">
      <c r="A993" s="170">
        <v>43466</v>
      </c>
      <c r="B993" s="116">
        <v>1449</v>
      </c>
      <c r="C993" s="116">
        <v>1441.75</v>
      </c>
      <c r="D993" s="116">
        <v>1427</v>
      </c>
      <c r="E993" s="116">
        <v>1449</v>
      </c>
      <c r="F993" s="116">
        <v>1441.75</v>
      </c>
      <c r="G993">
        <v>64739</v>
      </c>
      <c r="H993" s="116"/>
      <c r="I993" s="116"/>
      <c r="L993" s="170">
        <v>43466</v>
      </c>
      <c r="M993" s="116">
        <v>1441.9</v>
      </c>
      <c r="N993" s="116">
        <v>1445</v>
      </c>
      <c r="O993" s="116">
        <v>1425.2</v>
      </c>
      <c r="P993" s="116">
        <v>1445</v>
      </c>
      <c r="Q993" s="116">
        <v>1441.9</v>
      </c>
      <c r="R993">
        <v>786846</v>
      </c>
    </row>
    <row r="994" spans="1:18" x14ac:dyDescent="0.25">
      <c r="A994" s="170">
        <v>43467</v>
      </c>
      <c r="B994" s="116">
        <v>1444</v>
      </c>
      <c r="C994" s="116">
        <v>1426.4</v>
      </c>
      <c r="D994" s="116">
        <v>1417.55</v>
      </c>
      <c r="E994" s="116">
        <v>1442.8</v>
      </c>
      <c r="F994" s="116">
        <v>1426.4</v>
      </c>
      <c r="G994">
        <v>94173</v>
      </c>
      <c r="H994" s="116"/>
      <c r="I994" s="116"/>
      <c r="L994" s="170">
        <v>43467</v>
      </c>
      <c r="M994" s="116">
        <v>1425.5</v>
      </c>
      <c r="N994" s="116">
        <v>1444.9</v>
      </c>
      <c r="O994" s="116">
        <v>1417.1</v>
      </c>
      <c r="P994" s="116">
        <v>1441</v>
      </c>
      <c r="Q994" s="116">
        <v>1425.5</v>
      </c>
      <c r="R994">
        <v>2058504</v>
      </c>
    </row>
    <row r="995" spans="1:18" x14ac:dyDescent="0.25">
      <c r="A995" s="170">
        <v>43468</v>
      </c>
      <c r="B995" s="116">
        <v>1428.2</v>
      </c>
      <c r="C995" s="116">
        <v>1393.95</v>
      </c>
      <c r="D995" s="116">
        <v>1390.25</v>
      </c>
      <c r="E995" s="116">
        <v>1426.5</v>
      </c>
      <c r="F995" s="116">
        <v>1393.95</v>
      </c>
      <c r="G995">
        <v>165955</v>
      </c>
      <c r="H995" s="116"/>
      <c r="I995" s="116"/>
      <c r="L995" s="170">
        <v>43468</v>
      </c>
      <c r="M995" s="116">
        <v>1395</v>
      </c>
      <c r="N995" s="116">
        <v>1429</v>
      </c>
      <c r="O995" s="116">
        <v>1391</v>
      </c>
      <c r="P995" s="116">
        <v>1426</v>
      </c>
      <c r="Q995" s="116">
        <v>1395</v>
      </c>
      <c r="R995">
        <v>2290756</v>
      </c>
    </row>
    <row r="996" spans="1:18" x14ac:dyDescent="0.25">
      <c r="A996" s="170">
        <v>43469</v>
      </c>
      <c r="B996" s="116">
        <v>1407</v>
      </c>
      <c r="C996" s="116">
        <v>1389.3</v>
      </c>
      <c r="D996" s="116">
        <v>1373.85</v>
      </c>
      <c r="E996" s="116">
        <v>1401</v>
      </c>
      <c r="F996" s="116">
        <v>1389.3</v>
      </c>
      <c r="G996">
        <v>170370</v>
      </c>
      <c r="H996" s="116"/>
      <c r="I996" s="116"/>
      <c r="L996" s="170">
        <v>43469</v>
      </c>
      <c r="M996" s="116">
        <v>1388.05</v>
      </c>
      <c r="N996" s="116">
        <v>1407.6</v>
      </c>
      <c r="O996" s="116">
        <v>1373.55</v>
      </c>
      <c r="P996" s="116">
        <v>1401.9</v>
      </c>
      <c r="Q996" s="116">
        <v>1388.05</v>
      </c>
      <c r="R996">
        <v>2711485</v>
      </c>
    </row>
    <row r="997" spans="1:18" x14ac:dyDescent="0.25">
      <c r="A997" s="170">
        <v>43472</v>
      </c>
      <c r="B997" s="116">
        <v>1408.15</v>
      </c>
      <c r="C997" s="116">
        <v>1383.95</v>
      </c>
      <c r="D997" s="116">
        <v>1380.55</v>
      </c>
      <c r="E997" s="116">
        <v>1400</v>
      </c>
      <c r="F997" s="116">
        <v>1383.95</v>
      </c>
      <c r="G997">
        <v>128209</v>
      </c>
      <c r="H997" s="116"/>
      <c r="I997" s="116"/>
      <c r="L997" s="170">
        <v>43472</v>
      </c>
      <c r="M997" s="116">
        <v>1383.8</v>
      </c>
      <c r="N997" s="116">
        <v>1408.6</v>
      </c>
      <c r="O997" s="116">
        <v>1379.05</v>
      </c>
      <c r="P997" s="116">
        <v>1397</v>
      </c>
      <c r="Q997" s="116">
        <v>1383.8</v>
      </c>
      <c r="R997">
        <v>1851513</v>
      </c>
    </row>
    <row r="998" spans="1:18" x14ac:dyDescent="0.25">
      <c r="A998" s="170">
        <v>43473</v>
      </c>
      <c r="B998" s="116">
        <v>1394.6</v>
      </c>
      <c r="C998" s="116">
        <v>1381.9</v>
      </c>
      <c r="D998" s="116">
        <v>1371.1</v>
      </c>
      <c r="E998" s="116">
        <v>1384.25</v>
      </c>
      <c r="F998" s="116">
        <v>1381.9</v>
      </c>
      <c r="G998">
        <v>362423</v>
      </c>
      <c r="H998" s="116"/>
      <c r="I998" s="116"/>
      <c r="L998" s="170">
        <v>43473</v>
      </c>
      <c r="M998" s="116">
        <v>1382.2</v>
      </c>
      <c r="N998" s="116">
        <v>1393.85</v>
      </c>
      <c r="O998" s="116">
        <v>1375</v>
      </c>
      <c r="P998" s="116">
        <v>1387.5</v>
      </c>
      <c r="Q998" s="116">
        <v>1382.2</v>
      </c>
      <c r="R998">
        <v>1437271</v>
      </c>
    </row>
    <row r="999" spans="1:18" x14ac:dyDescent="0.25">
      <c r="A999" s="170">
        <v>43474</v>
      </c>
      <c r="B999" s="116">
        <v>1393.3</v>
      </c>
      <c r="C999" s="116">
        <v>1385.2</v>
      </c>
      <c r="D999" s="116">
        <v>1372.7</v>
      </c>
      <c r="E999" s="116">
        <v>1393.3</v>
      </c>
      <c r="F999" s="116">
        <v>1385.2</v>
      </c>
      <c r="G999">
        <v>108794</v>
      </c>
      <c r="H999" s="116"/>
      <c r="I999" s="116"/>
      <c r="L999" s="170">
        <v>43474</v>
      </c>
      <c r="M999" s="116">
        <v>1386.05</v>
      </c>
      <c r="N999" s="116">
        <v>1393.55</v>
      </c>
      <c r="O999" s="116">
        <v>1372</v>
      </c>
      <c r="P999" s="116">
        <v>1389.5</v>
      </c>
      <c r="Q999" s="116">
        <v>1386.05</v>
      </c>
      <c r="R999">
        <v>1413005</v>
      </c>
    </row>
    <row r="1000" spans="1:18" x14ac:dyDescent="0.25">
      <c r="A1000" s="170">
        <v>43475</v>
      </c>
      <c r="B1000" s="116">
        <v>1399</v>
      </c>
      <c r="C1000" s="116">
        <v>1390.25</v>
      </c>
      <c r="D1000" s="116">
        <v>1383.6</v>
      </c>
      <c r="E1000" s="116">
        <v>1390.2</v>
      </c>
      <c r="F1000" s="116">
        <v>1390.25</v>
      </c>
      <c r="G1000">
        <v>98132</v>
      </c>
      <c r="H1000" s="116"/>
      <c r="I1000" s="116"/>
      <c r="L1000" s="170">
        <v>43475</v>
      </c>
      <c r="M1000" s="116">
        <v>1392.6</v>
      </c>
      <c r="N1000" s="116">
        <v>1398.9</v>
      </c>
      <c r="O1000" s="116">
        <v>1383.25</v>
      </c>
      <c r="P1000" s="116">
        <v>1388</v>
      </c>
      <c r="Q1000" s="116">
        <v>1392.6</v>
      </c>
      <c r="R1000">
        <v>1063647</v>
      </c>
    </row>
    <row r="1001" spans="1:18" x14ac:dyDescent="0.25">
      <c r="A1001" s="170">
        <v>43476</v>
      </c>
      <c r="B1001" s="116">
        <v>1392.45</v>
      </c>
      <c r="C1001" s="116">
        <v>1370.2</v>
      </c>
      <c r="D1001" s="116">
        <v>1361.8</v>
      </c>
      <c r="E1001" s="116">
        <v>1390.95</v>
      </c>
      <c r="F1001" s="116">
        <v>1370.2</v>
      </c>
      <c r="G1001">
        <v>188315</v>
      </c>
      <c r="H1001" s="116"/>
      <c r="I1001" s="116"/>
      <c r="L1001" s="170">
        <v>43476</v>
      </c>
      <c r="M1001" s="116">
        <v>1369.6</v>
      </c>
      <c r="N1001" s="116">
        <v>1393.9</v>
      </c>
      <c r="O1001" s="116">
        <v>1361.05</v>
      </c>
      <c r="P1001" s="116">
        <v>1393</v>
      </c>
      <c r="Q1001" s="116">
        <v>1369.6</v>
      </c>
      <c r="R1001">
        <v>2489197</v>
      </c>
    </row>
    <row r="1002" spans="1:18" x14ac:dyDescent="0.25">
      <c r="A1002" s="170">
        <v>43479</v>
      </c>
      <c r="B1002" s="116">
        <v>1369</v>
      </c>
      <c r="C1002" s="116">
        <v>1334</v>
      </c>
      <c r="D1002" s="116">
        <v>1331</v>
      </c>
      <c r="E1002" s="116">
        <v>1369</v>
      </c>
      <c r="F1002" s="116">
        <v>1334</v>
      </c>
      <c r="G1002">
        <v>180336</v>
      </c>
      <c r="H1002" s="116"/>
      <c r="I1002" s="116"/>
      <c r="L1002" s="170">
        <v>43479</v>
      </c>
      <c r="M1002" s="116">
        <v>1333.9</v>
      </c>
      <c r="N1002" s="116">
        <v>1367.2</v>
      </c>
      <c r="O1002" s="116">
        <v>1331</v>
      </c>
      <c r="P1002" s="116">
        <v>1367.2</v>
      </c>
      <c r="Q1002" s="116">
        <v>1333.9</v>
      </c>
      <c r="R1002">
        <v>3080984</v>
      </c>
    </row>
    <row r="1003" spans="1:18" x14ac:dyDescent="0.25">
      <c r="A1003" s="170">
        <v>43480</v>
      </c>
      <c r="B1003" s="116">
        <v>1348</v>
      </c>
      <c r="C1003" s="116">
        <v>1341.05</v>
      </c>
      <c r="D1003" s="116">
        <v>1330.1</v>
      </c>
      <c r="E1003" s="116">
        <v>1342.1</v>
      </c>
      <c r="F1003" s="116">
        <v>1341.05</v>
      </c>
      <c r="G1003">
        <v>154188</v>
      </c>
      <c r="H1003" s="116"/>
      <c r="I1003" s="116"/>
      <c r="L1003" s="170">
        <v>43480</v>
      </c>
      <c r="M1003" s="116">
        <v>1340.9</v>
      </c>
      <c r="N1003" s="116">
        <v>1348</v>
      </c>
      <c r="O1003" s="116">
        <v>1330</v>
      </c>
      <c r="P1003" s="116">
        <v>1340</v>
      </c>
      <c r="Q1003" s="116">
        <v>1340.9</v>
      </c>
      <c r="R1003">
        <v>3079248</v>
      </c>
    </row>
    <row r="1004" spans="1:18" x14ac:dyDescent="0.25">
      <c r="A1004" s="170">
        <v>43481</v>
      </c>
      <c r="B1004" s="116">
        <v>1360.4</v>
      </c>
      <c r="C1004" s="116">
        <v>1342.55</v>
      </c>
      <c r="D1004" s="116">
        <v>1337.25</v>
      </c>
      <c r="E1004" s="116">
        <v>1344</v>
      </c>
      <c r="F1004" s="116">
        <v>1342.55</v>
      </c>
      <c r="G1004">
        <v>129634</v>
      </c>
      <c r="H1004" s="116"/>
      <c r="I1004" s="116"/>
      <c r="L1004" s="170">
        <v>43481</v>
      </c>
      <c r="M1004" s="116">
        <v>1342.15</v>
      </c>
      <c r="N1004" s="116">
        <v>1361.5</v>
      </c>
      <c r="O1004" s="116">
        <v>1336</v>
      </c>
      <c r="P1004" s="116">
        <v>1342.9</v>
      </c>
      <c r="Q1004" s="116">
        <v>1342.15</v>
      </c>
      <c r="R1004">
        <v>2454470</v>
      </c>
    </row>
    <row r="1005" spans="1:18" x14ac:dyDescent="0.25">
      <c r="A1005" s="170">
        <v>43482</v>
      </c>
      <c r="B1005" s="116">
        <v>1351</v>
      </c>
      <c r="C1005" s="116">
        <v>1346.15</v>
      </c>
      <c r="D1005" s="116">
        <v>1336.8</v>
      </c>
      <c r="E1005" s="116">
        <v>1345</v>
      </c>
      <c r="F1005" s="116">
        <v>1346.15</v>
      </c>
      <c r="G1005">
        <v>88219</v>
      </c>
      <c r="H1005" s="116"/>
      <c r="I1005" s="116"/>
      <c r="L1005" s="170">
        <v>43482</v>
      </c>
      <c r="M1005" s="116">
        <v>1346.05</v>
      </c>
      <c r="N1005" s="116">
        <v>1351.8</v>
      </c>
      <c r="O1005" s="116">
        <v>1336.95</v>
      </c>
      <c r="P1005" s="116">
        <v>1345.1</v>
      </c>
      <c r="Q1005" s="116">
        <v>1346.05</v>
      </c>
      <c r="R1005">
        <v>1610419</v>
      </c>
    </row>
    <row r="1006" spans="1:18" x14ac:dyDescent="0.25">
      <c r="A1006" s="170">
        <v>43483</v>
      </c>
      <c r="B1006" s="116">
        <v>1352</v>
      </c>
      <c r="C1006" s="116">
        <v>1318.25</v>
      </c>
      <c r="D1006" s="116">
        <v>1313</v>
      </c>
      <c r="E1006" s="116">
        <v>1351</v>
      </c>
      <c r="F1006" s="116">
        <v>1318.25</v>
      </c>
      <c r="G1006">
        <v>184339</v>
      </c>
      <c r="H1006" s="116"/>
      <c r="I1006" s="116"/>
      <c r="L1006" s="170">
        <v>43483</v>
      </c>
      <c r="M1006" s="116">
        <v>1317.9</v>
      </c>
      <c r="N1006" s="116">
        <v>1352</v>
      </c>
      <c r="O1006" s="116">
        <v>1313</v>
      </c>
      <c r="P1006" s="116">
        <v>1350.85</v>
      </c>
      <c r="Q1006" s="116">
        <v>1317.9</v>
      </c>
      <c r="R1006">
        <v>2135781</v>
      </c>
    </row>
    <row r="1007" spans="1:18" x14ac:dyDescent="0.25">
      <c r="A1007" s="170">
        <v>43486</v>
      </c>
      <c r="B1007" s="116">
        <v>1336.45</v>
      </c>
      <c r="C1007" s="116">
        <v>1314.2</v>
      </c>
      <c r="D1007" s="116">
        <v>1275</v>
      </c>
      <c r="E1007" s="116">
        <v>1275</v>
      </c>
      <c r="F1007" s="116">
        <v>1314.2</v>
      </c>
      <c r="G1007">
        <v>405947</v>
      </c>
      <c r="H1007" s="116"/>
      <c r="I1007" s="116"/>
      <c r="L1007" s="170">
        <v>43486</v>
      </c>
      <c r="M1007" s="116">
        <v>1314.55</v>
      </c>
      <c r="N1007" s="116">
        <v>1337.25</v>
      </c>
      <c r="O1007" s="116">
        <v>1273.45</v>
      </c>
      <c r="P1007" s="116">
        <v>1279</v>
      </c>
      <c r="Q1007" s="116">
        <v>1314.55</v>
      </c>
      <c r="R1007">
        <v>8813681</v>
      </c>
    </row>
    <row r="1008" spans="1:18" x14ac:dyDescent="0.25">
      <c r="A1008" s="170">
        <v>43487</v>
      </c>
      <c r="B1008" s="116">
        <v>1321</v>
      </c>
      <c r="C1008" s="116">
        <v>1300.8</v>
      </c>
      <c r="D1008" s="116">
        <v>1296.2</v>
      </c>
      <c r="E1008" s="116">
        <v>1315.25</v>
      </c>
      <c r="F1008" s="116">
        <v>1300.8</v>
      </c>
      <c r="G1008">
        <v>184502</v>
      </c>
      <c r="H1008" s="116"/>
      <c r="I1008" s="116"/>
      <c r="L1008" s="170">
        <v>43487</v>
      </c>
      <c r="M1008" s="116">
        <v>1301.1500000000001</v>
      </c>
      <c r="N1008" s="116">
        <v>1321.5</v>
      </c>
      <c r="O1008" s="116">
        <v>1298.0999999999999</v>
      </c>
      <c r="P1008" s="116">
        <v>1316.9</v>
      </c>
      <c r="Q1008" s="116">
        <v>1301.1500000000001</v>
      </c>
      <c r="R1008">
        <v>2544978</v>
      </c>
    </row>
    <row r="1009" spans="1:18" x14ac:dyDescent="0.25">
      <c r="A1009" s="170">
        <v>43488</v>
      </c>
      <c r="B1009" s="116">
        <v>1306.25</v>
      </c>
      <c r="C1009" s="116">
        <v>1301</v>
      </c>
      <c r="D1009" s="116">
        <v>1294.75</v>
      </c>
      <c r="E1009" s="116">
        <v>1305</v>
      </c>
      <c r="F1009" s="116">
        <v>1301</v>
      </c>
      <c r="G1009">
        <v>116250</v>
      </c>
      <c r="H1009" s="116"/>
      <c r="I1009" s="116"/>
      <c r="L1009" s="170">
        <v>43488</v>
      </c>
      <c r="M1009" s="116">
        <v>1301.45</v>
      </c>
      <c r="N1009" s="116">
        <v>1306.9000000000001</v>
      </c>
      <c r="O1009" s="116">
        <v>1293.55</v>
      </c>
      <c r="P1009" s="116">
        <v>1301</v>
      </c>
      <c r="Q1009" s="116">
        <v>1301.45</v>
      </c>
      <c r="R1009">
        <v>1821323</v>
      </c>
    </row>
    <row r="1010" spans="1:18" x14ac:dyDescent="0.25">
      <c r="A1010" s="170">
        <v>43489</v>
      </c>
      <c r="B1010" s="116">
        <v>1307</v>
      </c>
      <c r="C1010" s="116">
        <v>1296.5999999999999</v>
      </c>
      <c r="D1010" s="116">
        <v>1287.3499999999999</v>
      </c>
      <c r="E1010" s="116">
        <v>1307</v>
      </c>
      <c r="F1010" s="116">
        <v>1296.5999999999999</v>
      </c>
      <c r="G1010">
        <v>144882</v>
      </c>
      <c r="H1010" s="116"/>
      <c r="I1010" s="116"/>
      <c r="L1010" s="170">
        <v>43489</v>
      </c>
      <c r="M1010" s="116">
        <v>1295.3499999999999</v>
      </c>
      <c r="N1010" s="116">
        <v>1305.55</v>
      </c>
      <c r="O1010" s="116">
        <v>1287</v>
      </c>
      <c r="P1010" s="116">
        <v>1305</v>
      </c>
      <c r="Q1010" s="116">
        <v>1295.3499999999999</v>
      </c>
      <c r="R1010">
        <v>1654706</v>
      </c>
    </row>
    <row r="1011" spans="1:18" x14ac:dyDescent="0.25">
      <c r="A1011" s="170">
        <v>43490</v>
      </c>
      <c r="B1011" s="116">
        <v>1314.2</v>
      </c>
      <c r="C1011" s="116">
        <v>1285.55</v>
      </c>
      <c r="D1011" s="116">
        <v>1280</v>
      </c>
      <c r="E1011" s="116">
        <v>1306</v>
      </c>
      <c r="F1011" s="116">
        <v>1285.55</v>
      </c>
      <c r="G1011">
        <v>227556</v>
      </c>
      <c r="H1011" s="116"/>
      <c r="I1011" s="116"/>
      <c r="L1011" s="170">
        <v>43490</v>
      </c>
      <c r="M1011" s="116">
        <v>1285.45</v>
      </c>
      <c r="N1011" s="116">
        <v>1314.1</v>
      </c>
      <c r="O1011" s="116">
        <v>1281.5</v>
      </c>
      <c r="P1011" s="116">
        <v>1300</v>
      </c>
      <c r="Q1011" s="116">
        <v>1285.45</v>
      </c>
      <c r="R1011">
        <v>3136788</v>
      </c>
    </row>
    <row r="1012" spans="1:18" x14ac:dyDescent="0.25">
      <c r="A1012" s="170">
        <v>43493</v>
      </c>
      <c r="B1012" s="116">
        <v>1337.45</v>
      </c>
      <c r="C1012" s="116">
        <v>1300.55</v>
      </c>
      <c r="D1012" s="116">
        <v>1292.45</v>
      </c>
      <c r="E1012" s="116">
        <v>1301</v>
      </c>
      <c r="F1012" s="116">
        <v>1300.55</v>
      </c>
      <c r="G1012">
        <v>374277</v>
      </c>
      <c r="H1012" s="116"/>
      <c r="I1012" s="116"/>
      <c r="L1012" s="170">
        <v>43493</v>
      </c>
      <c r="M1012" s="116">
        <v>1300.45</v>
      </c>
      <c r="N1012" s="116">
        <v>1337.9</v>
      </c>
      <c r="O1012" s="116">
        <v>1291.6500000000001</v>
      </c>
      <c r="P1012" s="116">
        <v>1295.45</v>
      </c>
      <c r="Q1012" s="116">
        <v>1300.45</v>
      </c>
      <c r="R1012">
        <v>8004136</v>
      </c>
    </row>
    <row r="1013" spans="1:18" x14ac:dyDescent="0.25">
      <c r="A1013" s="170">
        <v>43494</v>
      </c>
      <c r="B1013" s="116">
        <v>1307.2</v>
      </c>
      <c r="C1013" s="116">
        <v>1278.0999999999999</v>
      </c>
      <c r="D1013" s="116">
        <v>1268</v>
      </c>
      <c r="E1013" s="116">
        <v>1302</v>
      </c>
      <c r="F1013" s="116">
        <v>1278.0999999999999</v>
      </c>
      <c r="G1013">
        <v>205848</v>
      </c>
      <c r="H1013" s="116"/>
      <c r="I1013" s="116"/>
      <c r="L1013" s="170">
        <v>43494</v>
      </c>
      <c r="M1013" s="116">
        <v>1278.05</v>
      </c>
      <c r="N1013" s="116">
        <v>1308.8</v>
      </c>
      <c r="O1013" s="116">
        <v>1268.2</v>
      </c>
      <c r="P1013" s="116">
        <v>1304</v>
      </c>
      <c r="Q1013" s="116">
        <v>1278.05</v>
      </c>
      <c r="R1013">
        <v>3685535</v>
      </c>
    </row>
    <row r="1014" spans="1:18" x14ac:dyDescent="0.25">
      <c r="A1014" s="170">
        <v>43495</v>
      </c>
      <c r="B1014" s="116">
        <v>1309</v>
      </c>
      <c r="C1014" s="116">
        <v>1295.3</v>
      </c>
      <c r="D1014" s="116">
        <v>1281</v>
      </c>
      <c r="E1014" s="116">
        <v>1283</v>
      </c>
      <c r="F1014" s="116">
        <v>1295.3</v>
      </c>
      <c r="G1014">
        <v>195791</v>
      </c>
      <c r="H1014" s="116"/>
      <c r="I1014" s="116"/>
      <c r="L1014" s="170">
        <v>43495</v>
      </c>
      <c r="M1014" s="116">
        <v>1294.45</v>
      </c>
      <c r="N1014" s="116">
        <v>1309</v>
      </c>
      <c r="O1014" s="116">
        <v>1281</v>
      </c>
      <c r="P1014" s="116">
        <v>1284.3</v>
      </c>
      <c r="Q1014" s="116">
        <v>1294.45</v>
      </c>
      <c r="R1014">
        <v>2385425</v>
      </c>
    </row>
    <row r="1015" spans="1:18" x14ac:dyDescent="0.25">
      <c r="A1015" s="170">
        <v>43496</v>
      </c>
      <c r="B1015" s="116">
        <v>1318.9</v>
      </c>
      <c r="C1015" s="116">
        <v>1313.4</v>
      </c>
      <c r="D1015" s="116">
        <v>1296.9000000000001</v>
      </c>
      <c r="E1015" s="116">
        <v>1301.3499999999999</v>
      </c>
      <c r="F1015" s="116">
        <v>1313.4</v>
      </c>
      <c r="G1015">
        <v>189451</v>
      </c>
      <c r="H1015" s="116"/>
      <c r="I1015" s="116"/>
      <c r="L1015" s="170">
        <v>43496</v>
      </c>
      <c r="M1015" s="116">
        <v>1314.3</v>
      </c>
      <c r="N1015" s="116">
        <v>1321.7</v>
      </c>
      <c r="O1015" s="116">
        <v>1296.55</v>
      </c>
      <c r="P1015" s="116">
        <v>1304</v>
      </c>
      <c r="Q1015" s="116">
        <v>1314.3</v>
      </c>
      <c r="R1015">
        <v>5852257</v>
      </c>
    </row>
    <row r="1016" spans="1:18" x14ac:dyDescent="0.25">
      <c r="A1016" s="170">
        <v>43497</v>
      </c>
      <c r="B1016" s="116">
        <v>1334.5</v>
      </c>
      <c r="C1016" s="116">
        <v>1324.6</v>
      </c>
      <c r="D1016" s="116">
        <v>1313</v>
      </c>
      <c r="E1016" s="116">
        <v>1315</v>
      </c>
      <c r="F1016" s="116">
        <v>1324.6</v>
      </c>
      <c r="G1016">
        <v>203157</v>
      </c>
      <c r="H1016" s="116"/>
      <c r="I1016" s="116"/>
      <c r="L1016" s="170">
        <v>43497</v>
      </c>
      <c r="M1016" s="116">
        <v>1324.6</v>
      </c>
      <c r="N1016" s="116">
        <v>1334.55</v>
      </c>
      <c r="O1016" s="116">
        <v>1313</v>
      </c>
      <c r="P1016" s="116">
        <v>1315.5</v>
      </c>
      <c r="Q1016" s="116">
        <v>1324.6</v>
      </c>
      <c r="R1016">
        <v>2515736</v>
      </c>
    </row>
    <row r="1017" spans="1:18" x14ac:dyDescent="0.25">
      <c r="A1017" s="170">
        <v>43500</v>
      </c>
      <c r="B1017" s="116">
        <v>1326.05</v>
      </c>
      <c r="C1017" s="116">
        <v>1307.25</v>
      </c>
      <c r="D1017" s="116">
        <v>1302</v>
      </c>
      <c r="E1017" s="116">
        <v>1325</v>
      </c>
      <c r="F1017" s="116">
        <v>1307.25</v>
      </c>
      <c r="G1017">
        <v>120594</v>
      </c>
      <c r="H1017" s="116"/>
      <c r="I1017" s="116"/>
      <c r="L1017" s="170">
        <v>43500</v>
      </c>
      <c r="M1017" s="116">
        <v>1307.4000000000001</v>
      </c>
      <c r="N1017" s="116">
        <v>1326.85</v>
      </c>
      <c r="O1017" s="116">
        <v>1302.5999999999999</v>
      </c>
      <c r="P1017" s="116">
        <v>1326.85</v>
      </c>
      <c r="Q1017" s="116">
        <v>1307.4000000000001</v>
      </c>
      <c r="R1017">
        <v>2308931</v>
      </c>
    </row>
    <row r="1018" spans="1:18" x14ac:dyDescent="0.25">
      <c r="A1018" s="170">
        <v>43501</v>
      </c>
      <c r="B1018" s="116">
        <v>1322.1</v>
      </c>
      <c r="C1018" s="116">
        <v>1305.2</v>
      </c>
      <c r="D1018" s="116">
        <v>1300</v>
      </c>
      <c r="E1018" s="116">
        <v>1307.5</v>
      </c>
      <c r="F1018" s="116">
        <v>1305.2</v>
      </c>
      <c r="G1018">
        <v>112868</v>
      </c>
      <c r="H1018" s="116"/>
      <c r="I1018" s="116"/>
      <c r="L1018" s="170">
        <v>43501</v>
      </c>
      <c r="M1018" s="116">
        <v>1304.5999999999999</v>
      </c>
      <c r="N1018" s="116">
        <v>1323</v>
      </c>
      <c r="O1018" s="116">
        <v>1300</v>
      </c>
      <c r="P1018" s="116">
        <v>1310.7</v>
      </c>
      <c r="Q1018" s="116">
        <v>1304.5999999999999</v>
      </c>
      <c r="R1018">
        <v>1447400</v>
      </c>
    </row>
    <row r="1019" spans="1:18" x14ac:dyDescent="0.25">
      <c r="A1019" s="170">
        <v>43502</v>
      </c>
      <c r="B1019" s="116">
        <v>1320</v>
      </c>
      <c r="C1019" s="116">
        <v>1311.65</v>
      </c>
      <c r="D1019" s="116">
        <v>1293.05</v>
      </c>
      <c r="E1019" s="116">
        <v>1308</v>
      </c>
      <c r="F1019" s="116">
        <v>1311.65</v>
      </c>
      <c r="G1019">
        <v>154763</v>
      </c>
      <c r="H1019" s="116"/>
      <c r="I1019" s="116"/>
      <c r="L1019" s="170">
        <v>43502</v>
      </c>
      <c r="M1019" s="116">
        <v>1314.4</v>
      </c>
      <c r="N1019" s="116">
        <v>1322</v>
      </c>
      <c r="O1019" s="116">
        <v>1293.05</v>
      </c>
      <c r="P1019" s="116">
        <v>1308</v>
      </c>
      <c r="Q1019" s="116">
        <v>1314.4</v>
      </c>
      <c r="R1019">
        <v>2034886</v>
      </c>
    </row>
    <row r="1020" spans="1:18" x14ac:dyDescent="0.25">
      <c r="A1020" s="170">
        <v>43503</v>
      </c>
      <c r="B1020" s="116">
        <v>1320</v>
      </c>
      <c r="C1020" s="116">
        <v>1300.1500000000001</v>
      </c>
      <c r="D1020" s="116">
        <v>1293.5</v>
      </c>
      <c r="E1020" s="116">
        <v>1315</v>
      </c>
      <c r="F1020" s="116">
        <v>1300.1500000000001</v>
      </c>
      <c r="G1020">
        <v>118417</v>
      </c>
      <c r="H1020" s="116"/>
      <c r="I1020" s="116"/>
      <c r="L1020" s="170">
        <v>43503</v>
      </c>
      <c r="M1020" s="116">
        <v>1296.05</v>
      </c>
      <c r="N1020" s="116">
        <v>1320.85</v>
      </c>
      <c r="O1020" s="116">
        <v>1289.2</v>
      </c>
      <c r="P1020" s="116">
        <v>1314</v>
      </c>
      <c r="Q1020" s="116">
        <v>1296.05</v>
      </c>
      <c r="R1020">
        <v>1556295</v>
      </c>
    </row>
    <row r="1021" spans="1:18" x14ac:dyDescent="0.25">
      <c r="A1021" s="170">
        <v>43504</v>
      </c>
      <c r="B1021" s="116">
        <v>1299.3499999999999</v>
      </c>
      <c r="C1021" s="116">
        <v>1262.2</v>
      </c>
      <c r="D1021" s="116">
        <v>1258.95</v>
      </c>
      <c r="E1021" s="116">
        <v>1299.3499999999999</v>
      </c>
      <c r="F1021" s="116">
        <v>1262.2</v>
      </c>
      <c r="G1021">
        <v>225429</v>
      </c>
      <c r="H1021" s="116"/>
      <c r="I1021" s="116"/>
      <c r="L1021" s="170">
        <v>43504</v>
      </c>
      <c r="M1021" s="116">
        <v>1261.75</v>
      </c>
      <c r="N1021" s="116">
        <v>1298.9000000000001</v>
      </c>
      <c r="O1021" s="116">
        <v>1255.55</v>
      </c>
      <c r="P1021" s="116">
        <v>1295</v>
      </c>
      <c r="Q1021" s="116">
        <v>1261.75</v>
      </c>
      <c r="R1021">
        <v>2993525</v>
      </c>
    </row>
    <row r="1022" spans="1:18" x14ac:dyDescent="0.25">
      <c r="A1022" s="170">
        <v>43507</v>
      </c>
      <c r="B1022" s="116">
        <v>1260.0999999999999</v>
      </c>
      <c r="C1022" s="116">
        <v>1245.95</v>
      </c>
      <c r="D1022" s="116">
        <v>1220.95</v>
      </c>
      <c r="E1022" s="116">
        <v>1260</v>
      </c>
      <c r="F1022" s="116">
        <v>1245.95</v>
      </c>
      <c r="G1022">
        <v>373894</v>
      </c>
      <c r="H1022" s="116"/>
      <c r="I1022" s="116"/>
      <c r="L1022" s="170">
        <v>43507</v>
      </c>
      <c r="M1022" s="116">
        <v>1246.5</v>
      </c>
      <c r="N1022" s="116">
        <v>1259</v>
      </c>
      <c r="O1022" s="116">
        <v>1221</v>
      </c>
      <c r="P1022" s="116">
        <v>1259</v>
      </c>
      <c r="Q1022" s="116">
        <v>1246.5</v>
      </c>
      <c r="R1022">
        <v>2981408</v>
      </c>
    </row>
    <row r="1023" spans="1:18" x14ac:dyDescent="0.25">
      <c r="A1023" s="170">
        <v>43508</v>
      </c>
      <c r="B1023" s="116">
        <v>1264.05</v>
      </c>
      <c r="C1023" s="116">
        <v>1244.6500000000001</v>
      </c>
      <c r="D1023" s="116">
        <v>1238</v>
      </c>
      <c r="E1023" s="116">
        <v>1245.95</v>
      </c>
      <c r="F1023" s="116">
        <v>1244.6500000000001</v>
      </c>
      <c r="G1023">
        <v>99224</v>
      </c>
      <c r="H1023" s="116"/>
      <c r="I1023" s="116"/>
      <c r="L1023" s="170">
        <v>43508</v>
      </c>
      <c r="M1023" s="116">
        <v>1246.8499999999999</v>
      </c>
      <c r="N1023" s="116">
        <v>1264.9000000000001</v>
      </c>
      <c r="O1023" s="116">
        <v>1241.55</v>
      </c>
      <c r="P1023" s="116">
        <v>1244.5</v>
      </c>
      <c r="Q1023" s="116">
        <v>1246.8499999999999</v>
      </c>
      <c r="R1023">
        <v>1571390</v>
      </c>
    </row>
    <row r="1024" spans="1:18" x14ac:dyDescent="0.25">
      <c r="A1024" s="170">
        <v>43509</v>
      </c>
      <c r="B1024" s="116">
        <v>1254.4000000000001</v>
      </c>
      <c r="C1024" s="116">
        <v>1219.8</v>
      </c>
      <c r="D1024" s="116">
        <v>1216.3499999999999</v>
      </c>
      <c r="E1024" s="116">
        <v>1252</v>
      </c>
      <c r="F1024" s="116">
        <v>1219.8</v>
      </c>
      <c r="G1024">
        <v>123934</v>
      </c>
      <c r="H1024" s="116"/>
      <c r="I1024" s="116"/>
      <c r="L1024" s="170">
        <v>43509</v>
      </c>
      <c r="M1024" s="116">
        <v>1216.6500000000001</v>
      </c>
      <c r="N1024" s="116">
        <v>1254.8499999999999</v>
      </c>
      <c r="O1024" s="116">
        <v>1211.9000000000001</v>
      </c>
      <c r="P1024" s="116">
        <v>1248.2</v>
      </c>
      <c r="Q1024" s="116">
        <v>1216.6500000000001</v>
      </c>
      <c r="R1024">
        <v>2527941</v>
      </c>
    </row>
    <row r="1025" spans="1:18" x14ac:dyDescent="0.25">
      <c r="A1025" s="170">
        <v>43510</v>
      </c>
      <c r="B1025" s="116">
        <v>1232</v>
      </c>
      <c r="C1025" s="116">
        <v>1227.2</v>
      </c>
      <c r="D1025" s="116">
        <v>1202.3</v>
      </c>
      <c r="E1025" s="116">
        <v>1222</v>
      </c>
      <c r="F1025" s="116">
        <v>1227.2</v>
      </c>
      <c r="G1025">
        <v>299395</v>
      </c>
      <c r="H1025" s="116"/>
      <c r="I1025" s="116"/>
      <c r="L1025" s="170">
        <v>43510</v>
      </c>
      <c r="M1025" s="116">
        <v>1227.5999999999999</v>
      </c>
      <c r="N1025" s="116">
        <v>1231.75</v>
      </c>
      <c r="O1025" s="116">
        <v>1201.0999999999999</v>
      </c>
      <c r="P1025" s="116">
        <v>1219</v>
      </c>
      <c r="Q1025" s="116">
        <v>1227.5999999999999</v>
      </c>
      <c r="R1025">
        <v>6974738</v>
      </c>
    </row>
    <row r="1026" spans="1:18" x14ac:dyDescent="0.25">
      <c r="A1026" s="170">
        <v>43511</v>
      </c>
      <c r="B1026" s="116">
        <v>1252</v>
      </c>
      <c r="C1026" s="116">
        <v>1243.25</v>
      </c>
      <c r="D1026" s="116">
        <v>1231</v>
      </c>
      <c r="E1026" s="116">
        <v>1245</v>
      </c>
      <c r="F1026" s="116">
        <v>1243.25</v>
      </c>
      <c r="G1026">
        <v>210263</v>
      </c>
      <c r="H1026" s="116"/>
      <c r="I1026" s="116"/>
      <c r="L1026" s="170">
        <v>43511</v>
      </c>
      <c r="M1026" s="116">
        <v>1243.0999999999999</v>
      </c>
      <c r="N1026" s="116">
        <v>1253.9000000000001</v>
      </c>
      <c r="O1026" s="116">
        <v>1230.9000000000001</v>
      </c>
      <c r="P1026" s="116">
        <v>1244</v>
      </c>
      <c r="Q1026" s="116">
        <v>1243.0999999999999</v>
      </c>
      <c r="R1026">
        <v>3620228</v>
      </c>
    </row>
    <row r="1027" spans="1:18" x14ac:dyDescent="0.25">
      <c r="A1027" s="170">
        <v>43514</v>
      </c>
      <c r="B1027" s="116">
        <v>1258.55</v>
      </c>
      <c r="C1027" s="116">
        <v>1240.25</v>
      </c>
      <c r="D1027" s="116">
        <v>1236</v>
      </c>
      <c r="E1027" s="116">
        <v>1243.25</v>
      </c>
      <c r="F1027" s="116">
        <v>1240.25</v>
      </c>
      <c r="G1027">
        <v>272561</v>
      </c>
      <c r="H1027" s="116"/>
      <c r="I1027" s="116"/>
      <c r="L1027" s="170">
        <v>43514</v>
      </c>
      <c r="M1027" s="116">
        <v>1244.5</v>
      </c>
      <c r="N1027" s="116">
        <v>1259.55</v>
      </c>
      <c r="O1027" s="116">
        <v>1240</v>
      </c>
      <c r="P1027" s="116">
        <v>1245</v>
      </c>
      <c r="Q1027" s="116">
        <v>1244.5</v>
      </c>
      <c r="R1027">
        <v>2186849</v>
      </c>
    </row>
    <row r="1028" spans="1:18" x14ac:dyDescent="0.25">
      <c r="A1028" s="170">
        <v>43515</v>
      </c>
      <c r="B1028" s="116">
        <v>1268</v>
      </c>
      <c r="C1028" s="116">
        <v>1255.75</v>
      </c>
      <c r="D1028" s="116">
        <v>1245</v>
      </c>
      <c r="E1028" s="116">
        <v>1245</v>
      </c>
      <c r="F1028" s="116">
        <v>1255.75</v>
      </c>
      <c r="G1028">
        <v>125003</v>
      </c>
      <c r="H1028" s="116"/>
      <c r="I1028" s="116"/>
      <c r="L1028" s="170">
        <v>43515</v>
      </c>
      <c r="M1028" s="116">
        <v>1258.3</v>
      </c>
      <c r="N1028" s="116">
        <v>1270</v>
      </c>
      <c r="O1028" s="116">
        <v>1245</v>
      </c>
      <c r="P1028" s="116">
        <v>1245</v>
      </c>
      <c r="Q1028" s="116">
        <v>1258.3</v>
      </c>
      <c r="R1028">
        <v>2389086</v>
      </c>
    </row>
    <row r="1029" spans="1:18" x14ac:dyDescent="0.25">
      <c r="A1029" s="170">
        <v>43516</v>
      </c>
      <c r="B1029" s="116">
        <v>1280</v>
      </c>
      <c r="C1029" s="116">
        <v>1275.0999999999999</v>
      </c>
      <c r="D1029" s="116">
        <v>1260.55</v>
      </c>
      <c r="E1029" s="116">
        <v>1260.55</v>
      </c>
      <c r="F1029" s="116">
        <v>1275.0999999999999</v>
      </c>
      <c r="G1029">
        <v>141369</v>
      </c>
      <c r="H1029" s="116"/>
      <c r="I1029" s="116"/>
      <c r="L1029" s="170">
        <v>43516</v>
      </c>
      <c r="M1029" s="116">
        <v>1276.55</v>
      </c>
      <c r="N1029" s="116">
        <v>1282.6500000000001</v>
      </c>
      <c r="O1029" s="116">
        <v>1264.2</v>
      </c>
      <c r="P1029" s="116">
        <v>1265</v>
      </c>
      <c r="Q1029" s="116">
        <v>1276.55</v>
      </c>
      <c r="R1029">
        <v>2433082</v>
      </c>
    </row>
    <row r="1030" spans="1:18" x14ac:dyDescent="0.25">
      <c r="A1030" s="170">
        <v>43517</v>
      </c>
      <c r="B1030" s="116">
        <v>1288.8</v>
      </c>
      <c r="C1030" s="116">
        <v>1282.25</v>
      </c>
      <c r="D1030" s="116">
        <v>1265.1500000000001</v>
      </c>
      <c r="E1030" s="116">
        <v>1282</v>
      </c>
      <c r="F1030" s="116">
        <v>1282.25</v>
      </c>
      <c r="G1030">
        <v>183172</v>
      </c>
      <c r="H1030" s="116"/>
      <c r="I1030" s="116"/>
      <c r="L1030" s="170">
        <v>43517</v>
      </c>
      <c r="M1030" s="116">
        <v>1284.0999999999999</v>
      </c>
      <c r="N1030" s="116">
        <v>1291.5</v>
      </c>
      <c r="O1030" s="116">
        <v>1265.0999999999999</v>
      </c>
      <c r="P1030" s="116">
        <v>1282</v>
      </c>
      <c r="Q1030" s="116">
        <v>1284.0999999999999</v>
      </c>
      <c r="R1030">
        <v>2392129</v>
      </c>
    </row>
    <row r="1031" spans="1:18" x14ac:dyDescent="0.25">
      <c r="A1031" s="170">
        <v>43518</v>
      </c>
      <c r="B1031" s="116">
        <v>1282.8</v>
      </c>
      <c r="C1031" s="116">
        <v>1279.45</v>
      </c>
      <c r="D1031" s="116">
        <v>1267</v>
      </c>
      <c r="E1031" s="116">
        <v>1282.25</v>
      </c>
      <c r="F1031" s="116">
        <v>1279.45</v>
      </c>
      <c r="G1031">
        <v>237019</v>
      </c>
      <c r="H1031" s="116"/>
      <c r="I1031" s="116"/>
      <c r="L1031" s="170">
        <v>43518</v>
      </c>
      <c r="M1031" s="116">
        <v>1280.3499999999999</v>
      </c>
      <c r="N1031" s="116">
        <v>1283.4000000000001</v>
      </c>
      <c r="O1031" s="116">
        <v>1265.5</v>
      </c>
      <c r="P1031" s="116">
        <v>1282</v>
      </c>
      <c r="Q1031" s="116">
        <v>1280.3499999999999</v>
      </c>
      <c r="R1031">
        <v>2390188</v>
      </c>
    </row>
    <row r="1032" spans="1:18" x14ac:dyDescent="0.25">
      <c r="A1032" s="170">
        <v>43521</v>
      </c>
      <c r="B1032" s="116">
        <v>1285</v>
      </c>
      <c r="C1032" s="116">
        <v>1276.9000000000001</v>
      </c>
      <c r="D1032" s="116">
        <v>1265.1500000000001</v>
      </c>
      <c r="E1032" s="116">
        <v>1283.45</v>
      </c>
      <c r="F1032" s="116">
        <v>1276.9000000000001</v>
      </c>
      <c r="G1032">
        <v>119643</v>
      </c>
      <c r="H1032" s="116"/>
      <c r="I1032" s="116"/>
      <c r="L1032" s="170">
        <v>43521</v>
      </c>
      <c r="M1032" s="116">
        <v>1275.8499999999999</v>
      </c>
      <c r="N1032" s="116">
        <v>1286.45</v>
      </c>
      <c r="O1032" s="116">
        <v>1264</v>
      </c>
      <c r="P1032" s="116">
        <v>1280.3499999999999</v>
      </c>
      <c r="Q1032" s="116">
        <v>1275.8499999999999</v>
      </c>
      <c r="R1032">
        <v>5873730</v>
      </c>
    </row>
    <row r="1033" spans="1:18" x14ac:dyDescent="0.25">
      <c r="A1033" s="170">
        <v>43522</v>
      </c>
      <c r="B1033" s="116">
        <v>1274</v>
      </c>
      <c r="C1033" s="116">
        <v>1264.1500000000001</v>
      </c>
      <c r="D1033" s="116">
        <v>1253.25</v>
      </c>
      <c r="E1033" s="116">
        <v>1268</v>
      </c>
      <c r="F1033" s="116">
        <v>1264.1500000000001</v>
      </c>
      <c r="G1033">
        <v>154418</v>
      </c>
      <c r="H1033" s="116"/>
      <c r="I1033" s="116"/>
      <c r="L1033" s="170">
        <v>43522</v>
      </c>
      <c r="M1033" s="116">
        <v>1265.8499999999999</v>
      </c>
      <c r="N1033" s="116">
        <v>1275</v>
      </c>
      <c r="O1033" s="116">
        <v>1253</v>
      </c>
      <c r="P1033" s="116">
        <v>1263.8</v>
      </c>
      <c r="Q1033" s="116">
        <v>1265.8499999999999</v>
      </c>
      <c r="R1033">
        <v>2417931</v>
      </c>
    </row>
    <row r="1034" spans="1:18" x14ac:dyDescent="0.25">
      <c r="A1034" s="170">
        <v>43523</v>
      </c>
      <c r="B1034" s="116">
        <v>1294.9000000000001</v>
      </c>
      <c r="C1034" s="116">
        <v>1282.95</v>
      </c>
      <c r="D1034" s="116">
        <v>1268.45</v>
      </c>
      <c r="E1034" s="116">
        <v>1269</v>
      </c>
      <c r="F1034" s="116">
        <v>1282.95</v>
      </c>
      <c r="G1034">
        <v>191109</v>
      </c>
      <c r="H1034" s="116"/>
      <c r="I1034" s="116"/>
      <c r="L1034" s="170">
        <v>43523</v>
      </c>
      <c r="M1034" s="116">
        <v>1284.7</v>
      </c>
      <c r="N1034" s="116">
        <v>1295</v>
      </c>
      <c r="O1034" s="116">
        <v>1268</v>
      </c>
      <c r="P1034" s="116">
        <v>1270.55</v>
      </c>
      <c r="Q1034" s="116">
        <v>1284.7</v>
      </c>
      <c r="R1034">
        <v>3555914</v>
      </c>
    </row>
    <row r="1035" spans="1:18" x14ac:dyDescent="0.25">
      <c r="A1035" s="170">
        <v>43524</v>
      </c>
      <c r="B1035" s="116">
        <v>1301</v>
      </c>
      <c r="C1035" s="116">
        <v>1294.5</v>
      </c>
      <c r="D1035" s="116">
        <v>1274.95</v>
      </c>
      <c r="E1035" s="116">
        <v>1290.3</v>
      </c>
      <c r="F1035" s="116">
        <v>1294.5</v>
      </c>
      <c r="G1035">
        <v>97592</v>
      </c>
      <c r="H1035" s="116"/>
      <c r="I1035" s="116"/>
      <c r="L1035" s="170">
        <v>43524</v>
      </c>
      <c r="M1035" s="116">
        <v>1292.95</v>
      </c>
      <c r="N1035" s="116">
        <v>1302.95</v>
      </c>
      <c r="O1035" s="116">
        <v>1273.3</v>
      </c>
      <c r="P1035" s="116">
        <v>1293</v>
      </c>
      <c r="Q1035" s="116">
        <v>1292.95</v>
      </c>
      <c r="R1035">
        <v>9321535</v>
      </c>
    </row>
    <row r="1036" spans="1:18" x14ac:dyDescent="0.25">
      <c r="A1036" s="170">
        <v>43525</v>
      </c>
      <c r="B1036" s="116">
        <v>1312.15</v>
      </c>
      <c r="C1036" s="116">
        <v>1308.6500000000001</v>
      </c>
      <c r="D1036" s="116">
        <v>1296.75</v>
      </c>
      <c r="E1036" s="116">
        <v>1300</v>
      </c>
      <c r="F1036" s="116">
        <v>1308.6500000000001</v>
      </c>
      <c r="G1036">
        <v>177124</v>
      </c>
      <c r="H1036" s="116"/>
      <c r="I1036" s="116"/>
      <c r="L1036" s="170">
        <v>43525</v>
      </c>
      <c r="M1036" s="116">
        <v>1308.55</v>
      </c>
      <c r="N1036" s="116">
        <v>1311.95</v>
      </c>
      <c r="O1036" s="116">
        <v>1297.25</v>
      </c>
      <c r="P1036" s="116">
        <v>1300.3</v>
      </c>
      <c r="Q1036" s="116">
        <v>1308.55</v>
      </c>
      <c r="R1036">
        <v>2831577</v>
      </c>
    </row>
    <row r="1037" spans="1:18" x14ac:dyDescent="0.25">
      <c r="A1037" s="170">
        <v>43529</v>
      </c>
      <c r="B1037" s="116">
        <v>1312</v>
      </c>
      <c r="C1037" s="116">
        <v>1306.6500000000001</v>
      </c>
      <c r="D1037" s="116">
        <v>1276.3499999999999</v>
      </c>
      <c r="E1037" s="116">
        <v>1309</v>
      </c>
      <c r="F1037" s="116">
        <v>1306.6500000000001</v>
      </c>
      <c r="G1037">
        <v>205866</v>
      </c>
      <c r="H1037" s="116"/>
      <c r="I1037" s="116"/>
      <c r="L1037" s="170">
        <v>43529</v>
      </c>
      <c r="M1037" s="116">
        <v>1305.8</v>
      </c>
      <c r="N1037" s="116">
        <v>1310.4000000000001</v>
      </c>
      <c r="O1037" s="116">
        <v>1277.05</v>
      </c>
      <c r="P1037" s="116">
        <v>1302</v>
      </c>
      <c r="Q1037" s="116">
        <v>1305.8</v>
      </c>
      <c r="R1037">
        <v>3948051</v>
      </c>
    </row>
    <row r="1038" spans="1:18" x14ac:dyDescent="0.25">
      <c r="A1038" s="170">
        <v>43530</v>
      </c>
      <c r="B1038" s="116">
        <v>1326.4</v>
      </c>
      <c r="C1038" s="116">
        <v>1314.95</v>
      </c>
      <c r="D1038" s="116">
        <v>1307</v>
      </c>
      <c r="E1038" s="116">
        <v>1307</v>
      </c>
      <c r="F1038" s="116">
        <v>1314.95</v>
      </c>
      <c r="G1038">
        <v>109721</v>
      </c>
      <c r="H1038" s="116"/>
      <c r="I1038" s="116"/>
      <c r="L1038" s="170">
        <v>43530</v>
      </c>
      <c r="M1038" s="116">
        <v>1317</v>
      </c>
      <c r="N1038" s="116">
        <v>1327.55</v>
      </c>
      <c r="O1038" s="116">
        <v>1310.5</v>
      </c>
      <c r="P1038" s="116">
        <v>1310.5</v>
      </c>
      <c r="Q1038" s="116">
        <v>1317</v>
      </c>
      <c r="R1038">
        <v>2776738</v>
      </c>
    </row>
    <row r="1039" spans="1:18" x14ac:dyDescent="0.25">
      <c r="A1039" s="170">
        <v>43531</v>
      </c>
      <c r="B1039" s="116">
        <v>1357</v>
      </c>
      <c r="C1039" s="116">
        <v>1351.25</v>
      </c>
      <c r="D1039" s="116">
        <v>1310.4000000000001</v>
      </c>
      <c r="E1039" s="116">
        <v>1316</v>
      </c>
      <c r="F1039" s="116">
        <v>1351.25</v>
      </c>
      <c r="G1039">
        <v>349208</v>
      </c>
      <c r="H1039" s="116"/>
      <c r="I1039" s="116"/>
      <c r="L1039" s="170">
        <v>43531</v>
      </c>
      <c r="M1039" s="116">
        <v>1352.4</v>
      </c>
      <c r="N1039" s="116">
        <v>1357.3</v>
      </c>
      <c r="O1039" s="116">
        <v>1310</v>
      </c>
      <c r="P1039" s="116">
        <v>1323.85</v>
      </c>
      <c r="Q1039" s="116">
        <v>1352.4</v>
      </c>
      <c r="R1039">
        <v>6207580</v>
      </c>
    </row>
    <row r="1040" spans="1:18" x14ac:dyDescent="0.25">
      <c r="A1040" s="170">
        <v>43532</v>
      </c>
      <c r="B1040" s="116">
        <v>1364</v>
      </c>
      <c r="C1040" s="116">
        <v>1338.35</v>
      </c>
      <c r="D1040" s="116">
        <v>1336</v>
      </c>
      <c r="E1040" s="116">
        <v>1351.2</v>
      </c>
      <c r="F1040" s="116">
        <v>1338.35</v>
      </c>
      <c r="G1040">
        <v>271857</v>
      </c>
      <c r="H1040" s="116"/>
      <c r="I1040" s="116"/>
      <c r="L1040" s="170">
        <v>43532</v>
      </c>
      <c r="M1040" s="116">
        <v>1339.4</v>
      </c>
      <c r="N1040" s="116">
        <v>1363</v>
      </c>
      <c r="O1040" s="116">
        <v>1337</v>
      </c>
      <c r="P1040" s="116">
        <v>1350</v>
      </c>
      <c r="Q1040" s="116">
        <v>1339.4</v>
      </c>
      <c r="R1040">
        <v>4868283</v>
      </c>
    </row>
    <row r="1041" spans="1:18" x14ac:dyDescent="0.25">
      <c r="A1041" s="170">
        <v>43535</v>
      </c>
      <c r="B1041" s="116">
        <v>1350</v>
      </c>
      <c r="C1041" s="116">
        <v>1347.65</v>
      </c>
      <c r="D1041" s="116">
        <v>1340.05</v>
      </c>
      <c r="E1041" s="116">
        <v>1341</v>
      </c>
      <c r="F1041" s="116">
        <v>1347.65</v>
      </c>
      <c r="G1041">
        <v>120232</v>
      </c>
      <c r="H1041" s="116"/>
      <c r="I1041" s="116"/>
      <c r="L1041" s="170">
        <v>43535</v>
      </c>
      <c r="M1041" s="116">
        <v>1346.55</v>
      </c>
      <c r="N1041" s="116">
        <v>1351</v>
      </c>
      <c r="O1041" s="116">
        <v>1340</v>
      </c>
      <c r="P1041" s="116">
        <v>1343.55</v>
      </c>
      <c r="Q1041" s="116">
        <v>1346.55</v>
      </c>
      <c r="R1041">
        <v>2661353</v>
      </c>
    </row>
    <row r="1042" spans="1:18" x14ac:dyDescent="0.25">
      <c r="A1042" s="170">
        <v>43536</v>
      </c>
      <c r="B1042" s="116">
        <v>1402.8</v>
      </c>
      <c r="C1042" s="116">
        <v>1389.1</v>
      </c>
      <c r="D1042" s="116">
        <v>1352</v>
      </c>
      <c r="E1042" s="116">
        <v>1352</v>
      </c>
      <c r="F1042" s="116">
        <v>1389.1</v>
      </c>
      <c r="G1042">
        <v>529820</v>
      </c>
      <c r="H1042" s="116"/>
      <c r="I1042" s="116"/>
      <c r="L1042" s="170">
        <v>43536</v>
      </c>
      <c r="M1042" s="116">
        <v>1388.9</v>
      </c>
      <c r="N1042" s="116">
        <v>1403</v>
      </c>
      <c r="O1042" s="116">
        <v>1355</v>
      </c>
      <c r="P1042" s="116">
        <v>1355</v>
      </c>
      <c r="Q1042" s="116">
        <v>1388.9</v>
      </c>
      <c r="R1042">
        <v>6631152</v>
      </c>
    </row>
    <row r="1043" spans="1:18" x14ac:dyDescent="0.25">
      <c r="A1043" s="170">
        <v>43537</v>
      </c>
      <c r="B1043" s="116">
        <v>1397</v>
      </c>
      <c r="C1043" s="116">
        <v>1378.7</v>
      </c>
      <c r="D1043" s="116">
        <v>1372.95</v>
      </c>
      <c r="E1043" s="116">
        <v>1390.65</v>
      </c>
      <c r="F1043" s="116">
        <v>1378.7</v>
      </c>
      <c r="G1043">
        <v>419842</v>
      </c>
      <c r="H1043" s="116"/>
      <c r="I1043" s="116"/>
      <c r="L1043" s="170">
        <v>43537</v>
      </c>
      <c r="M1043" s="116">
        <v>1378.6</v>
      </c>
      <c r="N1043" s="116">
        <v>1397.55</v>
      </c>
      <c r="O1043" s="116">
        <v>1372.85</v>
      </c>
      <c r="P1043" s="116">
        <v>1395.7</v>
      </c>
      <c r="Q1043" s="116">
        <v>1378.6</v>
      </c>
      <c r="R1043">
        <v>2241672</v>
      </c>
    </row>
    <row r="1044" spans="1:18" x14ac:dyDescent="0.25">
      <c r="A1044" s="170">
        <v>43538</v>
      </c>
      <c r="B1044" s="116">
        <v>1395</v>
      </c>
      <c r="C1044" s="116">
        <v>1379.3</v>
      </c>
      <c r="D1044" s="116">
        <v>1376.75</v>
      </c>
      <c r="E1044" s="116">
        <v>1378.7</v>
      </c>
      <c r="F1044" s="116">
        <v>1379.3</v>
      </c>
      <c r="G1044">
        <v>102795</v>
      </c>
      <c r="H1044" s="116"/>
      <c r="I1044" s="116"/>
      <c r="L1044" s="170">
        <v>43538</v>
      </c>
      <c r="M1044" s="116">
        <v>1379.75</v>
      </c>
      <c r="N1044" s="116">
        <v>1396</v>
      </c>
      <c r="O1044" s="116">
        <v>1377</v>
      </c>
      <c r="P1044" s="116">
        <v>1384.7</v>
      </c>
      <c r="Q1044" s="116">
        <v>1379.75</v>
      </c>
      <c r="R1044">
        <v>1838850</v>
      </c>
    </row>
    <row r="1045" spans="1:18" x14ac:dyDescent="0.25">
      <c r="A1045" s="170">
        <v>43539</v>
      </c>
      <c r="B1045" s="116">
        <v>1408.9</v>
      </c>
      <c r="C1045" s="116">
        <v>1397.35</v>
      </c>
      <c r="D1045" s="116">
        <v>1379</v>
      </c>
      <c r="E1045" s="116">
        <v>1379.3</v>
      </c>
      <c r="F1045" s="116">
        <v>1397.35</v>
      </c>
      <c r="G1045">
        <v>452808</v>
      </c>
      <c r="H1045" s="116"/>
      <c r="I1045" s="116"/>
      <c r="L1045" s="170">
        <v>43539</v>
      </c>
      <c r="M1045" s="116">
        <v>1396.5</v>
      </c>
      <c r="N1045" s="116">
        <v>1410.8</v>
      </c>
      <c r="O1045" s="116">
        <v>1378.6</v>
      </c>
      <c r="P1045" s="116">
        <v>1386</v>
      </c>
      <c r="Q1045" s="116">
        <v>1396.5</v>
      </c>
      <c r="R1045">
        <v>5723980</v>
      </c>
    </row>
    <row r="1046" spans="1:18" x14ac:dyDescent="0.25">
      <c r="A1046" s="170">
        <v>43542</v>
      </c>
      <c r="B1046" s="116">
        <v>1411.3</v>
      </c>
      <c r="C1046" s="116">
        <v>1378.85</v>
      </c>
      <c r="D1046" s="116">
        <v>1370.25</v>
      </c>
      <c r="E1046" s="116">
        <v>1397.35</v>
      </c>
      <c r="F1046" s="116">
        <v>1378.85</v>
      </c>
      <c r="G1046">
        <v>176903</v>
      </c>
      <c r="H1046" s="116"/>
      <c r="I1046" s="116"/>
      <c r="L1046" s="170">
        <v>43542</v>
      </c>
      <c r="M1046" s="116">
        <v>1378.9</v>
      </c>
      <c r="N1046" s="116">
        <v>1411.7</v>
      </c>
      <c r="O1046" s="116">
        <v>1370.35</v>
      </c>
      <c r="P1046" s="116">
        <v>1397</v>
      </c>
      <c r="Q1046" s="116">
        <v>1378.9</v>
      </c>
      <c r="R1046">
        <v>2450686</v>
      </c>
    </row>
    <row r="1047" spans="1:18" x14ac:dyDescent="0.25">
      <c r="A1047" s="170">
        <v>43543</v>
      </c>
      <c r="B1047" s="116">
        <v>1376.95</v>
      </c>
      <c r="C1047" s="116">
        <v>1356.75</v>
      </c>
      <c r="D1047" s="116">
        <v>1347.95</v>
      </c>
      <c r="E1047" s="116">
        <v>1373.95</v>
      </c>
      <c r="F1047" s="116">
        <v>1356.75</v>
      </c>
      <c r="G1047">
        <v>308311</v>
      </c>
      <c r="H1047" s="116"/>
      <c r="I1047" s="116"/>
      <c r="L1047" s="170">
        <v>43543</v>
      </c>
      <c r="M1047" s="116">
        <v>1357.95</v>
      </c>
      <c r="N1047" s="116">
        <v>1374.95</v>
      </c>
      <c r="O1047" s="116">
        <v>1346.5</v>
      </c>
      <c r="P1047" s="116">
        <v>1371</v>
      </c>
      <c r="Q1047" s="116">
        <v>1357.95</v>
      </c>
      <c r="R1047">
        <v>4053209</v>
      </c>
    </row>
    <row r="1048" spans="1:18" x14ac:dyDescent="0.25">
      <c r="A1048" s="170">
        <v>43544</v>
      </c>
      <c r="B1048" s="116">
        <v>1381.8</v>
      </c>
      <c r="C1048" s="116">
        <v>1372.85</v>
      </c>
      <c r="D1048" s="116">
        <v>1361.25</v>
      </c>
      <c r="E1048" s="116">
        <v>1364.8</v>
      </c>
      <c r="F1048" s="116">
        <v>1372.85</v>
      </c>
      <c r="G1048">
        <v>978058</v>
      </c>
      <c r="H1048" s="116"/>
      <c r="I1048" s="116"/>
      <c r="L1048" s="170">
        <v>43544</v>
      </c>
      <c r="M1048" s="116">
        <v>1370.9</v>
      </c>
      <c r="N1048" s="116">
        <v>1382</v>
      </c>
      <c r="O1048" s="116">
        <v>1361</v>
      </c>
      <c r="P1048" s="116">
        <v>1362</v>
      </c>
      <c r="Q1048" s="116">
        <v>1370.9</v>
      </c>
      <c r="R1048">
        <v>3871744</v>
      </c>
    </row>
    <row r="1049" spans="1:18" x14ac:dyDescent="0.25">
      <c r="A1049" s="170">
        <v>43546</v>
      </c>
      <c r="B1049" s="116">
        <v>1414.95</v>
      </c>
      <c r="C1049" s="116">
        <v>1394</v>
      </c>
      <c r="D1049" s="116">
        <v>1375.55</v>
      </c>
      <c r="E1049" s="116">
        <v>1375.55</v>
      </c>
      <c r="F1049" s="116">
        <v>1394</v>
      </c>
      <c r="G1049">
        <v>495914</v>
      </c>
      <c r="H1049" s="116"/>
      <c r="I1049" s="116"/>
      <c r="L1049" s="170">
        <v>43546</v>
      </c>
      <c r="M1049" s="116">
        <v>1394.7</v>
      </c>
      <c r="N1049" s="116">
        <v>1415</v>
      </c>
      <c r="O1049" s="116">
        <v>1376.2</v>
      </c>
      <c r="P1049" s="116">
        <v>1379</v>
      </c>
      <c r="Q1049" s="116">
        <v>1394.7</v>
      </c>
      <c r="R1049">
        <v>3788604</v>
      </c>
    </row>
    <row r="1050" spans="1:18" x14ac:dyDescent="0.25">
      <c r="A1050" s="170">
        <v>43549</v>
      </c>
      <c r="B1050" s="116">
        <v>1391.3</v>
      </c>
      <c r="C1050" s="116">
        <v>1377.2</v>
      </c>
      <c r="D1050" s="116">
        <v>1370</v>
      </c>
      <c r="E1050" s="116">
        <v>1388</v>
      </c>
      <c r="F1050" s="116">
        <v>1377.2</v>
      </c>
      <c r="G1050">
        <v>109766</v>
      </c>
      <c r="H1050" s="116"/>
      <c r="I1050" s="116"/>
      <c r="L1050" s="170">
        <v>43549</v>
      </c>
      <c r="M1050" s="116">
        <v>1376.75</v>
      </c>
      <c r="N1050" s="116">
        <v>1389</v>
      </c>
      <c r="O1050" s="116">
        <v>1370.1</v>
      </c>
      <c r="P1050" s="116">
        <v>1387</v>
      </c>
      <c r="Q1050" s="116">
        <v>1376.75</v>
      </c>
      <c r="R1050">
        <v>1666203</v>
      </c>
    </row>
    <row r="1051" spans="1:18" x14ac:dyDescent="0.25">
      <c r="A1051" s="170">
        <v>43550</v>
      </c>
      <c r="B1051" s="116">
        <v>1389</v>
      </c>
      <c r="C1051" s="116">
        <v>1372.1</v>
      </c>
      <c r="D1051" s="116">
        <v>1366.7</v>
      </c>
      <c r="E1051" s="116">
        <v>1378.5</v>
      </c>
      <c r="F1051" s="116">
        <v>1372.1</v>
      </c>
      <c r="G1051">
        <v>151069</v>
      </c>
      <c r="H1051" s="116"/>
      <c r="I1051" s="116"/>
      <c r="L1051" s="170">
        <v>43550</v>
      </c>
      <c r="M1051" s="116">
        <v>1372.8</v>
      </c>
      <c r="N1051" s="116">
        <v>1388.8</v>
      </c>
      <c r="O1051" s="116">
        <v>1367.75</v>
      </c>
      <c r="P1051" s="116">
        <v>1379.8</v>
      </c>
      <c r="Q1051" s="116">
        <v>1372.8</v>
      </c>
      <c r="R1051">
        <v>2021089</v>
      </c>
    </row>
    <row r="1052" spans="1:18" x14ac:dyDescent="0.25">
      <c r="A1052" s="170">
        <v>43551</v>
      </c>
      <c r="B1052" s="116">
        <v>1390.75</v>
      </c>
      <c r="C1052" s="116">
        <v>1367.8</v>
      </c>
      <c r="D1052" s="116">
        <v>1363</v>
      </c>
      <c r="E1052" s="116">
        <v>1376.3</v>
      </c>
      <c r="F1052" s="116">
        <v>1367.8</v>
      </c>
      <c r="G1052">
        <v>109274</v>
      </c>
      <c r="H1052" s="116"/>
      <c r="I1052" s="116"/>
      <c r="L1052" s="170">
        <v>43551</v>
      </c>
      <c r="M1052" s="116">
        <v>1366.45</v>
      </c>
      <c r="N1052" s="116">
        <v>1391.1</v>
      </c>
      <c r="O1052" s="116">
        <v>1363.15</v>
      </c>
      <c r="P1052" s="116">
        <v>1379</v>
      </c>
      <c r="Q1052" s="116">
        <v>1366.45</v>
      </c>
      <c r="R1052">
        <v>2558997</v>
      </c>
    </row>
    <row r="1053" spans="1:18" x14ac:dyDescent="0.25">
      <c r="A1053" s="170">
        <v>43552</v>
      </c>
      <c r="B1053" s="116">
        <v>1390</v>
      </c>
      <c r="C1053" s="116">
        <v>1384.05</v>
      </c>
      <c r="D1053" s="116">
        <v>1365</v>
      </c>
      <c r="E1053" s="116">
        <v>1368</v>
      </c>
      <c r="F1053" s="116">
        <v>1384.05</v>
      </c>
      <c r="G1053">
        <v>172906</v>
      </c>
      <c r="H1053" s="116"/>
      <c r="I1053" s="116"/>
      <c r="L1053" s="170">
        <v>43552</v>
      </c>
      <c r="M1053" s="116">
        <v>1386.7</v>
      </c>
      <c r="N1053" s="116">
        <v>1392.5</v>
      </c>
      <c r="O1053" s="116">
        <v>1364</v>
      </c>
      <c r="P1053" s="116">
        <v>1371</v>
      </c>
      <c r="Q1053" s="116">
        <v>1386.7</v>
      </c>
      <c r="R1053">
        <v>3184285</v>
      </c>
    </row>
    <row r="1054" spans="1:18" x14ac:dyDescent="0.25">
      <c r="A1054" s="170">
        <v>43553</v>
      </c>
      <c r="B1054" s="116">
        <v>1405</v>
      </c>
      <c r="C1054" s="116">
        <v>1384.05</v>
      </c>
      <c r="D1054" s="116">
        <v>1380</v>
      </c>
      <c r="E1054" s="116">
        <v>1389.3</v>
      </c>
      <c r="F1054" s="116">
        <v>1384.05</v>
      </c>
      <c r="G1054">
        <v>294919</v>
      </c>
      <c r="H1054" s="116"/>
      <c r="I1054" s="116"/>
      <c r="L1054" s="170">
        <v>43553</v>
      </c>
      <c r="M1054" s="116">
        <v>1385.3</v>
      </c>
      <c r="N1054" s="116">
        <v>1405</v>
      </c>
      <c r="O1054" s="116">
        <v>1380.5</v>
      </c>
      <c r="P1054" s="116">
        <v>1394.9</v>
      </c>
      <c r="Q1054" s="116">
        <v>1385.3</v>
      </c>
      <c r="R1054">
        <v>2917356</v>
      </c>
    </row>
    <row r="1055" spans="1:18" x14ac:dyDescent="0.25">
      <c r="A1055" s="170">
        <v>43556</v>
      </c>
      <c r="B1055" s="116">
        <v>1423.15</v>
      </c>
      <c r="C1055" s="116">
        <v>1412.45</v>
      </c>
      <c r="D1055" s="116">
        <v>1387</v>
      </c>
      <c r="E1055" s="116">
        <v>1387</v>
      </c>
      <c r="F1055" s="116">
        <v>1412.45</v>
      </c>
      <c r="G1055">
        <v>548675</v>
      </c>
      <c r="H1055" s="116"/>
      <c r="I1055" s="116"/>
      <c r="L1055" s="170">
        <v>43556</v>
      </c>
      <c r="M1055" s="116">
        <v>1412.2</v>
      </c>
      <c r="N1055" s="116">
        <v>1424</v>
      </c>
      <c r="O1055" s="116">
        <v>1390.1</v>
      </c>
      <c r="P1055" s="116">
        <v>1390.1</v>
      </c>
      <c r="Q1055" s="116">
        <v>1412.2</v>
      </c>
      <c r="R1055">
        <v>3842703</v>
      </c>
    </row>
    <row r="1056" spans="1:18" x14ac:dyDescent="0.25">
      <c r="A1056" s="170">
        <v>43557</v>
      </c>
      <c r="B1056" s="116">
        <v>1427</v>
      </c>
      <c r="C1056" s="116">
        <v>1409.7</v>
      </c>
      <c r="D1056" s="116">
        <v>1404</v>
      </c>
      <c r="E1056" s="116">
        <v>1414</v>
      </c>
      <c r="F1056" s="116">
        <v>1409.7</v>
      </c>
      <c r="G1056">
        <v>174633</v>
      </c>
      <c r="H1056" s="116"/>
      <c r="I1056" s="116"/>
      <c r="L1056" s="170">
        <v>43557</v>
      </c>
      <c r="M1056" s="116">
        <v>1409.75</v>
      </c>
      <c r="N1056" s="116">
        <v>1426.95</v>
      </c>
      <c r="O1056" s="116">
        <v>1403.5</v>
      </c>
      <c r="P1056" s="116">
        <v>1415.1</v>
      </c>
      <c r="Q1056" s="116">
        <v>1409.75</v>
      </c>
      <c r="R1056">
        <v>2737093</v>
      </c>
    </row>
    <row r="1057" spans="1:18" x14ac:dyDescent="0.25">
      <c r="A1057" s="170">
        <v>43558</v>
      </c>
      <c r="B1057" s="116">
        <v>1415</v>
      </c>
      <c r="C1057" s="116">
        <v>1379.9</v>
      </c>
      <c r="D1057" s="116">
        <v>1376</v>
      </c>
      <c r="E1057" s="116">
        <v>1411.9</v>
      </c>
      <c r="F1057" s="116">
        <v>1379.9</v>
      </c>
      <c r="G1057">
        <v>139969</v>
      </c>
      <c r="H1057" s="116"/>
      <c r="I1057" s="116"/>
      <c r="L1057" s="170">
        <v>43558</v>
      </c>
      <c r="M1057" s="116">
        <v>1378.05</v>
      </c>
      <c r="N1057" s="116">
        <v>1415</v>
      </c>
      <c r="O1057" s="116">
        <v>1375</v>
      </c>
      <c r="P1057" s="116">
        <v>1409.4</v>
      </c>
      <c r="Q1057" s="116">
        <v>1378.05</v>
      </c>
      <c r="R1057">
        <v>2366304</v>
      </c>
    </row>
    <row r="1058" spans="1:18" x14ac:dyDescent="0.25">
      <c r="A1058" s="170">
        <v>43559</v>
      </c>
      <c r="B1058" s="116">
        <v>1393.3</v>
      </c>
      <c r="C1058" s="116">
        <v>1368.95</v>
      </c>
      <c r="D1058" s="116">
        <v>1366</v>
      </c>
      <c r="E1058" s="116">
        <v>1391</v>
      </c>
      <c r="F1058" s="116">
        <v>1368.95</v>
      </c>
      <c r="G1058">
        <v>102263</v>
      </c>
      <c r="H1058" s="116"/>
      <c r="I1058" s="116"/>
      <c r="L1058" s="170">
        <v>43559</v>
      </c>
      <c r="M1058" s="116">
        <v>1368.7</v>
      </c>
      <c r="N1058" s="116">
        <v>1393.9</v>
      </c>
      <c r="O1058" s="116">
        <v>1365.7</v>
      </c>
      <c r="P1058" s="116">
        <v>1384.9</v>
      </c>
      <c r="Q1058" s="116">
        <v>1368.7</v>
      </c>
      <c r="R1058">
        <v>1980318</v>
      </c>
    </row>
    <row r="1059" spans="1:18" x14ac:dyDescent="0.25">
      <c r="A1059" s="170">
        <v>43560</v>
      </c>
      <c r="B1059" s="116">
        <v>1392.8</v>
      </c>
      <c r="C1059" s="116">
        <v>1373.55</v>
      </c>
      <c r="D1059" s="116">
        <v>1368.95</v>
      </c>
      <c r="E1059" s="116">
        <v>1376.3</v>
      </c>
      <c r="F1059" s="116">
        <v>1373.55</v>
      </c>
      <c r="G1059">
        <v>573621</v>
      </c>
      <c r="H1059" s="116"/>
      <c r="I1059" s="116"/>
      <c r="L1059" s="170">
        <v>43560</v>
      </c>
      <c r="M1059" s="116">
        <v>1373.8</v>
      </c>
      <c r="N1059" s="116">
        <v>1392.75</v>
      </c>
      <c r="O1059" s="116">
        <v>1370.3</v>
      </c>
      <c r="P1059" s="116">
        <v>1373.75</v>
      </c>
      <c r="Q1059" s="116">
        <v>1373.8</v>
      </c>
      <c r="R1059">
        <v>2037782</v>
      </c>
    </row>
    <row r="1060" spans="1:18" x14ac:dyDescent="0.25">
      <c r="A1060" s="170">
        <v>43563</v>
      </c>
      <c r="B1060" s="116">
        <v>1386.65</v>
      </c>
      <c r="C1060" s="116">
        <v>1372.75</v>
      </c>
      <c r="D1060" s="116">
        <v>1366.35</v>
      </c>
      <c r="E1060" s="116">
        <v>1375.1</v>
      </c>
      <c r="F1060" s="116">
        <v>1372.75</v>
      </c>
      <c r="G1060">
        <v>183660</v>
      </c>
      <c r="H1060" s="116"/>
      <c r="I1060" s="116"/>
      <c r="L1060" s="170">
        <v>43563</v>
      </c>
      <c r="M1060" s="116">
        <v>1373.65</v>
      </c>
      <c r="N1060" s="116">
        <v>1386.8</v>
      </c>
      <c r="O1060" s="116">
        <v>1365.45</v>
      </c>
      <c r="P1060" s="116">
        <v>1379.7</v>
      </c>
      <c r="Q1060" s="116">
        <v>1373.65</v>
      </c>
      <c r="R1060">
        <v>1013017</v>
      </c>
    </row>
    <row r="1061" spans="1:18" x14ac:dyDescent="0.25">
      <c r="A1061" s="170">
        <v>43564</v>
      </c>
      <c r="B1061" s="116">
        <v>1386.3</v>
      </c>
      <c r="C1061" s="116">
        <v>1374.8</v>
      </c>
      <c r="D1061" s="116">
        <v>1366.6</v>
      </c>
      <c r="E1061" s="116">
        <v>1375</v>
      </c>
      <c r="F1061" s="116">
        <v>1374.8</v>
      </c>
      <c r="G1061">
        <v>133767</v>
      </c>
      <c r="H1061" s="116"/>
      <c r="I1061" s="116"/>
      <c r="L1061" s="170">
        <v>43564</v>
      </c>
      <c r="M1061" s="116">
        <v>1375.2</v>
      </c>
      <c r="N1061" s="116">
        <v>1387</v>
      </c>
      <c r="O1061" s="116">
        <v>1366</v>
      </c>
      <c r="P1061" s="116">
        <v>1375.9</v>
      </c>
      <c r="Q1061" s="116">
        <v>1375.2</v>
      </c>
      <c r="R1061">
        <v>2209945</v>
      </c>
    </row>
    <row r="1062" spans="1:18" x14ac:dyDescent="0.25">
      <c r="A1062" s="170">
        <v>43565</v>
      </c>
      <c r="B1062" s="116">
        <v>1382</v>
      </c>
      <c r="C1062" s="116">
        <v>1369.85</v>
      </c>
      <c r="D1062" s="116">
        <v>1365.2</v>
      </c>
      <c r="E1062" s="116">
        <v>1378.75</v>
      </c>
      <c r="F1062" s="116">
        <v>1369.85</v>
      </c>
      <c r="G1062">
        <v>309189</v>
      </c>
      <c r="H1062" s="116"/>
      <c r="I1062" s="116"/>
      <c r="L1062" s="170">
        <v>43565</v>
      </c>
      <c r="M1062" s="116">
        <v>1371.55</v>
      </c>
      <c r="N1062" s="116">
        <v>1382</v>
      </c>
      <c r="O1062" s="116">
        <v>1365</v>
      </c>
      <c r="P1062" s="116">
        <v>1370</v>
      </c>
      <c r="Q1062" s="116">
        <v>1371.55</v>
      </c>
      <c r="R1062">
        <v>2014958</v>
      </c>
    </row>
    <row r="1063" spans="1:18" x14ac:dyDescent="0.25">
      <c r="A1063" s="170">
        <v>43566</v>
      </c>
      <c r="B1063" s="116">
        <v>1386.5</v>
      </c>
      <c r="C1063" s="116">
        <v>1377.8</v>
      </c>
      <c r="D1063" s="116">
        <v>1371.5</v>
      </c>
      <c r="E1063" s="116">
        <v>1371.5</v>
      </c>
      <c r="F1063" s="116">
        <v>1377.8</v>
      </c>
      <c r="G1063">
        <v>67372</v>
      </c>
      <c r="H1063" s="116"/>
      <c r="I1063" s="116"/>
      <c r="L1063" s="170">
        <v>43566</v>
      </c>
      <c r="M1063" s="116">
        <v>1378</v>
      </c>
      <c r="N1063" s="116">
        <v>1387.95</v>
      </c>
      <c r="O1063" s="116">
        <v>1371.65</v>
      </c>
      <c r="P1063" s="116">
        <v>1371.65</v>
      </c>
      <c r="Q1063" s="116">
        <v>1378</v>
      </c>
      <c r="R1063">
        <v>3110225</v>
      </c>
    </row>
    <row r="1064" spans="1:18" x14ac:dyDescent="0.25">
      <c r="A1064" s="170">
        <v>43567</v>
      </c>
      <c r="B1064" s="116">
        <v>1384</v>
      </c>
      <c r="C1064" s="116">
        <v>1361.05</v>
      </c>
      <c r="D1064" s="116">
        <v>1357</v>
      </c>
      <c r="E1064" s="116">
        <v>1384</v>
      </c>
      <c r="F1064" s="116">
        <v>1361.05</v>
      </c>
      <c r="G1064">
        <v>206700</v>
      </c>
      <c r="H1064" s="116"/>
      <c r="I1064" s="116"/>
      <c r="L1064" s="170">
        <v>43567</v>
      </c>
      <c r="M1064" s="116">
        <v>1360.9</v>
      </c>
      <c r="N1064" s="116">
        <v>1381.85</v>
      </c>
      <c r="O1064" s="116">
        <v>1358.3</v>
      </c>
      <c r="P1064" s="116">
        <v>1380</v>
      </c>
      <c r="Q1064" s="116">
        <v>1360.9</v>
      </c>
      <c r="R1064">
        <v>2751659</v>
      </c>
    </row>
    <row r="1065" spans="1:18" x14ac:dyDescent="0.25">
      <c r="A1065" s="170">
        <v>43570</v>
      </c>
      <c r="B1065" s="116">
        <v>1367.6</v>
      </c>
      <c r="C1065" s="116">
        <v>1357.85</v>
      </c>
      <c r="D1065" s="116">
        <v>1355</v>
      </c>
      <c r="E1065" s="116">
        <v>1362.05</v>
      </c>
      <c r="F1065" s="116">
        <v>1357.85</v>
      </c>
      <c r="G1065">
        <v>75397</v>
      </c>
      <c r="H1065" s="116"/>
      <c r="I1065" s="116"/>
      <c r="L1065" s="170">
        <v>43570</v>
      </c>
      <c r="M1065" s="116">
        <v>1356.9</v>
      </c>
      <c r="N1065" s="116">
        <v>1368</v>
      </c>
      <c r="O1065" s="116">
        <v>1354</v>
      </c>
      <c r="P1065" s="116">
        <v>1365</v>
      </c>
      <c r="Q1065" s="116">
        <v>1356.9</v>
      </c>
      <c r="R1065">
        <v>1933204</v>
      </c>
    </row>
    <row r="1066" spans="1:18" x14ac:dyDescent="0.25">
      <c r="A1066" s="170">
        <v>43571</v>
      </c>
      <c r="B1066" s="116">
        <v>1390.45</v>
      </c>
      <c r="C1066" s="116">
        <v>1382.5</v>
      </c>
      <c r="D1066" s="116">
        <v>1357</v>
      </c>
      <c r="E1066" s="116">
        <v>1357</v>
      </c>
      <c r="F1066" s="116">
        <v>1382.5</v>
      </c>
      <c r="G1066">
        <v>763725</v>
      </c>
      <c r="H1066" s="116"/>
      <c r="I1066" s="116"/>
      <c r="L1066" s="170">
        <v>43571</v>
      </c>
      <c r="M1066" s="116">
        <v>1381.4</v>
      </c>
      <c r="N1066" s="116">
        <v>1390.9</v>
      </c>
      <c r="O1066" s="116">
        <v>1360</v>
      </c>
      <c r="P1066" s="116">
        <v>1360</v>
      </c>
      <c r="Q1066" s="116">
        <v>1381.4</v>
      </c>
      <c r="R1066">
        <v>3217456</v>
      </c>
    </row>
    <row r="1067" spans="1:18" x14ac:dyDescent="0.25">
      <c r="A1067" s="170">
        <v>43573</v>
      </c>
      <c r="B1067" s="116">
        <v>1387</v>
      </c>
      <c r="C1067" s="116">
        <v>1360.75</v>
      </c>
      <c r="D1067" s="116">
        <v>1359</v>
      </c>
      <c r="E1067" s="116">
        <v>1382.5</v>
      </c>
      <c r="F1067" s="116">
        <v>1360.75</v>
      </c>
      <c r="G1067">
        <v>108787</v>
      </c>
      <c r="H1067" s="116"/>
      <c r="I1067" s="116"/>
      <c r="L1067" s="170">
        <v>43573</v>
      </c>
      <c r="M1067" s="116">
        <v>1360.7</v>
      </c>
      <c r="N1067" s="116">
        <v>1387.6</v>
      </c>
      <c r="O1067" s="116">
        <v>1357.4</v>
      </c>
      <c r="P1067" s="116">
        <v>1387</v>
      </c>
      <c r="Q1067" s="116">
        <v>1360.7</v>
      </c>
      <c r="R1067">
        <v>2594906</v>
      </c>
    </row>
    <row r="1068" spans="1:18" x14ac:dyDescent="0.25">
      <c r="A1068" s="170">
        <v>43577</v>
      </c>
      <c r="B1068" s="116">
        <v>1370.7</v>
      </c>
      <c r="C1068" s="116">
        <v>1358.85</v>
      </c>
      <c r="D1068" s="116">
        <v>1353.45</v>
      </c>
      <c r="E1068" s="116">
        <v>1361</v>
      </c>
      <c r="F1068" s="116">
        <v>1358.85</v>
      </c>
      <c r="G1068">
        <v>545937</v>
      </c>
      <c r="H1068" s="116"/>
      <c r="I1068" s="116"/>
      <c r="L1068" s="170">
        <v>43577</v>
      </c>
      <c r="M1068" s="116">
        <v>1360.15</v>
      </c>
      <c r="N1068" s="116">
        <v>1370.9</v>
      </c>
      <c r="O1068" s="116">
        <v>1352.5</v>
      </c>
      <c r="P1068" s="116">
        <v>1362</v>
      </c>
      <c r="Q1068" s="116">
        <v>1360.15</v>
      </c>
      <c r="R1068">
        <v>3101477</v>
      </c>
    </row>
    <row r="1069" spans="1:18" x14ac:dyDescent="0.25">
      <c r="A1069" s="170">
        <v>43578</v>
      </c>
      <c r="B1069" s="116">
        <v>1365</v>
      </c>
      <c r="C1069" s="116">
        <v>1348.05</v>
      </c>
      <c r="D1069" s="116">
        <v>1337.3</v>
      </c>
      <c r="E1069" s="116">
        <v>1364.7</v>
      </c>
      <c r="F1069" s="116">
        <v>1348.05</v>
      </c>
      <c r="G1069">
        <v>226953</v>
      </c>
      <c r="H1069" s="116"/>
      <c r="I1069" s="116"/>
      <c r="L1069" s="170">
        <v>43578</v>
      </c>
      <c r="M1069" s="116">
        <v>1348.2</v>
      </c>
      <c r="N1069" s="116">
        <v>1365</v>
      </c>
      <c r="O1069" s="116">
        <v>1336.6</v>
      </c>
      <c r="P1069" s="116">
        <v>1361.7</v>
      </c>
      <c r="Q1069" s="116">
        <v>1348.2</v>
      </c>
      <c r="R1069">
        <v>2016454</v>
      </c>
    </row>
    <row r="1070" spans="1:18" x14ac:dyDescent="0.25">
      <c r="A1070" s="170">
        <v>43579</v>
      </c>
      <c r="B1070" s="116">
        <v>1363.2</v>
      </c>
      <c r="C1070" s="116">
        <v>1360.35</v>
      </c>
      <c r="D1070" s="116">
        <v>1350.75</v>
      </c>
      <c r="E1070" s="116">
        <v>1355.6</v>
      </c>
      <c r="F1070" s="116">
        <v>1360.35</v>
      </c>
      <c r="G1070">
        <v>551084</v>
      </c>
      <c r="H1070" s="116"/>
      <c r="I1070" s="116"/>
      <c r="L1070" s="170">
        <v>43579</v>
      </c>
      <c r="M1070" s="116">
        <v>1360.65</v>
      </c>
      <c r="N1070" s="116">
        <v>1363.45</v>
      </c>
      <c r="O1070" s="116">
        <v>1350</v>
      </c>
      <c r="P1070" s="116">
        <v>1353</v>
      </c>
      <c r="Q1070" s="116">
        <v>1360.65</v>
      </c>
      <c r="R1070">
        <v>1753395</v>
      </c>
    </row>
    <row r="1071" spans="1:18" x14ac:dyDescent="0.25">
      <c r="A1071" s="170">
        <v>43580</v>
      </c>
      <c r="B1071" s="116">
        <v>1381</v>
      </c>
      <c r="C1071" s="116">
        <v>1355.35</v>
      </c>
      <c r="D1071" s="116">
        <v>1352.95</v>
      </c>
      <c r="E1071" s="116">
        <v>1365</v>
      </c>
      <c r="F1071" s="116">
        <v>1355.35</v>
      </c>
      <c r="G1071">
        <v>144047</v>
      </c>
      <c r="H1071" s="116"/>
      <c r="I1071" s="116"/>
      <c r="L1071" s="170">
        <v>43580</v>
      </c>
      <c r="M1071" s="116">
        <v>1355.15</v>
      </c>
      <c r="N1071" s="116">
        <v>1380.55</v>
      </c>
      <c r="O1071" s="116">
        <v>1352.15</v>
      </c>
      <c r="P1071" s="116">
        <v>1366.85</v>
      </c>
      <c r="Q1071" s="116">
        <v>1355.15</v>
      </c>
      <c r="R1071">
        <v>2886022</v>
      </c>
    </row>
    <row r="1072" spans="1:18" x14ac:dyDescent="0.25">
      <c r="A1072" s="170">
        <v>43581</v>
      </c>
      <c r="B1072" s="116">
        <v>1366.85</v>
      </c>
      <c r="C1072" s="116">
        <v>1355.5</v>
      </c>
      <c r="D1072" s="116">
        <v>1351.1</v>
      </c>
      <c r="E1072" s="116">
        <v>1360</v>
      </c>
      <c r="F1072" s="116">
        <v>1355.5</v>
      </c>
      <c r="G1072">
        <v>165401</v>
      </c>
      <c r="H1072" s="116"/>
      <c r="I1072" s="116"/>
      <c r="L1072" s="170">
        <v>43581</v>
      </c>
      <c r="M1072" s="116">
        <v>1358.2</v>
      </c>
      <c r="N1072" s="116">
        <v>1367</v>
      </c>
      <c r="O1072" s="116">
        <v>1351</v>
      </c>
      <c r="P1072" s="116">
        <v>1358.2</v>
      </c>
      <c r="Q1072" s="116">
        <v>1358.2</v>
      </c>
      <c r="R1072">
        <v>1767153</v>
      </c>
    </row>
    <row r="1073" spans="1:18" x14ac:dyDescent="0.25">
      <c r="A1073" s="170">
        <v>43585</v>
      </c>
      <c r="B1073" s="116">
        <v>1365.05</v>
      </c>
      <c r="C1073" s="116">
        <v>1347.75</v>
      </c>
      <c r="D1073" s="116">
        <v>1340.1</v>
      </c>
      <c r="E1073" s="116">
        <v>1362</v>
      </c>
      <c r="F1073" s="116">
        <v>1347.75</v>
      </c>
      <c r="G1073">
        <v>124535</v>
      </c>
      <c r="H1073" s="116"/>
      <c r="I1073" s="116"/>
      <c r="L1073" s="170">
        <v>43585</v>
      </c>
      <c r="M1073" s="116">
        <v>1348.55</v>
      </c>
      <c r="N1073" s="116">
        <v>1366.5</v>
      </c>
      <c r="O1073" s="116">
        <v>1340</v>
      </c>
      <c r="P1073" s="116">
        <v>1365</v>
      </c>
      <c r="Q1073" s="116">
        <v>1348.55</v>
      </c>
      <c r="R1073">
        <v>1905624</v>
      </c>
    </row>
    <row r="1074" spans="1:18" x14ac:dyDescent="0.25">
      <c r="A1074" s="170">
        <v>43587</v>
      </c>
      <c r="B1074" s="116">
        <v>1376.45</v>
      </c>
      <c r="C1074" s="116">
        <v>1358.95</v>
      </c>
      <c r="D1074" s="116">
        <v>1342.1</v>
      </c>
      <c r="E1074" s="116">
        <v>1352.5</v>
      </c>
      <c r="F1074" s="116">
        <v>1358.95</v>
      </c>
      <c r="G1074">
        <v>96229</v>
      </c>
      <c r="H1074" s="116"/>
      <c r="I1074" s="116"/>
      <c r="L1074" s="170">
        <v>43587</v>
      </c>
      <c r="M1074" s="116">
        <v>1358.75</v>
      </c>
      <c r="N1074" s="116">
        <v>1376.5</v>
      </c>
      <c r="O1074" s="116">
        <v>1342</v>
      </c>
      <c r="P1074" s="116">
        <v>1349.45</v>
      </c>
      <c r="Q1074" s="116">
        <v>1358.75</v>
      </c>
      <c r="R1074">
        <v>1985540</v>
      </c>
    </row>
    <row r="1075" spans="1:18" x14ac:dyDescent="0.25">
      <c r="A1075" s="170">
        <v>43588</v>
      </c>
      <c r="B1075" s="116">
        <v>1373.2</v>
      </c>
      <c r="C1075" s="116">
        <v>1361</v>
      </c>
      <c r="D1075" s="116">
        <v>1358.3</v>
      </c>
      <c r="E1075" s="116">
        <v>1364.7</v>
      </c>
      <c r="F1075" s="116">
        <v>1361</v>
      </c>
      <c r="G1075">
        <v>80385</v>
      </c>
      <c r="H1075" s="116"/>
      <c r="I1075" s="116"/>
      <c r="L1075" s="170">
        <v>43588</v>
      </c>
      <c r="M1075" s="116">
        <v>1363.6</v>
      </c>
      <c r="N1075" s="116">
        <v>1373.2</v>
      </c>
      <c r="O1075" s="116">
        <v>1360</v>
      </c>
      <c r="P1075" s="116">
        <v>1362</v>
      </c>
      <c r="Q1075" s="116">
        <v>1363.6</v>
      </c>
      <c r="R1075">
        <v>1239667</v>
      </c>
    </row>
    <row r="1076" spans="1:18" x14ac:dyDescent="0.25">
      <c r="A1076" s="170">
        <v>43591</v>
      </c>
      <c r="B1076" s="116">
        <v>1364.75</v>
      </c>
      <c r="C1076" s="116">
        <v>1351.25</v>
      </c>
      <c r="D1076" s="116">
        <v>1348</v>
      </c>
      <c r="E1076" s="116">
        <v>1360</v>
      </c>
      <c r="F1076" s="116">
        <v>1351.25</v>
      </c>
      <c r="G1076">
        <v>75004</v>
      </c>
      <c r="H1076" s="116"/>
      <c r="I1076" s="116"/>
      <c r="L1076" s="170">
        <v>43591</v>
      </c>
      <c r="M1076" s="116">
        <v>1352.7</v>
      </c>
      <c r="N1076" s="116">
        <v>1364.85</v>
      </c>
      <c r="O1076" s="116">
        <v>1349.9</v>
      </c>
      <c r="P1076" s="116">
        <v>1353.3</v>
      </c>
      <c r="Q1076" s="116">
        <v>1352.7</v>
      </c>
      <c r="R1076">
        <v>1515052</v>
      </c>
    </row>
    <row r="1077" spans="1:18" x14ac:dyDescent="0.25">
      <c r="A1077" s="170">
        <v>43592</v>
      </c>
      <c r="B1077" s="116">
        <v>1374.3</v>
      </c>
      <c r="C1077" s="116">
        <v>1366.65</v>
      </c>
      <c r="D1077" s="116">
        <v>1350</v>
      </c>
      <c r="E1077" s="116">
        <v>1360</v>
      </c>
      <c r="F1077" s="116">
        <v>1366.65</v>
      </c>
      <c r="G1077">
        <v>214445</v>
      </c>
      <c r="H1077" s="116"/>
      <c r="I1077" s="116"/>
      <c r="L1077" s="170">
        <v>43592</v>
      </c>
      <c r="M1077" s="116">
        <v>1366.6</v>
      </c>
      <c r="N1077" s="116">
        <v>1374.35</v>
      </c>
      <c r="O1077" s="116">
        <v>1350</v>
      </c>
      <c r="P1077" s="116">
        <v>1357.4</v>
      </c>
      <c r="Q1077" s="116">
        <v>1366.6</v>
      </c>
      <c r="R1077">
        <v>2596385</v>
      </c>
    </row>
    <row r="1078" spans="1:18" x14ac:dyDescent="0.25">
      <c r="A1078" s="170">
        <v>43593</v>
      </c>
      <c r="B1078" s="116">
        <v>1370</v>
      </c>
      <c r="C1078" s="116">
        <v>1361.2</v>
      </c>
      <c r="D1078" s="116">
        <v>1355.05</v>
      </c>
      <c r="E1078" s="116">
        <v>1361.05</v>
      </c>
      <c r="F1078" s="116">
        <v>1361.2</v>
      </c>
      <c r="G1078">
        <v>71362</v>
      </c>
      <c r="H1078" s="116"/>
      <c r="I1078" s="116"/>
      <c r="L1078" s="170">
        <v>43593</v>
      </c>
      <c r="M1078" s="116">
        <v>1360.35</v>
      </c>
      <c r="N1078" s="116">
        <v>1371</v>
      </c>
      <c r="O1078" s="116">
        <v>1355</v>
      </c>
      <c r="P1078" s="116">
        <v>1363.9</v>
      </c>
      <c r="Q1078" s="116">
        <v>1360.35</v>
      </c>
      <c r="R1078">
        <v>1601700</v>
      </c>
    </row>
    <row r="1079" spans="1:18" x14ac:dyDescent="0.25">
      <c r="A1079" s="170">
        <v>43594</v>
      </c>
      <c r="B1079" s="116">
        <v>1368</v>
      </c>
      <c r="C1079" s="116">
        <v>1356.7</v>
      </c>
      <c r="D1079" s="116">
        <v>1339</v>
      </c>
      <c r="E1079" s="116">
        <v>1359</v>
      </c>
      <c r="F1079" s="116">
        <v>1356.7</v>
      </c>
      <c r="G1079">
        <v>122749</v>
      </c>
      <c r="H1079" s="116"/>
      <c r="I1079" s="116"/>
      <c r="L1079" s="170">
        <v>43594</v>
      </c>
      <c r="M1079" s="116">
        <v>1356.45</v>
      </c>
      <c r="N1079" s="116">
        <v>1368.8</v>
      </c>
      <c r="O1079" s="116">
        <v>1337.6</v>
      </c>
      <c r="P1079" s="116">
        <v>1357</v>
      </c>
      <c r="Q1079" s="116">
        <v>1356.45</v>
      </c>
      <c r="R1079">
        <v>2464425</v>
      </c>
    </row>
    <row r="1080" spans="1:18" x14ac:dyDescent="0.25">
      <c r="A1080" s="170">
        <v>43595</v>
      </c>
      <c r="B1080" s="116">
        <v>1364.4</v>
      </c>
      <c r="C1080" s="116">
        <v>1355.25</v>
      </c>
      <c r="D1080" s="116">
        <v>1345.8</v>
      </c>
      <c r="E1080" s="116">
        <v>1364.4</v>
      </c>
      <c r="F1080" s="116">
        <v>1355.25</v>
      </c>
      <c r="G1080">
        <v>121872</v>
      </c>
      <c r="H1080" s="116"/>
      <c r="I1080" s="116"/>
      <c r="L1080" s="170">
        <v>43595</v>
      </c>
      <c r="M1080" s="116">
        <v>1355.5</v>
      </c>
      <c r="N1080" s="116">
        <v>1362.5</v>
      </c>
      <c r="O1080" s="116">
        <v>1345.1</v>
      </c>
      <c r="P1080" s="116">
        <v>1359.65</v>
      </c>
      <c r="Q1080" s="116">
        <v>1355.5</v>
      </c>
      <c r="R1080">
        <v>1466154</v>
      </c>
    </row>
    <row r="1081" spans="1:18" x14ac:dyDescent="0.25">
      <c r="A1081" s="170">
        <v>43598</v>
      </c>
      <c r="B1081" s="116">
        <v>1354.95</v>
      </c>
      <c r="C1081" s="116">
        <v>1317.2</v>
      </c>
      <c r="D1081" s="116">
        <v>1310</v>
      </c>
      <c r="E1081" s="116">
        <v>1354</v>
      </c>
      <c r="F1081" s="116">
        <v>1317.2</v>
      </c>
      <c r="G1081">
        <v>210365</v>
      </c>
      <c r="H1081" s="116"/>
      <c r="I1081" s="116"/>
      <c r="L1081" s="170">
        <v>43598</v>
      </c>
      <c r="M1081" s="116">
        <v>1317.65</v>
      </c>
      <c r="N1081" s="116">
        <v>1355</v>
      </c>
      <c r="O1081" s="116">
        <v>1312</v>
      </c>
      <c r="P1081" s="116">
        <v>1345</v>
      </c>
      <c r="Q1081" s="116">
        <v>1317.65</v>
      </c>
      <c r="R1081">
        <v>3422913</v>
      </c>
    </row>
    <row r="1082" spans="1:18" x14ac:dyDescent="0.25">
      <c r="A1082" s="170">
        <v>43599</v>
      </c>
      <c r="B1082" s="116">
        <v>1345.6</v>
      </c>
      <c r="C1082" s="116">
        <v>1341.5</v>
      </c>
      <c r="D1082" s="116">
        <v>1284.9000000000001</v>
      </c>
      <c r="E1082" s="116">
        <v>1313.8</v>
      </c>
      <c r="F1082" s="116">
        <v>1341.5</v>
      </c>
      <c r="G1082">
        <v>192029</v>
      </c>
      <c r="H1082" s="116"/>
      <c r="I1082" s="116"/>
      <c r="L1082" s="170">
        <v>43599</v>
      </c>
      <c r="M1082" s="116">
        <v>1341.8</v>
      </c>
      <c r="N1082" s="116">
        <v>1347.65</v>
      </c>
      <c r="O1082" s="116">
        <v>1285.3</v>
      </c>
      <c r="P1082" s="116">
        <v>1309</v>
      </c>
      <c r="Q1082" s="116">
        <v>1341.8</v>
      </c>
      <c r="R1082">
        <v>3132767</v>
      </c>
    </row>
    <row r="1083" spans="1:18" x14ac:dyDescent="0.25">
      <c r="A1083" s="170">
        <v>43600</v>
      </c>
      <c r="B1083" s="116">
        <v>1354.9</v>
      </c>
      <c r="C1083" s="116">
        <v>1325.9</v>
      </c>
      <c r="D1083" s="116">
        <v>1321.5</v>
      </c>
      <c r="E1083" s="116">
        <v>1343.5</v>
      </c>
      <c r="F1083" s="116">
        <v>1325.9</v>
      </c>
      <c r="G1083">
        <v>99960</v>
      </c>
      <c r="H1083" s="116"/>
      <c r="I1083" s="116"/>
      <c r="L1083" s="170">
        <v>43600</v>
      </c>
      <c r="M1083" s="116">
        <v>1325.8</v>
      </c>
      <c r="N1083" s="116">
        <v>1355</v>
      </c>
      <c r="O1083" s="116">
        <v>1320.5</v>
      </c>
      <c r="P1083" s="116">
        <v>1347.5</v>
      </c>
      <c r="Q1083" s="116">
        <v>1325.8</v>
      </c>
      <c r="R1083">
        <v>2054728</v>
      </c>
    </row>
    <row r="1084" spans="1:18" x14ac:dyDescent="0.25">
      <c r="A1084" s="170">
        <v>43601</v>
      </c>
      <c r="B1084" s="116">
        <v>1346</v>
      </c>
      <c r="C1084" s="116">
        <v>1336.9</v>
      </c>
      <c r="D1084" s="116">
        <v>1308.8</v>
      </c>
      <c r="E1084" s="116">
        <v>1325.2</v>
      </c>
      <c r="F1084" s="116">
        <v>1336.9</v>
      </c>
      <c r="G1084">
        <v>86245</v>
      </c>
      <c r="H1084" s="116"/>
      <c r="I1084" s="116"/>
      <c r="L1084" s="170">
        <v>43601</v>
      </c>
      <c r="M1084" s="116">
        <v>1337.15</v>
      </c>
      <c r="N1084" s="116">
        <v>1348</v>
      </c>
      <c r="O1084" s="116">
        <v>1308.3</v>
      </c>
      <c r="P1084" s="116">
        <v>1326</v>
      </c>
      <c r="Q1084" s="116">
        <v>1337.15</v>
      </c>
      <c r="R1084">
        <v>2058450</v>
      </c>
    </row>
    <row r="1085" spans="1:18" x14ac:dyDescent="0.25">
      <c r="A1085" s="170">
        <v>43602</v>
      </c>
      <c r="B1085" s="116">
        <v>1371</v>
      </c>
      <c r="C1085" s="116">
        <v>1361.9</v>
      </c>
      <c r="D1085" s="116">
        <v>1333.2</v>
      </c>
      <c r="E1085" s="116">
        <v>1338</v>
      </c>
      <c r="F1085" s="116">
        <v>1361.9</v>
      </c>
      <c r="G1085">
        <v>148206</v>
      </c>
      <c r="H1085" s="116"/>
      <c r="I1085" s="116"/>
      <c r="L1085" s="170">
        <v>43602</v>
      </c>
      <c r="M1085" s="116">
        <v>1361.9</v>
      </c>
      <c r="N1085" s="116">
        <v>1371.5</v>
      </c>
      <c r="O1085" s="116">
        <v>1332.55</v>
      </c>
      <c r="P1085" s="116">
        <v>1335</v>
      </c>
      <c r="Q1085" s="116">
        <v>1361.9</v>
      </c>
      <c r="R1085">
        <v>2776586</v>
      </c>
    </row>
    <row r="1086" spans="1:18" x14ac:dyDescent="0.25">
      <c r="A1086" s="170">
        <v>43605</v>
      </c>
      <c r="B1086" s="116">
        <v>1455</v>
      </c>
      <c r="C1086" s="116">
        <v>1451.05</v>
      </c>
      <c r="D1086" s="116">
        <v>1396.6</v>
      </c>
      <c r="E1086" s="116">
        <v>1396.6</v>
      </c>
      <c r="F1086" s="116">
        <v>1451.05</v>
      </c>
      <c r="G1086">
        <v>535527</v>
      </c>
      <c r="H1086" s="116"/>
      <c r="I1086" s="116"/>
      <c r="L1086" s="170">
        <v>43605</v>
      </c>
      <c r="M1086" s="116">
        <v>1451.45</v>
      </c>
      <c r="N1086" s="116">
        <v>1455</v>
      </c>
      <c r="O1086" s="116">
        <v>1400</v>
      </c>
      <c r="P1086" s="116">
        <v>1400</v>
      </c>
      <c r="Q1086" s="116">
        <v>1451.45</v>
      </c>
      <c r="R1086">
        <v>6210427</v>
      </c>
    </row>
    <row r="1087" spans="1:18" x14ac:dyDescent="0.25">
      <c r="A1087" s="170">
        <v>43606</v>
      </c>
      <c r="B1087" s="116">
        <v>1462.2</v>
      </c>
      <c r="C1087" s="116">
        <v>1448.2</v>
      </c>
      <c r="D1087" s="116">
        <v>1437.1</v>
      </c>
      <c r="E1087" s="116">
        <v>1453</v>
      </c>
      <c r="F1087" s="116">
        <v>1448.2</v>
      </c>
      <c r="G1087">
        <v>244454</v>
      </c>
      <c r="H1087" s="116"/>
      <c r="I1087" s="116"/>
      <c r="L1087" s="170">
        <v>43606</v>
      </c>
      <c r="M1087" s="116">
        <v>1449.1</v>
      </c>
      <c r="N1087" s="116">
        <v>1462.05</v>
      </c>
      <c r="O1087" s="116">
        <v>1437.85</v>
      </c>
      <c r="P1087" s="116">
        <v>1455</v>
      </c>
      <c r="Q1087" s="116">
        <v>1449.1</v>
      </c>
      <c r="R1087">
        <v>2961180</v>
      </c>
    </row>
    <row r="1088" spans="1:18" x14ac:dyDescent="0.25">
      <c r="A1088" s="170">
        <v>43607</v>
      </c>
      <c r="B1088" s="116">
        <v>1473.15</v>
      </c>
      <c r="C1088" s="116">
        <v>1460.55</v>
      </c>
      <c r="D1088" s="116">
        <v>1441.4</v>
      </c>
      <c r="E1088" s="116">
        <v>1449</v>
      </c>
      <c r="F1088" s="116">
        <v>1460.55</v>
      </c>
      <c r="G1088">
        <v>244675</v>
      </c>
      <c r="H1088" s="116"/>
      <c r="I1088" s="116"/>
      <c r="L1088" s="170">
        <v>43607</v>
      </c>
      <c r="M1088" s="116">
        <v>1461.1</v>
      </c>
      <c r="N1088" s="116">
        <v>1473.4</v>
      </c>
      <c r="O1088" s="116">
        <v>1441.6</v>
      </c>
      <c r="P1088" s="116">
        <v>1450.1</v>
      </c>
      <c r="Q1088" s="116">
        <v>1461.1</v>
      </c>
      <c r="R1088">
        <v>3304912</v>
      </c>
    </row>
    <row r="1089" spans="1:18" x14ac:dyDescent="0.25">
      <c r="A1089" s="170">
        <v>43608</v>
      </c>
      <c r="B1089" s="116">
        <v>1560.5</v>
      </c>
      <c r="C1089" s="116">
        <v>1475.7</v>
      </c>
      <c r="D1089" s="116">
        <v>1466.4</v>
      </c>
      <c r="E1089" s="116">
        <v>1473.3</v>
      </c>
      <c r="F1089" s="116">
        <v>1475.7</v>
      </c>
      <c r="G1089">
        <v>986467</v>
      </c>
      <c r="H1089" s="116"/>
      <c r="I1089" s="116"/>
      <c r="L1089" s="170">
        <v>43608</v>
      </c>
      <c r="M1089" s="116">
        <v>1476.1</v>
      </c>
      <c r="N1089" s="116">
        <v>1562.4</v>
      </c>
      <c r="O1089" s="116">
        <v>1466</v>
      </c>
      <c r="P1089" s="116">
        <v>1476.2</v>
      </c>
      <c r="Q1089" s="116">
        <v>1476.1</v>
      </c>
      <c r="R1089">
        <v>10485813</v>
      </c>
    </row>
    <row r="1090" spans="1:18" x14ac:dyDescent="0.25">
      <c r="A1090" s="170">
        <v>43609</v>
      </c>
      <c r="B1090" s="116">
        <v>1549</v>
      </c>
      <c r="C1090" s="116">
        <v>1543.65</v>
      </c>
      <c r="D1090" s="116">
        <v>1491</v>
      </c>
      <c r="E1090" s="116">
        <v>1491</v>
      </c>
      <c r="F1090" s="116">
        <v>1543.65</v>
      </c>
      <c r="G1090">
        <v>599241</v>
      </c>
      <c r="H1090" s="116"/>
      <c r="I1090" s="116"/>
      <c r="L1090" s="170">
        <v>43609</v>
      </c>
      <c r="M1090" s="116">
        <v>1544.15</v>
      </c>
      <c r="N1090" s="116">
        <v>1549.2</v>
      </c>
      <c r="O1090" s="116">
        <v>1490.35</v>
      </c>
      <c r="P1090" s="116">
        <v>1493</v>
      </c>
      <c r="Q1090" s="116">
        <v>1544.15</v>
      </c>
      <c r="R1090">
        <v>5626500</v>
      </c>
    </row>
    <row r="1091" spans="1:18" x14ac:dyDescent="0.25">
      <c r="A1091" s="170">
        <v>43612</v>
      </c>
      <c r="B1091" s="116">
        <v>1596</v>
      </c>
      <c r="C1091" s="116">
        <v>1592.6</v>
      </c>
      <c r="D1091" s="116">
        <v>1533.3</v>
      </c>
      <c r="E1091" s="116">
        <v>1543.65</v>
      </c>
      <c r="F1091" s="116">
        <v>1592.6</v>
      </c>
      <c r="G1091">
        <v>506152</v>
      </c>
      <c r="H1091" s="116"/>
      <c r="I1091" s="116"/>
      <c r="L1091" s="170">
        <v>43612</v>
      </c>
      <c r="M1091" s="116">
        <v>1596</v>
      </c>
      <c r="N1091" s="116">
        <v>1600</v>
      </c>
      <c r="O1091" s="116">
        <v>1532.1</v>
      </c>
      <c r="P1091" s="116">
        <v>1543.7</v>
      </c>
      <c r="Q1091" s="116">
        <v>1596</v>
      </c>
      <c r="R1091">
        <v>6730594</v>
      </c>
    </row>
    <row r="1092" spans="1:18" x14ac:dyDescent="0.25">
      <c r="A1092" s="170">
        <v>43613</v>
      </c>
      <c r="B1092" s="116">
        <v>1606.7</v>
      </c>
      <c r="C1092" s="116">
        <v>1573.65</v>
      </c>
      <c r="D1092" s="116">
        <v>1562.95</v>
      </c>
      <c r="E1092" s="116">
        <v>1595</v>
      </c>
      <c r="F1092" s="116">
        <v>1573.65</v>
      </c>
      <c r="G1092">
        <v>217307</v>
      </c>
      <c r="H1092" s="116"/>
      <c r="I1092" s="116"/>
      <c r="L1092" s="170">
        <v>43613</v>
      </c>
      <c r="M1092" s="116">
        <v>1574.5</v>
      </c>
      <c r="N1092" s="116">
        <v>1607</v>
      </c>
      <c r="O1092" s="116">
        <v>1563.3</v>
      </c>
      <c r="P1092" s="116">
        <v>1596</v>
      </c>
      <c r="Q1092" s="116">
        <v>1574.5</v>
      </c>
      <c r="R1092">
        <v>4987068</v>
      </c>
    </row>
    <row r="1093" spans="1:18" x14ac:dyDescent="0.25">
      <c r="A1093" s="170">
        <v>43614</v>
      </c>
      <c r="B1093" s="116">
        <v>1596</v>
      </c>
      <c r="C1093" s="116">
        <v>1552.4</v>
      </c>
      <c r="D1093" s="116">
        <v>1547.7</v>
      </c>
      <c r="E1093" s="116">
        <v>1573.65</v>
      </c>
      <c r="F1093" s="116">
        <v>1552.4</v>
      </c>
      <c r="G1093">
        <v>165462</v>
      </c>
      <c r="H1093" s="116"/>
      <c r="I1093" s="116"/>
      <c r="L1093" s="170">
        <v>43614</v>
      </c>
      <c r="M1093" s="116">
        <v>1552.45</v>
      </c>
      <c r="N1093" s="116">
        <v>1596.95</v>
      </c>
      <c r="O1093" s="116">
        <v>1546.2</v>
      </c>
      <c r="P1093" s="116">
        <v>1570.2</v>
      </c>
      <c r="Q1093" s="116">
        <v>1552.45</v>
      </c>
      <c r="R1093">
        <v>3070738</v>
      </c>
    </row>
    <row r="1094" spans="1:18" x14ac:dyDescent="0.25">
      <c r="A1094" s="170">
        <v>43615</v>
      </c>
      <c r="B1094" s="116">
        <v>1569</v>
      </c>
      <c r="C1094" s="116">
        <v>1558.25</v>
      </c>
      <c r="D1094" s="116">
        <v>1541.1</v>
      </c>
      <c r="E1094" s="116">
        <v>1550</v>
      </c>
      <c r="F1094" s="116">
        <v>1558.25</v>
      </c>
      <c r="G1094">
        <v>126329</v>
      </c>
      <c r="H1094" s="116"/>
      <c r="I1094" s="116"/>
      <c r="L1094" s="170">
        <v>43615</v>
      </c>
      <c r="M1094" s="116">
        <v>1558.6</v>
      </c>
      <c r="N1094" s="116">
        <v>1569.35</v>
      </c>
      <c r="O1094" s="116">
        <v>1540</v>
      </c>
      <c r="P1094" s="116">
        <v>1550</v>
      </c>
      <c r="Q1094" s="116">
        <v>1558.6</v>
      </c>
      <c r="R1094">
        <v>2675199</v>
      </c>
    </row>
    <row r="1095" spans="1:18" x14ac:dyDescent="0.25">
      <c r="A1095" s="170">
        <v>43616</v>
      </c>
      <c r="B1095" s="116">
        <v>1580.75</v>
      </c>
      <c r="C1095" s="116">
        <v>1557.95</v>
      </c>
      <c r="D1095" s="116">
        <v>1537.5</v>
      </c>
      <c r="E1095" s="116">
        <v>1565.25</v>
      </c>
      <c r="F1095" s="116">
        <v>1557.95</v>
      </c>
      <c r="G1095">
        <v>178134</v>
      </c>
      <c r="H1095" s="116"/>
      <c r="I1095" s="116"/>
      <c r="L1095" s="170">
        <v>43616</v>
      </c>
      <c r="M1095" s="116">
        <v>1557.55</v>
      </c>
      <c r="N1095" s="116">
        <v>1581.5</v>
      </c>
      <c r="O1095" s="116">
        <v>1534.8</v>
      </c>
      <c r="P1095" s="116">
        <v>1569.95</v>
      </c>
      <c r="Q1095" s="116">
        <v>1557.55</v>
      </c>
      <c r="R1095">
        <v>3945900</v>
      </c>
    </row>
    <row r="1096" spans="1:18" x14ac:dyDescent="0.25">
      <c r="A1096" s="170">
        <v>43619</v>
      </c>
      <c r="B1096" s="116">
        <v>1570.1</v>
      </c>
      <c r="C1096" s="116">
        <v>1559.3</v>
      </c>
      <c r="D1096" s="116">
        <v>1546.85</v>
      </c>
      <c r="E1096" s="116">
        <v>1565</v>
      </c>
      <c r="F1096" s="116">
        <v>1559.3</v>
      </c>
      <c r="G1096">
        <v>125803</v>
      </c>
      <c r="H1096" s="116"/>
      <c r="I1096" s="116"/>
      <c r="L1096" s="170">
        <v>43619</v>
      </c>
      <c r="M1096" s="116">
        <v>1559.4</v>
      </c>
      <c r="N1096" s="116">
        <v>1570</v>
      </c>
      <c r="O1096" s="116">
        <v>1546.4</v>
      </c>
      <c r="P1096" s="116">
        <v>1563.7</v>
      </c>
      <c r="Q1096" s="116">
        <v>1559.4</v>
      </c>
      <c r="R1096">
        <v>2617068</v>
      </c>
    </row>
    <row r="1097" spans="1:18" x14ac:dyDescent="0.25">
      <c r="A1097" s="170">
        <v>43620</v>
      </c>
      <c r="B1097" s="116">
        <v>1584.7</v>
      </c>
      <c r="C1097" s="116">
        <v>1570</v>
      </c>
      <c r="D1097" s="116">
        <v>1559.55</v>
      </c>
      <c r="E1097" s="116">
        <v>1559.8</v>
      </c>
      <c r="F1097" s="116">
        <v>1570</v>
      </c>
      <c r="G1097">
        <v>173258</v>
      </c>
      <c r="H1097" s="116"/>
      <c r="I1097" s="116"/>
      <c r="L1097" s="170">
        <v>43620</v>
      </c>
      <c r="M1097" s="116">
        <v>1569.8</v>
      </c>
      <c r="N1097" s="116">
        <v>1585</v>
      </c>
      <c r="O1097" s="116">
        <v>1558</v>
      </c>
      <c r="P1097" s="116">
        <v>1561</v>
      </c>
      <c r="Q1097" s="116">
        <v>1569.8</v>
      </c>
      <c r="R1097">
        <v>3854101</v>
      </c>
    </row>
    <row r="1098" spans="1:18" x14ac:dyDescent="0.25">
      <c r="A1098" s="170">
        <v>43622</v>
      </c>
      <c r="B1098" s="116">
        <v>1571.3</v>
      </c>
      <c r="C1098" s="116">
        <v>1516.5</v>
      </c>
      <c r="D1098" s="116">
        <v>1512.05</v>
      </c>
      <c r="E1098" s="116">
        <v>1569</v>
      </c>
      <c r="F1098" s="116">
        <v>1516.5</v>
      </c>
      <c r="G1098">
        <v>214503</v>
      </c>
      <c r="H1098" s="116"/>
      <c r="I1098" s="116"/>
      <c r="L1098" s="170">
        <v>43622</v>
      </c>
      <c r="M1098" s="116">
        <v>1515.9</v>
      </c>
      <c r="N1098" s="116">
        <v>1571.8</v>
      </c>
      <c r="O1098" s="116">
        <v>1511.6</v>
      </c>
      <c r="P1098" s="116">
        <v>1569.65</v>
      </c>
      <c r="Q1098" s="116">
        <v>1515.9</v>
      </c>
      <c r="R1098">
        <v>3268594</v>
      </c>
    </row>
    <row r="1099" spans="1:18" x14ac:dyDescent="0.25">
      <c r="A1099" s="170">
        <v>43623</v>
      </c>
      <c r="B1099" s="116">
        <v>1532.95</v>
      </c>
      <c r="C1099" s="116">
        <v>1513.25</v>
      </c>
      <c r="D1099" s="116">
        <v>1495</v>
      </c>
      <c r="E1099" s="116">
        <v>1519.9</v>
      </c>
      <c r="F1099" s="116">
        <v>1513.25</v>
      </c>
      <c r="G1099">
        <v>144545</v>
      </c>
      <c r="H1099" s="116"/>
      <c r="I1099" s="116"/>
      <c r="L1099" s="170">
        <v>43623</v>
      </c>
      <c r="M1099" s="116">
        <v>1513.85</v>
      </c>
      <c r="N1099" s="116">
        <v>1533.7</v>
      </c>
      <c r="O1099" s="116">
        <v>1495.5</v>
      </c>
      <c r="P1099" s="116">
        <v>1518.55</v>
      </c>
      <c r="Q1099" s="116">
        <v>1513.85</v>
      </c>
      <c r="R1099">
        <v>2572146</v>
      </c>
    </row>
    <row r="1100" spans="1:18" x14ac:dyDescent="0.25">
      <c r="A1100" s="170">
        <v>43626</v>
      </c>
      <c r="B1100" s="116">
        <v>1541</v>
      </c>
      <c r="C1100" s="116">
        <v>1532.2</v>
      </c>
      <c r="D1100" s="116">
        <v>1522.3</v>
      </c>
      <c r="E1100" s="116">
        <v>1527</v>
      </c>
      <c r="F1100" s="116">
        <v>1532.2</v>
      </c>
      <c r="G1100">
        <v>129664</v>
      </c>
      <c r="H1100" s="116"/>
      <c r="I1100" s="116"/>
      <c r="L1100" s="170">
        <v>43626</v>
      </c>
      <c r="M1100" s="116">
        <v>1532.1</v>
      </c>
      <c r="N1100" s="116">
        <v>1542</v>
      </c>
      <c r="O1100" s="116">
        <v>1521.3</v>
      </c>
      <c r="P1100" s="116">
        <v>1525</v>
      </c>
      <c r="Q1100" s="116">
        <v>1532.1</v>
      </c>
      <c r="R1100">
        <v>1608705</v>
      </c>
    </row>
    <row r="1101" spans="1:18" x14ac:dyDescent="0.25">
      <c r="A1101" s="170">
        <v>43627</v>
      </c>
      <c r="B1101" s="116">
        <v>1539.9</v>
      </c>
      <c r="C1101" s="116">
        <v>1524.7</v>
      </c>
      <c r="D1101" s="116">
        <v>1522.55</v>
      </c>
      <c r="E1101" s="116">
        <v>1535.25</v>
      </c>
      <c r="F1101" s="116">
        <v>1524.7</v>
      </c>
      <c r="G1101">
        <v>78847</v>
      </c>
      <c r="H1101" s="116"/>
      <c r="I1101" s="116"/>
      <c r="L1101" s="170">
        <v>43627</v>
      </c>
      <c r="M1101" s="116">
        <v>1524.3</v>
      </c>
      <c r="N1101" s="116">
        <v>1540.2</v>
      </c>
      <c r="O1101" s="116">
        <v>1522</v>
      </c>
      <c r="P1101" s="116">
        <v>1540.2</v>
      </c>
      <c r="Q1101" s="116">
        <v>1524.3</v>
      </c>
      <c r="R1101">
        <v>1745105</v>
      </c>
    </row>
    <row r="1102" spans="1:18" x14ac:dyDescent="0.25">
      <c r="A1102" s="170">
        <v>43628</v>
      </c>
      <c r="B1102" s="116">
        <v>1526</v>
      </c>
      <c r="C1102" s="116">
        <v>1509.2</v>
      </c>
      <c r="D1102" s="116">
        <v>1504</v>
      </c>
      <c r="E1102" s="116">
        <v>1526</v>
      </c>
      <c r="F1102" s="116">
        <v>1509.2</v>
      </c>
      <c r="G1102">
        <v>85576</v>
      </c>
      <c r="H1102" s="116"/>
      <c r="I1102" s="116"/>
      <c r="L1102" s="170">
        <v>43628</v>
      </c>
      <c r="M1102" s="116">
        <v>1509.25</v>
      </c>
      <c r="N1102" s="116">
        <v>1525.9</v>
      </c>
      <c r="O1102" s="116">
        <v>1503.7</v>
      </c>
      <c r="P1102" s="116">
        <v>1524.1</v>
      </c>
      <c r="Q1102" s="116">
        <v>1509.25</v>
      </c>
      <c r="R1102">
        <v>1495586</v>
      </c>
    </row>
    <row r="1103" spans="1:18" x14ac:dyDescent="0.25">
      <c r="A1103" s="170">
        <v>43629</v>
      </c>
      <c r="B1103" s="116">
        <v>1529.2</v>
      </c>
      <c r="C1103" s="116">
        <v>1516.95</v>
      </c>
      <c r="D1103" s="116">
        <v>1504.65</v>
      </c>
      <c r="E1103" s="116">
        <v>1511</v>
      </c>
      <c r="F1103" s="116">
        <v>1516.95</v>
      </c>
      <c r="G1103">
        <v>122489</v>
      </c>
      <c r="H1103" s="116"/>
      <c r="I1103" s="116"/>
      <c r="L1103" s="170">
        <v>43629</v>
      </c>
      <c r="M1103" s="116">
        <v>1517.55</v>
      </c>
      <c r="N1103" s="116">
        <v>1529</v>
      </c>
      <c r="O1103" s="116">
        <v>1504.6</v>
      </c>
      <c r="P1103" s="116">
        <v>1509</v>
      </c>
      <c r="Q1103" s="116">
        <v>1517.55</v>
      </c>
      <c r="R1103">
        <v>1828211</v>
      </c>
    </row>
    <row r="1104" spans="1:18" x14ac:dyDescent="0.25">
      <c r="A1104" s="170">
        <v>43630</v>
      </c>
      <c r="B1104" s="116">
        <v>1538.8</v>
      </c>
      <c r="C1104" s="116">
        <v>1529.15</v>
      </c>
      <c r="D1104" s="116">
        <v>1514.35</v>
      </c>
      <c r="E1104" s="116">
        <v>1520.2</v>
      </c>
      <c r="F1104" s="116">
        <v>1529.15</v>
      </c>
      <c r="G1104">
        <v>556092</v>
      </c>
      <c r="H1104" s="116"/>
      <c r="I1104" s="116"/>
      <c r="L1104" s="170">
        <v>43630</v>
      </c>
      <c r="M1104" s="116">
        <v>1526.3</v>
      </c>
      <c r="N1104" s="116">
        <v>1539.9</v>
      </c>
      <c r="O1104" s="116">
        <v>1513.05</v>
      </c>
      <c r="P1104" s="116">
        <v>1521</v>
      </c>
      <c r="Q1104" s="116">
        <v>1526.3</v>
      </c>
      <c r="R1104">
        <v>1854211</v>
      </c>
    </row>
    <row r="1105" spans="1:18" x14ac:dyDescent="0.25">
      <c r="A1105" s="170">
        <v>43633</v>
      </c>
      <c r="B1105" s="116">
        <v>1536</v>
      </c>
      <c r="C1105" s="116">
        <v>1499</v>
      </c>
      <c r="D1105" s="116">
        <v>1495.5</v>
      </c>
      <c r="E1105" s="116">
        <v>1526</v>
      </c>
      <c r="F1105" s="116">
        <v>1499</v>
      </c>
      <c r="G1105">
        <v>136042</v>
      </c>
      <c r="H1105" s="116"/>
      <c r="I1105" s="116"/>
      <c r="L1105" s="170">
        <v>43633</v>
      </c>
      <c r="M1105" s="116">
        <v>1498.75</v>
      </c>
      <c r="N1105" s="116">
        <v>1537</v>
      </c>
      <c r="O1105" s="116">
        <v>1495.25</v>
      </c>
      <c r="P1105" s="116">
        <v>1530</v>
      </c>
      <c r="Q1105" s="116">
        <v>1498.75</v>
      </c>
      <c r="R1105">
        <v>2048759</v>
      </c>
    </row>
    <row r="1106" spans="1:18" x14ac:dyDescent="0.25">
      <c r="A1106" s="170">
        <v>43634</v>
      </c>
      <c r="B1106" s="116">
        <v>1519</v>
      </c>
      <c r="C1106" s="116">
        <v>1504.95</v>
      </c>
      <c r="D1106" s="116">
        <v>1498</v>
      </c>
      <c r="E1106" s="116">
        <v>1503.5</v>
      </c>
      <c r="F1106" s="116">
        <v>1504.95</v>
      </c>
      <c r="G1106">
        <v>91668</v>
      </c>
      <c r="H1106" s="116"/>
      <c r="I1106" s="116"/>
      <c r="L1106" s="170">
        <v>43634</v>
      </c>
      <c r="M1106" s="116">
        <v>1505.3</v>
      </c>
      <c r="N1106" s="116">
        <v>1519.95</v>
      </c>
      <c r="O1106" s="116">
        <v>1497.8</v>
      </c>
      <c r="P1106" s="116">
        <v>1500</v>
      </c>
      <c r="Q1106" s="116">
        <v>1505.3</v>
      </c>
      <c r="R1106">
        <v>2098714</v>
      </c>
    </row>
    <row r="1107" spans="1:18" x14ac:dyDescent="0.25">
      <c r="A1107" s="170">
        <v>43635</v>
      </c>
      <c r="B1107" s="116">
        <v>1529.15</v>
      </c>
      <c r="C1107" s="116">
        <v>1505.5</v>
      </c>
      <c r="D1107" s="116">
        <v>1496.5</v>
      </c>
      <c r="E1107" s="116">
        <v>1510</v>
      </c>
      <c r="F1107" s="116">
        <v>1505.5</v>
      </c>
      <c r="G1107">
        <v>131007</v>
      </c>
      <c r="H1107" s="116"/>
      <c r="I1107" s="116"/>
      <c r="L1107" s="170">
        <v>43635</v>
      </c>
      <c r="M1107" s="116">
        <v>1505.15</v>
      </c>
      <c r="N1107" s="116">
        <v>1530</v>
      </c>
      <c r="O1107" s="116">
        <v>1497</v>
      </c>
      <c r="P1107" s="116">
        <v>1513.95</v>
      </c>
      <c r="Q1107" s="116">
        <v>1505.15</v>
      </c>
      <c r="R1107">
        <v>2140698</v>
      </c>
    </row>
    <row r="1108" spans="1:18" x14ac:dyDescent="0.25">
      <c r="A1108" s="170">
        <v>43636</v>
      </c>
      <c r="B1108" s="116">
        <v>1562.2</v>
      </c>
      <c r="C1108" s="116">
        <v>1556.15</v>
      </c>
      <c r="D1108" s="116">
        <v>1508.05</v>
      </c>
      <c r="E1108" s="116">
        <v>1514</v>
      </c>
      <c r="F1108" s="116">
        <v>1556.15</v>
      </c>
      <c r="G1108">
        <v>262892</v>
      </c>
      <c r="H1108" s="116"/>
      <c r="I1108" s="116"/>
      <c r="L1108" s="170">
        <v>43636</v>
      </c>
      <c r="M1108" s="116">
        <v>1557.1</v>
      </c>
      <c r="N1108" s="116">
        <v>1563</v>
      </c>
      <c r="O1108" s="116">
        <v>1507.05</v>
      </c>
      <c r="P1108" s="116">
        <v>1509.25</v>
      </c>
      <c r="Q1108" s="116">
        <v>1557.1</v>
      </c>
      <c r="R1108">
        <v>3483179</v>
      </c>
    </row>
    <row r="1109" spans="1:18" x14ac:dyDescent="0.25">
      <c r="A1109" s="170">
        <v>43637</v>
      </c>
      <c r="B1109" s="116">
        <v>1570</v>
      </c>
      <c r="C1109" s="116">
        <v>1540</v>
      </c>
      <c r="D1109" s="116">
        <v>1530.9</v>
      </c>
      <c r="E1109" s="116">
        <v>1558</v>
      </c>
      <c r="F1109" s="116">
        <v>1540</v>
      </c>
      <c r="G1109">
        <v>117476</v>
      </c>
      <c r="H1109" s="116"/>
      <c r="I1109" s="116"/>
      <c r="L1109" s="170">
        <v>43637</v>
      </c>
      <c r="M1109" s="116">
        <v>1539.75</v>
      </c>
      <c r="N1109" s="116">
        <v>1569.95</v>
      </c>
      <c r="O1109" s="116">
        <v>1530</v>
      </c>
      <c r="P1109" s="116">
        <v>1560</v>
      </c>
      <c r="Q1109" s="116">
        <v>1539.75</v>
      </c>
      <c r="R1109">
        <v>3028524</v>
      </c>
    </row>
    <row r="1110" spans="1:18" x14ac:dyDescent="0.25">
      <c r="A1110" s="170">
        <v>43640</v>
      </c>
      <c r="B1110" s="116">
        <v>1561.45</v>
      </c>
      <c r="C1110" s="116">
        <v>1541.35</v>
      </c>
      <c r="D1110" s="116">
        <v>1538</v>
      </c>
      <c r="E1110" s="116">
        <v>1542.5</v>
      </c>
      <c r="F1110" s="116">
        <v>1541.35</v>
      </c>
      <c r="G1110">
        <v>96980</v>
      </c>
      <c r="H1110" s="116"/>
      <c r="I1110" s="116"/>
      <c r="L1110" s="170">
        <v>43640</v>
      </c>
      <c r="M1110" s="116">
        <v>1541</v>
      </c>
      <c r="N1110" s="116">
        <v>1563.45</v>
      </c>
      <c r="O1110" s="116">
        <v>1537.15</v>
      </c>
      <c r="P1110" s="116">
        <v>1545.5</v>
      </c>
      <c r="Q1110" s="116">
        <v>1541</v>
      </c>
      <c r="R1110">
        <v>1941777</v>
      </c>
    </row>
    <row r="1111" spans="1:18" x14ac:dyDescent="0.25">
      <c r="A1111" s="170">
        <v>43641</v>
      </c>
      <c r="B1111" s="116">
        <v>1551.6</v>
      </c>
      <c r="C1111" s="116">
        <v>1535.05</v>
      </c>
      <c r="D1111" s="116">
        <v>1522</v>
      </c>
      <c r="E1111" s="116">
        <v>1545</v>
      </c>
      <c r="F1111" s="116">
        <v>1535.05</v>
      </c>
      <c r="G1111">
        <v>156025</v>
      </c>
      <c r="H1111" s="116"/>
      <c r="I1111" s="116"/>
      <c r="L1111" s="170">
        <v>43641</v>
      </c>
      <c r="M1111" s="116">
        <v>1535</v>
      </c>
      <c r="N1111" s="116">
        <v>1552</v>
      </c>
      <c r="O1111" s="116">
        <v>1521.1</v>
      </c>
      <c r="P1111" s="116">
        <v>1545.8</v>
      </c>
      <c r="Q1111" s="116">
        <v>1535</v>
      </c>
      <c r="R1111">
        <v>2384122</v>
      </c>
    </row>
    <row r="1112" spans="1:18" x14ac:dyDescent="0.25">
      <c r="A1112" s="170">
        <v>43642</v>
      </c>
      <c r="B1112" s="116">
        <v>1563.65</v>
      </c>
      <c r="C1112" s="116">
        <v>1550.85</v>
      </c>
      <c r="D1112" s="116">
        <v>1529.8</v>
      </c>
      <c r="E1112" s="116">
        <v>1533</v>
      </c>
      <c r="F1112" s="116">
        <v>1550.85</v>
      </c>
      <c r="G1112">
        <v>236149</v>
      </c>
      <c r="H1112" s="116"/>
      <c r="I1112" s="116"/>
      <c r="L1112" s="170">
        <v>43642</v>
      </c>
      <c r="M1112" s="116">
        <v>1551.2</v>
      </c>
      <c r="N1112" s="116">
        <v>1563.75</v>
      </c>
      <c r="O1112" s="116">
        <v>1529</v>
      </c>
      <c r="P1112" s="116">
        <v>1533</v>
      </c>
      <c r="Q1112" s="116">
        <v>1551.2</v>
      </c>
      <c r="R1112">
        <v>2789166</v>
      </c>
    </row>
    <row r="1113" spans="1:18" x14ac:dyDescent="0.25">
      <c r="A1113" s="170">
        <v>43643</v>
      </c>
      <c r="B1113" s="116">
        <v>1569</v>
      </c>
      <c r="C1113" s="116">
        <v>1550.7</v>
      </c>
      <c r="D1113" s="116">
        <v>1541.4</v>
      </c>
      <c r="E1113" s="116">
        <v>1560</v>
      </c>
      <c r="F1113" s="116">
        <v>1550.7</v>
      </c>
      <c r="G1113">
        <v>139161</v>
      </c>
      <c r="H1113" s="116"/>
      <c r="I1113" s="116"/>
      <c r="L1113" s="170">
        <v>43643</v>
      </c>
      <c r="M1113" s="116">
        <v>1550.9</v>
      </c>
      <c r="N1113" s="116">
        <v>1568.95</v>
      </c>
      <c r="O1113" s="116">
        <v>1540.65</v>
      </c>
      <c r="P1113" s="116">
        <v>1560</v>
      </c>
      <c r="Q1113" s="116">
        <v>1550.9</v>
      </c>
      <c r="R1113">
        <v>3763146</v>
      </c>
    </row>
    <row r="1114" spans="1:18" x14ac:dyDescent="0.25">
      <c r="A1114" s="170">
        <v>43644</v>
      </c>
      <c r="B1114" s="116">
        <v>1573</v>
      </c>
      <c r="C1114" s="116">
        <v>1553.05</v>
      </c>
      <c r="D1114" s="116">
        <v>1547.6</v>
      </c>
      <c r="E1114" s="116">
        <v>1555</v>
      </c>
      <c r="F1114" s="116">
        <v>1553.05</v>
      </c>
      <c r="G1114">
        <v>122507</v>
      </c>
      <c r="H1114" s="116"/>
      <c r="I1114" s="116"/>
      <c r="L1114" s="170">
        <v>43644</v>
      </c>
      <c r="M1114" s="116">
        <v>1553.2</v>
      </c>
      <c r="N1114" s="116">
        <v>1573.9</v>
      </c>
      <c r="O1114" s="116">
        <v>1547.65</v>
      </c>
      <c r="P1114" s="116">
        <v>1556.2</v>
      </c>
      <c r="Q1114" s="116">
        <v>1553.2</v>
      </c>
      <c r="R1114">
        <v>3002811</v>
      </c>
    </row>
    <row r="1115" spans="1:18" x14ac:dyDescent="0.25">
      <c r="A1115" s="170">
        <v>43647</v>
      </c>
      <c r="B1115" s="116">
        <v>1569.7</v>
      </c>
      <c r="C1115" s="116">
        <v>1556.75</v>
      </c>
      <c r="D1115" s="116">
        <v>1553.55</v>
      </c>
      <c r="E1115" s="116">
        <v>1562</v>
      </c>
      <c r="F1115" s="116">
        <v>1556.75</v>
      </c>
      <c r="G1115">
        <v>72698</v>
      </c>
      <c r="H1115" s="116"/>
      <c r="I1115" s="116"/>
      <c r="L1115" s="170">
        <v>43647</v>
      </c>
      <c r="M1115" s="116">
        <v>1556.65</v>
      </c>
      <c r="N1115" s="116">
        <v>1569</v>
      </c>
      <c r="O1115" s="116">
        <v>1552.25</v>
      </c>
      <c r="P1115" s="116">
        <v>1563.45</v>
      </c>
      <c r="Q1115" s="116">
        <v>1556.65</v>
      </c>
      <c r="R1115">
        <v>1537022</v>
      </c>
    </row>
    <row r="1116" spans="1:18" x14ac:dyDescent="0.25">
      <c r="A1116" s="170">
        <v>43648</v>
      </c>
      <c r="B1116" s="116">
        <v>1566.45</v>
      </c>
      <c r="C1116" s="116">
        <v>1563.4</v>
      </c>
      <c r="D1116" s="116">
        <v>1553.3</v>
      </c>
      <c r="E1116" s="116">
        <v>1558.3</v>
      </c>
      <c r="F1116" s="116">
        <v>1563.4</v>
      </c>
      <c r="G1116">
        <v>109961</v>
      </c>
      <c r="H1116" s="116"/>
      <c r="I1116" s="116"/>
      <c r="L1116" s="170">
        <v>43648</v>
      </c>
      <c r="M1116" s="116">
        <v>1563.85</v>
      </c>
      <c r="N1116" s="116">
        <v>1565.95</v>
      </c>
      <c r="O1116" s="116">
        <v>1553</v>
      </c>
      <c r="P1116" s="116">
        <v>1560</v>
      </c>
      <c r="Q1116" s="116">
        <v>1563.85</v>
      </c>
      <c r="R1116">
        <v>1294135</v>
      </c>
    </row>
    <row r="1117" spans="1:18" x14ac:dyDescent="0.25">
      <c r="A1117" s="170">
        <v>43649</v>
      </c>
      <c r="B1117" s="116">
        <v>1583.75</v>
      </c>
      <c r="C1117" s="116">
        <v>1577.9</v>
      </c>
      <c r="D1117" s="116">
        <v>1560.25</v>
      </c>
      <c r="E1117" s="116">
        <v>1566</v>
      </c>
      <c r="F1117" s="116">
        <v>1577.9</v>
      </c>
      <c r="G1117">
        <v>213295</v>
      </c>
      <c r="H1117" s="116"/>
      <c r="I1117" s="116"/>
      <c r="L1117" s="170">
        <v>43649</v>
      </c>
      <c r="M1117" s="116">
        <v>1578.05</v>
      </c>
      <c r="N1117" s="116">
        <v>1583.9</v>
      </c>
      <c r="O1117" s="116">
        <v>1560.2</v>
      </c>
      <c r="P1117" s="116">
        <v>1565</v>
      </c>
      <c r="Q1117" s="116">
        <v>1578.05</v>
      </c>
      <c r="R1117">
        <v>2800104</v>
      </c>
    </row>
    <row r="1118" spans="1:18" x14ac:dyDescent="0.25">
      <c r="A1118" s="170">
        <v>43650</v>
      </c>
      <c r="B1118" s="116">
        <v>1590.75</v>
      </c>
      <c r="C1118" s="116">
        <v>1571.8</v>
      </c>
      <c r="D1118" s="116">
        <v>1567.85</v>
      </c>
      <c r="E1118" s="116">
        <v>1579</v>
      </c>
      <c r="F1118" s="116">
        <v>1571.8</v>
      </c>
      <c r="G1118">
        <v>254134</v>
      </c>
      <c r="H1118" s="116"/>
      <c r="I1118" s="116"/>
      <c r="L1118" s="170">
        <v>43650</v>
      </c>
      <c r="M1118" s="116">
        <v>1571.7</v>
      </c>
      <c r="N1118" s="116">
        <v>1590.6</v>
      </c>
      <c r="O1118" s="116">
        <v>1568.25</v>
      </c>
      <c r="P1118" s="116">
        <v>1582.95</v>
      </c>
      <c r="Q1118" s="116">
        <v>1571.7</v>
      </c>
      <c r="R1118">
        <v>1981745</v>
      </c>
    </row>
    <row r="1119" spans="1:18" x14ac:dyDescent="0.25">
      <c r="A1119" s="170">
        <v>43651</v>
      </c>
      <c r="B1119" s="116">
        <v>1591.6</v>
      </c>
      <c r="C1119" s="116">
        <v>1557.1</v>
      </c>
      <c r="D1119" s="116">
        <v>1546.05</v>
      </c>
      <c r="E1119" s="116">
        <v>1582.7</v>
      </c>
      <c r="F1119" s="116">
        <v>1557.1</v>
      </c>
      <c r="G1119">
        <v>223979</v>
      </c>
      <c r="H1119" s="116"/>
      <c r="I1119" s="116"/>
      <c r="L1119" s="170">
        <v>43651</v>
      </c>
      <c r="M1119" s="116">
        <v>1558.35</v>
      </c>
      <c r="N1119" s="116">
        <v>1591.65</v>
      </c>
      <c r="O1119" s="116">
        <v>1545.55</v>
      </c>
      <c r="P1119" s="116">
        <v>1581</v>
      </c>
      <c r="Q1119" s="116">
        <v>1558.35</v>
      </c>
      <c r="R1119">
        <v>3693134</v>
      </c>
    </row>
    <row r="1120" spans="1:18" x14ac:dyDescent="0.25">
      <c r="A1120" s="170">
        <v>43654</v>
      </c>
      <c r="B1120" s="116">
        <v>1554.8</v>
      </c>
      <c r="C1120" s="116">
        <v>1490.2</v>
      </c>
      <c r="D1120" s="116">
        <v>1465</v>
      </c>
      <c r="E1120" s="116">
        <v>1554.8</v>
      </c>
      <c r="F1120" s="116">
        <v>1490.2</v>
      </c>
      <c r="G1120">
        <v>271726</v>
      </c>
      <c r="H1120" s="116"/>
      <c r="I1120" s="116"/>
      <c r="L1120" s="170">
        <v>43654</v>
      </c>
      <c r="M1120" s="116">
        <v>1490.35</v>
      </c>
      <c r="N1120" s="116">
        <v>1551.25</v>
      </c>
      <c r="O1120" s="116">
        <v>1461.55</v>
      </c>
      <c r="P1120" s="116">
        <v>1549.9</v>
      </c>
      <c r="Q1120" s="116">
        <v>1490.35</v>
      </c>
      <c r="R1120">
        <v>4697122</v>
      </c>
    </row>
    <row r="1121" spans="1:18" x14ac:dyDescent="0.25">
      <c r="A1121" s="170">
        <v>43655</v>
      </c>
      <c r="B1121" s="116">
        <v>1538</v>
      </c>
      <c r="C1121" s="116">
        <v>1526.6</v>
      </c>
      <c r="D1121" s="116">
        <v>1487</v>
      </c>
      <c r="E1121" s="116">
        <v>1489</v>
      </c>
      <c r="F1121" s="116">
        <v>1526.6</v>
      </c>
      <c r="G1121">
        <v>202902</v>
      </c>
      <c r="H1121" s="116"/>
      <c r="I1121" s="116"/>
      <c r="L1121" s="170">
        <v>43655</v>
      </c>
      <c r="M1121" s="116">
        <v>1526.6</v>
      </c>
      <c r="N1121" s="116">
        <v>1538.4</v>
      </c>
      <c r="O1121" s="116">
        <v>1485.35</v>
      </c>
      <c r="P1121" s="116">
        <v>1486.6</v>
      </c>
      <c r="Q1121" s="116">
        <v>1526.6</v>
      </c>
      <c r="R1121">
        <v>4329323</v>
      </c>
    </row>
    <row r="1122" spans="1:18" x14ac:dyDescent="0.25">
      <c r="A1122" s="170">
        <v>43656</v>
      </c>
      <c r="B1122" s="116">
        <v>1529.45</v>
      </c>
      <c r="C1122" s="116">
        <v>1499.15</v>
      </c>
      <c r="D1122" s="116">
        <v>1483.45</v>
      </c>
      <c r="E1122" s="116">
        <v>1526.6</v>
      </c>
      <c r="F1122" s="116">
        <v>1499.15</v>
      </c>
      <c r="G1122">
        <v>150675</v>
      </c>
      <c r="H1122" s="116"/>
      <c r="I1122" s="116"/>
      <c r="L1122" s="170">
        <v>43656</v>
      </c>
      <c r="M1122" s="116">
        <v>1499.55</v>
      </c>
      <c r="N1122" s="116">
        <v>1529.6</v>
      </c>
      <c r="O1122" s="116">
        <v>1482.7</v>
      </c>
      <c r="P1122" s="116">
        <v>1523.8</v>
      </c>
      <c r="Q1122" s="116">
        <v>1499.55</v>
      </c>
      <c r="R1122">
        <v>2823544</v>
      </c>
    </row>
    <row r="1123" spans="1:18" x14ac:dyDescent="0.25">
      <c r="A1123" s="170">
        <v>43657</v>
      </c>
      <c r="B1123" s="116">
        <v>1514.4</v>
      </c>
      <c r="C1123" s="116">
        <v>1495</v>
      </c>
      <c r="D1123" s="116">
        <v>1491</v>
      </c>
      <c r="E1123" s="116">
        <v>1514.4</v>
      </c>
      <c r="F1123" s="116">
        <v>1495</v>
      </c>
      <c r="G1123">
        <v>281355</v>
      </c>
      <c r="H1123" s="116"/>
      <c r="I1123" s="116"/>
      <c r="L1123" s="170">
        <v>43657</v>
      </c>
      <c r="M1123" s="116">
        <v>1495.2</v>
      </c>
      <c r="N1123" s="116">
        <v>1512.95</v>
      </c>
      <c r="O1123" s="116">
        <v>1490.1</v>
      </c>
      <c r="P1123" s="116">
        <v>1512</v>
      </c>
      <c r="Q1123" s="116">
        <v>1495.2</v>
      </c>
      <c r="R1123">
        <v>2156264</v>
      </c>
    </row>
    <row r="1124" spans="1:18" x14ac:dyDescent="0.25">
      <c r="A1124" s="170">
        <v>43658</v>
      </c>
      <c r="B1124" s="116">
        <v>1501.7</v>
      </c>
      <c r="C1124" s="116">
        <v>1467.3</v>
      </c>
      <c r="D1124" s="116">
        <v>1462</v>
      </c>
      <c r="E1124" s="116">
        <v>1501.7</v>
      </c>
      <c r="F1124" s="116">
        <v>1467.3</v>
      </c>
      <c r="G1124">
        <v>284962</v>
      </c>
      <c r="H1124" s="116"/>
      <c r="I1124" s="116"/>
      <c r="L1124" s="170">
        <v>43658</v>
      </c>
      <c r="M1124" s="116">
        <v>1466.85</v>
      </c>
      <c r="N1124" s="116">
        <v>1499</v>
      </c>
      <c r="O1124" s="116">
        <v>1462</v>
      </c>
      <c r="P1124" s="116">
        <v>1499</v>
      </c>
      <c r="Q1124" s="116">
        <v>1466.85</v>
      </c>
      <c r="R1124">
        <v>3495971</v>
      </c>
    </row>
    <row r="1125" spans="1:18" x14ac:dyDescent="0.25">
      <c r="A1125" s="170">
        <v>43661</v>
      </c>
      <c r="B1125" s="116">
        <v>1473.1</v>
      </c>
      <c r="C1125" s="116">
        <v>1440.25</v>
      </c>
      <c r="D1125" s="116">
        <v>1432.15</v>
      </c>
      <c r="E1125" s="116">
        <v>1473</v>
      </c>
      <c r="F1125" s="116">
        <v>1440.25</v>
      </c>
      <c r="G1125">
        <v>350273</v>
      </c>
      <c r="H1125" s="116"/>
      <c r="I1125" s="116"/>
      <c r="L1125" s="170">
        <v>43661</v>
      </c>
      <c r="M1125" s="116">
        <v>1440.6</v>
      </c>
      <c r="N1125" s="116">
        <v>1473.95</v>
      </c>
      <c r="O1125" s="116">
        <v>1431.9</v>
      </c>
      <c r="P1125" s="116">
        <v>1471</v>
      </c>
      <c r="Q1125" s="116">
        <v>1440.6</v>
      </c>
      <c r="R1125">
        <v>3950399</v>
      </c>
    </row>
    <row r="1126" spans="1:18" x14ac:dyDescent="0.25">
      <c r="A1126" s="170">
        <v>43662</v>
      </c>
      <c r="B1126" s="116">
        <v>1464</v>
      </c>
      <c r="C1126" s="116">
        <v>1461.5</v>
      </c>
      <c r="D1126" s="116">
        <v>1426.45</v>
      </c>
      <c r="E1126" s="116">
        <v>1447.7</v>
      </c>
      <c r="F1126" s="116">
        <v>1461.5</v>
      </c>
      <c r="G1126">
        <v>205918</v>
      </c>
      <c r="H1126" s="116"/>
      <c r="I1126" s="116"/>
      <c r="L1126" s="170">
        <v>43662</v>
      </c>
      <c r="M1126" s="116">
        <v>1461.2</v>
      </c>
      <c r="N1126" s="116">
        <v>1464</v>
      </c>
      <c r="O1126" s="116">
        <v>1426.9</v>
      </c>
      <c r="P1126" s="116">
        <v>1442</v>
      </c>
      <c r="Q1126" s="116">
        <v>1461.2</v>
      </c>
      <c r="R1126">
        <v>3654380</v>
      </c>
    </row>
    <row r="1127" spans="1:18" x14ac:dyDescent="0.25">
      <c r="A1127" s="170">
        <v>43663</v>
      </c>
      <c r="B1127" s="116">
        <v>1470</v>
      </c>
      <c r="C1127" s="116">
        <v>1455.25</v>
      </c>
      <c r="D1127" s="116">
        <v>1452.5</v>
      </c>
      <c r="E1127" s="116">
        <v>1469.6</v>
      </c>
      <c r="F1127" s="116">
        <v>1455.25</v>
      </c>
      <c r="G1127">
        <v>184154</v>
      </c>
      <c r="H1127" s="116"/>
      <c r="I1127" s="116"/>
      <c r="L1127" s="170">
        <v>43663</v>
      </c>
      <c r="M1127" s="116">
        <v>1455.45</v>
      </c>
      <c r="N1127" s="116">
        <v>1470.55</v>
      </c>
      <c r="O1127" s="116">
        <v>1452</v>
      </c>
      <c r="P1127" s="116">
        <v>1461</v>
      </c>
      <c r="Q1127" s="116">
        <v>1455.45</v>
      </c>
      <c r="R1127">
        <v>2225647</v>
      </c>
    </row>
    <row r="1128" spans="1:18" x14ac:dyDescent="0.25">
      <c r="A1128" s="170">
        <v>43664</v>
      </c>
      <c r="B1128" s="116">
        <v>1454.95</v>
      </c>
      <c r="C1128" s="116">
        <v>1433.6</v>
      </c>
      <c r="D1128" s="116">
        <v>1431.9</v>
      </c>
      <c r="E1128" s="116">
        <v>1450</v>
      </c>
      <c r="F1128" s="116">
        <v>1433.6</v>
      </c>
      <c r="G1128">
        <v>299502</v>
      </c>
      <c r="H1128" s="116"/>
      <c r="I1128" s="116"/>
      <c r="L1128" s="170">
        <v>43664</v>
      </c>
      <c r="M1128" s="116">
        <v>1435.2</v>
      </c>
      <c r="N1128" s="116">
        <v>1454.95</v>
      </c>
      <c r="O1128" s="116">
        <v>1432</v>
      </c>
      <c r="P1128" s="116">
        <v>1444.8</v>
      </c>
      <c r="Q1128" s="116">
        <v>1435.2</v>
      </c>
      <c r="R1128">
        <v>2342881</v>
      </c>
    </row>
    <row r="1129" spans="1:18" x14ac:dyDescent="0.25">
      <c r="A1129" s="170">
        <v>43665</v>
      </c>
      <c r="B1129" s="116">
        <v>1447.35</v>
      </c>
      <c r="C1129" s="116">
        <v>1411.65</v>
      </c>
      <c r="D1129" s="116">
        <v>1402</v>
      </c>
      <c r="E1129" s="116">
        <v>1445</v>
      </c>
      <c r="F1129" s="116">
        <v>1411.65</v>
      </c>
      <c r="G1129">
        <v>218691</v>
      </c>
      <c r="H1129" s="116"/>
      <c r="I1129" s="116"/>
      <c r="L1129" s="170">
        <v>43665</v>
      </c>
      <c r="M1129" s="116">
        <v>1411.55</v>
      </c>
      <c r="N1129" s="116">
        <v>1446.8</v>
      </c>
      <c r="O1129" s="116">
        <v>1402.1</v>
      </c>
      <c r="P1129" s="116">
        <v>1446.4</v>
      </c>
      <c r="Q1129" s="116">
        <v>1411.55</v>
      </c>
      <c r="R1129">
        <v>3199700</v>
      </c>
    </row>
    <row r="1130" spans="1:18" x14ac:dyDescent="0.25">
      <c r="A1130" s="170">
        <v>43668</v>
      </c>
      <c r="B1130" s="116">
        <v>1418.8</v>
      </c>
      <c r="C1130" s="116">
        <v>1403.8</v>
      </c>
      <c r="D1130" s="116">
        <v>1395</v>
      </c>
      <c r="E1130" s="116">
        <v>1410.05</v>
      </c>
      <c r="F1130" s="116">
        <v>1403.8</v>
      </c>
      <c r="G1130">
        <v>97908</v>
      </c>
      <c r="H1130" s="116"/>
      <c r="I1130" s="116"/>
      <c r="L1130" s="170">
        <v>43668</v>
      </c>
      <c r="M1130" s="116">
        <v>1403.7</v>
      </c>
      <c r="N1130" s="116">
        <v>1419</v>
      </c>
      <c r="O1130" s="116">
        <v>1394</v>
      </c>
      <c r="P1130" s="116">
        <v>1409.6</v>
      </c>
      <c r="Q1130" s="116">
        <v>1403.7</v>
      </c>
      <c r="R1130">
        <v>2646126</v>
      </c>
    </row>
    <row r="1131" spans="1:18" x14ac:dyDescent="0.25">
      <c r="A1131" s="170">
        <v>43669</v>
      </c>
      <c r="B1131" s="116">
        <v>1414.7</v>
      </c>
      <c r="C1131" s="116">
        <v>1410</v>
      </c>
      <c r="D1131" s="116">
        <v>1386.5</v>
      </c>
      <c r="E1131" s="116">
        <v>1411.2</v>
      </c>
      <c r="F1131" s="116">
        <v>1410</v>
      </c>
      <c r="G1131">
        <v>205334</v>
      </c>
      <c r="H1131" s="116"/>
      <c r="I1131" s="116"/>
      <c r="L1131" s="170">
        <v>43669</v>
      </c>
      <c r="M1131" s="116">
        <v>1409.5</v>
      </c>
      <c r="N1131" s="116">
        <v>1414.8</v>
      </c>
      <c r="O1131" s="116">
        <v>1386.2</v>
      </c>
      <c r="P1131" s="116">
        <v>1414.8</v>
      </c>
      <c r="Q1131" s="116">
        <v>1409.5</v>
      </c>
      <c r="R1131">
        <v>4013444</v>
      </c>
    </row>
    <row r="1132" spans="1:18" x14ac:dyDescent="0.25">
      <c r="A1132" s="170">
        <v>43670</v>
      </c>
      <c r="B1132" s="116">
        <v>1420</v>
      </c>
      <c r="C1132" s="116">
        <v>1387.15</v>
      </c>
      <c r="D1132" s="116">
        <v>1374</v>
      </c>
      <c r="E1132" s="116">
        <v>1410</v>
      </c>
      <c r="F1132" s="116">
        <v>1387.15</v>
      </c>
      <c r="G1132">
        <v>1753882</v>
      </c>
      <c r="H1132" s="116"/>
      <c r="I1132" s="116"/>
      <c r="L1132" s="170">
        <v>43670</v>
      </c>
      <c r="M1132" s="116">
        <v>1387.35</v>
      </c>
      <c r="N1132" s="116">
        <v>1420.2</v>
      </c>
      <c r="O1132" s="116">
        <v>1376.15</v>
      </c>
      <c r="P1132" s="116">
        <v>1410.25</v>
      </c>
      <c r="Q1132" s="116">
        <v>1387.35</v>
      </c>
      <c r="R1132">
        <v>5434450</v>
      </c>
    </row>
    <row r="1133" spans="1:18" x14ac:dyDescent="0.25">
      <c r="A1133" s="170">
        <v>43671</v>
      </c>
      <c r="B1133" s="116">
        <v>1403</v>
      </c>
      <c r="C1133" s="116">
        <v>1372.95</v>
      </c>
      <c r="D1133" s="116">
        <v>1369</v>
      </c>
      <c r="E1133" s="116">
        <v>1393.05</v>
      </c>
      <c r="F1133" s="116">
        <v>1372.95</v>
      </c>
      <c r="G1133">
        <v>178695</v>
      </c>
      <c r="H1133" s="116"/>
      <c r="I1133" s="116"/>
      <c r="L1133" s="170">
        <v>43671</v>
      </c>
      <c r="M1133" s="116">
        <v>1372.4</v>
      </c>
      <c r="N1133" s="116">
        <v>1402.9</v>
      </c>
      <c r="O1133" s="116">
        <v>1369</v>
      </c>
      <c r="P1133" s="116">
        <v>1395.1</v>
      </c>
      <c r="Q1133" s="116">
        <v>1372.4</v>
      </c>
      <c r="R1133">
        <v>4181824</v>
      </c>
    </row>
    <row r="1134" spans="1:18" x14ac:dyDescent="0.25">
      <c r="A1134" s="170">
        <v>43672</v>
      </c>
      <c r="B1134" s="116">
        <v>1396.8</v>
      </c>
      <c r="C1134" s="116">
        <v>1391.85</v>
      </c>
      <c r="D1134" s="116">
        <v>1363.35</v>
      </c>
      <c r="E1134" s="116">
        <v>1377.9</v>
      </c>
      <c r="F1134" s="116">
        <v>1391.85</v>
      </c>
      <c r="G1134">
        <v>184559</v>
      </c>
      <c r="H1134" s="116"/>
      <c r="I1134" s="116"/>
      <c r="L1134" s="170">
        <v>43672</v>
      </c>
      <c r="M1134" s="116">
        <v>1392.15</v>
      </c>
      <c r="N1134" s="116">
        <v>1397.25</v>
      </c>
      <c r="O1134" s="116">
        <v>1363.1</v>
      </c>
      <c r="P1134" s="116">
        <v>1370.9</v>
      </c>
      <c r="Q1134" s="116">
        <v>1392.15</v>
      </c>
      <c r="R1134">
        <v>3019850</v>
      </c>
    </row>
    <row r="1135" spans="1:18" x14ac:dyDescent="0.25">
      <c r="A1135" s="170">
        <v>43675</v>
      </c>
      <c r="B1135" s="116">
        <v>1397</v>
      </c>
      <c r="C1135" s="116">
        <v>1371.5</v>
      </c>
      <c r="D1135" s="116">
        <v>1361.2</v>
      </c>
      <c r="E1135" s="116">
        <v>1395</v>
      </c>
      <c r="F1135" s="116">
        <v>1371.5</v>
      </c>
      <c r="G1135">
        <v>128958</v>
      </c>
      <c r="H1135" s="116"/>
      <c r="I1135" s="116"/>
      <c r="L1135" s="170">
        <v>43675</v>
      </c>
      <c r="M1135" s="116">
        <v>1371.5</v>
      </c>
      <c r="N1135" s="116">
        <v>1398</v>
      </c>
      <c r="O1135" s="116">
        <v>1360.5</v>
      </c>
      <c r="P1135" s="116">
        <v>1393.45</v>
      </c>
      <c r="Q1135" s="116">
        <v>1371.5</v>
      </c>
      <c r="R1135">
        <v>1987927</v>
      </c>
    </row>
    <row r="1136" spans="1:18" x14ac:dyDescent="0.25">
      <c r="A1136" s="170">
        <v>43676</v>
      </c>
      <c r="B1136" s="116">
        <v>1392.7</v>
      </c>
      <c r="C1136" s="116">
        <v>1376.45</v>
      </c>
      <c r="D1136" s="116">
        <v>1373</v>
      </c>
      <c r="E1136" s="116">
        <v>1375.2</v>
      </c>
      <c r="F1136" s="116">
        <v>1376.45</v>
      </c>
      <c r="G1136">
        <v>171727</v>
      </c>
      <c r="H1136" s="116"/>
      <c r="I1136" s="116"/>
      <c r="L1136" s="170">
        <v>43676</v>
      </c>
      <c r="M1136" s="116">
        <v>1376.35</v>
      </c>
      <c r="N1136" s="116">
        <v>1393.15</v>
      </c>
      <c r="O1136" s="116">
        <v>1372.3</v>
      </c>
      <c r="P1136" s="116">
        <v>1376</v>
      </c>
      <c r="Q1136" s="116">
        <v>1376.35</v>
      </c>
      <c r="R1136">
        <v>2714475</v>
      </c>
    </row>
    <row r="1137" spans="1:18" x14ac:dyDescent="0.25">
      <c r="A1137" s="170">
        <v>43677</v>
      </c>
      <c r="B1137" s="116">
        <v>1397.95</v>
      </c>
      <c r="C1137" s="116">
        <v>1387.15</v>
      </c>
      <c r="D1137" s="116">
        <v>1368</v>
      </c>
      <c r="E1137" s="116">
        <v>1378</v>
      </c>
      <c r="F1137" s="116">
        <v>1387.15</v>
      </c>
      <c r="G1137">
        <v>99782</v>
      </c>
      <c r="H1137" s="116"/>
      <c r="I1137" s="116"/>
      <c r="L1137" s="170">
        <v>43677</v>
      </c>
      <c r="M1137" s="116">
        <v>1387.3</v>
      </c>
      <c r="N1137" s="116">
        <v>1397.95</v>
      </c>
      <c r="O1137" s="116">
        <v>1367.1</v>
      </c>
      <c r="P1137" s="116">
        <v>1371.65</v>
      </c>
      <c r="Q1137" s="116">
        <v>1387.3</v>
      </c>
      <c r="R1137">
        <v>2693653</v>
      </c>
    </row>
    <row r="1138" spans="1:18" x14ac:dyDescent="0.25">
      <c r="A1138" s="170">
        <v>43678</v>
      </c>
      <c r="B1138" s="116">
        <v>1385.6</v>
      </c>
      <c r="C1138" s="116">
        <v>1357.95</v>
      </c>
      <c r="D1138" s="116">
        <v>1340.3</v>
      </c>
      <c r="E1138" s="116">
        <v>1382.9</v>
      </c>
      <c r="F1138" s="116">
        <v>1357.95</v>
      </c>
      <c r="G1138">
        <v>374016</v>
      </c>
      <c r="H1138" s="116"/>
      <c r="I1138" s="116"/>
      <c r="L1138" s="170">
        <v>43678</v>
      </c>
      <c r="M1138" s="116">
        <v>1358.05</v>
      </c>
      <c r="N1138" s="116">
        <v>1386</v>
      </c>
      <c r="O1138" s="116">
        <v>1339</v>
      </c>
      <c r="P1138" s="116">
        <v>1380</v>
      </c>
      <c r="Q1138" s="116">
        <v>1358.05</v>
      </c>
      <c r="R1138">
        <v>2774996</v>
      </c>
    </row>
    <row r="1139" spans="1:18" x14ac:dyDescent="0.25">
      <c r="A1139" s="170">
        <v>43679</v>
      </c>
      <c r="B1139" s="116">
        <v>1376.95</v>
      </c>
      <c r="C1139" s="116">
        <v>1370</v>
      </c>
      <c r="D1139" s="116">
        <v>1340</v>
      </c>
      <c r="E1139" s="116">
        <v>1354</v>
      </c>
      <c r="F1139" s="116">
        <v>1370</v>
      </c>
      <c r="G1139">
        <v>133877</v>
      </c>
      <c r="H1139" s="116"/>
      <c r="I1139" s="116"/>
      <c r="L1139" s="170">
        <v>43679</v>
      </c>
      <c r="M1139" s="116">
        <v>1370.25</v>
      </c>
      <c r="N1139" s="116">
        <v>1376.9</v>
      </c>
      <c r="O1139" s="116">
        <v>1340</v>
      </c>
      <c r="P1139" s="116">
        <v>1352.6</v>
      </c>
      <c r="Q1139" s="116">
        <v>1370.25</v>
      </c>
      <c r="R1139">
        <v>2776965</v>
      </c>
    </row>
    <row r="1140" spans="1:18" x14ac:dyDescent="0.25">
      <c r="A1140" s="170">
        <v>43682</v>
      </c>
      <c r="B1140" s="116">
        <v>1359.9</v>
      </c>
      <c r="C1140" s="116">
        <v>1345.7</v>
      </c>
      <c r="D1140" s="116">
        <v>1325.3</v>
      </c>
      <c r="E1140" s="116">
        <v>1358</v>
      </c>
      <c r="F1140" s="116">
        <v>1345.7</v>
      </c>
      <c r="G1140">
        <v>151621</v>
      </c>
      <c r="H1140" s="116"/>
      <c r="I1140" s="116"/>
      <c r="L1140" s="170">
        <v>43682</v>
      </c>
      <c r="M1140" s="116">
        <v>1345.8</v>
      </c>
      <c r="N1140" s="116">
        <v>1358.8</v>
      </c>
      <c r="O1140" s="116">
        <v>1325</v>
      </c>
      <c r="P1140" s="116">
        <v>1355</v>
      </c>
      <c r="Q1140" s="116">
        <v>1345.8</v>
      </c>
      <c r="R1140">
        <v>2287548</v>
      </c>
    </row>
    <row r="1141" spans="1:18" x14ac:dyDescent="0.25">
      <c r="A1141" s="170">
        <v>43683</v>
      </c>
      <c r="B1141" s="116">
        <v>1399</v>
      </c>
      <c r="C1141" s="116">
        <v>1379.2</v>
      </c>
      <c r="D1141" s="116">
        <v>1342.05</v>
      </c>
      <c r="E1141" s="116">
        <v>1347</v>
      </c>
      <c r="F1141" s="116">
        <v>1379.2</v>
      </c>
      <c r="G1141">
        <v>187049</v>
      </c>
      <c r="H1141" s="116"/>
      <c r="I1141" s="116"/>
      <c r="L1141" s="170">
        <v>43683</v>
      </c>
      <c r="M1141" s="116">
        <v>1377.5</v>
      </c>
      <c r="N1141" s="116">
        <v>1399.4</v>
      </c>
      <c r="O1141" s="116">
        <v>1340.05</v>
      </c>
      <c r="P1141" s="116">
        <v>1342.7</v>
      </c>
      <c r="Q1141" s="116">
        <v>1377.5</v>
      </c>
      <c r="R1141">
        <v>4152548</v>
      </c>
    </row>
    <row r="1142" spans="1:18" x14ac:dyDescent="0.25">
      <c r="A1142" s="170">
        <v>43684</v>
      </c>
      <c r="B1142" s="116">
        <v>1389.6</v>
      </c>
      <c r="C1142" s="116">
        <v>1360.2</v>
      </c>
      <c r="D1142" s="116">
        <v>1354</v>
      </c>
      <c r="E1142" s="116">
        <v>1380</v>
      </c>
      <c r="F1142" s="116">
        <v>1360.2</v>
      </c>
      <c r="G1142">
        <v>144208</v>
      </c>
      <c r="H1142" s="116"/>
      <c r="I1142" s="116"/>
      <c r="L1142" s="170">
        <v>43684</v>
      </c>
      <c r="M1142" s="116">
        <v>1360.05</v>
      </c>
      <c r="N1142" s="116">
        <v>1389.9</v>
      </c>
      <c r="O1142" s="116">
        <v>1352.85</v>
      </c>
      <c r="P1142" s="116">
        <v>1380</v>
      </c>
      <c r="Q1142" s="116">
        <v>1360.05</v>
      </c>
      <c r="R1142">
        <v>2247223</v>
      </c>
    </row>
    <row r="1143" spans="1:18" x14ac:dyDescent="0.25">
      <c r="A1143" s="170">
        <v>43685</v>
      </c>
      <c r="B1143" s="116">
        <v>1372</v>
      </c>
      <c r="C1143" s="116">
        <v>1360.3</v>
      </c>
      <c r="D1143" s="116">
        <v>1340.35</v>
      </c>
      <c r="E1143" s="116">
        <v>1366.05</v>
      </c>
      <c r="F1143" s="116">
        <v>1360.3</v>
      </c>
      <c r="G1143">
        <v>242242</v>
      </c>
      <c r="H1143" s="116"/>
      <c r="I1143" s="116"/>
      <c r="L1143" s="170">
        <v>43685</v>
      </c>
      <c r="M1143" s="116">
        <v>1360.65</v>
      </c>
      <c r="N1143" s="116">
        <v>1372</v>
      </c>
      <c r="O1143" s="116">
        <v>1340.1</v>
      </c>
      <c r="P1143" s="116">
        <v>1370</v>
      </c>
      <c r="Q1143" s="116">
        <v>1360.65</v>
      </c>
      <c r="R1143">
        <v>2788577</v>
      </c>
    </row>
    <row r="1144" spans="1:18" x14ac:dyDescent="0.25">
      <c r="A1144" s="170">
        <v>43686</v>
      </c>
      <c r="B1144" s="116">
        <v>1391.95</v>
      </c>
      <c r="C1144" s="116">
        <v>1364.7</v>
      </c>
      <c r="D1144" s="116">
        <v>1361.25</v>
      </c>
      <c r="E1144" s="116">
        <v>1371.05</v>
      </c>
      <c r="F1144" s="116">
        <v>1364.7</v>
      </c>
      <c r="G1144">
        <v>179865</v>
      </c>
      <c r="H1144" s="116"/>
      <c r="I1144" s="116"/>
      <c r="L1144" s="170">
        <v>43686</v>
      </c>
      <c r="M1144" s="116">
        <v>1364.6</v>
      </c>
      <c r="N1144" s="116">
        <v>1392.5</v>
      </c>
      <c r="O1144" s="116">
        <v>1361.1</v>
      </c>
      <c r="P1144" s="116">
        <v>1372</v>
      </c>
      <c r="Q1144" s="116">
        <v>1364.6</v>
      </c>
      <c r="R1144">
        <v>2419380</v>
      </c>
    </row>
    <row r="1145" spans="1:18" x14ac:dyDescent="0.25">
      <c r="A1145" s="170">
        <v>43690</v>
      </c>
      <c r="B1145" s="116">
        <v>1370</v>
      </c>
      <c r="C1145" s="116">
        <v>1313.75</v>
      </c>
      <c r="D1145" s="116">
        <v>1307.5999999999999</v>
      </c>
      <c r="E1145" s="116">
        <v>1367</v>
      </c>
      <c r="F1145" s="116">
        <v>1313.75</v>
      </c>
      <c r="G1145">
        <v>183439</v>
      </c>
      <c r="H1145" s="116"/>
      <c r="I1145" s="116"/>
      <c r="L1145" s="170">
        <v>43690</v>
      </c>
      <c r="M1145" s="116">
        <v>1313.25</v>
      </c>
      <c r="N1145" s="116">
        <v>1370</v>
      </c>
      <c r="O1145" s="116">
        <v>1307</v>
      </c>
      <c r="P1145" s="116">
        <v>1370</v>
      </c>
      <c r="Q1145" s="116">
        <v>1313.25</v>
      </c>
      <c r="R1145">
        <v>3135817</v>
      </c>
    </row>
    <row r="1146" spans="1:18" x14ac:dyDescent="0.25">
      <c r="A1146" s="170">
        <v>43691</v>
      </c>
      <c r="B1146" s="116">
        <v>1340.75</v>
      </c>
      <c r="C1146" s="116">
        <v>1334.05</v>
      </c>
      <c r="D1146" s="116">
        <v>1315.45</v>
      </c>
      <c r="E1146" s="116">
        <v>1315.45</v>
      </c>
      <c r="F1146" s="116">
        <v>1334.05</v>
      </c>
      <c r="G1146">
        <v>243609</v>
      </c>
      <c r="H1146" s="116"/>
      <c r="I1146" s="116"/>
      <c r="L1146" s="170">
        <v>43691</v>
      </c>
      <c r="M1146" s="116">
        <v>1333.7</v>
      </c>
      <c r="N1146" s="116">
        <v>1340.95</v>
      </c>
      <c r="O1146" s="116">
        <v>1316</v>
      </c>
      <c r="P1146" s="116">
        <v>1320</v>
      </c>
      <c r="Q1146" s="116">
        <v>1333.7</v>
      </c>
      <c r="R1146">
        <v>2798429</v>
      </c>
    </row>
    <row r="1147" spans="1:18" x14ac:dyDescent="0.25">
      <c r="A1147" s="170">
        <v>43693</v>
      </c>
      <c r="B1147" s="116">
        <v>1340.3</v>
      </c>
      <c r="C1147" s="116">
        <v>1334.85</v>
      </c>
      <c r="D1147" s="116">
        <v>1320.3</v>
      </c>
      <c r="E1147" s="116">
        <v>1339</v>
      </c>
      <c r="F1147" s="116">
        <v>1334.85</v>
      </c>
      <c r="G1147">
        <v>92307</v>
      </c>
      <c r="H1147" s="116"/>
      <c r="I1147" s="116"/>
      <c r="L1147" s="170">
        <v>43693</v>
      </c>
      <c r="M1147" s="116">
        <v>1335.25</v>
      </c>
      <c r="N1147" s="116">
        <v>1339.9</v>
      </c>
      <c r="O1147" s="116">
        <v>1320.5</v>
      </c>
      <c r="P1147" s="116">
        <v>1335</v>
      </c>
      <c r="Q1147" s="116">
        <v>1335.25</v>
      </c>
      <c r="R1147">
        <v>2654524</v>
      </c>
    </row>
    <row r="1148" spans="1:18" x14ac:dyDescent="0.25">
      <c r="A1148" s="170">
        <v>43696</v>
      </c>
      <c r="B1148" s="116">
        <v>1360.6</v>
      </c>
      <c r="C1148" s="116">
        <v>1352.2</v>
      </c>
      <c r="D1148" s="116">
        <v>1340</v>
      </c>
      <c r="E1148" s="116">
        <v>1340.2</v>
      </c>
      <c r="F1148" s="116">
        <v>1352.2</v>
      </c>
      <c r="G1148">
        <v>236452</v>
      </c>
      <c r="H1148" s="116"/>
      <c r="I1148" s="116"/>
      <c r="L1148" s="170">
        <v>43696</v>
      </c>
      <c r="M1148" s="116">
        <v>1352.2</v>
      </c>
      <c r="N1148" s="116">
        <v>1360.95</v>
      </c>
      <c r="O1148" s="116">
        <v>1339</v>
      </c>
      <c r="P1148" s="116">
        <v>1339</v>
      </c>
      <c r="Q1148" s="116">
        <v>1352.2</v>
      </c>
      <c r="R1148">
        <v>2509331</v>
      </c>
    </row>
    <row r="1149" spans="1:18" x14ac:dyDescent="0.25">
      <c r="A1149" s="170">
        <v>43697</v>
      </c>
      <c r="B1149" s="116">
        <v>1355.25</v>
      </c>
      <c r="C1149" s="116">
        <v>1342.6</v>
      </c>
      <c r="D1149" s="116">
        <v>1334.2</v>
      </c>
      <c r="E1149" s="116">
        <v>1351.1</v>
      </c>
      <c r="F1149" s="116">
        <v>1342.6</v>
      </c>
      <c r="G1149">
        <v>134642</v>
      </c>
      <c r="H1149" s="116"/>
      <c r="I1149" s="116"/>
      <c r="L1149" s="170">
        <v>43697</v>
      </c>
      <c r="M1149" s="116">
        <v>1342.5</v>
      </c>
      <c r="N1149" s="116">
        <v>1355.55</v>
      </c>
      <c r="O1149" s="116">
        <v>1334</v>
      </c>
      <c r="P1149" s="116">
        <v>1352.95</v>
      </c>
      <c r="Q1149" s="116">
        <v>1342.5</v>
      </c>
      <c r="R1149">
        <v>2145169</v>
      </c>
    </row>
    <row r="1150" spans="1:18" x14ac:dyDescent="0.25">
      <c r="A1150" s="170">
        <v>43698</v>
      </c>
      <c r="B1150" s="116">
        <v>1344</v>
      </c>
      <c r="C1150" s="116">
        <v>1310.3</v>
      </c>
      <c r="D1150" s="116">
        <v>1303.05</v>
      </c>
      <c r="E1150" s="116">
        <v>1344</v>
      </c>
      <c r="F1150" s="116">
        <v>1310.3</v>
      </c>
      <c r="G1150">
        <v>181865</v>
      </c>
      <c r="H1150" s="116"/>
      <c r="I1150" s="116"/>
      <c r="L1150" s="170">
        <v>43698</v>
      </c>
      <c r="M1150" s="116">
        <v>1310.6500000000001</v>
      </c>
      <c r="N1150" s="116">
        <v>1341.9</v>
      </c>
      <c r="O1150" s="116">
        <v>1302.55</v>
      </c>
      <c r="P1150" s="116">
        <v>1341.2</v>
      </c>
      <c r="Q1150" s="116">
        <v>1310.6500000000001</v>
      </c>
      <c r="R1150">
        <v>2361165</v>
      </c>
    </row>
    <row r="1151" spans="1:18" x14ac:dyDescent="0.25">
      <c r="A1151" s="170">
        <v>43699</v>
      </c>
      <c r="B1151" s="116">
        <v>1327.7</v>
      </c>
      <c r="C1151" s="116">
        <v>1294.0999999999999</v>
      </c>
      <c r="D1151" s="116">
        <v>1283.3</v>
      </c>
      <c r="E1151" s="116">
        <v>1312.3</v>
      </c>
      <c r="F1151" s="116">
        <v>1294.0999999999999</v>
      </c>
      <c r="G1151">
        <v>173006</v>
      </c>
      <c r="H1151" s="116"/>
      <c r="I1151" s="116"/>
      <c r="L1151" s="170">
        <v>43699</v>
      </c>
      <c r="M1151" s="116">
        <v>1294.25</v>
      </c>
      <c r="N1151" s="116">
        <v>1327.45</v>
      </c>
      <c r="O1151" s="116">
        <v>1283.1500000000001</v>
      </c>
      <c r="P1151" s="116">
        <v>1302</v>
      </c>
      <c r="Q1151" s="116">
        <v>1294.25</v>
      </c>
      <c r="R1151">
        <v>3780476</v>
      </c>
    </row>
    <row r="1152" spans="1:18" x14ac:dyDescent="0.25">
      <c r="A1152" s="170">
        <v>43700</v>
      </c>
      <c r="B1152" s="116">
        <v>1297</v>
      </c>
      <c r="C1152" s="116">
        <v>1287</v>
      </c>
      <c r="D1152" s="116">
        <v>1274.0999999999999</v>
      </c>
      <c r="E1152" s="116">
        <v>1292.7</v>
      </c>
      <c r="F1152" s="116">
        <v>1287</v>
      </c>
      <c r="G1152">
        <v>265035</v>
      </c>
      <c r="H1152" s="116"/>
      <c r="I1152" s="116"/>
      <c r="L1152" s="170">
        <v>43700</v>
      </c>
      <c r="M1152" s="116">
        <v>1286.5</v>
      </c>
      <c r="N1152" s="116">
        <v>1297.45</v>
      </c>
      <c r="O1152" s="116">
        <v>1274</v>
      </c>
      <c r="P1152" s="116">
        <v>1290</v>
      </c>
      <c r="Q1152" s="116">
        <v>1286.5</v>
      </c>
      <c r="R1152">
        <v>5252370</v>
      </c>
    </row>
    <row r="1153" spans="1:18" x14ac:dyDescent="0.25">
      <c r="A1153" s="170">
        <v>43703</v>
      </c>
      <c r="B1153" s="116">
        <v>1343</v>
      </c>
      <c r="C1153" s="116">
        <v>1333.75</v>
      </c>
      <c r="D1153" s="116">
        <v>1277.3</v>
      </c>
      <c r="E1153" s="116">
        <v>1307</v>
      </c>
      <c r="F1153" s="116">
        <v>1333.75</v>
      </c>
      <c r="G1153">
        <v>251116</v>
      </c>
      <c r="H1153" s="116"/>
      <c r="I1153" s="116"/>
      <c r="L1153" s="170">
        <v>43703</v>
      </c>
      <c r="M1153" s="116">
        <v>1333.65</v>
      </c>
      <c r="N1153" s="116">
        <v>1343.2</v>
      </c>
      <c r="O1153" s="116">
        <v>1276.55</v>
      </c>
      <c r="P1153" s="116">
        <v>1310</v>
      </c>
      <c r="Q1153" s="116">
        <v>1333.65</v>
      </c>
      <c r="R1153">
        <v>3759248</v>
      </c>
    </row>
    <row r="1154" spans="1:18" x14ac:dyDescent="0.25">
      <c r="A1154" s="170">
        <v>43704</v>
      </c>
      <c r="B1154" s="116">
        <v>1379.95</v>
      </c>
      <c r="C1154" s="116">
        <v>1357.6</v>
      </c>
      <c r="D1154" s="116">
        <v>1342.95</v>
      </c>
      <c r="E1154" s="116">
        <v>1343</v>
      </c>
      <c r="F1154" s="116">
        <v>1357.6</v>
      </c>
      <c r="G1154">
        <v>241698</v>
      </c>
      <c r="H1154" s="116"/>
      <c r="I1154" s="116"/>
      <c r="L1154" s="170">
        <v>43704</v>
      </c>
      <c r="M1154" s="116">
        <v>1356.95</v>
      </c>
      <c r="N1154" s="116">
        <v>1379.95</v>
      </c>
      <c r="O1154" s="116">
        <v>1343.65</v>
      </c>
      <c r="P1154" s="116">
        <v>1344.85</v>
      </c>
      <c r="Q1154" s="116">
        <v>1356.95</v>
      </c>
      <c r="R1154">
        <v>5431422</v>
      </c>
    </row>
    <row r="1155" spans="1:18" x14ac:dyDescent="0.25">
      <c r="A1155" s="170">
        <v>43705</v>
      </c>
      <c r="B1155" s="116">
        <v>1369</v>
      </c>
      <c r="C1155" s="116">
        <v>1344.75</v>
      </c>
      <c r="D1155" s="116">
        <v>1337</v>
      </c>
      <c r="E1155" s="116">
        <v>1360.55</v>
      </c>
      <c r="F1155" s="116">
        <v>1344.75</v>
      </c>
      <c r="G1155">
        <v>143378</v>
      </c>
      <c r="H1155" s="116"/>
      <c r="I1155" s="116"/>
      <c r="L1155" s="170">
        <v>43705</v>
      </c>
      <c r="M1155" s="116">
        <v>1344.65</v>
      </c>
      <c r="N1155" s="116">
        <v>1370</v>
      </c>
      <c r="O1155" s="116">
        <v>1336.1</v>
      </c>
      <c r="P1155" s="116">
        <v>1362.1</v>
      </c>
      <c r="Q1155" s="116">
        <v>1344.65</v>
      </c>
      <c r="R1155">
        <v>2272465</v>
      </c>
    </row>
    <row r="1156" spans="1:18" x14ac:dyDescent="0.25">
      <c r="A1156" s="170">
        <v>43706</v>
      </c>
      <c r="B1156" s="116">
        <v>1354.8</v>
      </c>
      <c r="C1156" s="116">
        <v>1342.85</v>
      </c>
      <c r="D1156" s="116">
        <v>1333</v>
      </c>
      <c r="E1156" s="116">
        <v>1340</v>
      </c>
      <c r="F1156" s="116">
        <v>1342.85</v>
      </c>
      <c r="G1156">
        <v>123425</v>
      </c>
      <c r="H1156" s="116"/>
      <c r="I1156" s="116"/>
      <c r="L1156" s="170">
        <v>43706</v>
      </c>
      <c r="M1156" s="116">
        <v>1342.45</v>
      </c>
      <c r="N1156" s="116">
        <v>1355</v>
      </c>
      <c r="O1156" s="116">
        <v>1332.25</v>
      </c>
      <c r="P1156" s="116">
        <v>1339.9</v>
      </c>
      <c r="Q1156" s="116">
        <v>1342.45</v>
      </c>
      <c r="R1156">
        <v>2421312</v>
      </c>
    </row>
    <row r="1157" spans="1:18" x14ac:dyDescent="0.25">
      <c r="A1157" s="170">
        <v>43707</v>
      </c>
      <c r="B1157" s="116">
        <v>1357</v>
      </c>
      <c r="C1157" s="116">
        <v>1328.1</v>
      </c>
      <c r="D1157" s="116">
        <v>1302.3</v>
      </c>
      <c r="E1157" s="116">
        <v>1343.45</v>
      </c>
      <c r="F1157" s="116">
        <v>1328.1</v>
      </c>
      <c r="G1157">
        <v>180205</v>
      </c>
      <c r="H1157" s="116"/>
      <c r="I1157" s="116"/>
      <c r="L1157" s="170">
        <v>43707</v>
      </c>
      <c r="M1157" s="116">
        <v>1328.25</v>
      </c>
      <c r="N1157" s="116">
        <v>1356.9</v>
      </c>
      <c r="O1157" s="116">
        <v>1302.9000000000001</v>
      </c>
      <c r="P1157" s="116">
        <v>1344.95</v>
      </c>
      <c r="Q1157" s="116">
        <v>1328.25</v>
      </c>
      <c r="R1157">
        <v>3715119</v>
      </c>
    </row>
    <row r="1158" spans="1:18" x14ac:dyDescent="0.25">
      <c r="A1158" s="170">
        <v>43711</v>
      </c>
      <c r="B1158" s="116">
        <v>1332</v>
      </c>
      <c r="C1158" s="116">
        <v>1294.05</v>
      </c>
      <c r="D1158" s="116">
        <v>1290</v>
      </c>
      <c r="E1158" s="116">
        <v>1332</v>
      </c>
      <c r="F1158" s="116">
        <v>1294.05</v>
      </c>
      <c r="G1158">
        <v>282983</v>
      </c>
      <c r="H1158" s="116"/>
      <c r="I1158" s="116"/>
      <c r="L1158" s="170">
        <v>43711</v>
      </c>
      <c r="M1158" s="116">
        <v>1294.4000000000001</v>
      </c>
      <c r="N1158" s="116">
        <v>1327</v>
      </c>
      <c r="O1158" s="116">
        <v>1290</v>
      </c>
      <c r="P1158" s="116">
        <v>1327</v>
      </c>
      <c r="Q1158" s="116">
        <v>1294.4000000000001</v>
      </c>
      <c r="R1158">
        <v>3617815</v>
      </c>
    </row>
    <row r="1159" spans="1:18" x14ac:dyDescent="0.25">
      <c r="A1159" s="170">
        <v>43712</v>
      </c>
      <c r="B1159" s="116">
        <v>1314</v>
      </c>
      <c r="C1159" s="116">
        <v>1309.95</v>
      </c>
      <c r="D1159" s="116">
        <v>1292.75</v>
      </c>
      <c r="E1159" s="116">
        <v>1299.7</v>
      </c>
      <c r="F1159" s="116">
        <v>1309.95</v>
      </c>
      <c r="G1159">
        <v>273855</v>
      </c>
      <c r="H1159" s="116"/>
      <c r="I1159" s="116"/>
      <c r="L1159" s="170">
        <v>43712</v>
      </c>
      <c r="M1159" s="116">
        <v>1308.05</v>
      </c>
      <c r="N1159" s="116">
        <v>1314.3</v>
      </c>
      <c r="O1159" s="116">
        <v>1292.4000000000001</v>
      </c>
      <c r="P1159" s="116">
        <v>1296</v>
      </c>
      <c r="Q1159" s="116">
        <v>1308.05</v>
      </c>
      <c r="R1159">
        <v>2786181</v>
      </c>
    </row>
    <row r="1160" spans="1:18" x14ac:dyDescent="0.25">
      <c r="A1160" s="170">
        <v>43713</v>
      </c>
      <c r="B1160" s="116">
        <v>1337.4</v>
      </c>
      <c r="C1160" s="116">
        <v>1320.45</v>
      </c>
      <c r="D1160" s="116">
        <v>1309</v>
      </c>
      <c r="E1160" s="116">
        <v>1315</v>
      </c>
      <c r="F1160" s="116">
        <v>1320.45</v>
      </c>
      <c r="G1160">
        <v>108337</v>
      </c>
      <c r="H1160" s="116"/>
      <c r="I1160" s="116"/>
      <c r="L1160" s="170">
        <v>43713</v>
      </c>
      <c r="M1160" s="116">
        <v>1320.3</v>
      </c>
      <c r="N1160" s="116">
        <v>1338</v>
      </c>
      <c r="O1160" s="116">
        <v>1308.6500000000001</v>
      </c>
      <c r="P1160" s="116">
        <v>1312.85</v>
      </c>
      <c r="Q1160" s="116">
        <v>1320.3</v>
      </c>
      <c r="R1160">
        <v>2758679</v>
      </c>
    </row>
    <row r="1161" spans="1:18" x14ac:dyDescent="0.25">
      <c r="A1161" s="170">
        <v>43714</v>
      </c>
      <c r="B1161" s="116">
        <v>1334</v>
      </c>
      <c r="C1161" s="116">
        <v>1328.4</v>
      </c>
      <c r="D1161" s="116">
        <v>1320.55</v>
      </c>
      <c r="E1161" s="116">
        <v>1324.55</v>
      </c>
      <c r="F1161" s="116">
        <v>1328.4</v>
      </c>
      <c r="G1161">
        <v>76578</v>
      </c>
      <c r="H1161" s="116"/>
      <c r="I1161" s="116"/>
      <c r="L1161" s="170">
        <v>43714</v>
      </c>
      <c r="M1161" s="116">
        <v>1328.65</v>
      </c>
      <c r="N1161" s="116">
        <v>1334</v>
      </c>
      <c r="O1161" s="116">
        <v>1320.35</v>
      </c>
      <c r="P1161" s="116">
        <v>1328.45</v>
      </c>
      <c r="Q1161" s="116">
        <v>1328.65</v>
      </c>
      <c r="R1161">
        <v>1694661</v>
      </c>
    </row>
    <row r="1162" spans="1:18" x14ac:dyDescent="0.25">
      <c r="A1162" s="170">
        <v>43717</v>
      </c>
      <c r="B1162" s="116">
        <v>1361.75</v>
      </c>
      <c r="C1162" s="116">
        <v>1357.35</v>
      </c>
      <c r="D1162" s="116">
        <v>1323.9</v>
      </c>
      <c r="E1162" s="116">
        <v>1328.15</v>
      </c>
      <c r="F1162" s="116">
        <v>1357.35</v>
      </c>
      <c r="G1162">
        <v>563616</v>
      </c>
      <c r="H1162" s="116"/>
      <c r="I1162" s="116"/>
      <c r="L1162" s="170">
        <v>43717</v>
      </c>
      <c r="M1162" s="116">
        <v>1357</v>
      </c>
      <c r="N1162" s="116">
        <v>1361.8</v>
      </c>
      <c r="O1162" s="116">
        <v>1323.05</v>
      </c>
      <c r="P1162" s="116">
        <v>1330</v>
      </c>
      <c r="Q1162" s="116">
        <v>1357</v>
      </c>
      <c r="R1162">
        <v>3508361</v>
      </c>
    </row>
    <row r="1163" spans="1:18" x14ac:dyDescent="0.25">
      <c r="A1163" s="170">
        <v>43719</v>
      </c>
      <c r="B1163" s="116">
        <v>1383.7</v>
      </c>
      <c r="C1163" s="116">
        <v>1363</v>
      </c>
      <c r="D1163" s="116">
        <v>1356.8</v>
      </c>
      <c r="E1163" s="116">
        <v>1361.1</v>
      </c>
      <c r="F1163" s="116">
        <v>1363</v>
      </c>
      <c r="G1163">
        <v>102886</v>
      </c>
      <c r="H1163" s="116"/>
      <c r="I1163" s="116"/>
      <c r="L1163" s="170">
        <v>43719</v>
      </c>
      <c r="M1163" s="116">
        <v>1363.65</v>
      </c>
      <c r="N1163" s="116">
        <v>1383.8</v>
      </c>
      <c r="O1163" s="116">
        <v>1356</v>
      </c>
      <c r="P1163" s="116">
        <v>1364</v>
      </c>
      <c r="Q1163" s="116">
        <v>1363.65</v>
      </c>
      <c r="R1163">
        <v>2545642</v>
      </c>
    </row>
    <row r="1164" spans="1:18" x14ac:dyDescent="0.25">
      <c r="A1164" s="170">
        <v>43720</v>
      </c>
      <c r="B1164" s="116">
        <v>1379</v>
      </c>
      <c r="C1164" s="116">
        <v>1362.5</v>
      </c>
      <c r="D1164" s="116">
        <v>1355.5</v>
      </c>
      <c r="E1164" s="116">
        <v>1369.8</v>
      </c>
      <c r="F1164" s="116">
        <v>1362.5</v>
      </c>
      <c r="G1164">
        <v>66109</v>
      </c>
      <c r="H1164" s="116"/>
      <c r="I1164" s="116"/>
      <c r="L1164" s="170">
        <v>43720</v>
      </c>
      <c r="M1164" s="116">
        <v>1362.4</v>
      </c>
      <c r="N1164" s="116">
        <v>1379.75</v>
      </c>
      <c r="O1164" s="116">
        <v>1355.35</v>
      </c>
      <c r="P1164" s="116">
        <v>1370.1</v>
      </c>
      <c r="Q1164" s="116">
        <v>1362.4</v>
      </c>
      <c r="R1164">
        <v>2249695</v>
      </c>
    </row>
    <row r="1165" spans="1:18" x14ac:dyDescent="0.25">
      <c r="A1165" s="170">
        <v>43721</v>
      </c>
      <c r="B1165" s="116">
        <v>1367.25</v>
      </c>
      <c r="C1165" s="116">
        <v>1363.45</v>
      </c>
      <c r="D1165" s="116">
        <v>1344.7</v>
      </c>
      <c r="E1165" s="116">
        <v>1364.75</v>
      </c>
      <c r="F1165" s="116">
        <v>1363.45</v>
      </c>
      <c r="G1165">
        <v>86053</v>
      </c>
      <c r="H1165" s="116"/>
      <c r="I1165" s="116"/>
      <c r="L1165" s="170">
        <v>43721</v>
      </c>
      <c r="M1165" s="116">
        <v>1363.45</v>
      </c>
      <c r="N1165" s="116">
        <v>1366.95</v>
      </c>
      <c r="O1165" s="116">
        <v>1344.1</v>
      </c>
      <c r="P1165" s="116">
        <v>1362</v>
      </c>
      <c r="Q1165" s="116">
        <v>1363.45</v>
      </c>
      <c r="R1165">
        <v>1771658</v>
      </c>
    </row>
    <row r="1166" spans="1:18" x14ac:dyDescent="0.25">
      <c r="A1166" s="170">
        <v>43724</v>
      </c>
      <c r="B1166" s="116">
        <v>1360</v>
      </c>
      <c r="C1166" s="116">
        <v>1342.65</v>
      </c>
      <c r="D1166" s="116">
        <v>1339</v>
      </c>
      <c r="E1166" s="116">
        <v>1360</v>
      </c>
      <c r="F1166" s="116">
        <v>1342.65</v>
      </c>
      <c r="G1166">
        <v>101659</v>
      </c>
      <c r="H1166" s="116"/>
      <c r="I1166" s="116"/>
      <c r="L1166" s="170">
        <v>43724</v>
      </c>
      <c r="M1166" s="116">
        <v>1343.6</v>
      </c>
      <c r="N1166" s="116">
        <v>1356.95</v>
      </c>
      <c r="O1166" s="116">
        <v>1338.6</v>
      </c>
      <c r="P1166" s="116">
        <v>1354</v>
      </c>
      <c r="Q1166" s="116">
        <v>1343.6</v>
      </c>
      <c r="R1166">
        <v>1835805</v>
      </c>
    </row>
    <row r="1167" spans="1:18" x14ac:dyDescent="0.25">
      <c r="A1167" s="170">
        <v>43725</v>
      </c>
      <c r="B1167" s="116">
        <v>1345</v>
      </c>
      <c r="C1167" s="116">
        <v>1314</v>
      </c>
      <c r="D1167" s="116">
        <v>1310.5</v>
      </c>
      <c r="E1167" s="116">
        <v>1345</v>
      </c>
      <c r="F1167" s="116">
        <v>1314</v>
      </c>
      <c r="G1167">
        <v>94748</v>
      </c>
      <c r="H1167" s="116"/>
      <c r="I1167" s="116"/>
      <c r="L1167" s="170">
        <v>43725</v>
      </c>
      <c r="M1167" s="116">
        <v>1313.7</v>
      </c>
      <c r="N1167" s="116">
        <v>1345</v>
      </c>
      <c r="O1167" s="116">
        <v>1310.2</v>
      </c>
      <c r="P1167" s="116">
        <v>1344</v>
      </c>
      <c r="Q1167" s="116">
        <v>1313.7</v>
      </c>
      <c r="R1167">
        <v>2210178</v>
      </c>
    </row>
    <row r="1168" spans="1:18" x14ac:dyDescent="0.25">
      <c r="A1168" s="170">
        <v>43726</v>
      </c>
      <c r="B1168" s="116">
        <v>1328.4</v>
      </c>
      <c r="C1168" s="116">
        <v>1318.4</v>
      </c>
      <c r="D1168" s="116">
        <v>1313.7</v>
      </c>
      <c r="E1168" s="116">
        <v>1316.05</v>
      </c>
      <c r="F1168" s="116">
        <v>1318.4</v>
      </c>
      <c r="G1168">
        <v>60376</v>
      </c>
      <c r="H1168" s="116"/>
      <c r="I1168" s="116"/>
      <c r="L1168" s="170">
        <v>43726</v>
      </c>
      <c r="M1168" s="116">
        <v>1318</v>
      </c>
      <c r="N1168" s="116">
        <v>1328.4</v>
      </c>
      <c r="O1168" s="116">
        <v>1313.3</v>
      </c>
      <c r="P1168" s="116">
        <v>1320.1</v>
      </c>
      <c r="Q1168" s="116">
        <v>1318</v>
      </c>
      <c r="R1168">
        <v>2081625</v>
      </c>
    </row>
    <row r="1169" spans="1:18" x14ac:dyDescent="0.25">
      <c r="A1169" s="170">
        <v>43727</v>
      </c>
      <c r="B1169" s="116">
        <v>1327.95</v>
      </c>
      <c r="C1169" s="116">
        <v>1300.5999999999999</v>
      </c>
      <c r="D1169" s="116">
        <v>1298</v>
      </c>
      <c r="E1169" s="116">
        <v>1324.45</v>
      </c>
      <c r="F1169" s="116">
        <v>1300.5999999999999</v>
      </c>
      <c r="G1169">
        <v>126466</v>
      </c>
      <c r="H1169" s="116"/>
      <c r="I1169" s="116"/>
      <c r="L1169" s="170">
        <v>43727</v>
      </c>
      <c r="M1169" s="116">
        <v>1300.7</v>
      </c>
      <c r="N1169" s="116">
        <v>1320.2</v>
      </c>
      <c r="O1169" s="116">
        <v>1298</v>
      </c>
      <c r="P1169" s="116">
        <v>1320</v>
      </c>
      <c r="Q1169" s="116">
        <v>1300.7</v>
      </c>
      <c r="R1169">
        <v>1808736</v>
      </c>
    </row>
    <row r="1170" spans="1:18" x14ac:dyDescent="0.25">
      <c r="A1170" s="170">
        <v>43728</v>
      </c>
      <c r="B1170" s="116">
        <v>1416.6</v>
      </c>
      <c r="C1170" s="116">
        <v>1412.85</v>
      </c>
      <c r="D1170" s="116">
        <v>1289.0999999999999</v>
      </c>
      <c r="E1170" s="116">
        <v>1309.7</v>
      </c>
      <c r="F1170" s="116">
        <v>1412.85</v>
      </c>
      <c r="G1170">
        <v>719189</v>
      </c>
      <c r="H1170" s="116"/>
      <c r="I1170" s="116"/>
      <c r="L1170" s="170">
        <v>43728</v>
      </c>
      <c r="M1170" s="116">
        <v>1411.5</v>
      </c>
      <c r="N1170" s="116">
        <v>1416.45</v>
      </c>
      <c r="O1170" s="116">
        <v>1289.0999999999999</v>
      </c>
      <c r="P1170" s="116">
        <v>1305</v>
      </c>
      <c r="Q1170" s="116">
        <v>1411.5</v>
      </c>
      <c r="R1170">
        <v>9975807</v>
      </c>
    </row>
    <row r="1171" spans="1:18" x14ac:dyDescent="0.25">
      <c r="A1171" s="170">
        <v>43731</v>
      </c>
      <c r="B1171" s="116">
        <v>1554.05</v>
      </c>
      <c r="C1171" s="116">
        <v>1527.65</v>
      </c>
      <c r="D1171" s="116">
        <v>1433</v>
      </c>
      <c r="E1171" s="116">
        <v>1433</v>
      </c>
      <c r="F1171" s="116">
        <v>1527.65</v>
      </c>
      <c r="G1171">
        <v>1159380</v>
      </c>
      <c r="H1171" s="116"/>
      <c r="I1171" s="116"/>
      <c r="L1171" s="170">
        <v>43731</v>
      </c>
      <c r="M1171" s="116">
        <v>1528.5</v>
      </c>
      <c r="N1171" s="116">
        <v>1551</v>
      </c>
      <c r="O1171" s="116">
        <v>1451</v>
      </c>
      <c r="P1171" s="116">
        <v>1452</v>
      </c>
      <c r="Q1171" s="116">
        <v>1528.5</v>
      </c>
      <c r="R1171">
        <v>12082820</v>
      </c>
    </row>
    <row r="1172" spans="1:18" x14ac:dyDescent="0.25">
      <c r="A1172" s="170">
        <v>43732</v>
      </c>
      <c r="B1172" s="116">
        <v>1532</v>
      </c>
      <c r="C1172" s="116">
        <v>1481.3</v>
      </c>
      <c r="D1172" s="116">
        <v>1476.5</v>
      </c>
      <c r="E1172" s="116">
        <v>1530.5</v>
      </c>
      <c r="F1172" s="116">
        <v>1481.3</v>
      </c>
      <c r="G1172">
        <v>236357</v>
      </c>
      <c r="H1172" s="116"/>
      <c r="I1172" s="116"/>
      <c r="L1172" s="170">
        <v>43732</v>
      </c>
      <c r="M1172" s="116">
        <v>1481.3</v>
      </c>
      <c r="N1172" s="116">
        <v>1524</v>
      </c>
      <c r="O1172" s="116">
        <v>1475.55</v>
      </c>
      <c r="P1172" s="116">
        <v>1524</v>
      </c>
      <c r="Q1172" s="116">
        <v>1481.3</v>
      </c>
      <c r="R1172">
        <v>3831602</v>
      </c>
    </row>
    <row r="1173" spans="1:18" x14ac:dyDescent="0.25">
      <c r="A1173" s="170">
        <v>43733</v>
      </c>
      <c r="B1173" s="116">
        <v>1481</v>
      </c>
      <c r="C1173" s="116">
        <v>1450.05</v>
      </c>
      <c r="D1173" s="116">
        <v>1447</v>
      </c>
      <c r="E1173" s="116">
        <v>1480.1</v>
      </c>
      <c r="F1173" s="116">
        <v>1450.05</v>
      </c>
      <c r="G1173">
        <v>158824</v>
      </c>
      <c r="H1173" s="116"/>
      <c r="I1173" s="116"/>
      <c r="L1173" s="170">
        <v>43733</v>
      </c>
      <c r="M1173" s="116">
        <v>1450.1</v>
      </c>
      <c r="N1173" s="116">
        <v>1481.7</v>
      </c>
      <c r="O1173" s="116">
        <v>1446.65</v>
      </c>
      <c r="P1173" s="116">
        <v>1480.9</v>
      </c>
      <c r="Q1173" s="116">
        <v>1450.1</v>
      </c>
      <c r="R1173">
        <v>2746428</v>
      </c>
    </row>
    <row r="1174" spans="1:18" x14ac:dyDescent="0.25">
      <c r="A1174" s="170">
        <v>43734</v>
      </c>
      <c r="B1174" s="116">
        <v>1494.95</v>
      </c>
      <c r="C1174" s="116">
        <v>1490.2</v>
      </c>
      <c r="D1174" s="116">
        <v>1453.05</v>
      </c>
      <c r="E1174" s="116">
        <v>1453.05</v>
      </c>
      <c r="F1174" s="116">
        <v>1490.2</v>
      </c>
      <c r="G1174">
        <v>155942</v>
      </c>
      <c r="H1174" s="116"/>
      <c r="I1174" s="116"/>
      <c r="L1174" s="170">
        <v>43734</v>
      </c>
      <c r="M1174" s="116">
        <v>1489.85</v>
      </c>
      <c r="N1174" s="116">
        <v>1495</v>
      </c>
      <c r="O1174" s="116">
        <v>1456.3</v>
      </c>
      <c r="P1174" s="116">
        <v>1456.3</v>
      </c>
      <c r="Q1174" s="116">
        <v>1489.85</v>
      </c>
      <c r="R1174">
        <v>3560962</v>
      </c>
    </row>
    <row r="1175" spans="1:18" x14ac:dyDescent="0.25">
      <c r="A1175" s="170">
        <v>43735</v>
      </c>
      <c r="B1175" s="116">
        <v>1491.45</v>
      </c>
      <c r="C1175" s="116">
        <v>1473.15</v>
      </c>
      <c r="D1175" s="116">
        <v>1462.3</v>
      </c>
      <c r="E1175" s="116">
        <v>1486.75</v>
      </c>
      <c r="F1175" s="116">
        <v>1473.15</v>
      </c>
      <c r="G1175">
        <v>79245</v>
      </c>
      <c r="H1175" s="116"/>
      <c r="I1175" s="116"/>
      <c r="L1175" s="170">
        <v>43735</v>
      </c>
      <c r="M1175" s="116">
        <v>1472.65</v>
      </c>
      <c r="N1175" s="116">
        <v>1491.7</v>
      </c>
      <c r="O1175" s="116">
        <v>1462</v>
      </c>
      <c r="P1175" s="116">
        <v>1484.05</v>
      </c>
      <c r="Q1175" s="116">
        <v>1472.65</v>
      </c>
      <c r="R1175">
        <v>2167976</v>
      </c>
    </row>
    <row r="1176" spans="1:18" x14ac:dyDescent="0.25">
      <c r="A1176" s="170">
        <v>43738</v>
      </c>
      <c r="B1176" s="116">
        <v>1483.9</v>
      </c>
      <c r="C1176" s="116">
        <v>1476.6</v>
      </c>
      <c r="D1176" s="116">
        <v>1448.3</v>
      </c>
      <c r="E1176" s="116">
        <v>1475</v>
      </c>
      <c r="F1176" s="116">
        <v>1476.6</v>
      </c>
      <c r="G1176">
        <v>116322</v>
      </c>
      <c r="H1176" s="116"/>
      <c r="I1176" s="116"/>
      <c r="L1176" s="170">
        <v>43738</v>
      </c>
      <c r="M1176" s="116">
        <v>1474.25</v>
      </c>
      <c r="N1176" s="116">
        <v>1484</v>
      </c>
      <c r="O1176" s="116">
        <v>1448.2</v>
      </c>
      <c r="P1176" s="116">
        <v>1473</v>
      </c>
      <c r="Q1176" s="116">
        <v>1474.25</v>
      </c>
      <c r="R1176">
        <v>2961398</v>
      </c>
    </row>
    <row r="1177" spans="1:18" x14ac:dyDescent="0.25">
      <c r="A1177" s="170">
        <v>43739</v>
      </c>
      <c r="B1177" s="116">
        <v>1495.95</v>
      </c>
      <c r="C1177" s="116">
        <v>1463.1</v>
      </c>
      <c r="D1177" s="116">
        <v>1439.65</v>
      </c>
      <c r="E1177" s="116">
        <v>1480</v>
      </c>
      <c r="F1177" s="116">
        <v>1463.1</v>
      </c>
      <c r="G1177">
        <v>117765</v>
      </c>
      <c r="H1177" s="116"/>
      <c r="I1177" s="116"/>
      <c r="L1177" s="170">
        <v>43739</v>
      </c>
      <c r="M1177" s="116">
        <v>1464.05</v>
      </c>
      <c r="N1177" s="116">
        <v>1496.45</v>
      </c>
      <c r="O1177" s="116">
        <v>1439.15</v>
      </c>
      <c r="P1177" s="116">
        <v>1480</v>
      </c>
      <c r="Q1177" s="116">
        <v>1464.05</v>
      </c>
      <c r="R1177">
        <v>2578275</v>
      </c>
    </row>
    <row r="1178" spans="1:18" x14ac:dyDescent="0.25">
      <c r="A1178" s="170">
        <v>43741</v>
      </c>
      <c r="B1178" s="116">
        <v>1475.9</v>
      </c>
      <c r="C1178" s="116">
        <v>1458.35</v>
      </c>
      <c r="D1178" s="116">
        <v>1423.25</v>
      </c>
      <c r="E1178" s="116">
        <v>1446</v>
      </c>
      <c r="F1178" s="116">
        <v>1458.35</v>
      </c>
      <c r="G1178">
        <v>149049</v>
      </c>
      <c r="H1178" s="116"/>
      <c r="I1178" s="116"/>
      <c r="L1178" s="170">
        <v>43741</v>
      </c>
      <c r="M1178" s="116">
        <v>1458.05</v>
      </c>
      <c r="N1178" s="116">
        <v>1475.5</v>
      </c>
      <c r="O1178" s="116">
        <v>1422.25</v>
      </c>
      <c r="P1178" s="116">
        <v>1445.45</v>
      </c>
      <c r="Q1178" s="116">
        <v>1458.05</v>
      </c>
      <c r="R1178">
        <v>1966976</v>
      </c>
    </row>
    <row r="1179" spans="1:18" x14ac:dyDescent="0.25">
      <c r="A1179" s="170">
        <v>43742</v>
      </c>
      <c r="B1179" s="116">
        <v>1473.85</v>
      </c>
      <c r="C1179" s="116">
        <v>1424.15</v>
      </c>
      <c r="D1179" s="116">
        <v>1420.5</v>
      </c>
      <c r="E1179" s="116">
        <v>1465</v>
      </c>
      <c r="F1179" s="116">
        <v>1424.15</v>
      </c>
      <c r="G1179">
        <v>231648</v>
      </c>
      <c r="H1179" s="116"/>
      <c r="I1179" s="116"/>
      <c r="L1179" s="170">
        <v>43742</v>
      </c>
      <c r="M1179" s="116">
        <v>1424.9</v>
      </c>
      <c r="N1179" s="116">
        <v>1474</v>
      </c>
      <c r="O1179" s="116">
        <v>1420.1</v>
      </c>
      <c r="P1179" s="116">
        <v>1463.8</v>
      </c>
      <c r="Q1179" s="116">
        <v>1424.9</v>
      </c>
      <c r="R1179">
        <v>3266487</v>
      </c>
    </row>
    <row r="1180" spans="1:18" x14ac:dyDescent="0.25">
      <c r="A1180" s="170">
        <v>43745</v>
      </c>
      <c r="B1180" s="116">
        <v>1428.5</v>
      </c>
      <c r="C1180" s="116">
        <v>1397.35</v>
      </c>
      <c r="D1180" s="116">
        <v>1382</v>
      </c>
      <c r="E1180" s="116">
        <v>1422.9</v>
      </c>
      <c r="F1180" s="116">
        <v>1397.35</v>
      </c>
      <c r="G1180">
        <v>116283</v>
      </c>
      <c r="H1180" s="116"/>
      <c r="I1180" s="116"/>
      <c r="L1180" s="170">
        <v>43745</v>
      </c>
      <c r="M1180" s="116">
        <v>1397.85</v>
      </c>
      <c r="N1180" s="116">
        <v>1429</v>
      </c>
      <c r="O1180" s="116">
        <v>1381.05</v>
      </c>
      <c r="P1180" s="116">
        <v>1420</v>
      </c>
      <c r="Q1180" s="116">
        <v>1397.85</v>
      </c>
      <c r="R1180">
        <v>2192329</v>
      </c>
    </row>
    <row r="1181" spans="1:18" x14ac:dyDescent="0.25">
      <c r="A1181" s="170">
        <v>43747</v>
      </c>
      <c r="B1181" s="116">
        <v>1432.5</v>
      </c>
      <c r="C1181" s="116">
        <v>1426.75</v>
      </c>
      <c r="D1181" s="116">
        <v>1399.2</v>
      </c>
      <c r="E1181" s="116">
        <v>1401</v>
      </c>
      <c r="F1181" s="116">
        <v>1426.75</v>
      </c>
      <c r="G1181">
        <v>132892</v>
      </c>
      <c r="H1181" s="116"/>
      <c r="I1181" s="116"/>
      <c r="L1181" s="170">
        <v>43747</v>
      </c>
      <c r="M1181" s="116">
        <v>1426.25</v>
      </c>
      <c r="N1181" s="116">
        <v>1433.4</v>
      </c>
      <c r="O1181" s="116">
        <v>1399.1</v>
      </c>
      <c r="P1181" s="116">
        <v>1401</v>
      </c>
      <c r="Q1181" s="116">
        <v>1426.25</v>
      </c>
      <c r="R1181">
        <v>1818865</v>
      </c>
    </row>
    <row r="1182" spans="1:18" x14ac:dyDescent="0.25">
      <c r="A1182" s="170">
        <v>43748</v>
      </c>
      <c r="B1182" s="116">
        <v>1432</v>
      </c>
      <c r="C1182" s="116">
        <v>1425.35</v>
      </c>
      <c r="D1182" s="116">
        <v>1407.8</v>
      </c>
      <c r="E1182" s="116">
        <v>1423.1</v>
      </c>
      <c r="F1182" s="116">
        <v>1425.35</v>
      </c>
      <c r="G1182">
        <v>102496</v>
      </c>
      <c r="H1182" s="116"/>
      <c r="I1182" s="116"/>
      <c r="L1182" s="170">
        <v>43748</v>
      </c>
      <c r="M1182" s="116">
        <v>1425.1</v>
      </c>
      <c r="N1182" s="116">
        <v>1432</v>
      </c>
      <c r="O1182" s="116">
        <v>1407.05</v>
      </c>
      <c r="P1182" s="116">
        <v>1423</v>
      </c>
      <c r="Q1182" s="116">
        <v>1425.1</v>
      </c>
      <c r="R1182">
        <v>1626821</v>
      </c>
    </row>
    <row r="1183" spans="1:18" x14ac:dyDescent="0.25">
      <c r="A1183" s="170">
        <v>43749</v>
      </c>
      <c r="B1183" s="116">
        <v>1449.9</v>
      </c>
      <c r="C1183" s="116">
        <v>1427.45</v>
      </c>
      <c r="D1183" s="116">
        <v>1420.5</v>
      </c>
      <c r="E1183" s="116">
        <v>1432.4</v>
      </c>
      <c r="F1183" s="116">
        <v>1427.45</v>
      </c>
      <c r="G1183">
        <v>99192</v>
      </c>
      <c r="H1183" s="116"/>
      <c r="I1183" s="116"/>
      <c r="L1183" s="170">
        <v>43749</v>
      </c>
      <c r="M1183" s="116">
        <v>1427.7</v>
      </c>
      <c r="N1183" s="116">
        <v>1450</v>
      </c>
      <c r="O1183" s="116">
        <v>1420.2</v>
      </c>
      <c r="P1183" s="116">
        <v>1431</v>
      </c>
      <c r="Q1183" s="116">
        <v>1427.7</v>
      </c>
      <c r="R1183">
        <v>2024214</v>
      </c>
    </row>
    <row r="1184" spans="1:18" x14ac:dyDescent="0.25">
      <c r="A1184" s="170">
        <v>43752</v>
      </c>
      <c r="B1184" s="116">
        <v>1439.9</v>
      </c>
      <c r="C1184" s="116">
        <v>1422.65</v>
      </c>
      <c r="D1184" s="116">
        <v>1419</v>
      </c>
      <c r="E1184" s="116">
        <v>1428.05</v>
      </c>
      <c r="F1184" s="116">
        <v>1422.65</v>
      </c>
      <c r="G1184">
        <v>61353</v>
      </c>
      <c r="H1184" s="116"/>
      <c r="I1184" s="116"/>
      <c r="L1184" s="170">
        <v>43752</v>
      </c>
      <c r="M1184" s="116">
        <v>1423.95</v>
      </c>
      <c r="N1184" s="116">
        <v>1439.9</v>
      </c>
      <c r="O1184" s="116">
        <v>1418.35</v>
      </c>
      <c r="P1184" s="116">
        <v>1435</v>
      </c>
      <c r="Q1184" s="116">
        <v>1423.95</v>
      </c>
      <c r="R1184">
        <v>2220364</v>
      </c>
    </row>
    <row r="1185" spans="1:18" x14ac:dyDescent="0.25">
      <c r="A1185" s="170">
        <v>43753</v>
      </c>
      <c r="B1185" s="116">
        <v>1445.1</v>
      </c>
      <c r="C1185" s="116">
        <v>1433.15</v>
      </c>
      <c r="D1185" s="116">
        <v>1421</v>
      </c>
      <c r="E1185" s="116">
        <v>1427</v>
      </c>
      <c r="F1185" s="116">
        <v>1433.15</v>
      </c>
      <c r="G1185">
        <v>128809</v>
      </c>
      <c r="H1185" s="116"/>
      <c r="I1185" s="116"/>
      <c r="L1185" s="170">
        <v>43753</v>
      </c>
      <c r="M1185" s="116">
        <v>1432.25</v>
      </c>
      <c r="N1185" s="116">
        <v>1444.8</v>
      </c>
      <c r="O1185" s="116">
        <v>1420.65</v>
      </c>
      <c r="P1185" s="116">
        <v>1429.1</v>
      </c>
      <c r="Q1185" s="116">
        <v>1432.25</v>
      </c>
      <c r="R1185">
        <v>1797471</v>
      </c>
    </row>
    <row r="1186" spans="1:18" x14ac:dyDescent="0.25">
      <c r="A1186" s="170">
        <v>43754</v>
      </c>
      <c r="B1186" s="116">
        <v>1442</v>
      </c>
      <c r="C1186" s="116">
        <v>1424.8</v>
      </c>
      <c r="D1186" s="116">
        <v>1416.2</v>
      </c>
      <c r="E1186" s="116">
        <v>1436.6</v>
      </c>
      <c r="F1186" s="116">
        <v>1424.8</v>
      </c>
      <c r="G1186">
        <v>498882</v>
      </c>
      <c r="H1186" s="116"/>
      <c r="I1186" s="116"/>
      <c r="L1186" s="170">
        <v>43754</v>
      </c>
      <c r="M1186" s="116">
        <v>1424.2</v>
      </c>
      <c r="N1186" s="116">
        <v>1441.8</v>
      </c>
      <c r="O1186" s="116">
        <v>1416.25</v>
      </c>
      <c r="P1186" s="116">
        <v>1440</v>
      </c>
      <c r="Q1186" s="116">
        <v>1424.2</v>
      </c>
      <c r="R1186">
        <v>2446615</v>
      </c>
    </row>
    <row r="1187" spans="1:18" x14ac:dyDescent="0.25">
      <c r="A1187" s="170">
        <v>43755</v>
      </c>
      <c r="B1187" s="116">
        <v>1438.75</v>
      </c>
      <c r="C1187" s="116">
        <v>1424.25</v>
      </c>
      <c r="D1187" s="116">
        <v>1420.5</v>
      </c>
      <c r="E1187" s="116">
        <v>1426</v>
      </c>
      <c r="F1187" s="116">
        <v>1424.25</v>
      </c>
      <c r="G1187">
        <v>86519</v>
      </c>
      <c r="H1187" s="116"/>
      <c r="I1187" s="116"/>
      <c r="L1187" s="170">
        <v>43755</v>
      </c>
      <c r="M1187" s="116">
        <v>1424.35</v>
      </c>
      <c r="N1187" s="116">
        <v>1438.6</v>
      </c>
      <c r="O1187" s="116">
        <v>1420.2</v>
      </c>
      <c r="P1187" s="116">
        <v>1428</v>
      </c>
      <c r="Q1187" s="116">
        <v>1424.35</v>
      </c>
      <c r="R1187">
        <v>2304434</v>
      </c>
    </row>
    <row r="1188" spans="1:18" x14ac:dyDescent="0.25">
      <c r="A1188" s="170">
        <v>43756</v>
      </c>
      <c r="B1188" s="116">
        <v>1456.5</v>
      </c>
      <c r="C1188" s="116">
        <v>1448.05</v>
      </c>
      <c r="D1188" s="116">
        <v>1425.8</v>
      </c>
      <c r="E1188" s="116">
        <v>1428</v>
      </c>
      <c r="F1188" s="116">
        <v>1448.05</v>
      </c>
      <c r="G1188">
        <v>126990</v>
      </c>
      <c r="H1188" s="116"/>
      <c r="I1188" s="116"/>
      <c r="L1188" s="170">
        <v>43756</v>
      </c>
      <c r="M1188" s="116">
        <v>1447.8</v>
      </c>
      <c r="N1188" s="116">
        <v>1457</v>
      </c>
      <c r="O1188" s="116">
        <v>1425.4</v>
      </c>
      <c r="P1188" s="116">
        <v>1428</v>
      </c>
      <c r="Q1188" s="116">
        <v>1447.8</v>
      </c>
      <c r="R1188">
        <v>3516394</v>
      </c>
    </row>
    <row r="1189" spans="1:18" x14ac:dyDescent="0.25">
      <c r="A1189" s="170">
        <v>43760</v>
      </c>
      <c r="B1189" s="116">
        <v>1466.95</v>
      </c>
      <c r="C1189" s="116">
        <v>1441.9</v>
      </c>
      <c r="D1189" s="116">
        <v>1438.65</v>
      </c>
      <c r="E1189" s="116">
        <v>1448.05</v>
      </c>
      <c r="F1189" s="116">
        <v>1441.9</v>
      </c>
      <c r="G1189">
        <v>122528</v>
      </c>
      <c r="H1189" s="116"/>
      <c r="I1189" s="116"/>
      <c r="L1189" s="170">
        <v>43760</v>
      </c>
      <c r="M1189" s="116">
        <v>1442.55</v>
      </c>
      <c r="N1189" s="116">
        <v>1467.8</v>
      </c>
      <c r="O1189" s="116">
        <v>1439.15</v>
      </c>
      <c r="P1189" s="116">
        <v>1448.5</v>
      </c>
      <c r="Q1189" s="116">
        <v>1442.55</v>
      </c>
      <c r="R1189">
        <v>2858390</v>
      </c>
    </row>
    <row r="1190" spans="1:18" x14ac:dyDescent="0.25">
      <c r="A1190" s="170">
        <v>43761</v>
      </c>
      <c r="B1190" s="116">
        <v>1448.15</v>
      </c>
      <c r="C1190" s="116">
        <v>1430.95</v>
      </c>
      <c r="D1190" s="116">
        <v>1418.45</v>
      </c>
      <c r="E1190" s="116">
        <v>1447</v>
      </c>
      <c r="F1190" s="116">
        <v>1430.95</v>
      </c>
      <c r="G1190">
        <v>134829</v>
      </c>
      <c r="H1190" s="116"/>
      <c r="I1190" s="116"/>
      <c r="L1190" s="170">
        <v>43761</v>
      </c>
      <c r="M1190" s="116">
        <v>1431.8</v>
      </c>
      <c r="N1190" s="116">
        <v>1448.9</v>
      </c>
      <c r="O1190" s="116">
        <v>1418.6</v>
      </c>
      <c r="P1190" s="116">
        <v>1445</v>
      </c>
      <c r="Q1190" s="116">
        <v>1431.8</v>
      </c>
      <c r="R1190">
        <v>2410781</v>
      </c>
    </row>
    <row r="1191" spans="1:18" x14ac:dyDescent="0.25">
      <c r="A1191" s="170">
        <v>43762</v>
      </c>
      <c r="B1191" s="116">
        <v>1466</v>
      </c>
      <c r="C1191" s="116">
        <v>1431.9</v>
      </c>
      <c r="D1191" s="116">
        <v>1426.8</v>
      </c>
      <c r="E1191" s="116">
        <v>1459</v>
      </c>
      <c r="F1191" s="116">
        <v>1431.9</v>
      </c>
      <c r="G1191">
        <v>184175</v>
      </c>
      <c r="H1191" s="116"/>
      <c r="I1191" s="116"/>
      <c r="L1191" s="170">
        <v>43762</v>
      </c>
      <c r="M1191" s="116">
        <v>1432.25</v>
      </c>
      <c r="N1191" s="116">
        <v>1467</v>
      </c>
      <c r="O1191" s="116">
        <v>1426.35</v>
      </c>
      <c r="P1191" s="116">
        <v>1460</v>
      </c>
      <c r="Q1191" s="116">
        <v>1432.25</v>
      </c>
      <c r="R1191">
        <v>3646005</v>
      </c>
    </row>
    <row r="1192" spans="1:18" x14ac:dyDescent="0.25">
      <c r="A1192" s="170">
        <v>43763</v>
      </c>
      <c r="B1192" s="116">
        <v>1442</v>
      </c>
      <c r="C1192" s="116">
        <v>1424.7</v>
      </c>
      <c r="D1192" s="116">
        <v>1421</v>
      </c>
      <c r="E1192" s="116">
        <v>1436</v>
      </c>
      <c r="F1192" s="116">
        <v>1424.7</v>
      </c>
      <c r="G1192">
        <v>100996</v>
      </c>
      <c r="H1192" s="116"/>
      <c r="I1192" s="116"/>
      <c r="L1192" s="170">
        <v>43763</v>
      </c>
      <c r="M1192" s="116">
        <v>1425</v>
      </c>
      <c r="N1192" s="116">
        <v>1441.7</v>
      </c>
      <c r="O1192" s="116">
        <v>1420.1</v>
      </c>
      <c r="P1192" s="116">
        <v>1439.95</v>
      </c>
      <c r="Q1192" s="116">
        <v>1425</v>
      </c>
      <c r="R1192">
        <v>2013793</v>
      </c>
    </row>
    <row r="1193" spans="1:18" x14ac:dyDescent="0.25">
      <c r="A1193" s="170">
        <v>43765</v>
      </c>
      <c r="B1193" s="116">
        <v>1438.8</v>
      </c>
      <c r="C1193" s="116">
        <v>1434.65</v>
      </c>
      <c r="D1193" s="116">
        <v>1429.25</v>
      </c>
      <c r="E1193" s="116">
        <v>1438.8</v>
      </c>
      <c r="F1193" s="116">
        <v>1434.65</v>
      </c>
      <c r="G1193">
        <v>38323</v>
      </c>
      <c r="H1193" s="116"/>
      <c r="I1193" s="116"/>
      <c r="L1193" s="170">
        <v>43765</v>
      </c>
      <c r="M1193" s="116">
        <v>1434.4</v>
      </c>
      <c r="N1193" s="116">
        <v>1438.95</v>
      </c>
      <c r="O1193" s="116">
        <v>1428.85</v>
      </c>
      <c r="P1193" s="116">
        <v>1436.7</v>
      </c>
      <c r="Q1193" s="116">
        <v>1434.4</v>
      </c>
      <c r="R1193">
        <v>398268</v>
      </c>
    </row>
    <row r="1194" spans="1:18" x14ac:dyDescent="0.25">
      <c r="A1194" s="170">
        <v>43767</v>
      </c>
      <c r="B1194" s="116">
        <v>1464.5</v>
      </c>
      <c r="C1194" s="116">
        <v>1460.55</v>
      </c>
      <c r="D1194" s="116">
        <v>1431.2</v>
      </c>
      <c r="E1194" s="116">
        <v>1437.4</v>
      </c>
      <c r="F1194" s="116">
        <v>1460.55</v>
      </c>
      <c r="G1194">
        <v>173119</v>
      </c>
      <c r="H1194" s="116"/>
      <c r="I1194" s="116"/>
      <c r="L1194" s="170">
        <v>43767</v>
      </c>
      <c r="M1194" s="116">
        <v>1461.1</v>
      </c>
      <c r="N1194" s="116">
        <v>1464.8</v>
      </c>
      <c r="O1194" s="116">
        <v>1431</v>
      </c>
      <c r="P1194" s="116">
        <v>1435.5</v>
      </c>
      <c r="Q1194" s="116">
        <v>1461.1</v>
      </c>
      <c r="R1194">
        <v>3351491</v>
      </c>
    </row>
    <row r="1195" spans="1:18" x14ac:dyDescent="0.25">
      <c r="A1195" s="170">
        <v>43768</v>
      </c>
      <c r="B1195" s="116">
        <v>1491.15</v>
      </c>
      <c r="C1195" s="116">
        <v>1474.65</v>
      </c>
      <c r="D1195" s="116">
        <v>1466.8</v>
      </c>
      <c r="E1195" s="116">
        <v>1468.05</v>
      </c>
      <c r="F1195" s="116">
        <v>1474.65</v>
      </c>
      <c r="G1195">
        <v>214531</v>
      </c>
      <c r="H1195" s="116"/>
      <c r="I1195" s="116"/>
      <c r="L1195" s="170">
        <v>43768</v>
      </c>
      <c r="M1195" s="116">
        <v>1474.25</v>
      </c>
      <c r="N1195" s="116">
        <v>1491.95</v>
      </c>
      <c r="O1195" s="116">
        <v>1465</v>
      </c>
      <c r="P1195" s="116">
        <v>1469.95</v>
      </c>
      <c r="Q1195" s="116">
        <v>1474.25</v>
      </c>
      <c r="R1195">
        <v>3722066</v>
      </c>
    </row>
    <row r="1196" spans="1:18" x14ac:dyDescent="0.25">
      <c r="A1196" s="170">
        <v>43769</v>
      </c>
      <c r="B1196" s="116">
        <v>1486.6</v>
      </c>
      <c r="C1196" s="116">
        <v>1473.4</v>
      </c>
      <c r="D1196" s="116">
        <v>1467.75</v>
      </c>
      <c r="E1196" s="116">
        <v>1482.25</v>
      </c>
      <c r="F1196" s="116">
        <v>1473.4</v>
      </c>
      <c r="G1196">
        <v>76788</v>
      </c>
      <c r="H1196" s="116"/>
      <c r="I1196" s="116"/>
      <c r="L1196" s="170">
        <v>43769</v>
      </c>
      <c r="M1196" s="116">
        <v>1473.05</v>
      </c>
      <c r="N1196" s="116">
        <v>1486.5</v>
      </c>
      <c r="O1196" s="116">
        <v>1467.25</v>
      </c>
      <c r="P1196" s="116">
        <v>1481</v>
      </c>
      <c r="Q1196" s="116">
        <v>1473.05</v>
      </c>
      <c r="R1196">
        <v>2210277</v>
      </c>
    </row>
    <row r="1197" spans="1:18" x14ac:dyDescent="0.25">
      <c r="A1197" s="170">
        <v>43770</v>
      </c>
      <c r="B1197" s="116">
        <v>1481</v>
      </c>
      <c r="C1197" s="116">
        <v>1452.2</v>
      </c>
      <c r="D1197" s="116">
        <v>1445.4</v>
      </c>
      <c r="E1197" s="116">
        <v>1473</v>
      </c>
      <c r="F1197" s="116">
        <v>1452.2</v>
      </c>
      <c r="G1197">
        <v>106777</v>
      </c>
      <c r="H1197" s="116"/>
      <c r="I1197" s="116"/>
      <c r="L1197" s="170">
        <v>43770</v>
      </c>
      <c r="M1197" s="116">
        <v>1449.4</v>
      </c>
      <c r="N1197" s="116">
        <v>1481.05</v>
      </c>
      <c r="O1197" s="116">
        <v>1445</v>
      </c>
      <c r="P1197" s="116">
        <v>1476.7</v>
      </c>
      <c r="Q1197" s="116">
        <v>1449.4</v>
      </c>
      <c r="R1197">
        <v>2287220</v>
      </c>
    </row>
    <row r="1198" spans="1:18" x14ac:dyDescent="0.25">
      <c r="A1198" s="170">
        <v>43773</v>
      </c>
      <c r="B1198" s="116">
        <v>1467.85</v>
      </c>
      <c r="C1198" s="116">
        <v>1452.35</v>
      </c>
      <c r="D1198" s="116">
        <v>1450.05</v>
      </c>
      <c r="E1198" s="116">
        <v>1453.1</v>
      </c>
      <c r="F1198" s="116">
        <v>1452.35</v>
      </c>
      <c r="G1198">
        <v>68550</v>
      </c>
      <c r="H1198" s="116"/>
      <c r="I1198" s="116"/>
      <c r="L1198" s="170">
        <v>43773</v>
      </c>
      <c r="M1198" s="116">
        <v>1452.2</v>
      </c>
      <c r="N1198" s="116">
        <v>1468</v>
      </c>
      <c r="O1198" s="116">
        <v>1450</v>
      </c>
      <c r="P1198" s="116">
        <v>1457.8</v>
      </c>
      <c r="Q1198" s="116">
        <v>1452.2</v>
      </c>
      <c r="R1198">
        <v>1459894</v>
      </c>
    </row>
    <row r="1199" spans="1:18" x14ac:dyDescent="0.25">
      <c r="A1199" s="170">
        <v>43774</v>
      </c>
      <c r="B1199" s="116">
        <v>1459.25</v>
      </c>
      <c r="C1199" s="116">
        <v>1439.55</v>
      </c>
      <c r="D1199" s="116">
        <v>1432</v>
      </c>
      <c r="E1199" s="116">
        <v>1451.2</v>
      </c>
      <c r="F1199" s="116">
        <v>1439.55</v>
      </c>
      <c r="G1199">
        <v>108483</v>
      </c>
      <c r="H1199" s="116"/>
      <c r="I1199" s="116"/>
      <c r="L1199" s="170">
        <v>43774</v>
      </c>
      <c r="M1199" s="116">
        <v>1439.8</v>
      </c>
      <c r="N1199" s="116">
        <v>1459.6</v>
      </c>
      <c r="O1199" s="116">
        <v>1432</v>
      </c>
      <c r="P1199" s="116">
        <v>1455</v>
      </c>
      <c r="Q1199" s="116">
        <v>1439.8</v>
      </c>
      <c r="R1199">
        <v>2401916</v>
      </c>
    </row>
    <row r="1200" spans="1:18" x14ac:dyDescent="0.25">
      <c r="A1200" s="170">
        <v>43775</v>
      </c>
      <c r="B1200" s="116">
        <v>1466.95</v>
      </c>
      <c r="C1200" s="116">
        <v>1452.85</v>
      </c>
      <c r="D1200" s="116">
        <v>1438.4</v>
      </c>
      <c r="E1200" s="116">
        <v>1444.25</v>
      </c>
      <c r="F1200" s="116">
        <v>1452.85</v>
      </c>
      <c r="G1200">
        <v>146138</v>
      </c>
      <c r="H1200" s="116"/>
      <c r="I1200" s="116"/>
      <c r="L1200" s="170">
        <v>43775</v>
      </c>
      <c r="M1200" s="116">
        <v>1453.05</v>
      </c>
      <c r="N1200" s="116">
        <v>1466.95</v>
      </c>
      <c r="O1200" s="116">
        <v>1437.75</v>
      </c>
      <c r="P1200" s="116">
        <v>1440</v>
      </c>
      <c r="Q1200" s="116">
        <v>1453.05</v>
      </c>
      <c r="R1200">
        <v>2434431</v>
      </c>
    </row>
    <row r="1201" spans="1:18" x14ac:dyDescent="0.25">
      <c r="A1201" s="170">
        <v>43776</v>
      </c>
      <c r="B1201" s="116">
        <v>1458.6</v>
      </c>
      <c r="C1201" s="116">
        <v>1435.4</v>
      </c>
      <c r="D1201" s="116">
        <v>1431.1</v>
      </c>
      <c r="E1201" s="116">
        <v>1454</v>
      </c>
      <c r="F1201" s="116">
        <v>1435.4</v>
      </c>
      <c r="G1201">
        <v>70574</v>
      </c>
      <c r="H1201" s="116"/>
      <c r="I1201" s="116"/>
      <c r="L1201" s="170">
        <v>43776</v>
      </c>
      <c r="M1201" s="116">
        <v>1435.05</v>
      </c>
      <c r="N1201" s="116">
        <v>1459.95</v>
      </c>
      <c r="O1201" s="116">
        <v>1431</v>
      </c>
      <c r="P1201" s="116">
        <v>1459.95</v>
      </c>
      <c r="Q1201" s="116">
        <v>1435.05</v>
      </c>
      <c r="R1201">
        <v>1999085</v>
      </c>
    </row>
    <row r="1202" spans="1:18" x14ac:dyDescent="0.25">
      <c r="A1202" s="170">
        <v>43777</v>
      </c>
      <c r="B1202" s="116">
        <v>1447.95</v>
      </c>
      <c r="C1202" s="116">
        <v>1423.05</v>
      </c>
      <c r="D1202" s="116">
        <v>1419.65</v>
      </c>
      <c r="E1202" s="116">
        <v>1433.4</v>
      </c>
      <c r="F1202" s="116">
        <v>1423.05</v>
      </c>
      <c r="G1202">
        <v>95348</v>
      </c>
      <c r="H1202" s="116"/>
      <c r="I1202" s="116"/>
      <c r="L1202" s="170">
        <v>43777</v>
      </c>
      <c r="M1202" s="116">
        <v>1423</v>
      </c>
      <c r="N1202" s="116">
        <v>1448</v>
      </c>
      <c r="O1202" s="116">
        <v>1420</v>
      </c>
      <c r="P1202" s="116">
        <v>1429.95</v>
      </c>
      <c r="Q1202" s="116">
        <v>1423</v>
      </c>
      <c r="R1202">
        <v>2217408</v>
      </c>
    </row>
    <row r="1203" spans="1:18" x14ac:dyDescent="0.25">
      <c r="A1203" s="170">
        <v>43780</v>
      </c>
      <c r="B1203" s="116">
        <v>1431</v>
      </c>
      <c r="C1203" s="116">
        <v>1416.9</v>
      </c>
      <c r="D1203" s="116">
        <v>1407.5</v>
      </c>
      <c r="E1203" s="116">
        <v>1422.7</v>
      </c>
      <c r="F1203" s="116">
        <v>1416.9</v>
      </c>
      <c r="G1203">
        <v>210653</v>
      </c>
      <c r="H1203" s="116"/>
      <c r="I1203" s="116"/>
      <c r="L1203" s="170">
        <v>43780</v>
      </c>
      <c r="M1203" s="116">
        <v>1417</v>
      </c>
      <c r="N1203" s="116">
        <v>1430.75</v>
      </c>
      <c r="O1203" s="116">
        <v>1408.05</v>
      </c>
      <c r="P1203" s="116">
        <v>1419.2</v>
      </c>
      <c r="Q1203" s="116">
        <v>1417</v>
      </c>
      <c r="R1203">
        <v>2097492</v>
      </c>
    </row>
    <row r="1204" spans="1:18" x14ac:dyDescent="0.25">
      <c r="A1204" s="170">
        <v>43782</v>
      </c>
      <c r="B1204" s="116">
        <v>1420</v>
      </c>
      <c r="C1204" s="116">
        <v>1392.95</v>
      </c>
      <c r="D1204" s="116">
        <v>1389</v>
      </c>
      <c r="E1204" s="116">
        <v>1420</v>
      </c>
      <c r="F1204" s="116">
        <v>1392.95</v>
      </c>
      <c r="G1204">
        <v>115552</v>
      </c>
      <c r="H1204" s="116"/>
      <c r="I1204" s="116"/>
      <c r="L1204" s="170">
        <v>43782</v>
      </c>
      <c r="M1204" s="116">
        <v>1393</v>
      </c>
      <c r="N1204" s="116">
        <v>1419.85</v>
      </c>
      <c r="O1204" s="116">
        <v>1389.05</v>
      </c>
      <c r="P1204" s="116">
        <v>1418.45</v>
      </c>
      <c r="Q1204" s="116">
        <v>1393</v>
      </c>
      <c r="R1204">
        <v>2929404</v>
      </c>
    </row>
    <row r="1205" spans="1:18" x14ac:dyDescent="0.25">
      <c r="A1205" s="170">
        <v>43783</v>
      </c>
      <c r="B1205" s="116">
        <v>1405.6</v>
      </c>
      <c r="C1205" s="116">
        <v>1381.05</v>
      </c>
      <c r="D1205" s="116">
        <v>1377</v>
      </c>
      <c r="E1205" s="116">
        <v>1395.7</v>
      </c>
      <c r="F1205" s="116">
        <v>1381.05</v>
      </c>
      <c r="G1205">
        <v>110078</v>
      </c>
      <c r="H1205" s="116"/>
      <c r="I1205" s="116"/>
      <c r="L1205" s="170">
        <v>43783</v>
      </c>
      <c r="M1205" s="116">
        <v>1380.45</v>
      </c>
      <c r="N1205" s="116">
        <v>1405.95</v>
      </c>
      <c r="O1205" s="116">
        <v>1376.95</v>
      </c>
      <c r="P1205" s="116">
        <v>1397</v>
      </c>
      <c r="Q1205" s="116">
        <v>1380.45</v>
      </c>
      <c r="R1205">
        <v>3000518</v>
      </c>
    </row>
    <row r="1206" spans="1:18" x14ac:dyDescent="0.25">
      <c r="A1206" s="170">
        <v>43784</v>
      </c>
      <c r="B1206" s="116">
        <v>1393.15</v>
      </c>
      <c r="C1206" s="116">
        <v>1377.5</v>
      </c>
      <c r="D1206" s="116">
        <v>1366.6</v>
      </c>
      <c r="E1206" s="116">
        <v>1384.5</v>
      </c>
      <c r="F1206" s="116">
        <v>1377.5</v>
      </c>
      <c r="G1206">
        <v>120002</v>
      </c>
      <c r="H1206" s="116"/>
      <c r="I1206" s="116"/>
      <c r="L1206" s="170">
        <v>43784</v>
      </c>
      <c r="M1206" s="116">
        <v>1377.65</v>
      </c>
      <c r="N1206" s="116">
        <v>1392.7</v>
      </c>
      <c r="O1206" s="116">
        <v>1366.2</v>
      </c>
      <c r="P1206" s="116">
        <v>1383.6</v>
      </c>
      <c r="Q1206" s="116">
        <v>1377.65</v>
      </c>
      <c r="R1206">
        <v>3409434</v>
      </c>
    </row>
    <row r="1207" spans="1:18" x14ac:dyDescent="0.25">
      <c r="A1207" s="170">
        <v>43787</v>
      </c>
      <c r="B1207" s="116">
        <v>1395</v>
      </c>
      <c r="C1207" s="116">
        <v>1366.55</v>
      </c>
      <c r="D1207" s="116">
        <v>1362</v>
      </c>
      <c r="E1207" s="116">
        <v>1393</v>
      </c>
      <c r="F1207" s="116">
        <v>1366.55</v>
      </c>
      <c r="G1207">
        <v>181945</v>
      </c>
      <c r="H1207" s="116"/>
      <c r="I1207" s="116"/>
      <c r="L1207" s="170">
        <v>43787</v>
      </c>
      <c r="M1207" s="116">
        <v>1364.5</v>
      </c>
      <c r="N1207" s="116">
        <v>1393.8</v>
      </c>
      <c r="O1207" s="116">
        <v>1361.25</v>
      </c>
      <c r="P1207" s="116">
        <v>1388</v>
      </c>
      <c r="Q1207" s="116">
        <v>1364.5</v>
      </c>
      <c r="R1207">
        <v>2733161</v>
      </c>
    </row>
    <row r="1208" spans="1:18" x14ac:dyDescent="0.25">
      <c r="A1208" s="170">
        <v>43788</v>
      </c>
      <c r="B1208" s="116">
        <v>1378.25</v>
      </c>
      <c r="C1208" s="116">
        <v>1365.35</v>
      </c>
      <c r="D1208" s="116">
        <v>1362</v>
      </c>
      <c r="E1208" s="116">
        <v>1367.3</v>
      </c>
      <c r="F1208" s="116">
        <v>1365.35</v>
      </c>
      <c r="G1208">
        <v>129532</v>
      </c>
      <c r="H1208" s="116"/>
      <c r="I1208" s="116"/>
      <c r="L1208" s="170">
        <v>43788</v>
      </c>
      <c r="M1208" s="116">
        <v>1365.75</v>
      </c>
      <c r="N1208" s="116">
        <v>1378.2</v>
      </c>
      <c r="O1208" s="116">
        <v>1361.5</v>
      </c>
      <c r="P1208" s="116">
        <v>1364.5</v>
      </c>
      <c r="Q1208" s="116">
        <v>1365.75</v>
      </c>
      <c r="R1208">
        <v>2396206</v>
      </c>
    </row>
    <row r="1209" spans="1:18" x14ac:dyDescent="0.25">
      <c r="A1209" s="170">
        <v>43789</v>
      </c>
      <c r="B1209" s="116">
        <v>1393</v>
      </c>
      <c r="C1209" s="116">
        <v>1380.65</v>
      </c>
      <c r="D1209" s="116">
        <v>1366</v>
      </c>
      <c r="E1209" s="116">
        <v>1368.8</v>
      </c>
      <c r="F1209" s="116">
        <v>1380.65</v>
      </c>
      <c r="G1209">
        <v>638323</v>
      </c>
      <c r="H1209" s="116"/>
      <c r="I1209" s="116"/>
      <c r="L1209" s="170">
        <v>43789</v>
      </c>
      <c r="M1209" s="116">
        <v>1380.8</v>
      </c>
      <c r="N1209" s="116">
        <v>1393.35</v>
      </c>
      <c r="O1209" s="116">
        <v>1365.35</v>
      </c>
      <c r="P1209" s="116">
        <v>1372</v>
      </c>
      <c r="Q1209" s="116">
        <v>1380.8</v>
      </c>
      <c r="R1209">
        <v>3914075</v>
      </c>
    </row>
    <row r="1210" spans="1:18" x14ac:dyDescent="0.25">
      <c r="A1210" s="170">
        <v>43790</v>
      </c>
      <c r="B1210" s="116">
        <v>1417.5</v>
      </c>
      <c r="C1210" s="116">
        <v>1393</v>
      </c>
      <c r="D1210" s="116">
        <v>1386.2</v>
      </c>
      <c r="E1210" s="116">
        <v>1404</v>
      </c>
      <c r="F1210" s="116">
        <v>1393</v>
      </c>
      <c r="G1210">
        <v>319695</v>
      </c>
      <c r="H1210" s="116"/>
      <c r="I1210" s="116"/>
      <c r="L1210" s="170">
        <v>43790</v>
      </c>
      <c r="M1210" s="116">
        <v>1392.7</v>
      </c>
      <c r="N1210" s="116">
        <v>1417.9</v>
      </c>
      <c r="O1210" s="116">
        <v>1385</v>
      </c>
      <c r="P1210" s="116">
        <v>1405</v>
      </c>
      <c r="Q1210" s="116">
        <v>1392.7</v>
      </c>
      <c r="R1210">
        <v>5719318</v>
      </c>
    </row>
    <row r="1211" spans="1:18" x14ac:dyDescent="0.25">
      <c r="A1211" s="170">
        <v>43791</v>
      </c>
      <c r="B1211" s="116">
        <v>1398.55</v>
      </c>
      <c r="C1211" s="116">
        <v>1378.55</v>
      </c>
      <c r="D1211" s="116">
        <v>1371</v>
      </c>
      <c r="E1211" s="116">
        <v>1395</v>
      </c>
      <c r="F1211" s="116">
        <v>1378.55</v>
      </c>
      <c r="G1211">
        <v>278059</v>
      </c>
      <c r="H1211" s="116"/>
      <c r="I1211" s="116"/>
      <c r="L1211" s="170">
        <v>43791</v>
      </c>
      <c r="M1211" s="116">
        <v>1378.65</v>
      </c>
      <c r="N1211" s="116">
        <v>1398.95</v>
      </c>
      <c r="O1211" s="116">
        <v>1371</v>
      </c>
      <c r="P1211" s="116">
        <v>1393.75</v>
      </c>
      <c r="Q1211" s="116">
        <v>1378.65</v>
      </c>
      <c r="R1211">
        <v>2363205</v>
      </c>
    </row>
    <row r="1212" spans="1:18" x14ac:dyDescent="0.25">
      <c r="A1212" s="170">
        <v>43794</v>
      </c>
      <c r="B1212" s="116">
        <v>1389</v>
      </c>
      <c r="C1212" s="116">
        <v>1380</v>
      </c>
      <c r="D1212" s="116">
        <v>1370.5</v>
      </c>
      <c r="E1212" s="116">
        <v>1382</v>
      </c>
      <c r="F1212" s="116">
        <v>1380</v>
      </c>
      <c r="G1212">
        <v>675084</v>
      </c>
      <c r="H1212" s="116"/>
      <c r="I1212" s="116"/>
      <c r="L1212" s="170">
        <v>43794</v>
      </c>
      <c r="M1212" s="116">
        <v>1380.85</v>
      </c>
      <c r="N1212" s="116">
        <v>1389</v>
      </c>
      <c r="O1212" s="116">
        <v>1371.1</v>
      </c>
      <c r="P1212" s="116">
        <v>1378.5</v>
      </c>
      <c r="Q1212" s="116">
        <v>1380.85</v>
      </c>
      <c r="R1212">
        <v>2956576</v>
      </c>
    </row>
    <row r="1213" spans="1:18" x14ac:dyDescent="0.25">
      <c r="A1213" s="170">
        <v>43795</v>
      </c>
      <c r="B1213" s="116">
        <v>1379.8</v>
      </c>
      <c r="C1213" s="116">
        <v>1362.9</v>
      </c>
      <c r="D1213" s="116">
        <v>1360</v>
      </c>
      <c r="E1213" s="116">
        <v>1379.8</v>
      </c>
      <c r="F1213" s="116">
        <v>1362.9</v>
      </c>
      <c r="G1213">
        <v>133765</v>
      </c>
      <c r="H1213" s="116"/>
      <c r="I1213" s="116"/>
      <c r="L1213" s="170">
        <v>43795</v>
      </c>
      <c r="M1213" s="116">
        <v>1363</v>
      </c>
      <c r="N1213" s="116">
        <v>1380</v>
      </c>
      <c r="O1213" s="116">
        <v>1359.55</v>
      </c>
      <c r="P1213" s="116">
        <v>1379.35</v>
      </c>
      <c r="Q1213" s="116">
        <v>1363</v>
      </c>
      <c r="R1213">
        <v>4853977</v>
      </c>
    </row>
    <row r="1214" spans="1:18" x14ac:dyDescent="0.25">
      <c r="A1214" s="170">
        <v>43796</v>
      </c>
      <c r="B1214" s="116">
        <v>1370</v>
      </c>
      <c r="C1214" s="116">
        <v>1334.9</v>
      </c>
      <c r="D1214" s="116">
        <v>1315.05</v>
      </c>
      <c r="E1214" s="116">
        <v>1368</v>
      </c>
      <c r="F1214" s="116">
        <v>1334.9</v>
      </c>
      <c r="G1214">
        <v>308398</v>
      </c>
      <c r="H1214" s="116"/>
      <c r="I1214" s="116"/>
      <c r="L1214" s="170">
        <v>43796</v>
      </c>
      <c r="M1214" s="116">
        <v>1335.5</v>
      </c>
      <c r="N1214" s="116">
        <v>1370</v>
      </c>
      <c r="O1214" s="116">
        <v>1314.15</v>
      </c>
      <c r="P1214" s="116">
        <v>1365</v>
      </c>
      <c r="Q1214" s="116">
        <v>1335.5</v>
      </c>
      <c r="R1214">
        <v>7904745</v>
      </c>
    </row>
    <row r="1215" spans="1:18" x14ac:dyDescent="0.25">
      <c r="A1215" s="170">
        <v>43797</v>
      </c>
      <c r="B1215" s="116">
        <v>1353.6</v>
      </c>
      <c r="C1215" s="116">
        <v>1349.85</v>
      </c>
      <c r="D1215" s="116">
        <v>1327.9</v>
      </c>
      <c r="E1215" s="116">
        <v>1345.35</v>
      </c>
      <c r="F1215" s="116">
        <v>1349.85</v>
      </c>
      <c r="G1215">
        <v>140108</v>
      </c>
      <c r="H1215" s="116"/>
      <c r="I1215" s="116"/>
      <c r="L1215" s="170">
        <v>43797</v>
      </c>
      <c r="M1215" s="116">
        <v>1349.9</v>
      </c>
      <c r="N1215" s="116">
        <v>1354</v>
      </c>
      <c r="O1215" s="116">
        <v>1327.2</v>
      </c>
      <c r="P1215" s="116">
        <v>1344</v>
      </c>
      <c r="Q1215" s="116">
        <v>1349.9</v>
      </c>
      <c r="R1215">
        <v>4503913</v>
      </c>
    </row>
    <row r="1216" spans="1:18" x14ac:dyDescent="0.25">
      <c r="A1216" s="170">
        <v>43798</v>
      </c>
      <c r="B1216" s="116">
        <v>1350</v>
      </c>
      <c r="C1216" s="116">
        <v>1330.6</v>
      </c>
      <c r="D1216" s="116">
        <v>1328.2</v>
      </c>
      <c r="E1216" s="116">
        <v>1345.1</v>
      </c>
      <c r="F1216" s="116">
        <v>1330.6</v>
      </c>
      <c r="G1216">
        <v>107205</v>
      </c>
      <c r="H1216" s="116"/>
      <c r="I1216" s="116"/>
      <c r="L1216" s="170">
        <v>43798</v>
      </c>
      <c r="M1216" s="116">
        <v>1330.55</v>
      </c>
      <c r="N1216" s="116">
        <v>1350.2</v>
      </c>
      <c r="O1216" s="116">
        <v>1328</v>
      </c>
      <c r="P1216" s="116">
        <v>1350</v>
      </c>
      <c r="Q1216" s="116">
        <v>1330.55</v>
      </c>
      <c r="R1216">
        <v>2515083</v>
      </c>
    </row>
    <row r="1217" spans="1:18" x14ac:dyDescent="0.25">
      <c r="A1217" s="170">
        <v>43801</v>
      </c>
      <c r="B1217" s="116">
        <v>1342.4</v>
      </c>
      <c r="C1217" s="116">
        <v>1332.65</v>
      </c>
      <c r="D1217" s="116">
        <v>1320.65</v>
      </c>
      <c r="E1217" s="116">
        <v>1331</v>
      </c>
      <c r="F1217" s="116">
        <v>1332.65</v>
      </c>
      <c r="G1217">
        <v>138975</v>
      </c>
      <c r="H1217" s="116"/>
      <c r="I1217" s="116"/>
      <c r="L1217" s="170">
        <v>43801</v>
      </c>
      <c r="M1217" s="116">
        <v>1333.35</v>
      </c>
      <c r="N1217" s="116">
        <v>1342.9</v>
      </c>
      <c r="O1217" s="116">
        <v>1320.35</v>
      </c>
      <c r="P1217" s="116">
        <v>1330.55</v>
      </c>
      <c r="Q1217" s="116">
        <v>1333.35</v>
      </c>
      <c r="R1217">
        <v>3044008</v>
      </c>
    </row>
    <row r="1218" spans="1:18" x14ac:dyDescent="0.25">
      <c r="A1218" s="170">
        <v>43802</v>
      </c>
      <c r="B1218" s="116">
        <v>1336.1</v>
      </c>
      <c r="C1218" s="116">
        <v>1313.55</v>
      </c>
      <c r="D1218" s="116">
        <v>1310.2</v>
      </c>
      <c r="E1218" s="116">
        <v>1336.1</v>
      </c>
      <c r="F1218" s="116">
        <v>1313.55</v>
      </c>
      <c r="G1218">
        <v>123050</v>
      </c>
      <c r="H1218" s="116"/>
      <c r="I1218" s="116"/>
      <c r="L1218" s="170">
        <v>43802</v>
      </c>
      <c r="M1218" s="116">
        <v>1313.2</v>
      </c>
      <c r="N1218" s="116">
        <v>1333.45</v>
      </c>
      <c r="O1218" s="116">
        <v>1310</v>
      </c>
      <c r="P1218" s="116">
        <v>1333.45</v>
      </c>
      <c r="Q1218" s="116">
        <v>1313.2</v>
      </c>
      <c r="R1218">
        <v>3068849</v>
      </c>
    </row>
    <row r="1219" spans="1:18" x14ac:dyDescent="0.25">
      <c r="A1219" s="170">
        <v>43803</v>
      </c>
      <c r="B1219" s="116">
        <v>1312.9</v>
      </c>
      <c r="C1219" s="116">
        <v>1285.2</v>
      </c>
      <c r="D1219" s="116">
        <v>1282.55</v>
      </c>
      <c r="E1219" s="116">
        <v>1311</v>
      </c>
      <c r="F1219" s="116">
        <v>1285.2</v>
      </c>
      <c r="G1219">
        <v>646626</v>
      </c>
      <c r="H1219" s="116"/>
      <c r="I1219" s="116"/>
      <c r="L1219" s="170">
        <v>43803</v>
      </c>
      <c r="M1219" s="116">
        <v>1285.0999999999999</v>
      </c>
      <c r="N1219" s="116">
        <v>1312</v>
      </c>
      <c r="O1219" s="116">
        <v>1282.1500000000001</v>
      </c>
      <c r="P1219" s="116">
        <v>1310</v>
      </c>
      <c r="Q1219" s="116">
        <v>1285.0999999999999</v>
      </c>
      <c r="R1219">
        <v>10230371</v>
      </c>
    </row>
    <row r="1220" spans="1:18" x14ac:dyDescent="0.25">
      <c r="A1220" s="170">
        <v>43804</v>
      </c>
      <c r="B1220" s="116">
        <v>1312.9</v>
      </c>
      <c r="C1220" s="116">
        <v>1301.6500000000001</v>
      </c>
      <c r="D1220" s="116">
        <v>1285.95</v>
      </c>
      <c r="E1220" s="116">
        <v>1290.7</v>
      </c>
      <c r="F1220" s="116">
        <v>1301.6500000000001</v>
      </c>
      <c r="G1220">
        <v>221526</v>
      </c>
      <c r="H1220" s="116"/>
      <c r="I1220" s="116"/>
      <c r="L1220" s="170">
        <v>43804</v>
      </c>
      <c r="M1220" s="116">
        <v>1302.2</v>
      </c>
      <c r="N1220" s="116">
        <v>1313</v>
      </c>
      <c r="O1220" s="116">
        <v>1285.1500000000001</v>
      </c>
      <c r="P1220" s="116">
        <v>1294</v>
      </c>
      <c r="Q1220" s="116">
        <v>1302.2</v>
      </c>
      <c r="R1220">
        <v>6644324</v>
      </c>
    </row>
    <row r="1221" spans="1:18" x14ac:dyDescent="0.25">
      <c r="A1221" s="170">
        <v>43805</v>
      </c>
      <c r="B1221" s="116">
        <v>1310</v>
      </c>
      <c r="C1221" s="116">
        <v>1290.3</v>
      </c>
      <c r="D1221" s="116">
        <v>1283.4000000000001</v>
      </c>
      <c r="E1221" s="116">
        <v>1310</v>
      </c>
      <c r="F1221" s="116">
        <v>1290.3</v>
      </c>
      <c r="G1221">
        <v>124117</v>
      </c>
      <c r="H1221" s="116"/>
      <c r="I1221" s="116"/>
      <c r="L1221" s="170">
        <v>43805</v>
      </c>
      <c r="M1221" s="116">
        <v>1290.8</v>
      </c>
      <c r="N1221" s="116">
        <v>1309</v>
      </c>
      <c r="O1221" s="116">
        <v>1283.0999999999999</v>
      </c>
      <c r="P1221" s="116">
        <v>1308.8499999999999</v>
      </c>
      <c r="Q1221" s="116">
        <v>1290.8</v>
      </c>
      <c r="R1221">
        <v>3302384</v>
      </c>
    </row>
    <row r="1222" spans="1:18" x14ac:dyDescent="0.25">
      <c r="A1222" s="170">
        <v>43808</v>
      </c>
      <c r="B1222" s="116">
        <v>1299</v>
      </c>
      <c r="C1222" s="116">
        <v>1276.9000000000001</v>
      </c>
      <c r="D1222" s="116">
        <v>1272.55</v>
      </c>
      <c r="E1222" s="116">
        <v>1296.45</v>
      </c>
      <c r="F1222" s="116">
        <v>1276.9000000000001</v>
      </c>
      <c r="G1222">
        <v>121488</v>
      </c>
      <c r="H1222" s="116"/>
      <c r="I1222" s="116"/>
      <c r="L1222" s="170">
        <v>43808</v>
      </c>
      <c r="M1222" s="116">
        <v>1276</v>
      </c>
      <c r="N1222" s="116">
        <v>1298.9000000000001</v>
      </c>
      <c r="O1222" s="116">
        <v>1271.8</v>
      </c>
      <c r="P1222" s="116">
        <v>1294</v>
      </c>
      <c r="Q1222" s="116">
        <v>1276</v>
      </c>
      <c r="R1222">
        <v>3038475</v>
      </c>
    </row>
    <row r="1223" spans="1:18" x14ac:dyDescent="0.25">
      <c r="A1223" s="170">
        <v>43809</v>
      </c>
      <c r="B1223" s="116">
        <v>1284.8</v>
      </c>
      <c r="C1223" s="116">
        <v>1279.0999999999999</v>
      </c>
      <c r="D1223" s="116">
        <v>1268</v>
      </c>
      <c r="E1223" s="116">
        <v>1279.45</v>
      </c>
      <c r="F1223" s="116">
        <v>1279.0999999999999</v>
      </c>
      <c r="G1223">
        <v>97668</v>
      </c>
      <c r="H1223" s="116"/>
      <c r="I1223" s="116"/>
      <c r="L1223" s="170">
        <v>43809</v>
      </c>
      <c r="M1223" s="116">
        <v>1279</v>
      </c>
      <c r="N1223" s="116">
        <v>1284</v>
      </c>
      <c r="O1223" s="116">
        <v>1267.1500000000001</v>
      </c>
      <c r="P1223" s="116">
        <v>1277</v>
      </c>
      <c r="Q1223" s="116">
        <v>1279</v>
      </c>
      <c r="R1223">
        <v>2759100</v>
      </c>
    </row>
    <row r="1224" spans="1:18" x14ac:dyDescent="0.25">
      <c r="A1224" s="170">
        <v>43810</v>
      </c>
      <c r="B1224" s="116">
        <v>1288</v>
      </c>
      <c r="C1224" s="116">
        <v>1263.5999999999999</v>
      </c>
      <c r="D1224" s="116">
        <v>1255.5999999999999</v>
      </c>
      <c r="E1224" s="116">
        <v>1285.9000000000001</v>
      </c>
      <c r="F1224" s="116">
        <v>1263.5999999999999</v>
      </c>
      <c r="G1224">
        <v>184606</v>
      </c>
      <c r="H1224" s="116"/>
      <c r="I1224" s="116"/>
      <c r="L1224" s="170">
        <v>43810</v>
      </c>
      <c r="M1224" s="116">
        <v>1264.3</v>
      </c>
      <c r="N1224" s="116">
        <v>1288.75</v>
      </c>
      <c r="O1224" s="116">
        <v>1255</v>
      </c>
      <c r="P1224" s="116">
        <v>1282.95</v>
      </c>
      <c r="Q1224" s="116">
        <v>1264.3</v>
      </c>
      <c r="R1224">
        <v>3949135</v>
      </c>
    </row>
    <row r="1225" spans="1:18" x14ac:dyDescent="0.25">
      <c r="A1225" s="170">
        <v>43811</v>
      </c>
      <c r="B1225" s="116">
        <v>1282.5999999999999</v>
      </c>
      <c r="C1225" s="116">
        <v>1279.2</v>
      </c>
      <c r="D1225" s="116">
        <v>1268.55</v>
      </c>
      <c r="E1225" s="116">
        <v>1271.5</v>
      </c>
      <c r="F1225" s="116">
        <v>1279.2</v>
      </c>
      <c r="G1225">
        <v>130911</v>
      </c>
      <c r="H1225" s="116"/>
      <c r="I1225" s="116"/>
      <c r="L1225" s="170">
        <v>43811</v>
      </c>
      <c r="M1225" s="116">
        <v>1279.7</v>
      </c>
      <c r="N1225" s="116">
        <v>1282.8499999999999</v>
      </c>
      <c r="O1225" s="116">
        <v>1268.2</v>
      </c>
      <c r="P1225" s="116">
        <v>1270</v>
      </c>
      <c r="Q1225" s="116">
        <v>1279.7</v>
      </c>
      <c r="R1225">
        <v>3264836</v>
      </c>
    </row>
    <row r="1226" spans="1:18" x14ac:dyDescent="0.25">
      <c r="A1226" s="170">
        <v>43812</v>
      </c>
      <c r="B1226" s="116">
        <v>1308</v>
      </c>
      <c r="C1226" s="116">
        <v>1305.2</v>
      </c>
      <c r="D1226" s="116">
        <v>1285.6500000000001</v>
      </c>
      <c r="E1226" s="116">
        <v>1289</v>
      </c>
      <c r="F1226" s="116">
        <v>1305.2</v>
      </c>
      <c r="G1226">
        <v>137866</v>
      </c>
      <c r="H1226" s="116"/>
      <c r="I1226" s="116"/>
      <c r="L1226" s="170">
        <v>43812</v>
      </c>
      <c r="M1226" s="116">
        <v>1305.3</v>
      </c>
      <c r="N1226" s="116">
        <v>1308</v>
      </c>
      <c r="O1226" s="116">
        <v>1285.3</v>
      </c>
      <c r="P1226" s="116">
        <v>1287.95</v>
      </c>
      <c r="Q1226" s="116">
        <v>1305.3</v>
      </c>
      <c r="R1226">
        <v>3655956</v>
      </c>
    </row>
    <row r="1227" spans="1:18" x14ac:dyDescent="0.25">
      <c r="A1227" s="170">
        <v>43815</v>
      </c>
      <c r="B1227" s="116">
        <v>1317.9</v>
      </c>
      <c r="C1227" s="116">
        <v>1303.4000000000001</v>
      </c>
      <c r="D1227" s="116">
        <v>1300.45</v>
      </c>
      <c r="E1227" s="116">
        <v>1313</v>
      </c>
      <c r="F1227" s="116">
        <v>1303.4000000000001</v>
      </c>
      <c r="G1227">
        <v>128689</v>
      </c>
      <c r="H1227" s="116"/>
      <c r="I1227" s="116"/>
      <c r="L1227" s="170">
        <v>43815</v>
      </c>
      <c r="M1227" s="116">
        <v>1303</v>
      </c>
      <c r="N1227" s="116">
        <v>1318</v>
      </c>
      <c r="O1227" s="116">
        <v>1300</v>
      </c>
      <c r="P1227" s="116">
        <v>1314.45</v>
      </c>
      <c r="Q1227" s="116">
        <v>1303</v>
      </c>
      <c r="R1227">
        <v>3969819</v>
      </c>
    </row>
    <row r="1228" spans="1:18" x14ac:dyDescent="0.25">
      <c r="A1228" s="170">
        <v>43816</v>
      </c>
      <c r="B1228" s="116">
        <v>1324.9</v>
      </c>
      <c r="C1228" s="116">
        <v>1317.7</v>
      </c>
      <c r="D1228" s="116">
        <v>1303.9000000000001</v>
      </c>
      <c r="E1228" s="116">
        <v>1310.7</v>
      </c>
      <c r="F1228" s="116">
        <v>1317.7</v>
      </c>
      <c r="G1228">
        <v>163460</v>
      </c>
      <c r="H1228" s="116"/>
      <c r="I1228" s="116"/>
      <c r="L1228" s="170">
        <v>43816</v>
      </c>
      <c r="M1228" s="116">
        <v>1317.95</v>
      </c>
      <c r="N1228" s="116">
        <v>1325</v>
      </c>
      <c r="O1228" s="116">
        <v>1303.8</v>
      </c>
      <c r="P1228" s="116">
        <v>1309.2</v>
      </c>
      <c r="Q1228" s="116">
        <v>1317.95</v>
      </c>
      <c r="R1228">
        <v>3719446</v>
      </c>
    </row>
    <row r="1229" spans="1:18" x14ac:dyDescent="0.25">
      <c r="A1229" s="170">
        <v>43817</v>
      </c>
      <c r="B1229" s="116">
        <v>1325.85</v>
      </c>
      <c r="C1229" s="116">
        <v>1319.15</v>
      </c>
      <c r="D1229" s="116">
        <v>1315</v>
      </c>
      <c r="E1229" s="116">
        <v>1324.95</v>
      </c>
      <c r="F1229" s="116">
        <v>1319.15</v>
      </c>
      <c r="G1229">
        <v>74984</v>
      </c>
      <c r="H1229" s="116"/>
      <c r="I1229" s="116"/>
      <c r="L1229" s="170">
        <v>43817</v>
      </c>
      <c r="M1229" s="116">
        <v>1319.35</v>
      </c>
      <c r="N1229" s="116">
        <v>1325.95</v>
      </c>
      <c r="O1229" s="116">
        <v>1314.6</v>
      </c>
      <c r="P1229" s="116">
        <v>1324.75</v>
      </c>
      <c r="Q1229" s="116">
        <v>1319.35</v>
      </c>
      <c r="R1229">
        <v>2961222</v>
      </c>
    </row>
    <row r="1230" spans="1:18" x14ac:dyDescent="0.25">
      <c r="A1230" s="170">
        <v>43818</v>
      </c>
      <c r="B1230" s="116">
        <v>1320.55</v>
      </c>
      <c r="C1230" s="116">
        <v>1312.4</v>
      </c>
      <c r="D1230" s="116">
        <v>1307.05</v>
      </c>
      <c r="E1230" s="116">
        <v>1317</v>
      </c>
      <c r="F1230" s="116">
        <v>1312.4</v>
      </c>
      <c r="G1230">
        <v>73918</v>
      </c>
      <c r="H1230" s="116"/>
      <c r="I1230" s="116"/>
      <c r="L1230" s="170">
        <v>43818</v>
      </c>
      <c r="M1230" s="116">
        <v>1311.75</v>
      </c>
      <c r="N1230" s="116">
        <v>1321</v>
      </c>
      <c r="O1230" s="116">
        <v>1307.0999999999999</v>
      </c>
      <c r="P1230" s="116">
        <v>1316.75</v>
      </c>
      <c r="Q1230" s="116">
        <v>1311.75</v>
      </c>
      <c r="R1230">
        <v>1936623</v>
      </c>
    </row>
    <row r="1231" spans="1:18" x14ac:dyDescent="0.25">
      <c r="A1231" s="170">
        <v>43819</v>
      </c>
      <c r="B1231" s="116">
        <v>1328</v>
      </c>
      <c r="C1231" s="116">
        <v>1312.25</v>
      </c>
      <c r="D1231" s="116">
        <v>1308</v>
      </c>
      <c r="E1231" s="116">
        <v>1312</v>
      </c>
      <c r="F1231" s="116">
        <v>1312.25</v>
      </c>
      <c r="G1231">
        <v>113655</v>
      </c>
      <c r="H1231" s="116"/>
      <c r="I1231" s="116"/>
      <c r="L1231" s="170">
        <v>43819</v>
      </c>
      <c r="M1231" s="116">
        <v>1311.55</v>
      </c>
      <c r="N1231" s="116">
        <v>1327.9</v>
      </c>
      <c r="O1231" s="116">
        <v>1307.3</v>
      </c>
      <c r="P1231" s="116">
        <v>1313</v>
      </c>
      <c r="Q1231" s="116">
        <v>1311.55</v>
      </c>
      <c r="R1231">
        <v>3297390</v>
      </c>
    </row>
    <row r="1232" spans="1:18" x14ac:dyDescent="0.25">
      <c r="A1232" s="170">
        <v>43822</v>
      </c>
      <c r="B1232" s="116">
        <v>1321.8</v>
      </c>
      <c r="C1232" s="116">
        <v>1311.25</v>
      </c>
      <c r="D1232" s="116">
        <v>1306.3</v>
      </c>
      <c r="E1232" s="116">
        <v>1312</v>
      </c>
      <c r="F1232" s="116">
        <v>1311.25</v>
      </c>
      <c r="G1232">
        <v>83684</v>
      </c>
      <c r="H1232" s="116"/>
      <c r="I1232" s="116"/>
      <c r="L1232" s="170">
        <v>43822</v>
      </c>
      <c r="M1232" s="116">
        <v>1311.25</v>
      </c>
      <c r="N1232" s="116">
        <v>1322</v>
      </c>
      <c r="O1232" s="116">
        <v>1305</v>
      </c>
      <c r="P1232" s="116">
        <v>1307.9000000000001</v>
      </c>
      <c r="Q1232" s="116">
        <v>1311.25</v>
      </c>
      <c r="R1232">
        <v>3394916</v>
      </c>
    </row>
    <row r="1233" spans="1:18" x14ac:dyDescent="0.25">
      <c r="A1233" s="170">
        <v>43823</v>
      </c>
      <c r="B1233" s="116">
        <v>1319.15</v>
      </c>
      <c r="C1233" s="116">
        <v>1301.6500000000001</v>
      </c>
      <c r="D1233" s="116">
        <v>1297.8</v>
      </c>
      <c r="E1233" s="116">
        <v>1315</v>
      </c>
      <c r="F1233" s="116">
        <v>1301.6500000000001</v>
      </c>
      <c r="G1233">
        <v>89964</v>
      </c>
      <c r="H1233" s="116"/>
      <c r="I1233" s="116"/>
      <c r="L1233" s="170">
        <v>43823</v>
      </c>
      <c r="M1233" s="116">
        <v>1301</v>
      </c>
      <c r="N1233" s="116">
        <v>1319</v>
      </c>
      <c r="O1233" s="116">
        <v>1298</v>
      </c>
      <c r="P1233" s="116">
        <v>1314.65</v>
      </c>
      <c r="Q1233" s="116">
        <v>1301</v>
      </c>
      <c r="R1233">
        <v>1803814</v>
      </c>
    </row>
    <row r="1234" spans="1:18" x14ac:dyDescent="0.25">
      <c r="A1234" s="170">
        <v>43825</v>
      </c>
      <c r="B1234" s="116">
        <v>1307.0999999999999</v>
      </c>
      <c r="C1234" s="116">
        <v>1279.25</v>
      </c>
      <c r="D1234" s="116">
        <v>1277</v>
      </c>
      <c r="E1234" s="116">
        <v>1301.5</v>
      </c>
      <c r="F1234" s="116">
        <v>1279.25</v>
      </c>
      <c r="G1234">
        <v>124739</v>
      </c>
      <c r="H1234" s="116"/>
      <c r="I1234" s="116"/>
      <c r="L1234" s="170">
        <v>43825</v>
      </c>
      <c r="M1234" s="116">
        <v>1279.3</v>
      </c>
      <c r="N1234" s="116">
        <v>1306.7</v>
      </c>
      <c r="O1234" s="116">
        <v>1277</v>
      </c>
      <c r="P1234" s="116">
        <v>1299.6500000000001</v>
      </c>
      <c r="Q1234" s="116">
        <v>1279.3</v>
      </c>
      <c r="R1234">
        <v>3723801</v>
      </c>
    </row>
    <row r="1235" spans="1:18" x14ac:dyDescent="0.25">
      <c r="A1235" s="170">
        <v>43826</v>
      </c>
      <c r="B1235" s="116">
        <v>1301.75</v>
      </c>
      <c r="C1235" s="116">
        <v>1299.6500000000001</v>
      </c>
      <c r="D1235" s="116">
        <v>1280.45</v>
      </c>
      <c r="E1235" s="116">
        <v>1283.3499999999999</v>
      </c>
      <c r="F1235" s="116">
        <v>1299.6500000000001</v>
      </c>
      <c r="G1235">
        <v>88699</v>
      </c>
      <c r="H1235" s="116"/>
      <c r="I1235" s="116"/>
      <c r="L1235" s="170">
        <v>43826</v>
      </c>
      <c r="M1235" s="116">
        <v>1299.5999999999999</v>
      </c>
      <c r="N1235" s="116">
        <v>1301.8499999999999</v>
      </c>
      <c r="O1235" s="116">
        <v>1280.1500000000001</v>
      </c>
      <c r="P1235" s="116">
        <v>1281.55</v>
      </c>
      <c r="Q1235" s="116">
        <v>1299.5999999999999</v>
      </c>
      <c r="R1235">
        <v>2459664</v>
      </c>
    </row>
    <row r="1236" spans="1:18" x14ac:dyDescent="0.25">
      <c r="A1236" s="170">
        <v>43829</v>
      </c>
      <c r="B1236" s="116">
        <v>1307</v>
      </c>
      <c r="C1236" s="116">
        <v>1302</v>
      </c>
      <c r="D1236" s="116">
        <v>1297</v>
      </c>
      <c r="E1236" s="116">
        <v>1303.8</v>
      </c>
      <c r="F1236" s="116">
        <v>1302</v>
      </c>
      <c r="G1236">
        <v>65014</v>
      </c>
      <c r="H1236" s="116"/>
      <c r="I1236" s="116"/>
      <c r="L1236" s="170">
        <v>43829</v>
      </c>
      <c r="M1236" s="116">
        <v>1302.3</v>
      </c>
      <c r="N1236" s="116">
        <v>1307.2</v>
      </c>
      <c r="O1236" s="116">
        <v>1296.5</v>
      </c>
      <c r="P1236" s="116">
        <v>1301.9000000000001</v>
      </c>
      <c r="Q1236" s="116">
        <v>1302.3</v>
      </c>
      <c r="R1236">
        <v>2072838</v>
      </c>
    </row>
    <row r="1237" spans="1:18" x14ac:dyDescent="0.25">
      <c r="A1237" s="170">
        <v>43830</v>
      </c>
      <c r="B1237" s="116">
        <v>1310.2</v>
      </c>
      <c r="C1237" s="116">
        <v>1298.95</v>
      </c>
      <c r="D1237" s="116">
        <v>1291.3</v>
      </c>
      <c r="E1237" s="116">
        <v>1302</v>
      </c>
      <c r="F1237" s="116">
        <v>1298.95</v>
      </c>
      <c r="G1237">
        <v>99791</v>
      </c>
      <c r="H1237" s="116"/>
      <c r="I1237" s="116"/>
      <c r="L1237" s="170">
        <v>43830</v>
      </c>
      <c r="M1237" s="116">
        <v>1298.2</v>
      </c>
      <c r="N1237" s="116">
        <v>1310</v>
      </c>
      <c r="O1237" s="116">
        <v>1291.1500000000001</v>
      </c>
      <c r="P1237" s="116">
        <v>1300</v>
      </c>
      <c r="Q1237" s="116">
        <v>1298.2</v>
      </c>
      <c r="R1237">
        <v>3043254</v>
      </c>
    </row>
    <row r="1238" spans="1:18" x14ac:dyDescent="0.25">
      <c r="A1238" s="170">
        <v>43831</v>
      </c>
      <c r="B1238" s="116">
        <v>1318.45</v>
      </c>
      <c r="C1238" s="116">
        <v>1310.0999999999999</v>
      </c>
      <c r="D1238" s="116">
        <v>1303.3499999999999</v>
      </c>
      <c r="E1238" s="116">
        <v>1310</v>
      </c>
      <c r="F1238" s="116">
        <v>1310.0999999999999</v>
      </c>
      <c r="G1238">
        <v>154714</v>
      </c>
      <c r="H1238" s="116"/>
      <c r="I1238" s="116"/>
      <c r="L1238" s="170">
        <v>43831</v>
      </c>
      <c r="M1238" s="116">
        <v>1309.95</v>
      </c>
      <c r="N1238" s="116">
        <v>1318.9</v>
      </c>
      <c r="O1238" s="116">
        <v>1303</v>
      </c>
      <c r="P1238" s="116">
        <v>1308.4000000000001</v>
      </c>
      <c r="Q1238" s="116">
        <v>1309.95</v>
      </c>
      <c r="R1238">
        <v>3123998</v>
      </c>
    </row>
    <row r="1239" spans="1:18" x14ac:dyDescent="0.25">
      <c r="A1239" s="170">
        <v>43832</v>
      </c>
      <c r="B1239" s="116">
        <v>1347.7</v>
      </c>
      <c r="C1239" s="116">
        <v>1345</v>
      </c>
      <c r="D1239" s="116">
        <v>1310.3</v>
      </c>
      <c r="E1239" s="116">
        <v>1310.3</v>
      </c>
      <c r="F1239" s="116">
        <v>1345</v>
      </c>
      <c r="G1239">
        <v>151270</v>
      </c>
      <c r="H1239" s="116"/>
      <c r="I1239" s="116"/>
      <c r="L1239" s="170">
        <v>43832</v>
      </c>
      <c r="M1239" s="116">
        <v>1345.3</v>
      </c>
      <c r="N1239" s="116">
        <v>1348</v>
      </c>
      <c r="O1239" s="116">
        <v>1311</v>
      </c>
      <c r="P1239" s="116">
        <v>1312</v>
      </c>
      <c r="Q1239" s="116">
        <v>1345.3</v>
      </c>
      <c r="R1239">
        <v>4335359</v>
      </c>
    </row>
    <row r="1240" spans="1:18" x14ac:dyDescent="0.25">
      <c r="A1240" s="170">
        <v>43833</v>
      </c>
      <c r="B1240" s="116">
        <v>1344.8</v>
      </c>
      <c r="C1240" s="116">
        <v>1335.15</v>
      </c>
      <c r="D1240" s="116">
        <v>1330.35</v>
      </c>
      <c r="E1240" s="116">
        <v>1344.8</v>
      </c>
      <c r="F1240" s="116">
        <v>1335.15</v>
      </c>
      <c r="G1240">
        <v>56926</v>
      </c>
      <c r="H1240" s="116"/>
      <c r="I1240" s="116"/>
      <c r="L1240" s="170">
        <v>43833</v>
      </c>
      <c r="M1240" s="116">
        <v>1335.05</v>
      </c>
      <c r="N1240" s="116">
        <v>1344.95</v>
      </c>
      <c r="O1240" s="116">
        <v>1330.15</v>
      </c>
      <c r="P1240" s="116">
        <v>1344.95</v>
      </c>
      <c r="Q1240" s="116">
        <v>1335.05</v>
      </c>
      <c r="R1240">
        <v>2059871</v>
      </c>
    </row>
    <row r="1241" spans="1:18" x14ac:dyDescent="0.25">
      <c r="A1241" s="170">
        <v>43836</v>
      </c>
      <c r="B1241" s="116">
        <v>1335</v>
      </c>
      <c r="C1241" s="116">
        <v>1316.3</v>
      </c>
      <c r="D1241" s="116">
        <v>1314</v>
      </c>
      <c r="E1241" s="116">
        <v>1335</v>
      </c>
      <c r="F1241" s="116">
        <v>1316.3</v>
      </c>
      <c r="G1241">
        <v>95499</v>
      </c>
      <c r="H1241" s="116"/>
      <c r="I1241" s="116"/>
      <c r="L1241" s="170">
        <v>43836</v>
      </c>
      <c r="M1241" s="116">
        <v>1316.75</v>
      </c>
      <c r="N1241" s="116">
        <v>1332</v>
      </c>
      <c r="O1241" s="116">
        <v>1314.1</v>
      </c>
      <c r="P1241" s="116">
        <v>1331</v>
      </c>
      <c r="Q1241" s="116">
        <v>1316.75</v>
      </c>
      <c r="R1241">
        <v>2646905</v>
      </c>
    </row>
    <row r="1242" spans="1:18" x14ac:dyDescent="0.25">
      <c r="A1242" s="170">
        <v>43837</v>
      </c>
      <c r="B1242" s="116">
        <v>1339</v>
      </c>
      <c r="C1242" s="116">
        <v>1320.25</v>
      </c>
      <c r="D1242" s="116">
        <v>1313.75</v>
      </c>
      <c r="E1242" s="116">
        <v>1326</v>
      </c>
      <c r="F1242" s="116">
        <v>1320.25</v>
      </c>
      <c r="G1242">
        <v>80184</v>
      </c>
      <c r="H1242" s="116"/>
      <c r="I1242" s="116"/>
      <c r="L1242" s="170">
        <v>43837</v>
      </c>
      <c r="M1242" s="116">
        <v>1320.5</v>
      </c>
      <c r="N1242" s="116">
        <v>1339.5</v>
      </c>
      <c r="O1242" s="116">
        <v>1313.75</v>
      </c>
      <c r="P1242" s="116">
        <v>1328</v>
      </c>
      <c r="Q1242" s="116">
        <v>1320.5</v>
      </c>
      <c r="R1242">
        <v>2077893</v>
      </c>
    </row>
    <row r="1243" spans="1:18" x14ac:dyDescent="0.25">
      <c r="A1243" s="170">
        <v>43838</v>
      </c>
      <c r="B1243" s="116">
        <v>1308</v>
      </c>
      <c r="C1243" s="116">
        <v>1291.3499999999999</v>
      </c>
      <c r="D1243" s="116">
        <v>1283.5999999999999</v>
      </c>
      <c r="E1243" s="116">
        <v>1308</v>
      </c>
      <c r="F1243" s="116">
        <v>1291.3499999999999</v>
      </c>
      <c r="G1243">
        <v>160970</v>
      </c>
      <c r="H1243" s="116"/>
      <c r="I1243" s="116"/>
      <c r="L1243" s="170">
        <v>43838</v>
      </c>
      <c r="M1243" s="116">
        <v>1291.55</v>
      </c>
      <c r="N1243" s="116">
        <v>1308.7</v>
      </c>
      <c r="O1243" s="116">
        <v>1283.3499999999999</v>
      </c>
      <c r="P1243" s="116">
        <v>1302</v>
      </c>
      <c r="Q1243" s="116">
        <v>1291.55</v>
      </c>
      <c r="R1243">
        <v>4147568</v>
      </c>
    </row>
    <row r="1244" spans="1:18" x14ac:dyDescent="0.25">
      <c r="A1244" s="170">
        <v>43839</v>
      </c>
      <c r="B1244" s="116">
        <v>1319.9</v>
      </c>
      <c r="C1244" s="116">
        <v>1315.9</v>
      </c>
      <c r="D1244" s="116">
        <v>1307</v>
      </c>
      <c r="E1244" s="116">
        <v>1311.8</v>
      </c>
      <c r="F1244" s="116">
        <v>1315.9</v>
      </c>
      <c r="G1244">
        <v>144348</v>
      </c>
      <c r="H1244" s="116"/>
      <c r="I1244" s="116"/>
      <c r="L1244" s="170">
        <v>43839</v>
      </c>
      <c r="M1244" s="116">
        <v>1316.15</v>
      </c>
      <c r="N1244" s="116">
        <v>1319.9</v>
      </c>
      <c r="O1244" s="116">
        <v>1305.0999999999999</v>
      </c>
      <c r="P1244" s="116">
        <v>1311</v>
      </c>
      <c r="Q1244" s="116">
        <v>1316.15</v>
      </c>
      <c r="R1244">
        <v>2067779</v>
      </c>
    </row>
    <row r="1245" spans="1:18" x14ac:dyDescent="0.25">
      <c r="A1245" s="170">
        <v>43840</v>
      </c>
      <c r="B1245" s="116">
        <v>1335.2</v>
      </c>
      <c r="C1245" s="116">
        <v>1324.05</v>
      </c>
      <c r="D1245" s="116">
        <v>1317</v>
      </c>
      <c r="E1245" s="116">
        <v>1317</v>
      </c>
      <c r="F1245" s="116">
        <v>1324.05</v>
      </c>
      <c r="G1245">
        <v>76336</v>
      </c>
      <c r="H1245" s="116"/>
      <c r="I1245" s="116"/>
      <c r="L1245" s="170">
        <v>43840</v>
      </c>
      <c r="M1245" s="116">
        <v>1324.6</v>
      </c>
      <c r="N1245" s="116">
        <v>1335.95</v>
      </c>
      <c r="O1245" s="116">
        <v>1319</v>
      </c>
      <c r="P1245" s="116">
        <v>1319</v>
      </c>
      <c r="Q1245" s="116">
        <v>1324.6</v>
      </c>
      <c r="R1245">
        <v>2360798</v>
      </c>
    </row>
    <row r="1246" spans="1:18" x14ac:dyDescent="0.25">
      <c r="A1246" s="170">
        <v>43843</v>
      </c>
      <c r="B1246" s="116">
        <v>1339.9</v>
      </c>
      <c r="C1246" s="116">
        <v>1334.35</v>
      </c>
      <c r="D1246" s="116">
        <v>1329.65</v>
      </c>
      <c r="E1246" s="116">
        <v>1332</v>
      </c>
      <c r="F1246" s="116">
        <v>1334.35</v>
      </c>
      <c r="G1246">
        <v>43955</v>
      </c>
      <c r="H1246" s="116"/>
      <c r="I1246" s="116"/>
      <c r="L1246" s="170">
        <v>43843</v>
      </c>
      <c r="M1246" s="116">
        <v>1334.7</v>
      </c>
      <c r="N1246" s="116">
        <v>1339.4</v>
      </c>
      <c r="O1246" s="116">
        <v>1328.7</v>
      </c>
      <c r="P1246" s="116">
        <v>1329</v>
      </c>
      <c r="Q1246" s="116">
        <v>1334.7</v>
      </c>
      <c r="R1246">
        <v>1825244</v>
      </c>
    </row>
    <row r="1247" spans="1:18" x14ac:dyDescent="0.25">
      <c r="A1247" s="170">
        <v>43844</v>
      </c>
      <c r="B1247" s="116">
        <v>1332.5</v>
      </c>
      <c r="C1247" s="116">
        <v>1326</v>
      </c>
      <c r="D1247" s="116">
        <v>1315.8</v>
      </c>
      <c r="E1247" s="116">
        <v>1332.5</v>
      </c>
      <c r="F1247" s="116">
        <v>1326</v>
      </c>
      <c r="G1247">
        <v>59495</v>
      </c>
      <c r="H1247" s="116"/>
      <c r="I1247" s="116"/>
      <c r="L1247" s="170">
        <v>43844</v>
      </c>
      <c r="M1247" s="116">
        <v>1326.1</v>
      </c>
      <c r="N1247" s="116">
        <v>1331</v>
      </c>
      <c r="O1247" s="116">
        <v>1315.1</v>
      </c>
      <c r="P1247" s="116">
        <v>1329.8</v>
      </c>
      <c r="Q1247" s="116">
        <v>1326.1</v>
      </c>
      <c r="R1247">
        <v>2046500</v>
      </c>
    </row>
    <row r="1248" spans="1:18" x14ac:dyDescent="0.25">
      <c r="A1248" s="170">
        <v>43845</v>
      </c>
      <c r="B1248" s="116">
        <v>1336</v>
      </c>
      <c r="C1248" s="116">
        <v>1323.65</v>
      </c>
      <c r="D1248" s="116">
        <v>1319.8</v>
      </c>
      <c r="E1248" s="116">
        <v>1326.7</v>
      </c>
      <c r="F1248" s="116">
        <v>1323.65</v>
      </c>
      <c r="G1248">
        <v>59534</v>
      </c>
      <c r="H1248" s="116"/>
      <c r="I1248" s="116"/>
      <c r="L1248" s="170">
        <v>43845</v>
      </c>
      <c r="M1248" s="116">
        <v>1323.6</v>
      </c>
      <c r="N1248" s="116">
        <v>1336.15</v>
      </c>
      <c r="O1248" s="116">
        <v>1320</v>
      </c>
      <c r="P1248" s="116">
        <v>1325.6</v>
      </c>
      <c r="Q1248" s="116">
        <v>1323.6</v>
      </c>
      <c r="R1248">
        <v>2127677</v>
      </c>
    </row>
    <row r="1249" spans="1:18" x14ac:dyDescent="0.25">
      <c r="A1249" s="170">
        <v>43846</v>
      </c>
      <c r="B1249" s="116">
        <v>1332.4</v>
      </c>
      <c r="C1249" s="116">
        <v>1319.05</v>
      </c>
      <c r="D1249" s="116">
        <v>1317.15</v>
      </c>
      <c r="E1249" s="116">
        <v>1325.05</v>
      </c>
      <c r="F1249" s="116">
        <v>1319.05</v>
      </c>
      <c r="G1249">
        <v>54181</v>
      </c>
      <c r="H1249" s="116"/>
      <c r="I1249" s="116"/>
      <c r="L1249" s="170">
        <v>43846</v>
      </c>
      <c r="M1249" s="116">
        <v>1319.3</v>
      </c>
      <c r="N1249" s="116">
        <v>1332.9</v>
      </c>
      <c r="O1249" s="116">
        <v>1317.4</v>
      </c>
      <c r="P1249" s="116">
        <v>1327.7</v>
      </c>
      <c r="Q1249" s="116">
        <v>1319.3</v>
      </c>
      <c r="R1249">
        <v>1773135</v>
      </c>
    </row>
    <row r="1250" spans="1:18" x14ac:dyDescent="0.25">
      <c r="A1250" s="170">
        <v>43847</v>
      </c>
      <c r="B1250" s="116">
        <v>1325.75</v>
      </c>
      <c r="C1250" s="116">
        <v>1304.55</v>
      </c>
      <c r="D1250" s="116">
        <v>1302</v>
      </c>
      <c r="E1250" s="116">
        <v>1325</v>
      </c>
      <c r="F1250" s="116">
        <v>1304.55</v>
      </c>
      <c r="G1250">
        <v>143771</v>
      </c>
      <c r="H1250" s="116"/>
      <c r="I1250" s="116"/>
      <c r="L1250" s="170">
        <v>43847</v>
      </c>
      <c r="M1250" s="116">
        <v>1304.2</v>
      </c>
      <c r="N1250" s="116">
        <v>1325.95</v>
      </c>
      <c r="O1250" s="116">
        <v>1302</v>
      </c>
      <c r="P1250" s="116">
        <v>1320.6</v>
      </c>
      <c r="Q1250" s="116">
        <v>1304.2</v>
      </c>
      <c r="R1250">
        <v>2941837</v>
      </c>
    </row>
    <row r="1251" spans="1:18" x14ac:dyDescent="0.25">
      <c r="A1251" s="170">
        <v>43850</v>
      </c>
      <c r="B1251" s="116">
        <v>1319.45</v>
      </c>
      <c r="C1251" s="116">
        <v>1309.5999999999999</v>
      </c>
      <c r="D1251" s="116">
        <v>1306</v>
      </c>
      <c r="E1251" s="116">
        <v>1311.05</v>
      </c>
      <c r="F1251" s="116">
        <v>1309.5999999999999</v>
      </c>
      <c r="G1251">
        <v>71945</v>
      </c>
      <c r="H1251" s="116"/>
      <c r="I1251" s="116"/>
      <c r="L1251" s="170">
        <v>43850</v>
      </c>
      <c r="M1251" s="116">
        <v>1309.5999999999999</v>
      </c>
      <c r="N1251" s="116">
        <v>1319.9</v>
      </c>
      <c r="O1251" s="116">
        <v>1306.5</v>
      </c>
      <c r="P1251" s="116">
        <v>1313.95</v>
      </c>
      <c r="Q1251" s="116">
        <v>1309.5999999999999</v>
      </c>
      <c r="R1251">
        <v>2542477</v>
      </c>
    </row>
    <row r="1252" spans="1:18" x14ac:dyDescent="0.25">
      <c r="A1252" s="170">
        <v>43851</v>
      </c>
      <c r="B1252" s="116">
        <v>1313.6</v>
      </c>
      <c r="C1252" s="116">
        <v>1302.5999999999999</v>
      </c>
      <c r="D1252" s="116">
        <v>1301</v>
      </c>
      <c r="E1252" s="116">
        <v>1307.45</v>
      </c>
      <c r="F1252" s="116">
        <v>1302.5999999999999</v>
      </c>
      <c r="G1252">
        <v>63783</v>
      </c>
      <c r="H1252" s="116"/>
      <c r="I1252" s="116"/>
      <c r="L1252" s="170">
        <v>43851</v>
      </c>
      <c r="M1252" s="116">
        <v>1302.3499999999999</v>
      </c>
      <c r="N1252" s="116">
        <v>1313.9</v>
      </c>
      <c r="O1252" s="116">
        <v>1300.45</v>
      </c>
      <c r="P1252" s="116">
        <v>1304.75</v>
      </c>
      <c r="Q1252" s="116">
        <v>1302.3499999999999</v>
      </c>
      <c r="R1252">
        <v>1361576</v>
      </c>
    </row>
    <row r="1253" spans="1:18" x14ac:dyDescent="0.25">
      <c r="A1253" s="170">
        <v>43852</v>
      </c>
      <c r="B1253" s="116">
        <v>1310.6500000000001</v>
      </c>
      <c r="C1253" s="116">
        <v>1294.25</v>
      </c>
      <c r="D1253" s="116">
        <v>1292.4000000000001</v>
      </c>
      <c r="E1253" s="116">
        <v>1310</v>
      </c>
      <c r="F1253" s="116">
        <v>1294.25</v>
      </c>
      <c r="G1253">
        <v>99515</v>
      </c>
      <c r="H1253" s="116"/>
      <c r="I1253" s="116"/>
      <c r="L1253" s="170">
        <v>43852</v>
      </c>
      <c r="M1253" s="116">
        <v>1294.2</v>
      </c>
      <c r="N1253" s="116">
        <v>1312</v>
      </c>
      <c r="O1253" s="116">
        <v>1292</v>
      </c>
      <c r="P1253" s="116">
        <v>1311</v>
      </c>
      <c r="Q1253" s="116">
        <v>1294.2</v>
      </c>
      <c r="R1253">
        <v>2449753</v>
      </c>
    </row>
    <row r="1254" spans="1:18" x14ac:dyDescent="0.25">
      <c r="A1254" s="170">
        <v>43853</v>
      </c>
      <c r="B1254" s="116">
        <v>1339.5</v>
      </c>
      <c r="C1254" s="116">
        <v>1332.8</v>
      </c>
      <c r="D1254" s="116">
        <v>1302</v>
      </c>
      <c r="E1254" s="116">
        <v>1302</v>
      </c>
      <c r="F1254" s="116">
        <v>1332.8</v>
      </c>
      <c r="G1254">
        <v>740544</v>
      </c>
      <c r="H1254" s="116"/>
      <c r="I1254" s="116"/>
      <c r="L1254" s="170">
        <v>43853</v>
      </c>
      <c r="M1254" s="116">
        <v>1332.3</v>
      </c>
      <c r="N1254" s="116">
        <v>1339.85</v>
      </c>
      <c r="O1254" s="116">
        <v>1306</v>
      </c>
      <c r="P1254" s="116">
        <v>1307</v>
      </c>
      <c r="Q1254" s="116">
        <v>1332.3</v>
      </c>
      <c r="R1254">
        <v>10056067</v>
      </c>
    </row>
    <row r="1255" spans="1:18" x14ac:dyDescent="0.25">
      <c r="A1255" s="170">
        <v>43854</v>
      </c>
      <c r="B1255" s="116">
        <v>1368</v>
      </c>
      <c r="C1255" s="116">
        <v>1359.8</v>
      </c>
      <c r="D1255" s="116">
        <v>1331.55</v>
      </c>
      <c r="E1255" s="116">
        <v>1333</v>
      </c>
      <c r="F1255" s="116">
        <v>1359.8</v>
      </c>
      <c r="G1255">
        <v>182938</v>
      </c>
      <c r="H1255" s="116"/>
      <c r="I1255" s="116"/>
      <c r="L1255" s="170">
        <v>43854</v>
      </c>
      <c r="M1255" s="116">
        <v>1359.2</v>
      </c>
      <c r="N1255" s="116">
        <v>1367.85</v>
      </c>
      <c r="O1255" s="116">
        <v>1332</v>
      </c>
      <c r="P1255" s="116">
        <v>1332</v>
      </c>
      <c r="Q1255" s="116">
        <v>1359.2</v>
      </c>
      <c r="R1255">
        <v>5837319</v>
      </c>
    </row>
    <row r="1256" spans="1:18" x14ac:dyDescent="0.25">
      <c r="A1256" s="170">
        <v>43857</v>
      </c>
      <c r="B1256" s="116">
        <v>1364.85</v>
      </c>
      <c r="C1256" s="116">
        <v>1348.5</v>
      </c>
      <c r="D1256" s="116">
        <v>1343</v>
      </c>
      <c r="E1256" s="116">
        <v>1350</v>
      </c>
      <c r="F1256" s="116">
        <v>1348.5</v>
      </c>
      <c r="G1256">
        <v>77294</v>
      </c>
      <c r="H1256" s="116"/>
      <c r="I1256" s="116"/>
      <c r="L1256" s="170">
        <v>43857</v>
      </c>
      <c r="M1256" s="116">
        <v>1348.6</v>
      </c>
      <c r="N1256" s="116">
        <v>1364.9</v>
      </c>
      <c r="O1256" s="116">
        <v>1340</v>
      </c>
      <c r="P1256" s="116">
        <v>1340</v>
      </c>
      <c r="Q1256" s="116">
        <v>1348.6</v>
      </c>
      <c r="R1256">
        <v>2510013</v>
      </c>
    </row>
    <row r="1257" spans="1:18" x14ac:dyDescent="0.25">
      <c r="A1257" s="170">
        <v>43858</v>
      </c>
      <c r="B1257" s="116">
        <v>1355.4</v>
      </c>
      <c r="C1257" s="116">
        <v>1347</v>
      </c>
      <c r="D1257" s="116">
        <v>1338.35</v>
      </c>
      <c r="E1257" s="116">
        <v>1350.1</v>
      </c>
      <c r="F1257" s="116">
        <v>1347</v>
      </c>
      <c r="G1257">
        <v>64192</v>
      </c>
      <c r="H1257" s="116"/>
      <c r="I1257" s="116"/>
      <c r="L1257" s="170">
        <v>43858</v>
      </c>
      <c r="M1257" s="116">
        <v>1346.65</v>
      </c>
      <c r="N1257" s="116">
        <v>1355</v>
      </c>
      <c r="O1257" s="116">
        <v>1338</v>
      </c>
      <c r="P1257" s="116">
        <v>1350.9</v>
      </c>
      <c r="Q1257" s="116">
        <v>1346.65</v>
      </c>
      <c r="R1257">
        <v>2352852</v>
      </c>
    </row>
    <row r="1258" spans="1:18" x14ac:dyDescent="0.25">
      <c r="A1258" s="170">
        <v>43859</v>
      </c>
      <c r="B1258" s="116">
        <v>1374.9</v>
      </c>
      <c r="C1258" s="116">
        <v>1365.45</v>
      </c>
      <c r="D1258" s="116">
        <v>1352</v>
      </c>
      <c r="E1258" s="116">
        <v>1353</v>
      </c>
      <c r="F1258" s="116">
        <v>1365.45</v>
      </c>
      <c r="G1258">
        <v>152061</v>
      </c>
      <c r="H1258" s="116"/>
      <c r="I1258" s="116"/>
      <c r="L1258" s="170">
        <v>43859</v>
      </c>
      <c r="M1258" s="116">
        <v>1365.7</v>
      </c>
      <c r="N1258" s="116">
        <v>1374.95</v>
      </c>
      <c r="O1258" s="116">
        <v>1352.1</v>
      </c>
      <c r="P1258" s="116">
        <v>1353.1</v>
      </c>
      <c r="Q1258" s="116">
        <v>1365.7</v>
      </c>
      <c r="R1258">
        <v>3678474</v>
      </c>
    </row>
    <row r="1259" spans="1:18" x14ac:dyDescent="0.25">
      <c r="A1259" s="170">
        <v>43860</v>
      </c>
      <c r="B1259" s="116">
        <v>1376.35</v>
      </c>
      <c r="C1259" s="116">
        <v>1371.25</v>
      </c>
      <c r="D1259" s="116">
        <v>1353.1</v>
      </c>
      <c r="E1259" s="116">
        <v>1365.55</v>
      </c>
      <c r="F1259" s="116">
        <v>1371.25</v>
      </c>
      <c r="G1259">
        <v>79122</v>
      </c>
      <c r="H1259" s="116"/>
      <c r="I1259" s="116"/>
      <c r="L1259" s="170">
        <v>43860</v>
      </c>
      <c r="M1259" s="116">
        <v>1370.2</v>
      </c>
      <c r="N1259" s="116">
        <v>1376.8</v>
      </c>
      <c r="O1259" s="116">
        <v>1353</v>
      </c>
      <c r="P1259" s="116">
        <v>1365.95</v>
      </c>
      <c r="Q1259" s="116">
        <v>1370.2</v>
      </c>
      <c r="R1259">
        <v>2743506</v>
      </c>
    </row>
    <row r="1260" spans="1:18" x14ac:dyDescent="0.25">
      <c r="A1260" s="170">
        <v>43861</v>
      </c>
      <c r="B1260" s="116">
        <v>1376.25</v>
      </c>
      <c r="C1260" s="116">
        <v>1369.1</v>
      </c>
      <c r="D1260" s="116">
        <v>1360</v>
      </c>
      <c r="E1260" s="116">
        <v>1375.1</v>
      </c>
      <c r="F1260" s="116">
        <v>1369.1</v>
      </c>
      <c r="G1260">
        <v>155881</v>
      </c>
      <c r="H1260" s="116"/>
      <c r="I1260" s="116"/>
      <c r="L1260" s="170">
        <v>43861</v>
      </c>
      <c r="M1260" s="116">
        <v>1369.3</v>
      </c>
      <c r="N1260" s="116">
        <v>1377</v>
      </c>
      <c r="O1260" s="116">
        <v>1360.45</v>
      </c>
      <c r="P1260" s="116">
        <v>1375.95</v>
      </c>
      <c r="Q1260" s="116">
        <v>1369.3</v>
      </c>
      <c r="R1260">
        <v>3939306</v>
      </c>
    </row>
    <row r="1261" spans="1:18" x14ac:dyDescent="0.25">
      <c r="A1261" s="170">
        <v>43862</v>
      </c>
      <c r="B1261" s="116">
        <v>1383.85</v>
      </c>
      <c r="C1261" s="116">
        <v>1287.25</v>
      </c>
      <c r="D1261" s="116">
        <v>1280.0999999999999</v>
      </c>
      <c r="E1261" s="116">
        <v>1374</v>
      </c>
      <c r="F1261" s="116">
        <v>1287.25</v>
      </c>
      <c r="G1261">
        <v>620292</v>
      </c>
      <c r="H1261" s="116"/>
      <c r="I1261" s="116"/>
      <c r="L1261" s="170">
        <v>43862</v>
      </c>
      <c r="M1261" s="116">
        <v>1287.4000000000001</v>
      </c>
      <c r="N1261" s="116">
        <v>1383.7</v>
      </c>
      <c r="O1261" s="116">
        <v>1280</v>
      </c>
      <c r="P1261" s="116">
        <v>1372.6</v>
      </c>
      <c r="Q1261" s="116">
        <v>1287.4000000000001</v>
      </c>
      <c r="R1261">
        <v>8300700</v>
      </c>
    </row>
    <row r="1262" spans="1:18" x14ac:dyDescent="0.25">
      <c r="A1262" s="170">
        <v>43864</v>
      </c>
      <c r="B1262" s="116">
        <v>1303.95</v>
      </c>
      <c r="C1262" s="116">
        <v>1286.7</v>
      </c>
      <c r="D1262" s="116">
        <v>1272.5</v>
      </c>
      <c r="E1262" s="116">
        <v>1299.55</v>
      </c>
      <c r="F1262" s="116">
        <v>1286.7</v>
      </c>
      <c r="G1262">
        <v>242429</v>
      </c>
      <c r="H1262" s="116"/>
      <c r="I1262" s="116"/>
      <c r="L1262" s="170">
        <v>43864</v>
      </c>
      <c r="M1262" s="116">
        <v>1286.6500000000001</v>
      </c>
      <c r="N1262" s="116">
        <v>1303.9000000000001</v>
      </c>
      <c r="O1262" s="116">
        <v>1272</v>
      </c>
      <c r="P1262" s="116">
        <v>1290</v>
      </c>
      <c r="Q1262" s="116">
        <v>1286.6500000000001</v>
      </c>
      <c r="R1262">
        <v>5767353</v>
      </c>
    </row>
    <row r="1263" spans="1:18" x14ac:dyDescent="0.25">
      <c r="A1263" s="170">
        <v>43865</v>
      </c>
      <c r="B1263" s="116">
        <v>1307</v>
      </c>
      <c r="C1263" s="116">
        <v>1291.5999999999999</v>
      </c>
      <c r="D1263" s="116">
        <v>1287.6500000000001</v>
      </c>
      <c r="E1263" s="116">
        <v>1296.4000000000001</v>
      </c>
      <c r="F1263" s="116">
        <v>1291.5999999999999</v>
      </c>
      <c r="G1263">
        <v>289473</v>
      </c>
      <c r="H1263" s="116"/>
      <c r="I1263" s="116"/>
      <c r="L1263" s="170">
        <v>43865</v>
      </c>
      <c r="M1263" s="116">
        <v>1291.75</v>
      </c>
      <c r="N1263" s="116">
        <v>1307.3</v>
      </c>
      <c r="O1263" s="116">
        <v>1287.55</v>
      </c>
      <c r="P1263" s="116">
        <v>1296</v>
      </c>
      <c r="Q1263" s="116">
        <v>1291.75</v>
      </c>
      <c r="R1263">
        <v>3604309</v>
      </c>
    </row>
    <row r="1264" spans="1:18" x14ac:dyDescent="0.25">
      <c r="A1264" s="170">
        <v>43866</v>
      </c>
      <c r="B1264" s="116">
        <v>1325</v>
      </c>
      <c r="C1264" s="116">
        <v>1311.85</v>
      </c>
      <c r="D1264" s="116">
        <v>1296</v>
      </c>
      <c r="E1264" s="116">
        <v>1299.8499999999999</v>
      </c>
      <c r="F1264" s="116">
        <v>1311.85</v>
      </c>
      <c r="G1264">
        <v>128077</v>
      </c>
      <c r="H1264" s="116"/>
      <c r="I1264" s="116"/>
      <c r="L1264" s="170">
        <v>43866</v>
      </c>
      <c r="M1264" s="116">
        <v>1310.05</v>
      </c>
      <c r="N1264" s="116">
        <v>1325</v>
      </c>
      <c r="O1264" s="116">
        <v>1295</v>
      </c>
      <c r="P1264" s="116">
        <v>1297.9000000000001</v>
      </c>
      <c r="Q1264" s="116">
        <v>1310.05</v>
      </c>
      <c r="R1264">
        <v>4220104</v>
      </c>
    </row>
    <row r="1265" spans="1:18" x14ac:dyDescent="0.25">
      <c r="A1265" s="170">
        <v>43867</v>
      </c>
      <c r="B1265" s="116">
        <v>1325</v>
      </c>
      <c r="C1265" s="116">
        <v>1317.35</v>
      </c>
      <c r="D1265" s="116">
        <v>1309.5</v>
      </c>
      <c r="E1265" s="116">
        <v>1320</v>
      </c>
      <c r="F1265" s="116">
        <v>1317.35</v>
      </c>
      <c r="G1265">
        <v>70314</v>
      </c>
      <c r="H1265" s="116"/>
      <c r="I1265" s="116"/>
      <c r="L1265" s="170">
        <v>43867</v>
      </c>
      <c r="M1265" s="116">
        <v>1317.6</v>
      </c>
      <c r="N1265" s="116">
        <v>1325</v>
      </c>
      <c r="O1265" s="116">
        <v>1309.05</v>
      </c>
      <c r="P1265" s="116">
        <v>1322.9</v>
      </c>
      <c r="Q1265" s="116">
        <v>1317.6</v>
      </c>
      <c r="R1265">
        <v>2354458</v>
      </c>
    </row>
    <row r="1266" spans="1:18" x14ac:dyDescent="0.25">
      <c r="A1266" s="170">
        <v>43868</v>
      </c>
      <c r="B1266" s="116">
        <v>1315.8</v>
      </c>
      <c r="C1266" s="116">
        <v>1298.8499999999999</v>
      </c>
      <c r="D1266" s="116">
        <v>1296</v>
      </c>
      <c r="E1266" s="116">
        <v>1315.75</v>
      </c>
      <c r="F1266" s="116">
        <v>1298.8499999999999</v>
      </c>
      <c r="G1266">
        <v>80155</v>
      </c>
      <c r="H1266" s="116"/>
      <c r="I1266" s="116"/>
      <c r="L1266" s="170">
        <v>43868</v>
      </c>
      <c r="M1266" s="116">
        <v>1299</v>
      </c>
      <c r="N1266" s="116">
        <v>1314.4</v>
      </c>
      <c r="O1266" s="116">
        <v>1296</v>
      </c>
      <c r="P1266" s="116">
        <v>1313.05</v>
      </c>
      <c r="Q1266" s="116">
        <v>1299</v>
      </c>
      <c r="R1266">
        <v>3053804</v>
      </c>
    </row>
    <row r="1267" spans="1:18" x14ac:dyDescent="0.25">
      <c r="A1267" s="170">
        <v>43871</v>
      </c>
      <c r="B1267" s="116">
        <v>1301.3</v>
      </c>
      <c r="C1267" s="116">
        <v>1285.3499999999999</v>
      </c>
      <c r="D1267" s="116">
        <v>1273.45</v>
      </c>
      <c r="E1267" s="116">
        <v>1300</v>
      </c>
      <c r="F1267" s="116">
        <v>1285.3499999999999</v>
      </c>
      <c r="G1267">
        <v>142669</v>
      </c>
      <c r="H1267" s="116"/>
      <c r="I1267" s="116"/>
      <c r="L1267" s="170">
        <v>43871</v>
      </c>
      <c r="M1267" s="116">
        <v>1285.3</v>
      </c>
      <c r="N1267" s="116">
        <v>1302.45</v>
      </c>
      <c r="O1267" s="116">
        <v>1273.0999999999999</v>
      </c>
      <c r="P1267" s="116">
        <v>1300</v>
      </c>
      <c r="Q1267" s="116">
        <v>1285.3</v>
      </c>
      <c r="R1267">
        <v>3039992</v>
      </c>
    </row>
    <row r="1268" spans="1:18" x14ac:dyDescent="0.25">
      <c r="A1268" s="170">
        <v>43872</v>
      </c>
      <c r="B1268" s="116">
        <v>1299</v>
      </c>
      <c r="C1268" s="116">
        <v>1286.95</v>
      </c>
      <c r="D1268" s="116">
        <v>1283.75</v>
      </c>
      <c r="E1268" s="116">
        <v>1289</v>
      </c>
      <c r="F1268" s="116">
        <v>1286.95</v>
      </c>
      <c r="G1268">
        <v>71355</v>
      </c>
      <c r="H1268" s="116"/>
      <c r="I1268" s="116"/>
      <c r="L1268" s="170">
        <v>43872</v>
      </c>
      <c r="M1268" s="116">
        <v>1286.9000000000001</v>
      </c>
      <c r="N1268" s="116">
        <v>1298.95</v>
      </c>
      <c r="O1268" s="116">
        <v>1284</v>
      </c>
      <c r="P1268" s="116">
        <v>1292</v>
      </c>
      <c r="Q1268" s="116">
        <v>1286.9000000000001</v>
      </c>
      <c r="R1268">
        <v>2200796</v>
      </c>
    </row>
    <row r="1269" spans="1:18" x14ac:dyDescent="0.25">
      <c r="A1269" s="170">
        <v>43873</v>
      </c>
      <c r="B1269" s="116">
        <v>1299.75</v>
      </c>
      <c r="C1269" s="116">
        <v>1296.8499999999999</v>
      </c>
      <c r="D1269" s="116">
        <v>1280.5</v>
      </c>
      <c r="E1269" s="116">
        <v>1289.9000000000001</v>
      </c>
      <c r="F1269" s="116">
        <v>1296.8499999999999</v>
      </c>
      <c r="G1269">
        <v>150115</v>
      </c>
      <c r="H1269" s="116"/>
      <c r="I1269" s="116"/>
      <c r="L1269" s="170">
        <v>43873</v>
      </c>
      <c r="M1269" s="116">
        <v>1297.3</v>
      </c>
      <c r="N1269" s="116">
        <v>1299.8499999999999</v>
      </c>
      <c r="O1269" s="116">
        <v>1280</v>
      </c>
      <c r="P1269" s="116">
        <v>1289.0999999999999</v>
      </c>
      <c r="Q1269" s="116">
        <v>1297.3</v>
      </c>
      <c r="R1269">
        <v>2568696</v>
      </c>
    </row>
    <row r="1270" spans="1:18" x14ac:dyDescent="0.25">
      <c r="A1270" s="170">
        <v>43874</v>
      </c>
      <c r="B1270" s="116">
        <v>1299.5</v>
      </c>
      <c r="C1270" s="116">
        <v>1292.1500000000001</v>
      </c>
      <c r="D1270" s="116">
        <v>1285.3</v>
      </c>
      <c r="E1270" s="116">
        <v>1296.8499999999999</v>
      </c>
      <c r="F1270" s="116">
        <v>1292.1500000000001</v>
      </c>
      <c r="G1270">
        <v>58535</v>
      </c>
      <c r="H1270" s="116"/>
      <c r="I1270" s="116"/>
      <c r="L1270" s="170">
        <v>43874</v>
      </c>
      <c r="M1270" s="116">
        <v>1292.25</v>
      </c>
      <c r="N1270" s="116">
        <v>1299.8499999999999</v>
      </c>
      <c r="O1270" s="116">
        <v>1285</v>
      </c>
      <c r="P1270" s="116">
        <v>1299</v>
      </c>
      <c r="Q1270" s="116">
        <v>1292.25</v>
      </c>
      <c r="R1270">
        <v>1545536</v>
      </c>
    </row>
    <row r="1271" spans="1:18" x14ac:dyDescent="0.25">
      <c r="A1271" s="170">
        <v>43875</v>
      </c>
      <c r="B1271" s="116">
        <v>1305</v>
      </c>
      <c r="C1271" s="116">
        <v>1294.9000000000001</v>
      </c>
      <c r="D1271" s="116">
        <v>1291</v>
      </c>
      <c r="E1271" s="116">
        <v>1296</v>
      </c>
      <c r="F1271" s="116">
        <v>1294.9000000000001</v>
      </c>
      <c r="G1271">
        <v>85236</v>
      </c>
      <c r="H1271" s="116"/>
      <c r="I1271" s="116"/>
      <c r="L1271" s="170">
        <v>43875</v>
      </c>
      <c r="M1271" s="116">
        <v>1295.1500000000001</v>
      </c>
      <c r="N1271" s="116">
        <v>1304.95</v>
      </c>
      <c r="O1271" s="116">
        <v>1290.5999999999999</v>
      </c>
      <c r="P1271" s="116">
        <v>1295</v>
      </c>
      <c r="Q1271" s="116">
        <v>1295.1500000000001</v>
      </c>
      <c r="R1271">
        <v>1780119</v>
      </c>
    </row>
    <row r="1272" spans="1:18" x14ac:dyDescent="0.25">
      <c r="A1272" s="170">
        <v>43878</v>
      </c>
      <c r="B1272" s="116">
        <v>1296.95</v>
      </c>
      <c r="C1272" s="116">
        <v>1280.5</v>
      </c>
      <c r="D1272" s="116">
        <v>1277.7</v>
      </c>
      <c r="E1272" s="116">
        <v>1296</v>
      </c>
      <c r="F1272" s="116">
        <v>1280.5</v>
      </c>
      <c r="G1272">
        <v>90419</v>
      </c>
      <c r="H1272" s="116"/>
      <c r="I1272" s="116"/>
      <c r="L1272" s="170">
        <v>43878</v>
      </c>
      <c r="M1272" s="116">
        <v>1280.2</v>
      </c>
      <c r="N1272" s="116">
        <v>1297.8499999999999</v>
      </c>
      <c r="O1272" s="116">
        <v>1277</v>
      </c>
      <c r="P1272" s="116">
        <v>1297</v>
      </c>
      <c r="Q1272" s="116">
        <v>1280.2</v>
      </c>
      <c r="R1272">
        <v>2155085</v>
      </c>
    </row>
    <row r="1273" spans="1:18" x14ac:dyDescent="0.25">
      <c r="A1273" s="170">
        <v>43879</v>
      </c>
      <c r="B1273" s="116">
        <v>1289.6500000000001</v>
      </c>
      <c r="C1273" s="116">
        <v>1286.25</v>
      </c>
      <c r="D1273" s="116">
        <v>1266.6500000000001</v>
      </c>
      <c r="E1273" s="116">
        <v>1281</v>
      </c>
      <c r="F1273" s="116">
        <v>1286.25</v>
      </c>
      <c r="G1273">
        <v>117988</v>
      </c>
      <c r="H1273" s="116"/>
      <c r="I1273" s="116"/>
      <c r="L1273" s="170">
        <v>43879</v>
      </c>
      <c r="M1273" s="116">
        <v>1286.3499999999999</v>
      </c>
      <c r="N1273" s="116">
        <v>1289.8</v>
      </c>
      <c r="O1273" s="116">
        <v>1266.45</v>
      </c>
      <c r="P1273" s="116">
        <v>1281.5</v>
      </c>
      <c r="Q1273" s="116">
        <v>1286.3499999999999</v>
      </c>
      <c r="R1273">
        <v>2347917</v>
      </c>
    </row>
    <row r="1274" spans="1:18" x14ac:dyDescent="0.25">
      <c r="A1274" s="170">
        <v>43880</v>
      </c>
      <c r="B1274" s="116">
        <v>1298.5999999999999</v>
      </c>
      <c r="C1274" s="116">
        <v>1281.4000000000001</v>
      </c>
      <c r="D1274" s="116">
        <v>1276.6500000000001</v>
      </c>
      <c r="E1274" s="116">
        <v>1290.0999999999999</v>
      </c>
      <c r="F1274" s="116">
        <v>1281.4000000000001</v>
      </c>
      <c r="G1274">
        <v>80016</v>
      </c>
      <c r="H1274" s="116"/>
      <c r="I1274" s="116"/>
      <c r="L1274" s="170">
        <v>43880</v>
      </c>
      <c r="M1274" s="116">
        <v>1281.4000000000001</v>
      </c>
      <c r="N1274" s="116">
        <v>1299</v>
      </c>
      <c r="O1274" s="116">
        <v>1276.5999999999999</v>
      </c>
      <c r="P1274" s="116">
        <v>1298</v>
      </c>
      <c r="Q1274" s="116">
        <v>1281.4000000000001</v>
      </c>
      <c r="R1274">
        <v>1820353</v>
      </c>
    </row>
    <row r="1275" spans="1:18" x14ac:dyDescent="0.25">
      <c r="A1275" s="170">
        <v>43881</v>
      </c>
      <c r="B1275" s="116">
        <v>1288.8</v>
      </c>
      <c r="C1275" s="116">
        <v>1280.8499999999999</v>
      </c>
      <c r="D1275" s="116">
        <v>1275.5999999999999</v>
      </c>
      <c r="E1275" s="116">
        <v>1282</v>
      </c>
      <c r="F1275" s="116">
        <v>1280.8499999999999</v>
      </c>
      <c r="G1275">
        <v>186884</v>
      </c>
      <c r="H1275" s="116"/>
      <c r="I1275" s="116"/>
      <c r="L1275" s="170">
        <v>43881</v>
      </c>
      <c r="M1275" s="116">
        <v>1280.5999999999999</v>
      </c>
      <c r="N1275" s="116">
        <v>1288.9000000000001</v>
      </c>
      <c r="O1275" s="116">
        <v>1275.3</v>
      </c>
      <c r="P1275" s="116">
        <v>1279.9000000000001</v>
      </c>
      <c r="Q1275" s="116">
        <v>1280.5999999999999</v>
      </c>
      <c r="R1275">
        <v>3034681</v>
      </c>
    </row>
    <row r="1276" spans="1:18" x14ac:dyDescent="0.25">
      <c r="A1276" s="170">
        <v>43885</v>
      </c>
      <c r="B1276" s="116">
        <v>1275.6500000000001</v>
      </c>
      <c r="C1276" s="116">
        <v>1259.55</v>
      </c>
      <c r="D1276" s="116">
        <v>1253</v>
      </c>
      <c r="E1276" s="116">
        <v>1275.6500000000001</v>
      </c>
      <c r="F1276" s="116">
        <v>1259.55</v>
      </c>
      <c r="G1276">
        <v>270945</v>
      </c>
      <c r="H1276" s="116"/>
      <c r="I1276" s="116"/>
      <c r="L1276" s="170">
        <v>43885</v>
      </c>
      <c r="M1276" s="116">
        <v>1259.7</v>
      </c>
      <c r="N1276" s="116">
        <v>1271.9000000000001</v>
      </c>
      <c r="O1276" s="116">
        <v>1252.6500000000001</v>
      </c>
      <c r="P1276" s="116">
        <v>1271.9000000000001</v>
      </c>
      <c r="Q1276" s="116">
        <v>1259.7</v>
      </c>
      <c r="R1276">
        <v>3414064</v>
      </c>
    </row>
    <row r="1277" spans="1:18" x14ac:dyDescent="0.25">
      <c r="A1277" s="170">
        <v>43886</v>
      </c>
      <c r="B1277" s="116">
        <v>1264.9000000000001</v>
      </c>
      <c r="C1277" s="116">
        <v>1242.4000000000001</v>
      </c>
      <c r="D1277" s="116">
        <v>1241</v>
      </c>
      <c r="E1277" s="116">
        <v>1263.8</v>
      </c>
      <c r="F1277" s="116">
        <v>1242.4000000000001</v>
      </c>
      <c r="G1277">
        <v>253328</v>
      </c>
      <c r="H1277" s="116"/>
      <c r="I1277" s="116"/>
      <c r="L1277" s="170">
        <v>43886</v>
      </c>
      <c r="M1277" s="116">
        <v>1242.05</v>
      </c>
      <c r="N1277" s="116">
        <v>1265.6500000000001</v>
      </c>
      <c r="O1277" s="116">
        <v>1240.1500000000001</v>
      </c>
      <c r="P1277" s="116">
        <v>1262.2</v>
      </c>
      <c r="Q1277" s="116">
        <v>1242.05</v>
      </c>
      <c r="R1277">
        <v>3133077</v>
      </c>
    </row>
    <row r="1278" spans="1:18" x14ac:dyDescent="0.25">
      <c r="A1278" s="170">
        <v>43887</v>
      </c>
      <c r="B1278" s="116">
        <v>1239</v>
      </c>
      <c r="C1278" s="116">
        <v>1211.45</v>
      </c>
      <c r="D1278" s="116">
        <v>1207.1500000000001</v>
      </c>
      <c r="E1278" s="116">
        <v>1237</v>
      </c>
      <c r="F1278" s="116">
        <v>1211.45</v>
      </c>
      <c r="G1278">
        <v>293355</v>
      </c>
      <c r="H1278" s="116"/>
      <c r="I1278" s="116"/>
      <c r="L1278" s="170">
        <v>43887</v>
      </c>
      <c r="M1278" s="116">
        <v>1211.1500000000001</v>
      </c>
      <c r="N1278" s="116">
        <v>1238</v>
      </c>
      <c r="O1278" s="116">
        <v>1206</v>
      </c>
      <c r="P1278" s="116">
        <v>1235</v>
      </c>
      <c r="Q1278" s="116">
        <v>1211.1500000000001</v>
      </c>
      <c r="R1278">
        <v>5721483</v>
      </c>
    </row>
    <row r="1279" spans="1:18" x14ac:dyDescent="0.25">
      <c r="A1279" s="170">
        <v>43888</v>
      </c>
      <c r="B1279" s="116">
        <v>1216.95</v>
      </c>
      <c r="C1279" s="116">
        <v>1209.8499999999999</v>
      </c>
      <c r="D1279" s="116">
        <v>1200</v>
      </c>
      <c r="E1279" s="116">
        <v>1216.95</v>
      </c>
      <c r="F1279" s="116">
        <v>1209.8499999999999</v>
      </c>
      <c r="G1279">
        <v>135928</v>
      </c>
      <c r="H1279" s="116"/>
      <c r="I1279" s="116"/>
      <c r="L1279" s="170">
        <v>43888</v>
      </c>
      <c r="M1279" s="116">
        <v>1210.3499999999999</v>
      </c>
      <c r="N1279" s="116">
        <v>1216.95</v>
      </c>
      <c r="O1279" s="116">
        <v>1200</v>
      </c>
      <c r="P1279" s="116">
        <v>1212.3499999999999</v>
      </c>
      <c r="Q1279" s="116">
        <v>1210.3499999999999</v>
      </c>
      <c r="R1279">
        <v>4003149</v>
      </c>
    </row>
    <row r="1280" spans="1:18" x14ac:dyDescent="0.25">
      <c r="A1280" s="170">
        <v>43889</v>
      </c>
      <c r="B1280" s="116">
        <v>1195.95</v>
      </c>
      <c r="C1280" s="116">
        <v>1183</v>
      </c>
      <c r="D1280" s="116">
        <v>1162.3499999999999</v>
      </c>
      <c r="E1280" s="116">
        <v>1192.3</v>
      </c>
      <c r="F1280" s="116">
        <v>1183</v>
      </c>
      <c r="G1280">
        <v>281119</v>
      </c>
      <c r="H1280" s="116"/>
      <c r="I1280" s="116"/>
      <c r="L1280" s="170">
        <v>43889</v>
      </c>
      <c r="M1280" s="116">
        <v>1187.55</v>
      </c>
      <c r="N1280" s="116">
        <v>1196.45</v>
      </c>
      <c r="O1280" s="116">
        <v>1162</v>
      </c>
      <c r="P1280" s="116">
        <v>1189.6500000000001</v>
      </c>
      <c r="Q1280" s="116">
        <v>1187.55</v>
      </c>
      <c r="R1280">
        <v>6286647</v>
      </c>
    </row>
    <row r="1281" spans="1:18" x14ac:dyDescent="0.25">
      <c r="A1281" s="170">
        <v>43892</v>
      </c>
      <c r="B1281" s="116">
        <v>1211.5</v>
      </c>
      <c r="C1281" s="116">
        <v>1167</v>
      </c>
      <c r="D1281" s="116">
        <v>1150.55</v>
      </c>
      <c r="E1281" s="116">
        <v>1201.1500000000001</v>
      </c>
      <c r="F1281" s="116">
        <v>1167</v>
      </c>
      <c r="G1281">
        <v>310729</v>
      </c>
      <c r="H1281" s="116"/>
      <c r="I1281" s="116"/>
      <c r="L1281" s="170">
        <v>43892</v>
      </c>
      <c r="M1281" s="116">
        <v>1160.9000000000001</v>
      </c>
      <c r="N1281" s="116">
        <v>1212.3499999999999</v>
      </c>
      <c r="O1281" s="116">
        <v>1150.55</v>
      </c>
      <c r="P1281" s="116">
        <v>1205</v>
      </c>
      <c r="Q1281" s="116">
        <v>1160.9000000000001</v>
      </c>
      <c r="R1281">
        <v>3177486</v>
      </c>
    </row>
    <row r="1282" spans="1:18" x14ac:dyDescent="0.25">
      <c r="A1282" s="170">
        <v>43893</v>
      </c>
      <c r="B1282" s="116">
        <v>1190</v>
      </c>
      <c r="C1282" s="116">
        <v>1181.8</v>
      </c>
      <c r="D1282" s="116">
        <v>1162.55</v>
      </c>
      <c r="E1282" s="116">
        <v>1190</v>
      </c>
      <c r="F1282" s="116">
        <v>1181.8</v>
      </c>
      <c r="G1282">
        <v>158713</v>
      </c>
      <c r="H1282" s="116"/>
      <c r="I1282" s="116"/>
      <c r="L1282" s="170">
        <v>43893</v>
      </c>
      <c r="M1282" s="116">
        <v>1181.3</v>
      </c>
      <c r="N1282" s="116">
        <v>1186.8</v>
      </c>
      <c r="O1282" s="116">
        <v>1162.05</v>
      </c>
      <c r="P1282" s="116">
        <v>1166</v>
      </c>
      <c r="Q1282" s="116">
        <v>1181.3</v>
      </c>
      <c r="R1282">
        <v>3134527</v>
      </c>
    </row>
    <row r="1283" spans="1:18" x14ac:dyDescent="0.25">
      <c r="A1283" s="170">
        <v>43894</v>
      </c>
      <c r="B1283" s="116">
        <v>1189.9000000000001</v>
      </c>
      <c r="C1283" s="116">
        <v>1177.7</v>
      </c>
      <c r="D1283" s="116">
        <v>1158.1500000000001</v>
      </c>
      <c r="E1283" s="116">
        <v>1189.9000000000001</v>
      </c>
      <c r="F1283" s="116">
        <v>1177.7</v>
      </c>
      <c r="G1283">
        <v>335587</v>
      </c>
      <c r="H1283" s="116"/>
      <c r="I1283" s="116"/>
      <c r="L1283" s="170">
        <v>43894</v>
      </c>
      <c r="M1283" s="116">
        <v>1176.6500000000001</v>
      </c>
      <c r="N1283" s="116">
        <v>1187.8499999999999</v>
      </c>
      <c r="O1283" s="116">
        <v>1158</v>
      </c>
      <c r="P1283" s="116">
        <v>1185</v>
      </c>
      <c r="Q1283" s="116">
        <v>1176.6500000000001</v>
      </c>
      <c r="R1283">
        <v>3135151</v>
      </c>
    </row>
    <row r="1284" spans="1:18" x14ac:dyDescent="0.25">
      <c r="A1284" s="170">
        <v>43895</v>
      </c>
      <c r="B1284" s="116">
        <v>1187.95</v>
      </c>
      <c r="C1284" s="116">
        <v>1182.75</v>
      </c>
      <c r="D1284" s="116">
        <v>1166.8499999999999</v>
      </c>
      <c r="E1284" s="116">
        <v>1181.0999999999999</v>
      </c>
      <c r="F1284" s="116">
        <v>1182.75</v>
      </c>
      <c r="G1284">
        <v>72275</v>
      </c>
      <c r="H1284" s="116"/>
      <c r="I1284" s="116"/>
      <c r="L1284" s="170">
        <v>43895</v>
      </c>
      <c r="M1284" s="116">
        <v>1182.45</v>
      </c>
      <c r="N1284" s="116">
        <v>1187.25</v>
      </c>
      <c r="O1284" s="116">
        <v>1166.2</v>
      </c>
      <c r="P1284" s="116">
        <v>1180.0999999999999</v>
      </c>
      <c r="Q1284" s="116">
        <v>1182.45</v>
      </c>
      <c r="R1284">
        <v>2625152</v>
      </c>
    </row>
    <row r="1285" spans="1:18" x14ac:dyDescent="0.25">
      <c r="A1285" s="170">
        <v>43896</v>
      </c>
      <c r="B1285" s="116">
        <v>1164</v>
      </c>
      <c r="C1285" s="116">
        <v>1158.95</v>
      </c>
      <c r="D1285" s="116">
        <v>1131</v>
      </c>
      <c r="E1285" s="116">
        <v>1155</v>
      </c>
      <c r="F1285" s="116">
        <v>1158.95</v>
      </c>
      <c r="G1285">
        <v>186542</v>
      </c>
      <c r="H1285" s="116"/>
      <c r="I1285" s="116"/>
      <c r="L1285" s="170">
        <v>43896</v>
      </c>
      <c r="M1285" s="116">
        <v>1158.9000000000001</v>
      </c>
      <c r="N1285" s="116">
        <v>1164</v>
      </c>
      <c r="O1285" s="116">
        <v>1130.8499999999999</v>
      </c>
      <c r="P1285" s="116">
        <v>1148</v>
      </c>
      <c r="Q1285" s="116">
        <v>1158.9000000000001</v>
      </c>
      <c r="R1285">
        <v>3956575</v>
      </c>
    </row>
    <row r="1286" spans="1:18" x14ac:dyDescent="0.25">
      <c r="A1286" s="170">
        <v>43899</v>
      </c>
      <c r="B1286" s="116">
        <v>1143</v>
      </c>
      <c r="C1286" s="116">
        <v>1102</v>
      </c>
      <c r="D1286" s="116">
        <v>1068</v>
      </c>
      <c r="E1286" s="116">
        <v>1143</v>
      </c>
      <c r="F1286" s="116">
        <v>1102</v>
      </c>
      <c r="G1286">
        <v>355329</v>
      </c>
      <c r="H1286" s="116"/>
      <c r="I1286" s="116"/>
      <c r="L1286" s="170">
        <v>43899</v>
      </c>
      <c r="M1286" s="116">
        <v>1101.95</v>
      </c>
      <c r="N1286" s="116">
        <v>1135.8</v>
      </c>
      <c r="O1286" s="116">
        <v>1067.3</v>
      </c>
      <c r="P1286" s="116">
        <v>1135.8</v>
      </c>
      <c r="Q1286" s="116">
        <v>1101.95</v>
      </c>
      <c r="R1286">
        <v>8038432</v>
      </c>
    </row>
    <row r="1287" spans="1:18" x14ac:dyDescent="0.25">
      <c r="A1287" s="170">
        <v>43901</v>
      </c>
      <c r="B1287" s="116">
        <v>1120.45</v>
      </c>
      <c r="C1287" s="116">
        <v>1116.8499999999999</v>
      </c>
      <c r="D1287" s="116">
        <v>1086.6500000000001</v>
      </c>
      <c r="E1287" s="116">
        <v>1099</v>
      </c>
      <c r="F1287" s="116">
        <v>1116.8499999999999</v>
      </c>
      <c r="G1287">
        <v>153530</v>
      </c>
      <c r="H1287" s="116"/>
      <c r="I1287" s="116"/>
      <c r="L1287" s="170">
        <v>43901</v>
      </c>
      <c r="M1287" s="116">
        <v>1116.95</v>
      </c>
      <c r="N1287" s="116">
        <v>1120.95</v>
      </c>
      <c r="O1287" s="116">
        <v>1085.8</v>
      </c>
      <c r="P1287" s="116">
        <v>1090</v>
      </c>
      <c r="Q1287" s="116">
        <v>1116.95</v>
      </c>
      <c r="R1287">
        <v>5628178</v>
      </c>
    </row>
    <row r="1288" spans="1:18" x14ac:dyDescent="0.25">
      <c r="A1288" s="170">
        <v>43902</v>
      </c>
      <c r="B1288" s="116">
        <v>1077</v>
      </c>
      <c r="C1288" s="116">
        <v>1013.15</v>
      </c>
      <c r="D1288" s="116">
        <v>1005</v>
      </c>
      <c r="E1288" s="116">
        <v>1077</v>
      </c>
      <c r="F1288" s="116">
        <v>1013.15</v>
      </c>
      <c r="G1288">
        <v>644549</v>
      </c>
      <c r="H1288" s="116"/>
      <c r="I1288" s="116"/>
      <c r="L1288" s="170">
        <v>43902</v>
      </c>
      <c r="M1288" s="116">
        <v>1016.55</v>
      </c>
      <c r="N1288" s="116">
        <v>1070.05</v>
      </c>
      <c r="O1288" s="116">
        <v>1004.1</v>
      </c>
      <c r="P1288" s="116">
        <v>1070</v>
      </c>
      <c r="Q1288" s="116">
        <v>1016.55</v>
      </c>
      <c r="R1288">
        <v>9200492</v>
      </c>
    </row>
    <row r="1289" spans="1:18" x14ac:dyDescent="0.25">
      <c r="A1289" s="170">
        <v>43903</v>
      </c>
      <c r="B1289" s="116">
        <v>1060.45</v>
      </c>
      <c r="C1289" s="116">
        <v>1052.8499999999999</v>
      </c>
      <c r="D1289" s="116">
        <v>890.1</v>
      </c>
      <c r="E1289" s="116">
        <v>964.4</v>
      </c>
      <c r="F1289" s="116">
        <v>1052.8499999999999</v>
      </c>
      <c r="G1289">
        <v>504152</v>
      </c>
      <c r="H1289" s="116"/>
      <c r="I1289" s="116"/>
      <c r="L1289" s="170">
        <v>43903</v>
      </c>
      <c r="M1289" s="116">
        <v>1051.45</v>
      </c>
      <c r="N1289" s="116">
        <v>1060.45</v>
      </c>
      <c r="O1289" s="116">
        <v>890</v>
      </c>
      <c r="P1289" s="116">
        <v>950</v>
      </c>
      <c r="Q1289" s="116">
        <v>1051.45</v>
      </c>
      <c r="R1289">
        <v>8117968</v>
      </c>
    </row>
    <row r="1290" spans="1:18" x14ac:dyDescent="0.25">
      <c r="A1290" s="170">
        <v>43906</v>
      </c>
      <c r="B1290" s="116">
        <v>1042</v>
      </c>
      <c r="C1290" s="116">
        <v>968.7</v>
      </c>
      <c r="D1290" s="116">
        <v>962.85</v>
      </c>
      <c r="E1290" s="116">
        <v>1017</v>
      </c>
      <c r="F1290" s="116">
        <v>968.7</v>
      </c>
      <c r="G1290">
        <v>372209</v>
      </c>
      <c r="H1290" s="116"/>
      <c r="I1290" s="116"/>
      <c r="L1290" s="170">
        <v>43906</v>
      </c>
      <c r="M1290" s="116">
        <v>968.7</v>
      </c>
      <c r="N1290" s="116">
        <v>1042</v>
      </c>
      <c r="O1290" s="116">
        <v>961.9</v>
      </c>
      <c r="P1290" s="116">
        <v>1014.25</v>
      </c>
      <c r="Q1290" s="116">
        <v>968.7</v>
      </c>
      <c r="R1290">
        <v>6672579</v>
      </c>
    </row>
    <row r="1291" spans="1:18" x14ac:dyDescent="0.25">
      <c r="A1291" s="170">
        <v>43907</v>
      </c>
      <c r="B1291" s="116">
        <v>1005</v>
      </c>
      <c r="C1291" s="116">
        <v>955.2</v>
      </c>
      <c r="D1291" s="116">
        <v>940.25</v>
      </c>
      <c r="E1291" s="116">
        <v>967.25</v>
      </c>
      <c r="F1291" s="116">
        <v>955.2</v>
      </c>
      <c r="G1291">
        <v>362014</v>
      </c>
      <c r="H1291" s="116"/>
      <c r="I1291" s="116"/>
      <c r="L1291" s="170">
        <v>43907</v>
      </c>
      <c r="M1291" s="116">
        <v>956.75</v>
      </c>
      <c r="N1291" s="116">
        <v>1005</v>
      </c>
      <c r="O1291" s="116">
        <v>940.15</v>
      </c>
      <c r="P1291" s="116">
        <v>972</v>
      </c>
      <c r="Q1291" s="116">
        <v>956.75</v>
      </c>
      <c r="R1291">
        <v>4720357</v>
      </c>
    </row>
    <row r="1292" spans="1:18" x14ac:dyDescent="0.25">
      <c r="A1292" s="170">
        <v>43908</v>
      </c>
      <c r="B1292" s="116">
        <v>975</v>
      </c>
      <c r="C1292" s="116">
        <v>904.05</v>
      </c>
      <c r="D1292" s="116">
        <v>900</v>
      </c>
      <c r="E1292" s="116">
        <v>969</v>
      </c>
      <c r="F1292" s="116">
        <v>904.05</v>
      </c>
      <c r="G1292">
        <v>299166</v>
      </c>
      <c r="H1292" s="116"/>
      <c r="I1292" s="116"/>
      <c r="L1292" s="170">
        <v>43908</v>
      </c>
      <c r="M1292" s="116">
        <v>904.55</v>
      </c>
      <c r="N1292" s="116">
        <v>974.75</v>
      </c>
      <c r="O1292" s="116">
        <v>900</v>
      </c>
      <c r="P1292" s="116">
        <v>968</v>
      </c>
      <c r="Q1292" s="116">
        <v>904.55</v>
      </c>
      <c r="R1292">
        <v>5586629</v>
      </c>
    </row>
    <row r="1293" spans="1:18" x14ac:dyDescent="0.25">
      <c r="A1293" s="170">
        <v>43909</v>
      </c>
      <c r="B1293" s="116">
        <v>884.6</v>
      </c>
      <c r="C1293" s="116">
        <v>843.25</v>
      </c>
      <c r="D1293" s="116">
        <v>837.5</v>
      </c>
      <c r="E1293" s="116">
        <v>876.7</v>
      </c>
      <c r="F1293" s="116">
        <v>843.25</v>
      </c>
      <c r="G1293">
        <v>426665</v>
      </c>
      <c r="H1293" s="116"/>
      <c r="I1293" s="116"/>
      <c r="L1293" s="170">
        <v>43909</v>
      </c>
      <c r="M1293" s="116">
        <v>843.1</v>
      </c>
      <c r="N1293" s="116">
        <v>884</v>
      </c>
      <c r="O1293" s="116">
        <v>837.7</v>
      </c>
      <c r="P1293" s="116">
        <v>873.9</v>
      </c>
      <c r="Q1293" s="116">
        <v>843.1</v>
      </c>
      <c r="R1293">
        <v>7252149</v>
      </c>
    </row>
    <row r="1294" spans="1:18" x14ac:dyDescent="0.25">
      <c r="A1294" s="170">
        <v>43910</v>
      </c>
      <c r="B1294" s="116">
        <v>878.3</v>
      </c>
      <c r="C1294" s="116">
        <v>864.75</v>
      </c>
      <c r="D1294" s="116">
        <v>832</v>
      </c>
      <c r="E1294" s="116">
        <v>852</v>
      </c>
      <c r="F1294" s="116">
        <v>864.75</v>
      </c>
      <c r="G1294">
        <v>465171</v>
      </c>
      <c r="H1294" s="116"/>
      <c r="I1294" s="116"/>
      <c r="L1294" s="170">
        <v>43910</v>
      </c>
      <c r="M1294" s="116">
        <v>864.7</v>
      </c>
      <c r="N1294" s="116">
        <v>877.8</v>
      </c>
      <c r="O1294" s="116">
        <v>831.3</v>
      </c>
      <c r="P1294" s="116">
        <v>849</v>
      </c>
      <c r="Q1294" s="116">
        <v>864.7</v>
      </c>
      <c r="R1294">
        <v>6130498</v>
      </c>
    </row>
    <row r="1295" spans="1:18" x14ac:dyDescent="0.25">
      <c r="A1295" s="170">
        <v>43913</v>
      </c>
      <c r="B1295" s="116">
        <v>835</v>
      </c>
      <c r="C1295" s="116">
        <v>723.7</v>
      </c>
      <c r="D1295" s="116">
        <v>706.05</v>
      </c>
      <c r="E1295" s="116">
        <v>835</v>
      </c>
      <c r="F1295" s="116">
        <v>723.7</v>
      </c>
      <c r="G1295">
        <v>477384</v>
      </c>
      <c r="H1295" s="116"/>
      <c r="I1295" s="116"/>
      <c r="L1295" s="170">
        <v>43913</v>
      </c>
      <c r="M1295" s="116">
        <v>724.05</v>
      </c>
      <c r="N1295" s="116">
        <v>809.95</v>
      </c>
      <c r="O1295" s="116">
        <v>706</v>
      </c>
      <c r="P1295" s="116">
        <v>809</v>
      </c>
      <c r="Q1295" s="116">
        <v>724.05</v>
      </c>
      <c r="R1295">
        <v>7310033</v>
      </c>
    </row>
    <row r="1296" spans="1:18" x14ac:dyDescent="0.25">
      <c r="A1296" s="170">
        <v>43914</v>
      </c>
      <c r="B1296" s="116">
        <v>754.85</v>
      </c>
      <c r="C1296" s="116">
        <v>708.3</v>
      </c>
      <c r="D1296" s="116">
        <v>671.6</v>
      </c>
      <c r="E1296" s="116">
        <v>723</v>
      </c>
      <c r="F1296" s="116">
        <v>708.3</v>
      </c>
      <c r="G1296">
        <v>460306</v>
      </c>
      <c r="H1296" s="116"/>
      <c r="I1296" s="116"/>
      <c r="L1296" s="170">
        <v>43914</v>
      </c>
      <c r="M1296" s="116">
        <v>707.9</v>
      </c>
      <c r="N1296" s="116">
        <v>755.75</v>
      </c>
      <c r="O1296" s="116">
        <v>672</v>
      </c>
      <c r="P1296" s="116">
        <v>755</v>
      </c>
      <c r="Q1296" s="116">
        <v>707.9</v>
      </c>
      <c r="R1296">
        <v>7113438</v>
      </c>
    </row>
    <row r="1297" spans="1:18" x14ac:dyDescent="0.25">
      <c r="A1297" s="170">
        <v>43915</v>
      </c>
      <c r="B1297" s="116">
        <v>773</v>
      </c>
      <c r="C1297" s="116">
        <v>766.55</v>
      </c>
      <c r="D1297" s="116">
        <v>661.05</v>
      </c>
      <c r="E1297" s="116">
        <v>707.9</v>
      </c>
      <c r="F1297" s="116">
        <v>766.55</v>
      </c>
      <c r="G1297">
        <v>491494</v>
      </c>
      <c r="H1297" s="116"/>
      <c r="I1297" s="116"/>
      <c r="L1297" s="170">
        <v>43915</v>
      </c>
      <c r="M1297" s="116">
        <v>765.75</v>
      </c>
      <c r="N1297" s="116">
        <v>775</v>
      </c>
      <c r="O1297" s="116">
        <v>661</v>
      </c>
      <c r="P1297" s="116">
        <v>697.2</v>
      </c>
      <c r="Q1297" s="116">
        <v>765.75</v>
      </c>
      <c r="R1297">
        <v>16122626</v>
      </c>
    </row>
    <row r="1298" spans="1:18" x14ac:dyDescent="0.25">
      <c r="A1298" s="170">
        <v>43916</v>
      </c>
      <c r="B1298" s="116">
        <v>843.2</v>
      </c>
      <c r="C1298" s="116">
        <v>839.9</v>
      </c>
      <c r="D1298" s="116">
        <v>754.5</v>
      </c>
      <c r="E1298" s="116">
        <v>782.2</v>
      </c>
      <c r="F1298" s="116">
        <v>839.9</v>
      </c>
      <c r="G1298">
        <v>7658205</v>
      </c>
      <c r="H1298" s="116"/>
      <c r="I1298" s="116"/>
      <c r="L1298" s="170">
        <v>43916</v>
      </c>
      <c r="M1298" s="116">
        <v>838</v>
      </c>
      <c r="N1298" s="116">
        <v>842.3</v>
      </c>
      <c r="O1298" s="116">
        <v>754.15</v>
      </c>
      <c r="P1298" s="116">
        <v>787.75</v>
      </c>
      <c r="Q1298" s="116">
        <v>838</v>
      </c>
      <c r="R1298">
        <v>9028697</v>
      </c>
    </row>
    <row r="1299" spans="1:18" x14ac:dyDescent="0.25">
      <c r="A1299" s="170">
        <v>43917</v>
      </c>
      <c r="B1299" s="116">
        <v>890</v>
      </c>
      <c r="C1299" s="116">
        <v>836.9</v>
      </c>
      <c r="D1299" s="116">
        <v>812.3</v>
      </c>
      <c r="E1299" s="116">
        <v>863</v>
      </c>
      <c r="F1299" s="116">
        <v>836.9</v>
      </c>
      <c r="G1299">
        <v>421118</v>
      </c>
      <c r="H1299" s="116"/>
      <c r="I1299" s="116"/>
      <c r="L1299" s="170">
        <v>43917</v>
      </c>
      <c r="M1299" s="116">
        <v>837.05</v>
      </c>
      <c r="N1299" s="116">
        <v>890</v>
      </c>
      <c r="O1299" s="116">
        <v>812</v>
      </c>
      <c r="P1299" s="116">
        <v>867.9</v>
      </c>
      <c r="Q1299" s="116">
        <v>837.05</v>
      </c>
      <c r="R1299">
        <v>6573602</v>
      </c>
    </row>
    <row r="1300" spans="1:18" x14ac:dyDescent="0.25">
      <c r="A1300" s="170">
        <v>43920</v>
      </c>
      <c r="B1300" s="116">
        <v>819</v>
      </c>
      <c r="C1300" s="116">
        <v>799.7</v>
      </c>
      <c r="D1300" s="116">
        <v>791.25</v>
      </c>
      <c r="E1300" s="116">
        <v>819</v>
      </c>
      <c r="F1300" s="116">
        <v>799.7</v>
      </c>
      <c r="G1300">
        <v>166226</v>
      </c>
      <c r="H1300" s="116"/>
      <c r="I1300" s="116"/>
      <c r="L1300" s="170">
        <v>43920</v>
      </c>
      <c r="M1300" s="116">
        <v>798.65</v>
      </c>
      <c r="N1300" s="116">
        <v>815</v>
      </c>
      <c r="O1300" s="116">
        <v>791</v>
      </c>
      <c r="P1300" s="116">
        <v>801</v>
      </c>
      <c r="Q1300" s="116">
        <v>798.65</v>
      </c>
      <c r="R1300">
        <v>4474168</v>
      </c>
    </row>
    <row r="1301" spans="1:18" x14ac:dyDescent="0.25">
      <c r="A1301" s="170">
        <v>43921</v>
      </c>
      <c r="B1301" s="116">
        <v>821.55</v>
      </c>
      <c r="C1301" s="116">
        <v>806.85</v>
      </c>
      <c r="D1301" s="116">
        <v>791.1</v>
      </c>
      <c r="E1301" s="116">
        <v>819</v>
      </c>
      <c r="F1301" s="116">
        <v>806.85</v>
      </c>
      <c r="G1301">
        <v>341395</v>
      </c>
      <c r="H1301" s="116"/>
      <c r="I1301" s="116"/>
      <c r="L1301" s="170">
        <v>43921</v>
      </c>
      <c r="M1301" s="116">
        <v>808.5</v>
      </c>
      <c r="N1301" s="116">
        <v>823</v>
      </c>
      <c r="O1301" s="116">
        <v>791.2</v>
      </c>
      <c r="P1301" s="116">
        <v>820</v>
      </c>
      <c r="Q1301" s="116">
        <v>808.5</v>
      </c>
      <c r="R1301">
        <v>8045539</v>
      </c>
    </row>
    <row r="1302" spans="1:18" x14ac:dyDescent="0.25">
      <c r="A1302" s="170">
        <v>43922</v>
      </c>
      <c r="B1302" s="116">
        <v>811.75</v>
      </c>
      <c r="C1302" s="116">
        <v>774.75</v>
      </c>
      <c r="D1302" s="116">
        <v>767</v>
      </c>
      <c r="E1302" s="116">
        <v>809.2</v>
      </c>
      <c r="F1302" s="116">
        <v>774.75</v>
      </c>
      <c r="G1302">
        <v>180813</v>
      </c>
      <c r="H1302" s="116"/>
      <c r="I1302" s="116"/>
      <c r="L1302" s="170">
        <v>43922</v>
      </c>
      <c r="M1302" s="116">
        <v>774.35</v>
      </c>
      <c r="N1302" s="116">
        <v>812.4</v>
      </c>
      <c r="O1302" s="116">
        <v>766.55</v>
      </c>
      <c r="P1302" s="116">
        <v>806.85</v>
      </c>
      <c r="Q1302" s="116">
        <v>774.35</v>
      </c>
      <c r="R1302">
        <v>4104461</v>
      </c>
    </row>
    <row r="1303" spans="1:18" x14ac:dyDescent="0.25">
      <c r="A1303" s="170">
        <v>43924</v>
      </c>
      <c r="B1303" s="116">
        <v>790</v>
      </c>
      <c r="C1303" s="116">
        <v>774.85</v>
      </c>
      <c r="D1303" s="116">
        <v>763</v>
      </c>
      <c r="E1303" s="116">
        <v>786.3</v>
      </c>
      <c r="F1303" s="116">
        <v>774.85</v>
      </c>
      <c r="G1303">
        <v>227919</v>
      </c>
      <c r="H1303" s="116"/>
      <c r="I1303" s="116"/>
      <c r="L1303" s="170">
        <v>43924</v>
      </c>
      <c r="M1303" s="116">
        <v>774.65</v>
      </c>
      <c r="N1303" s="116">
        <v>791.1</v>
      </c>
      <c r="O1303" s="116">
        <v>762.8</v>
      </c>
      <c r="P1303" s="116">
        <v>791.1</v>
      </c>
      <c r="Q1303" s="116">
        <v>774.65</v>
      </c>
      <c r="R1303">
        <v>4268501</v>
      </c>
    </row>
    <row r="1304" spans="1:18" x14ac:dyDescent="0.25">
      <c r="A1304" s="170">
        <v>43928</v>
      </c>
      <c r="B1304" s="116">
        <v>814.95</v>
      </c>
      <c r="C1304" s="116">
        <v>801.65</v>
      </c>
      <c r="D1304" s="116">
        <v>791</v>
      </c>
      <c r="E1304" s="116">
        <v>814.95</v>
      </c>
      <c r="F1304" s="116">
        <v>801.65</v>
      </c>
      <c r="G1304">
        <v>203786</v>
      </c>
      <c r="H1304" s="116"/>
      <c r="I1304" s="116"/>
      <c r="L1304" s="170">
        <v>43928</v>
      </c>
      <c r="M1304" s="116">
        <v>801.65</v>
      </c>
      <c r="N1304" s="116">
        <v>813</v>
      </c>
      <c r="O1304" s="116">
        <v>791</v>
      </c>
      <c r="P1304" s="116">
        <v>805</v>
      </c>
      <c r="Q1304" s="116">
        <v>801.65</v>
      </c>
      <c r="R1304">
        <v>5769216</v>
      </c>
    </row>
    <row r="1305" spans="1:18" x14ac:dyDescent="0.25">
      <c r="A1305" s="170">
        <v>43929</v>
      </c>
      <c r="B1305" s="116">
        <v>832</v>
      </c>
      <c r="C1305" s="116">
        <v>807.65</v>
      </c>
      <c r="D1305" s="116">
        <v>798.25</v>
      </c>
      <c r="E1305" s="116">
        <v>805</v>
      </c>
      <c r="F1305" s="116">
        <v>807.65</v>
      </c>
      <c r="G1305">
        <v>258009</v>
      </c>
      <c r="H1305" s="116"/>
      <c r="I1305" s="116"/>
      <c r="L1305" s="170">
        <v>43929</v>
      </c>
      <c r="M1305" s="116">
        <v>807.1</v>
      </c>
      <c r="N1305" s="116">
        <v>832</v>
      </c>
      <c r="O1305" s="116">
        <v>797.7</v>
      </c>
      <c r="P1305" s="116">
        <v>804</v>
      </c>
      <c r="Q1305" s="116">
        <v>807.1</v>
      </c>
      <c r="R1305">
        <v>6151093</v>
      </c>
    </row>
    <row r="1306" spans="1:18" x14ac:dyDescent="0.25">
      <c r="A1306" s="170">
        <v>43930</v>
      </c>
      <c r="B1306" s="116">
        <v>834.9</v>
      </c>
      <c r="C1306" s="116">
        <v>812.35</v>
      </c>
      <c r="D1306" s="116">
        <v>805.45</v>
      </c>
      <c r="E1306" s="116">
        <v>831</v>
      </c>
      <c r="F1306" s="116">
        <v>812.35</v>
      </c>
      <c r="G1306">
        <v>245404</v>
      </c>
      <c r="H1306" s="116"/>
      <c r="I1306" s="116"/>
      <c r="L1306" s="170">
        <v>43930</v>
      </c>
      <c r="M1306" s="116">
        <v>812.8</v>
      </c>
      <c r="N1306" s="116">
        <v>834.35</v>
      </c>
      <c r="O1306" s="116">
        <v>804.4</v>
      </c>
      <c r="P1306" s="116">
        <v>834.35</v>
      </c>
      <c r="Q1306" s="116">
        <v>812.8</v>
      </c>
      <c r="R1306">
        <v>6410629</v>
      </c>
    </row>
    <row r="1307" spans="1:18" x14ac:dyDescent="0.25">
      <c r="A1307" s="170">
        <v>43934</v>
      </c>
      <c r="B1307" s="116">
        <v>872</v>
      </c>
      <c r="C1307" s="116">
        <v>865.7</v>
      </c>
      <c r="D1307" s="116">
        <v>809</v>
      </c>
      <c r="E1307" s="116">
        <v>815</v>
      </c>
      <c r="F1307" s="116">
        <v>865.7</v>
      </c>
      <c r="G1307">
        <v>408710</v>
      </c>
      <c r="H1307" s="116"/>
      <c r="I1307" s="116"/>
      <c r="L1307" s="170">
        <v>43934</v>
      </c>
      <c r="M1307" s="116">
        <v>865.45</v>
      </c>
      <c r="N1307" s="116">
        <v>872.4</v>
      </c>
      <c r="O1307" s="116">
        <v>807.95</v>
      </c>
      <c r="P1307" s="116">
        <v>812.8</v>
      </c>
      <c r="Q1307" s="116">
        <v>865.45</v>
      </c>
      <c r="R1307">
        <v>9462929</v>
      </c>
    </row>
    <row r="1308" spans="1:18" x14ac:dyDescent="0.25">
      <c r="A1308" s="170">
        <v>43936</v>
      </c>
      <c r="B1308" s="116">
        <v>926.7</v>
      </c>
      <c r="C1308" s="116">
        <v>879.9</v>
      </c>
      <c r="D1308" s="116">
        <v>867.85</v>
      </c>
      <c r="E1308" s="116">
        <v>880.3</v>
      </c>
      <c r="F1308" s="116">
        <v>879.9</v>
      </c>
      <c r="G1308">
        <v>474002</v>
      </c>
      <c r="H1308" s="116"/>
      <c r="I1308" s="116"/>
      <c r="L1308" s="170">
        <v>43936</v>
      </c>
      <c r="M1308" s="116">
        <v>880.15</v>
      </c>
      <c r="N1308" s="116">
        <v>926.6</v>
      </c>
      <c r="O1308" s="116">
        <v>869</v>
      </c>
      <c r="P1308" s="116">
        <v>890.95</v>
      </c>
      <c r="Q1308" s="116">
        <v>880.15</v>
      </c>
      <c r="R1308">
        <v>10435586</v>
      </c>
    </row>
    <row r="1309" spans="1:18" x14ac:dyDescent="0.25">
      <c r="A1309" s="170">
        <v>43937</v>
      </c>
      <c r="B1309" s="116">
        <v>919.55</v>
      </c>
      <c r="C1309" s="116">
        <v>912</v>
      </c>
      <c r="D1309" s="116">
        <v>871.7</v>
      </c>
      <c r="E1309" s="116">
        <v>878.75</v>
      </c>
      <c r="F1309" s="116">
        <v>912</v>
      </c>
      <c r="G1309">
        <v>204695</v>
      </c>
      <c r="H1309" s="116"/>
      <c r="I1309" s="116"/>
      <c r="L1309" s="170">
        <v>43937</v>
      </c>
      <c r="M1309" s="116">
        <v>911.65</v>
      </c>
      <c r="N1309" s="116">
        <v>919.8</v>
      </c>
      <c r="O1309" s="116">
        <v>870.15</v>
      </c>
      <c r="P1309" s="116">
        <v>875.95</v>
      </c>
      <c r="Q1309" s="116">
        <v>911.65</v>
      </c>
      <c r="R1309">
        <v>6980628</v>
      </c>
    </row>
    <row r="1310" spans="1:18" x14ac:dyDescent="0.25">
      <c r="A1310" s="170">
        <v>43938</v>
      </c>
      <c r="B1310" s="116">
        <v>940</v>
      </c>
      <c r="C1310" s="116">
        <v>933.15</v>
      </c>
      <c r="D1310" s="116">
        <v>916.2</v>
      </c>
      <c r="E1310" s="116">
        <v>926.45</v>
      </c>
      <c r="F1310" s="116">
        <v>933.15</v>
      </c>
      <c r="G1310">
        <v>223421</v>
      </c>
      <c r="H1310" s="116"/>
      <c r="I1310" s="116"/>
      <c r="L1310" s="170">
        <v>43938</v>
      </c>
      <c r="M1310" s="116">
        <v>932.9</v>
      </c>
      <c r="N1310" s="116">
        <v>940</v>
      </c>
      <c r="O1310" s="116">
        <v>916</v>
      </c>
      <c r="P1310" s="116">
        <v>930</v>
      </c>
      <c r="Q1310" s="116">
        <v>932.9</v>
      </c>
      <c r="R1310">
        <v>5827735</v>
      </c>
    </row>
    <row r="1311" spans="1:18" x14ac:dyDescent="0.25">
      <c r="A1311" s="170">
        <v>43941</v>
      </c>
      <c r="B1311" s="116">
        <v>945</v>
      </c>
      <c r="C1311" s="116">
        <v>916.05</v>
      </c>
      <c r="D1311" s="116">
        <v>910.6</v>
      </c>
      <c r="E1311" s="116">
        <v>945</v>
      </c>
      <c r="F1311" s="116">
        <v>916.05</v>
      </c>
      <c r="G1311">
        <v>183491</v>
      </c>
      <c r="H1311" s="116"/>
      <c r="I1311" s="116"/>
      <c r="L1311" s="170">
        <v>43941</v>
      </c>
      <c r="M1311" s="116">
        <v>915.6</v>
      </c>
      <c r="N1311" s="116">
        <v>943</v>
      </c>
      <c r="O1311" s="116">
        <v>911</v>
      </c>
      <c r="P1311" s="116">
        <v>940.8</v>
      </c>
      <c r="Q1311" s="116">
        <v>915.6</v>
      </c>
      <c r="R1311">
        <v>4958437</v>
      </c>
    </row>
    <row r="1312" spans="1:18" x14ac:dyDescent="0.25">
      <c r="A1312" s="170">
        <v>43942</v>
      </c>
      <c r="B1312" s="116">
        <v>906.3</v>
      </c>
      <c r="C1312" s="116">
        <v>870.65</v>
      </c>
      <c r="D1312" s="116">
        <v>863.5</v>
      </c>
      <c r="E1312" s="116">
        <v>903.9</v>
      </c>
      <c r="F1312" s="116">
        <v>870.65</v>
      </c>
      <c r="G1312">
        <v>260313</v>
      </c>
      <c r="H1312" s="116"/>
      <c r="I1312" s="116"/>
      <c r="L1312" s="170">
        <v>43942</v>
      </c>
      <c r="M1312" s="116">
        <v>870.35</v>
      </c>
      <c r="N1312" s="116">
        <v>906.6</v>
      </c>
      <c r="O1312" s="116">
        <v>863</v>
      </c>
      <c r="P1312" s="116">
        <v>897</v>
      </c>
      <c r="Q1312" s="116">
        <v>870.35</v>
      </c>
      <c r="R1312">
        <v>5122597</v>
      </c>
    </row>
    <row r="1313" spans="1:18" x14ac:dyDescent="0.25">
      <c r="A1313" s="170">
        <v>43943</v>
      </c>
      <c r="B1313" s="116">
        <v>885.1</v>
      </c>
      <c r="C1313" s="116">
        <v>852.65</v>
      </c>
      <c r="D1313" s="116">
        <v>850.15</v>
      </c>
      <c r="E1313" s="116">
        <v>871</v>
      </c>
      <c r="F1313" s="116">
        <v>852.65</v>
      </c>
      <c r="G1313">
        <v>252548</v>
      </c>
      <c r="H1313" s="116"/>
      <c r="I1313" s="116"/>
      <c r="L1313" s="170">
        <v>43943</v>
      </c>
      <c r="M1313" s="116">
        <v>852.6</v>
      </c>
      <c r="N1313" s="116">
        <v>885.5</v>
      </c>
      <c r="O1313" s="116">
        <v>850</v>
      </c>
      <c r="P1313" s="116">
        <v>873</v>
      </c>
      <c r="Q1313" s="116">
        <v>852.6</v>
      </c>
      <c r="R1313">
        <v>6090177</v>
      </c>
    </row>
    <row r="1314" spans="1:18" x14ac:dyDescent="0.25">
      <c r="A1314" s="170">
        <v>43944</v>
      </c>
      <c r="B1314" s="116">
        <v>869.3</v>
      </c>
      <c r="C1314" s="116">
        <v>840.65</v>
      </c>
      <c r="D1314" s="116">
        <v>835.4</v>
      </c>
      <c r="E1314" s="116">
        <v>862</v>
      </c>
      <c r="F1314" s="116">
        <v>840.65</v>
      </c>
      <c r="G1314">
        <v>259373</v>
      </c>
      <c r="H1314" s="116"/>
      <c r="I1314" s="116"/>
      <c r="L1314" s="170">
        <v>43944</v>
      </c>
      <c r="M1314" s="116">
        <v>840.6</v>
      </c>
      <c r="N1314" s="116">
        <v>869.5</v>
      </c>
      <c r="O1314" s="116">
        <v>835</v>
      </c>
      <c r="P1314" s="116">
        <v>860</v>
      </c>
      <c r="Q1314" s="116">
        <v>840.6</v>
      </c>
      <c r="R1314">
        <v>6322048</v>
      </c>
    </row>
    <row r="1315" spans="1:18" x14ac:dyDescent="0.25">
      <c r="A1315" s="170">
        <v>43945</v>
      </c>
      <c r="B1315" s="116">
        <v>868.9</v>
      </c>
      <c r="C1315" s="116">
        <v>850.6</v>
      </c>
      <c r="D1315" s="116">
        <v>835.3</v>
      </c>
      <c r="E1315" s="116">
        <v>842</v>
      </c>
      <c r="F1315" s="116">
        <v>850.6</v>
      </c>
      <c r="G1315">
        <v>304900</v>
      </c>
      <c r="H1315" s="116"/>
      <c r="I1315" s="116"/>
      <c r="L1315" s="170">
        <v>43945</v>
      </c>
      <c r="M1315" s="116">
        <v>851.2</v>
      </c>
      <c r="N1315" s="116">
        <v>869</v>
      </c>
      <c r="O1315" s="116">
        <v>834.15</v>
      </c>
      <c r="P1315" s="116">
        <v>838</v>
      </c>
      <c r="Q1315" s="116">
        <v>851.2</v>
      </c>
      <c r="R1315">
        <v>7960660</v>
      </c>
    </row>
    <row r="1316" spans="1:18" x14ac:dyDescent="0.25">
      <c r="A1316" s="170">
        <v>43948</v>
      </c>
      <c r="B1316" s="116">
        <v>874.7</v>
      </c>
      <c r="C1316" s="116">
        <v>855.55</v>
      </c>
      <c r="D1316" s="116">
        <v>852.7</v>
      </c>
      <c r="E1316" s="116">
        <v>861</v>
      </c>
      <c r="F1316" s="116">
        <v>855.55</v>
      </c>
      <c r="G1316">
        <v>160846</v>
      </c>
      <c r="H1316" s="116"/>
      <c r="I1316" s="116"/>
      <c r="L1316" s="170">
        <v>43948</v>
      </c>
      <c r="M1316" s="116">
        <v>855.25</v>
      </c>
      <c r="N1316" s="116">
        <v>874.9</v>
      </c>
      <c r="O1316" s="116">
        <v>852.25</v>
      </c>
      <c r="P1316" s="116">
        <v>861.95</v>
      </c>
      <c r="Q1316" s="116">
        <v>855.25</v>
      </c>
      <c r="R1316">
        <v>4224467</v>
      </c>
    </row>
    <row r="1317" spans="1:18" x14ac:dyDescent="0.25">
      <c r="A1317" s="170">
        <v>43949</v>
      </c>
      <c r="B1317" s="116">
        <v>867.5</v>
      </c>
      <c r="C1317" s="116">
        <v>857</v>
      </c>
      <c r="D1317" s="116">
        <v>852.75</v>
      </c>
      <c r="E1317" s="116">
        <v>865</v>
      </c>
      <c r="F1317" s="116">
        <v>857</v>
      </c>
      <c r="G1317">
        <v>136026</v>
      </c>
      <c r="H1317" s="116"/>
      <c r="I1317" s="116"/>
      <c r="L1317" s="170">
        <v>43949</v>
      </c>
      <c r="M1317" s="116">
        <v>857.15</v>
      </c>
      <c r="N1317" s="116">
        <v>867.7</v>
      </c>
      <c r="O1317" s="116">
        <v>852.1</v>
      </c>
      <c r="P1317" s="116">
        <v>863.8</v>
      </c>
      <c r="Q1317" s="116">
        <v>857.15</v>
      </c>
      <c r="R1317">
        <v>3773038</v>
      </c>
    </row>
    <row r="1318" spans="1:18" x14ac:dyDescent="0.25">
      <c r="A1318" s="170">
        <v>43950</v>
      </c>
      <c r="B1318" s="116">
        <v>882.5</v>
      </c>
      <c r="C1318" s="116">
        <v>876.65</v>
      </c>
      <c r="D1318" s="116">
        <v>854.45</v>
      </c>
      <c r="E1318" s="116">
        <v>865.7</v>
      </c>
      <c r="F1318" s="116">
        <v>876.65</v>
      </c>
      <c r="G1318">
        <v>192577</v>
      </c>
      <c r="H1318" s="116"/>
      <c r="I1318" s="116"/>
      <c r="L1318" s="170">
        <v>43950</v>
      </c>
      <c r="M1318" s="116">
        <v>875.35</v>
      </c>
      <c r="N1318" s="116">
        <v>883.05</v>
      </c>
      <c r="O1318" s="116">
        <v>854</v>
      </c>
      <c r="P1318" s="116">
        <v>862</v>
      </c>
      <c r="Q1318" s="116">
        <v>875.35</v>
      </c>
      <c r="R1318">
        <v>4841417</v>
      </c>
    </row>
    <row r="1319" spans="1:18" x14ac:dyDescent="0.25">
      <c r="A1319" s="170">
        <v>43951</v>
      </c>
      <c r="B1319" s="116">
        <v>916.2</v>
      </c>
      <c r="C1319" s="116">
        <v>897.35</v>
      </c>
      <c r="D1319" s="116">
        <v>884.25</v>
      </c>
      <c r="E1319" s="116">
        <v>887.05</v>
      </c>
      <c r="F1319" s="116">
        <v>897.35</v>
      </c>
      <c r="G1319">
        <v>236358</v>
      </c>
      <c r="H1319" s="116"/>
      <c r="I1319" s="116"/>
      <c r="L1319" s="170">
        <v>43951</v>
      </c>
      <c r="M1319" s="116">
        <v>897.55</v>
      </c>
      <c r="N1319" s="116">
        <v>916.8</v>
      </c>
      <c r="O1319" s="116">
        <v>884.1</v>
      </c>
      <c r="P1319" s="116">
        <v>890.2</v>
      </c>
      <c r="Q1319" s="116">
        <v>897.55</v>
      </c>
      <c r="R1319">
        <v>6333023</v>
      </c>
    </row>
    <row r="1320" spans="1:18" x14ac:dyDescent="0.25">
      <c r="A1320" s="170">
        <v>43955</v>
      </c>
      <c r="B1320" s="116">
        <v>884</v>
      </c>
      <c r="C1320" s="116">
        <v>850.75</v>
      </c>
      <c r="D1320" s="116">
        <v>845.1</v>
      </c>
      <c r="E1320" s="116">
        <v>884</v>
      </c>
      <c r="F1320" s="116">
        <v>850.75</v>
      </c>
      <c r="G1320">
        <v>240522</v>
      </c>
      <c r="H1320" s="116"/>
      <c r="I1320" s="116"/>
      <c r="L1320" s="170">
        <v>43955</v>
      </c>
      <c r="M1320" s="116">
        <v>850.65</v>
      </c>
      <c r="N1320" s="116">
        <v>880</v>
      </c>
      <c r="O1320" s="116">
        <v>845</v>
      </c>
      <c r="P1320" s="116">
        <v>880</v>
      </c>
      <c r="Q1320" s="116">
        <v>850.65</v>
      </c>
      <c r="R1320">
        <v>4678679</v>
      </c>
    </row>
    <row r="1321" spans="1:18" x14ac:dyDescent="0.25">
      <c r="A1321" s="170">
        <v>43956</v>
      </c>
      <c r="B1321" s="116">
        <v>870</v>
      </c>
      <c r="C1321" s="116">
        <v>837.15</v>
      </c>
      <c r="D1321" s="116">
        <v>835.1</v>
      </c>
      <c r="E1321" s="116">
        <v>861</v>
      </c>
      <c r="F1321" s="116">
        <v>837.15</v>
      </c>
      <c r="G1321">
        <v>231879</v>
      </c>
      <c r="H1321" s="116"/>
      <c r="I1321" s="116"/>
      <c r="L1321" s="170">
        <v>43956</v>
      </c>
      <c r="M1321" s="116">
        <v>836.9</v>
      </c>
      <c r="N1321" s="116">
        <v>869.8</v>
      </c>
      <c r="O1321" s="116">
        <v>835</v>
      </c>
      <c r="P1321" s="116">
        <v>861</v>
      </c>
      <c r="Q1321" s="116">
        <v>836.9</v>
      </c>
      <c r="R1321">
        <v>4296534</v>
      </c>
    </row>
    <row r="1322" spans="1:18" x14ac:dyDescent="0.25">
      <c r="A1322" s="170">
        <v>43957</v>
      </c>
      <c r="B1322" s="116">
        <v>848</v>
      </c>
      <c r="C1322" s="116">
        <v>837.65</v>
      </c>
      <c r="D1322" s="116">
        <v>818.1</v>
      </c>
      <c r="E1322" s="116">
        <v>839</v>
      </c>
      <c r="F1322" s="116">
        <v>837.65</v>
      </c>
      <c r="G1322">
        <v>188244</v>
      </c>
      <c r="H1322" s="116"/>
      <c r="I1322" s="116"/>
      <c r="L1322" s="170">
        <v>43957</v>
      </c>
      <c r="M1322" s="116">
        <v>837.3</v>
      </c>
      <c r="N1322" s="116">
        <v>848</v>
      </c>
      <c r="O1322" s="116">
        <v>817.6</v>
      </c>
      <c r="P1322" s="116">
        <v>838</v>
      </c>
      <c r="Q1322" s="116">
        <v>837.3</v>
      </c>
      <c r="R1322">
        <v>5081614</v>
      </c>
    </row>
    <row r="1323" spans="1:18" x14ac:dyDescent="0.25">
      <c r="A1323" s="170">
        <v>43958</v>
      </c>
      <c r="B1323" s="116">
        <v>836</v>
      </c>
      <c r="C1323" s="116">
        <v>822.7</v>
      </c>
      <c r="D1323" s="116">
        <v>820.25</v>
      </c>
      <c r="E1323" s="116">
        <v>835</v>
      </c>
      <c r="F1323" s="116">
        <v>822.7</v>
      </c>
      <c r="G1323">
        <v>148559</v>
      </c>
      <c r="H1323" s="116"/>
      <c r="I1323" s="116"/>
      <c r="L1323" s="170">
        <v>43958</v>
      </c>
      <c r="M1323" s="116">
        <v>822.85</v>
      </c>
      <c r="N1323" s="116">
        <v>836.05</v>
      </c>
      <c r="O1323" s="116">
        <v>820.1</v>
      </c>
      <c r="P1323" s="116">
        <v>833</v>
      </c>
      <c r="Q1323" s="116">
        <v>822.85</v>
      </c>
      <c r="R1323">
        <v>3529156</v>
      </c>
    </row>
    <row r="1324" spans="1:18" x14ac:dyDescent="0.25">
      <c r="A1324" s="170">
        <v>43959</v>
      </c>
      <c r="B1324" s="116">
        <v>834.95</v>
      </c>
      <c r="C1324" s="116">
        <v>816.05</v>
      </c>
      <c r="D1324" s="116">
        <v>810</v>
      </c>
      <c r="E1324" s="116">
        <v>832</v>
      </c>
      <c r="F1324" s="116">
        <v>816.05</v>
      </c>
      <c r="G1324">
        <v>220532</v>
      </c>
      <c r="H1324" s="116"/>
      <c r="I1324" s="116"/>
      <c r="L1324" s="170">
        <v>43959</v>
      </c>
      <c r="M1324" s="116">
        <v>815.95</v>
      </c>
      <c r="N1324" s="116">
        <v>834.85</v>
      </c>
      <c r="O1324" s="116">
        <v>810</v>
      </c>
      <c r="P1324" s="116">
        <v>833</v>
      </c>
      <c r="Q1324" s="116">
        <v>815.95</v>
      </c>
      <c r="R1324">
        <v>4394534</v>
      </c>
    </row>
    <row r="1325" spans="1:18" x14ac:dyDescent="0.25">
      <c r="A1325" s="170">
        <v>43962</v>
      </c>
      <c r="B1325" s="116">
        <v>827</v>
      </c>
      <c r="C1325" s="116">
        <v>821.5</v>
      </c>
      <c r="D1325" s="116">
        <v>816.6</v>
      </c>
      <c r="E1325" s="116">
        <v>822</v>
      </c>
      <c r="F1325" s="116">
        <v>821.5</v>
      </c>
      <c r="G1325">
        <v>101041</v>
      </c>
      <c r="H1325" s="116"/>
      <c r="I1325" s="116"/>
      <c r="L1325" s="170">
        <v>43962</v>
      </c>
      <c r="M1325" s="116">
        <v>821.6</v>
      </c>
      <c r="N1325" s="116">
        <v>827.5</v>
      </c>
      <c r="O1325" s="116">
        <v>816.35</v>
      </c>
      <c r="P1325" s="116">
        <v>821.2</v>
      </c>
      <c r="Q1325" s="116">
        <v>821.6</v>
      </c>
      <c r="R1325">
        <v>2882960</v>
      </c>
    </row>
    <row r="1326" spans="1:18" x14ac:dyDescent="0.25">
      <c r="A1326" s="170">
        <v>43963</v>
      </c>
      <c r="B1326" s="116">
        <v>820</v>
      </c>
      <c r="C1326" s="116">
        <v>814.8</v>
      </c>
      <c r="D1326" s="116">
        <v>804.25</v>
      </c>
      <c r="E1326" s="116">
        <v>818.8</v>
      </c>
      <c r="F1326" s="116">
        <v>814.8</v>
      </c>
      <c r="G1326">
        <v>148350</v>
      </c>
      <c r="H1326" s="116"/>
      <c r="I1326" s="116"/>
      <c r="L1326" s="170">
        <v>43963</v>
      </c>
      <c r="M1326" s="116">
        <v>814.8</v>
      </c>
      <c r="N1326" s="116">
        <v>819.25</v>
      </c>
      <c r="O1326" s="116">
        <v>804</v>
      </c>
      <c r="P1326" s="116">
        <v>817</v>
      </c>
      <c r="Q1326" s="116">
        <v>814.8</v>
      </c>
      <c r="R1326">
        <v>3024386</v>
      </c>
    </row>
    <row r="1327" spans="1:18" x14ac:dyDescent="0.25">
      <c r="A1327" s="170">
        <v>43964</v>
      </c>
      <c r="B1327" s="116">
        <v>871.8</v>
      </c>
      <c r="C1327" s="116">
        <v>863.5</v>
      </c>
      <c r="D1327" s="116">
        <v>851</v>
      </c>
      <c r="E1327" s="116">
        <v>862.8</v>
      </c>
      <c r="F1327" s="116">
        <v>863.5</v>
      </c>
      <c r="G1327">
        <v>310436</v>
      </c>
      <c r="H1327" s="116"/>
      <c r="I1327" s="116"/>
      <c r="L1327" s="170">
        <v>43964</v>
      </c>
      <c r="M1327" s="116">
        <v>862.9</v>
      </c>
      <c r="N1327" s="116">
        <v>871.95</v>
      </c>
      <c r="O1327" s="116">
        <v>850.5</v>
      </c>
      <c r="P1327" s="116">
        <v>863.7</v>
      </c>
      <c r="Q1327" s="116">
        <v>862.9</v>
      </c>
      <c r="R1327">
        <v>8625530</v>
      </c>
    </row>
    <row r="1328" spans="1:18" x14ac:dyDescent="0.25">
      <c r="A1328" s="170">
        <v>43965</v>
      </c>
      <c r="B1328" s="116">
        <v>879.7</v>
      </c>
      <c r="C1328" s="116">
        <v>871.8</v>
      </c>
      <c r="D1328" s="116">
        <v>842</v>
      </c>
      <c r="E1328" s="116">
        <v>861.2</v>
      </c>
      <c r="F1328" s="116">
        <v>871.8</v>
      </c>
      <c r="G1328">
        <v>295197</v>
      </c>
      <c r="H1328" s="116"/>
      <c r="I1328" s="116"/>
      <c r="L1328" s="170">
        <v>43965</v>
      </c>
      <c r="M1328" s="116">
        <v>871.65</v>
      </c>
      <c r="N1328" s="116">
        <v>879.6</v>
      </c>
      <c r="O1328" s="116">
        <v>841.5</v>
      </c>
      <c r="P1328" s="116">
        <v>858.9</v>
      </c>
      <c r="Q1328" s="116">
        <v>871.65</v>
      </c>
      <c r="R1328">
        <v>6778688</v>
      </c>
    </row>
    <row r="1329" spans="1:18" x14ac:dyDescent="0.25">
      <c r="A1329" s="170">
        <v>43966</v>
      </c>
      <c r="B1329" s="116">
        <v>885</v>
      </c>
      <c r="C1329" s="116">
        <v>864.2</v>
      </c>
      <c r="D1329" s="116">
        <v>854.35</v>
      </c>
      <c r="E1329" s="116">
        <v>881.6</v>
      </c>
      <c r="F1329" s="116">
        <v>864.2</v>
      </c>
      <c r="G1329">
        <v>209336</v>
      </c>
      <c r="H1329" s="116"/>
      <c r="I1329" s="116"/>
      <c r="L1329" s="170">
        <v>43966</v>
      </c>
      <c r="M1329" s="116">
        <v>864.4</v>
      </c>
      <c r="N1329" s="116">
        <v>885</v>
      </c>
      <c r="O1329" s="116">
        <v>854</v>
      </c>
      <c r="P1329" s="116">
        <v>881.95</v>
      </c>
      <c r="Q1329" s="116">
        <v>864.4</v>
      </c>
      <c r="R1329">
        <v>5654025</v>
      </c>
    </row>
    <row r="1330" spans="1:18" x14ac:dyDescent="0.25">
      <c r="A1330" s="170">
        <v>43969</v>
      </c>
      <c r="B1330" s="116">
        <v>871.9</v>
      </c>
      <c r="C1330" s="116">
        <v>813.45</v>
      </c>
      <c r="D1330" s="116">
        <v>810.35</v>
      </c>
      <c r="E1330" s="116">
        <v>871.9</v>
      </c>
      <c r="F1330" s="116">
        <v>813.45</v>
      </c>
      <c r="G1330">
        <v>293256</v>
      </c>
      <c r="H1330" s="116"/>
      <c r="I1330" s="116"/>
      <c r="L1330" s="170">
        <v>43969</v>
      </c>
      <c r="M1330" s="116">
        <v>813.35</v>
      </c>
      <c r="N1330" s="116">
        <v>870</v>
      </c>
      <c r="O1330" s="116">
        <v>810</v>
      </c>
      <c r="P1330" s="116">
        <v>869.9</v>
      </c>
      <c r="Q1330" s="116">
        <v>813.35</v>
      </c>
      <c r="R1330">
        <v>6211450</v>
      </c>
    </row>
    <row r="1331" spans="1:18" x14ac:dyDescent="0.25">
      <c r="A1331" s="170">
        <v>43970</v>
      </c>
      <c r="B1331" s="116">
        <v>833.6</v>
      </c>
      <c r="C1331" s="116">
        <v>796.45</v>
      </c>
      <c r="D1331" s="116">
        <v>791.55</v>
      </c>
      <c r="E1331" s="116">
        <v>828</v>
      </c>
      <c r="F1331" s="116">
        <v>796.45</v>
      </c>
      <c r="G1331">
        <v>229961</v>
      </c>
      <c r="H1331" s="116"/>
      <c r="I1331" s="116"/>
      <c r="L1331" s="170">
        <v>43970</v>
      </c>
      <c r="M1331" s="116">
        <v>796.35</v>
      </c>
      <c r="N1331" s="116">
        <v>833.8</v>
      </c>
      <c r="O1331" s="116">
        <v>791.7</v>
      </c>
      <c r="P1331" s="116">
        <v>827.1</v>
      </c>
      <c r="Q1331" s="116">
        <v>796.35</v>
      </c>
      <c r="R1331">
        <v>5533176</v>
      </c>
    </row>
    <row r="1332" spans="1:18" x14ac:dyDescent="0.25">
      <c r="A1332" s="170">
        <v>43971</v>
      </c>
      <c r="B1332" s="116">
        <v>840</v>
      </c>
      <c r="C1332" s="116">
        <v>835.05</v>
      </c>
      <c r="D1332" s="116">
        <v>798</v>
      </c>
      <c r="E1332" s="116">
        <v>798</v>
      </c>
      <c r="F1332" s="116">
        <v>835.05</v>
      </c>
      <c r="G1332">
        <v>236526</v>
      </c>
      <c r="H1332" s="116"/>
      <c r="I1332" s="116"/>
      <c r="L1332" s="170">
        <v>43971</v>
      </c>
      <c r="M1332" s="116">
        <v>835</v>
      </c>
      <c r="N1332" s="116">
        <v>841</v>
      </c>
      <c r="O1332" s="116">
        <v>800</v>
      </c>
      <c r="P1332" s="116">
        <v>800</v>
      </c>
      <c r="Q1332" s="116">
        <v>835</v>
      </c>
      <c r="R1332">
        <v>5950015</v>
      </c>
    </row>
    <row r="1333" spans="1:18" x14ac:dyDescent="0.25">
      <c r="A1333" s="170">
        <v>43972</v>
      </c>
      <c r="B1333" s="116">
        <v>845</v>
      </c>
      <c r="C1333" s="116">
        <v>820.4</v>
      </c>
      <c r="D1333" s="116">
        <v>818.25</v>
      </c>
      <c r="E1333" s="116">
        <v>837</v>
      </c>
      <c r="F1333" s="116">
        <v>820.4</v>
      </c>
      <c r="G1333">
        <v>184928</v>
      </c>
      <c r="H1333" s="116"/>
      <c r="I1333" s="116"/>
      <c r="L1333" s="170">
        <v>43972</v>
      </c>
      <c r="M1333" s="116">
        <v>820.5</v>
      </c>
      <c r="N1333" s="116">
        <v>845</v>
      </c>
      <c r="O1333" s="116">
        <v>818.1</v>
      </c>
      <c r="P1333" s="116">
        <v>835.95</v>
      </c>
      <c r="Q1333" s="116">
        <v>820.5</v>
      </c>
      <c r="R1333">
        <v>4701980</v>
      </c>
    </row>
    <row r="1334" spans="1:18" x14ac:dyDescent="0.25">
      <c r="A1334" s="170">
        <v>43973</v>
      </c>
      <c r="B1334" s="116">
        <v>826.2</v>
      </c>
      <c r="C1334" s="116">
        <v>815.95</v>
      </c>
      <c r="D1334" s="116">
        <v>810.1</v>
      </c>
      <c r="E1334" s="116">
        <v>817</v>
      </c>
      <c r="F1334" s="116">
        <v>815.95</v>
      </c>
      <c r="G1334">
        <v>156326</v>
      </c>
      <c r="H1334" s="116"/>
      <c r="I1334" s="116"/>
      <c r="L1334" s="170">
        <v>43973</v>
      </c>
      <c r="M1334" s="116">
        <v>815.7</v>
      </c>
      <c r="N1334" s="116">
        <v>826.5</v>
      </c>
      <c r="O1334" s="116">
        <v>810.1</v>
      </c>
      <c r="P1334" s="116">
        <v>815</v>
      </c>
      <c r="Q1334" s="116">
        <v>815.7</v>
      </c>
      <c r="R1334">
        <v>4609134</v>
      </c>
    </row>
    <row r="1335" spans="1:18" x14ac:dyDescent="0.25">
      <c r="A1335" s="170">
        <v>43977</v>
      </c>
      <c r="B1335" s="116">
        <v>843</v>
      </c>
      <c r="C1335" s="116">
        <v>825.8</v>
      </c>
      <c r="D1335" s="116">
        <v>820</v>
      </c>
      <c r="E1335" s="116">
        <v>820</v>
      </c>
      <c r="F1335" s="116">
        <v>825.8</v>
      </c>
      <c r="G1335">
        <v>176143</v>
      </c>
      <c r="H1335" s="116"/>
      <c r="I1335" s="116"/>
      <c r="L1335" s="170">
        <v>43977</v>
      </c>
      <c r="M1335" s="116">
        <v>825.55</v>
      </c>
      <c r="N1335" s="116">
        <v>842.7</v>
      </c>
      <c r="O1335" s="116">
        <v>821</v>
      </c>
      <c r="P1335" s="116">
        <v>821.9</v>
      </c>
      <c r="Q1335" s="116">
        <v>825.55</v>
      </c>
      <c r="R1335">
        <v>4335430</v>
      </c>
    </row>
    <row r="1336" spans="1:18" x14ac:dyDescent="0.25">
      <c r="A1336" s="170">
        <v>43978</v>
      </c>
      <c r="B1336" s="116">
        <v>856.8</v>
      </c>
      <c r="C1336" s="116">
        <v>850.55</v>
      </c>
      <c r="D1336" s="116">
        <v>827</v>
      </c>
      <c r="E1336" s="116">
        <v>833.9</v>
      </c>
      <c r="F1336" s="116">
        <v>850.55</v>
      </c>
      <c r="G1336">
        <v>792212</v>
      </c>
      <c r="H1336" s="116"/>
      <c r="I1336" s="116"/>
      <c r="L1336" s="170">
        <v>43978</v>
      </c>
      <c r="M1336" s="116">
        <v>850.85</v>
      </c>
      <c r="N1336" s="116">
        <v>857.2</v>
      </c>
      <c r="O1336" s="116">
        <v>827</v>
      </c>
      <c r="P1336" s="116">
        <v>831.95</v>
      </c>
      <c r="Q1336" s="116">
        <v>850.85</v>
      </c>
      <c r="R1336">
        <v>5159303</v>
      </c>
    </row>
    <row r="1337" spans="1:18" x14ac:dyDescent="0.25">
      <c r="A1337" s="170">
        <v>43979</v>
      </c>
      <c r="B1337" s="116">
        <v>911.15</v>
      </c>
      <c r="C1337" s="116">
        <v>903.05</v>
      </c>
      <c r="D1337" s="116">
        <v>855.1</v>
      </c>
      <c r="E1337" s="116">
        <v>858</v>
      </c>
      <c r="F1337" s="116">
        <v>903.05</v>
      </c>
      <c r="G1337">
        <v>433128</v>
      </c>
      <c r="H1337" s="116"/>
      <c r="I1337" s="116"/>
      <c r="L1337" s="170">
        <v>43979</v>
      </c>
      <c r="M1337" s="116">
        <v>905.5</v>
      </c>
      <c r="N1337" s="116">
        <v>912</v>
      </c>
      <c r="O1337" s="116">
        <v>855</v>
      </c>
      <c r="P1337" s="116">
        <v>855</v>
      </c>
      <c r="Q1337" s="116">
        <v>905.5</v>
      </c>
      <c r="R1337">
        <v>11481632</v>
      </c>
    </row>
    <row r="1338" spans="1:18" x14ac:dyDescent="0.25">
      <c r="A1338" s="170">
        <v>43980</v>
      </c>
      <c r="B1338" s="116">
        <v>937</v>
      </c>
      <c r="C1338" s="116">
        <v>932.3</v>
      </c>
      <c r="D1338" s="116">
        <v>893</v>
      </c>
      <c r="E1338" s="116">
        <v>897.5</v>
      </c>
      <c r="F1338" s="116">
        <v>932.3</v>
      </c>
      <c r="G1338">
        <v>318152</v>
      </c>
      <c r="H1338" s="116"/>
      <c r="I1338" s="116"/>
      <c r="L1338" s="170">
        <v>43980</v>
      </c>
      <c r="M1338" s="116">
        <v>932.25</v>
      </c>
      <c r="N1338" s="116">
        <v>937.5</v>
      </c>
      <c r="O1338" s="116">
        <v>891</v>
      </c>
      <c r="P1338" s="116">
        <v>893.2</v>
      </c>
      <c r="Q1338" s="116">
        <v>932.25</v>
      </c>
      <c r="R1338">
        <v>10166680</v>
      </c>
    </row>
    <row r="1339" spans="1:18" x14ac:dyDescent="0.25">
      <c r="A1339" s="170">
        <v>43983</v>
      </c>
      <c r="B1339" s="116">
        <v>973.85</v>
      </c>
      <c r="C1339" s="116">
        <v>928.15</v>
      </c>
      <c r="D1339" s="116">
        <v>924.05</v>
      </c>
      <c r="E1339" s="116">
        <v>940</v>
      </c>
      <c r="F1339" s="116">
        <v>928.15</v>
      </c>
      <c r="G1339">
        <v>370011</v>
      </c>
      <c r="H1339" s="116"/>
      <c r="I1339" s="116"/>
      <c r="L1339" s="170">
        <v>43983</v>
      </c>
      <c r="M1339" s="116">
        <v>928.15</v>
      </c>
      <c r="N1339" s="116">
        <v>974.15</v>
      </c>
      <c r="O1339" s="116">
        <v>924</v>
      </c>
      <c r="P1339" s="116">
        <v>944.65</v>
      </c>
      <c r="Q1339" s="116">
        <v>928.15</v>
      </c>
      <c r="R1339">
        <v>7617393</v>
      </c>
    </row>
    <row r="1340" spans="1:18" x14ac:dyDescent="0.25">
      <c r="A1340" s="170">
        <v>43984</v>
      </c>
      <c r="B1340" s="116">
        <v>952.5</v>
      </c>
      <c r="C1340" s="116">
        <v>945.4</v>
      </c>
      <c r="D1340" s="116">
        <v>913.35</v>
      </c>
      <c r="E1340" s="116">
        <v>930</v>
      </c>
      <c r="F1340" s="116">
        <v>945.4</v>
      </c>
      <c r="G1340">
        <v>283269</v>
      </c>
      <c r="H1340" s="116"/>
      <c r="I1340" s="116"/>
      <c r="L1340" s="170">
        <v>43984</v>
      </c>
      <c r="M1340" s="116">
        <v>945.45</v>
      </c>
      <c r="N1340" s="116">
        <v>953</v>
      </c>
      <c r="O1340" s="116">
        <v>913.05</v>
      </c>
      <c r="P1340" s="116">
        <v>935</v>
      </c>
      <c r="Q1340" s="116">
        <v>945.45</v>
      </c>
      <c r="R1340">
        <v>7325689</v>
      </c>
    </row>
    <row r="1341" spans="1:18" x14ac:dyDescent="0.25">
      <c r="A1341" s="170">
        <v>43985</v>
      </c>
      <c r="B1341" s="116">
        <v>972.5</v>
      </c>
      <c r="C1341" s="116">
        <v>961.2</v>
      </c>
      <c r="D1341" s="116">
        <v>955</v>
      </c>
      <c r="E1341" s="116">
        <v>955</v>
      </c>
      <c r="F1341" s="116">
        <v>961.2</v>
      </c>
      <c r="G1341">
        <v>200681</v>
      </c>
      <c r="H1341" s="116"/>
      <c r="I1341" s="116"/>
      <c r="L1341" s="170">
        <v>43985</v>
      </c>
      <c r="M1341" s="116">
        <v>961.3</v>
      </c>
      <c r="N1341" s="116">
        <v>972.85</v>
      </c>
      <c r="O1341" s="116">
        <v>955</v>
      </c>
      <c r="P1341" s="116">
        <v>955.95</v>
      </c>
      <c r="Q1341" s="116">
        <v>961.3</v>
      </c>
      <c r="R1341">
        <v>4651583</v>
      </c>
    </row>
    <row r="1342" spans="1:18" x14ac:dyDescent="0.25">
      <c r="A1342" s="170">
        <v>43986</v>
      </c>
      <c r="B1342" s="116">
        <v>968</v>
      </c>
      <c r="C1342" s="116">
        <v>931</v>
      </c>
      <c r="D1342" s="116">
        <v>929.05</v>
      </c>
      <c r="E1342" s="116">
        <v>962</v>
      </c>
      <c r="F1342" s="116">
        <v>931</v>
      </c>
      <c r="G1342">
        <v>210524</v>
      </c>
      <c r="H1342" s="116"/>
      <c r="I1342" s="116"/>
      <c r="L1342" s="170">
        <v>43986</v>
      </c>
      <c r="M1342" s="116">
        <v>930.7</v>
      </c>
      <c r="N1342" s="116">
        <v>968</v>
      </c>
      <c r="O1342" s="116">
        <v>928.6</v>
      </c>
      <c r="P1342" s="116">
        <v>961.05</v>
      </c>
      <c r="Q1342" s="116">
        <v>930.7</v>
      </c>
      <c r="R1342">
        <v>5355971</v>
      </c>
    </row>
    <row r="1343" spans="1:18" x14ac:dyDescent="0.25">
      <c r="A1343" s="170">
        <v>43987</v>
      </c>
      <c r="B1343" s="116">
        <v>964.9</v>
      </c>
      <c r="C1343" s="116">
        <v>955.3</v>
      </c>
      <c r="D1343" s="116">
        <v>937.5</v>
      </c>
      <c r="E1343" s="116">
        <v>937.5</v>
      </c>
      <c r="F1343" s="116">
        <v>955.3</v>
      </c>
      <c r="G1343">
        <v>247885</v>
      </c>
      <c r="H1343" s="116"/>
      <c r="I1343" s="116"/>
      <c r="L1343" s="170">
        <v>43987</v>
      </c>
      <c r="M1343" s="116">
        <v>955.25</v>
      </c>
      <c r="N1343" s="116">
        <v>959.9</v>
      </c>
      <c r="O1343" s="116">
        <v>936.6</v>
      </c>
      <c r="P1343" s="116">
        <v>940</v>
      </c>
      <c r="Q1343" s="116">
        <v>955.25</v>
      </c>
      <c r="R1343">
        <v>6071134</v>
      </c>
    </row>
    <row r="1344" spans="1:18" x14ac:dyDescent="0.25">
      <c r="A1344" s="170">
        <v>43990</v>
      </c>
      <c r="B1344" s="116">
        <v>995</v>
      </c>
      <c r="C1344" s="116">
        <v>961.25</v>
      </c>
      <c r="D1344" s="116">
        <v>949.2</v>
      </c>
      <c r="E1344" s="116">
        <v>976</v>
      </c>
      <c r="F1344" s="116">
        <v>961.25</v>
      </c>
      <c r="G1344">
        <v>407766</v>
      </c>
      <c r="H1344" s="116"/>
      <c r="I1344" s="116"/>
      <c r="L1344" s="170">
        <v>43990</v>
      </c>
      <c r="M1344" s="116">
        <v>961.35</v>
      </c>
      <c r="N1344" s="116">
        <v>995</v>
      </c>
      <c r="O1344" s="116">
        <v>949</v>
      </c>
      <c r="P1344" s="116">
        <v>979.5</v>
      </c>
      <c r="Q1344" s="116">
        <v>961.35</v>
      </c>
      <c r="R1344">
        <v>9859059</v>
      </c>
    </row>
    <row r="1345" spans="1:18" x14ac:dyDescent="0.25">
      <c r="A1345" s="170">
        <v>43991</v>
      </c>
      <c r="B1345" s="116">
        <v>970.15</v>
      </c>
      <c r="C1345" s="116">
        <v>953</v>
      </c>
      <c r="D1345" s="116">
        <v>950</v>
      </c>
      <c r="E1345" s="116">
        <v>968</v>
      </c>
      <c r="F1345" s="116">
        <v>953</v>
      </c>
      <c r="G1345">
        <v>165813</v>
      </c>
      <c r="H1345" s="116"/>
      <c r="I1345" s="116"/>
      <c r="L1345" s="170">
        <v>43991</v>
      </c>
      <c r="M1345" s="116">
        <v>953.3</v>
      </c>
      <c r="N1345" s="116">
        <v>970.25</v>
      </c>
      <c r="O1345" s="116">
        <v>949.7</v>
      </c>
      <c r="P1345" s="116">
        <v>964.5</v>
      </c>
      <c r="Q1345" s="116">
        <v>953.3</v>
      </c>
      <c r="R1345">
        <v>5118269</v>
      </c>
    </row>
    <row r="1346" spans="1:18" x14ac:dyDescent="0.25">
      <c r="A1346" s="170">
        <v>43992</v>
      </c>
      <c r="B1346" s="116">
        <v>958.45</v>
      </c>
      <c r="C1346" s="116">
        <v>946.75</v>
      </c>
      <c r="D1346" s="116">
        <v>936.15</v>
      </c>
      <c r="E1346" s="116">
        <v>953</v>
      </c>
      <c r="F1346" s="116">
        <v>946.75</v>
      </c>
      <c r="G1346">
        <v>168488</v>
      </c>
      <c r="H1346" s="116"/>
      <c r="I1346" s="116"/>
      <c r="L1346" s="170">
        <v>43992</v>
      </c>
      <c r="M1346" s="116">
        <v>946.55</v>
      </c>
      <c r="N1346" s="116">
        <v>959.5</v>
      </c>
      <c r="O1346" s="116">
        <v>935.7</v>
      </c>
      <c r="P1346" s="116">
        <v>957</v>
      </c>
      <c r="Q1346" s="116">
        <v>946.55</v>
      </c>
      <c r="R1346">
        <v>5176121</v>
      </c>
    </row>
    <row r="1347" spans="1:18" x14ac:dyDescent="0.25">
      <c r="A1347" s="170">
        <v>43993</v>
      </c>
      <c r="B1347" s="116">
        <v>952</v>
      </c>
      <c r="C1347" s="116">
        <v>930.1</v>
      </c>
      <c r="D1347" s="116">
        <v>928</v>
      </c>
      <c r="E1347" s="116">
        <v>948</v>
      </c>
      <c r="F1347" s="116">
        <v>930.1</v>
      </c>
      <c r="G1347">
        <v>125819</v>
      </c>
      <c r="H1347" s="116"/>
      <c r="I1347" s="116"/>
      <c r="L1347" s="170">
        <v>43993</v>
      </c>
      <c r="M1347" s="116">
        <v>930.45</v>
      </c>
      <c r="N1347" s="116">
        <v>952</v>
      </c>
      <c r="O1347" s="116">
        <v>928.2</v>
      </c>
      <c r="P1347" s="116">
        <v>944</v>
      </c>
      <c r="Q1347" s="116">
        <v>930.45</v>
      </c>
      <c r="R1347">
        <v>3603243</v>
      </c>
    </row>
    <row r="1348" spans="1:18" x14ac:dyDescent="0.25">
      <c r="A1348" s="170">
        <v>43994</v>
      </c>
      <c r="B1348" s="116">
        <v>930</v>
      </c>
      <c r="C1348" s="116">
        <v>925.9</v>
      </c>
      <c r="D1348" s="116">
        <v>891.5</v>
      </c>
      <c r="E1348" s="116">
        <v>897.9</v>
      </c>
      <c r="F1348" s="116">
        <v>925.9</v>
      </c>
      <c r="G1348">
        <v>376559</v>
      </c>
      <c r="H1348" s="116"/>
      <c r="I1348" s="116"/>
      <c r="L1348" s="170">
        <v>43994</v>
      </c>
      <c r="M1348" s="116">
        <v>926.4</v>
      </c>
      <c r="N1348" s="116">
        <v>929.9</v>
      </c>
      <c r="O1348" s="116">
        <v>890</v>
      </c>
      <c r="P1348" s="116">
        <v>890</v>
      </c>
      <c r="Q1348" s="116">
        <v>926.4</v>
      </c>
      <c r="R1348">
        <v>5411426</v>
      </c>
    </row>
    <row r="1349" spans="1:18" x14ac:dyDescent="0.25">
      <c r="A1349" s="170">
        <v>43997</v>
      </c>
      <c r="B1349" s="116">
        <v>923.9</v>
      </c>
      <c r="C1349" s="116">
        <v>899.65</v>
      </c>
      <c r="D1349" s="116">
        <v>894.7</v>
      </c>
      <c r="E1349" s="116">
        <v>923.9</v>
      </c>
      <c r="F1349" s="116">
        <v>899.65</v>
      </c>
      <c r="G1349">
        <v>283901</v>
      </c>
      <c r="H1349" s="116"/>
      <c r="I1349" s="116"/>
      <c r="L1349" s="170">
        <v>43997</v>
      </c>
      <c r="M1349" s="116">
        <v>899.9</v>
      </c>
      <c r="N1349" s="116">
        <v>929.45</v>
      </c>
      <c r="O1349" s="116">
        <v>894.1</v>
      </c>
      <c r="P1349" s="116">
        <v>921.8</v>
      </c>
      <c r="Q1349" s="116">
        <v>899.9</v>
      </c>
      <c r="R1349">
        <v>4982534</v>
      </c>
    </row>
    <row r="1350" spans="1:18" x14ac:dyDescent="0.25">
      <c r="A1350" s="170">
        <v>43998</v>
      </c>
      <c r="B1350" s="116">
        <v>923.9</v>
      </c>
      <c r="C1350" s="116">
        <v>894.9</v>
      </c>
      <c r="D1350" s="116">
        <v>891</v>
      </c>
      <c r="E1350" s="116">
        <v>919.1</v>
      </c>
      <c r="F1350" s="116">
        <v>894.9</v>
      </c>
      <c r="G1350">
        <v>165570</v>
      </c>
      <c r="H1350" s="116"/>
      <c r="I1350" s="116"/>
      <c r="L1350" s="170">
        <v>43998</v>
      </c>
      <c r="M1350" s="116">
        <v>895.05</v>
      </c>
      <c r="N1350" s="116">
        <v>924.7</v>
      </c>
      <c r="O1350" s="116">
        <v>891.15</v>
      </c>
      <c r="P1350" s="116">
        <v>920</v>
      </c>
      <c r="Q1350" s="116">
        <v>895.05</v>
      </c>
      <c r="R1350">
        <v>4661880</v>
      </c>
    </row>
    <row r="1351" spans="1:18" x14ac:dyDescent="0.25">
      <c r="A1351" s="170">
        <v>43999</v>
      </c>
      <c r="B1351" s="116">
        <v>899.15</v>
      </c>
      <c r="C1351" s="116">
        <v>884.55</v>
      </c>
      <c r="D1351" s="116">
        <v>881.15</v>
      </c>
      <c r="E1351" s="116">
        <v>892</v>
      </c>
      <c r="F1351" s="116">
        <v>884.55</v>
      </c>
      <c r="G1351">
        <v>171584</v>
      </c>
      <c r="H1351" s="116"/>
      <c r="I1351" s="116"/>
      <c r="L1351" s="170">
        <v>43999</v>
      </c>
      <c r="M1351" s="116">
        <v>884.8</v>
      </c>
      <c r="N1351" s="116">
        <v>899.75</v>
      </c>
      <c r="O1351" s="116">
        <v>881.1</v>
      </c>
      <c r="P1351" s="116">
        <v>892.7</v>
      </c>
      <c r="Q1351" s="116">
        <v>884.8</v>
      </c>
      <c r="R1351">
        <v>4681399</v>
      </c>
    </row>
    <row r="1352" spans="1:18" x14ac:dyDescent="0.25">
      <c r="A1352" s="170">
        <v>44000</v>
      </c>
      <c r="B1352" s="116">
        <v>900</v>
      </c>
      <c r="C1352" s="116">
        <v>896.6</v>
      </c>
      <c r="D1352" s="116">
        <v>874.4</v>
      </c>
      <c r="E1352" s="116">
        <v>878</v>
      </c>
      <c r="F1352" s="116">
        <v>896.6</v>
      </c>
      <c r="G1352">
        <v>204704</v>
      </c>
      <c r="H1352" s="116"/>
      <c r="I1352" s="116"/>
      <c r="L1352" s="170">
        <v>44000</v>
      </c>
      <c r="M1352" s="116">
        <v>896.65</v>
      </c>
      <c r="N1352" s="116">
        <v>900</v>
      </c>
      <c r="O1352" s="116">
        <v>874</v>
      </c>
      <c r="P1352" s="116">
        <v>876</v>
      </c>
      <c r="Q1352" s="116">
        <v>896.65</v>
      </c>
      <c r="R1352">
        <v>5870459</v>
      </c>
    </row>
    <row r="1353" spans="1:18" x14ac:dyDescent="0.25">
      <c r="A1353" s="170">
        <v>44001</v>
      </c>
      <c r="B1353" s="116">
        <v>915.45</v>
      </c>
      <c r="C1353" s="116">
        <v>897.65</v>
      </c>
      <c r="D1353" s="116">
        <v>895.3</v>
      </c>
      <c r="E1353" s="116">
        <v>904.2</v>
      </c>
      <c r="F1353" s="116">
        <v>897.65</v>
      </c>
      <c r="G1353">
        <v>193312</v>
      </c>
      <c r="H1353" s="116"/>
      <c r="I1353" s="116"/>
      <c r="L1353" s="170">
        <v>44001</v>
      </c>
      <c r="M1353" s="116">
        <v>898.2</v>
      </c>
      <c r="N1353" s="116">
        <v>915.9</v>
      </c>
      <c r="O1353" s="116">
        <v>895.1</v>
      </c>
      <c r="P1353" s="116">
        <v>902</v>
      </c>
      <c r="Q1353" s="116">
        <v>898.2</v>
      </c>
      <c r="R1353">
        <v>5410276</v>
      </c>
    </row>
    <row r="1354" spans="1:18" x14ac:dyDescent="0.25">
      <c r="A1354" s="170">
        <v>44004</v>
      </c>
      <c r="B1354" s="116">
        <v>915.8</v>
      </c>
      <c r="C1354" s="116">
        <v>907.25</v>
      </c>
      <c r="D1354" s="116">
        <v>896.1</v>
      </c>
      <c r="E1354" s="116">
        <v>909</v>
      </c>
      <c r="F1354" s="116">
        <v>907.25</v>
      </c>
      <c r="G1354">
        <v>211328</v>
      </c>
      <c r="H1354" s="116"/>
      <c r="I1354" s="116"/>
      <c r="L1354" s="170">
        <v>44004</v>
      </c>
      <c r="M1354" s="116">
        <v>907.45</v>
      </c>
      <c r="N1354" s="116">
        <v>916</v>
      </c>
      <c r="O1354" s="116">
        <v>896</v>
      </c>
      <c r="P1354" s="116">
        <v>905</v>
      </c>
      <c r="Q1354" s="116">
        <v>907.45</v>
      </c>
      <c r="R1354">
        <v>6841671</v>
      </c>
    </row>
    <row r="1355" spans="1:18" x14ac:dyDescent="0.25">
      <c r="A1355" s="170">
        <v>44005</v>
      </c>
      <c r="B1355" s="116">
        <v>970.2</v>
      </c>
      <c r="C1355" s="116">
        <v>967.85</v>
      </c>
      <c r="D1355" s="116">
        <v>908.6</v>
      </c>
      <c r="E1355" s="116">
        <v>912.75</v>
      </c>
      <c r="F1355" s="116">
        <v>967.85</v>
      </c>
      <c r="G1355">
        <v>531084</v>
      </c>
      <c r="H1355" s="116"/>
      <c r="I1355" s="116"/>
      <c r="L1355" s="170">
        <v>44005</v>
      </c>
      <c r="M1355" s="116">
        <v>967.6</v>
      </c>
      <c r="N1355" s="116">
        <v>970</v>
      </c>
      <c r="O1355" s="116">
        <v>909</v>
      </c>
      <c r="P1355" s="116">
        <v>910</v>
      </c>
      <c r="Q1355" s="116">
        <v>967.6</v>
      </c>
      <c r="R1355">
        <v>14580386</v>
      </c>
    </row>
    <row r="1356" spans="1:18" x14ac:dyDescent="0.25">
      <c r="A1356" s="170">
        <v>44006</v>
      </c>
      <c r="B1356" s="116">
        <v>989.8</v>
      </c>
      <c r="C1356" s="116">
        <v>955.65</v>
      </c>
      <c r="D1356" s="116">
        <v>952.55</v>
      </c>
      <c r="E1356" s="116">
        <v>980</v>
      </c>
      <c r="F1356" s="116">
        <v>955.65</v>
      </c>
      <c r="G1356">
        <v>660362</v>
      </c>
      <c r="H1356" s="116"/>
      <c r="I1356" s="116"/>
      <c r="L1356" s="170">
        <v>44006</v>
      </c>
      <c r="M1356" s="116">
        <v>955.55</v>
      </c>
      <c r="N1356" s="116">
        <v>989.9</v>
      </c>
      <c r="O1356" s="116">
        <v>952</v>
      </c>
      <c r="P1356" s="116">
        <v>979</v>
      </c>
      <c r="Q1356" s="116">
        <v>955.55</v>
      </c>
      <c r="R1356">
        <v>11985144</v>
      </c>
    </row>
    <row r="1357" spans="1:18" x14ac:dyDescent="0.25">
      <c r="A1357" s="170">
        <v>44007</v>
      </c>
      <c r="B1357" s="116">
        <v>964.3</v>
      </c>
      <c r="C1357" s="116">
        <v>943.15</v>
      </c>
      <c r="D1357" s="116">
        <v>935.05</v>
      </c>
      <c r="E1357" s="116">
        <v>950</v>
      </c>
      <c r="F1357" s="116">
        <v>943.15</v>
      </c>
      <c r="G1357">
        <v>333457</v>
      </c>
      <c r="H1357" s="116"/>
      <c r="I1357" s="116"/>
      <c r="L1357" s="170">
        <v>44007</v>
      </c>
      <c r="M1357" s="116">
        <v>943.1</v>
      </c>
      <c r="N1357" s="116">
        <v>964.8</v>
      </c>
      <c r="O1357" s="116">
        <v>936.25</v>
      </c>
      <c r="P1357" s="116">
        <v>949.9</v>
      </c>
      <c r="Q1357" s="116">
        <v>943.1</v>
      </c>
      <c r="R1357">
        <v>7508089</v>
      </c>
    </row>
    <row r="1358" spans="1:18" x14ac:dyDescent="0.25">
      <c r="A1358" s="170">
        <v>44008</v>
      </c>
      <c r="B1358" s="116">
        <v>976</v>
      </c>
      <c r="C1358" s="116">
        <v>962.5</v>
      </c>
      <c r="D1358" s="116">
        <v>940.75</v>
      </c>
      <c r="E1358" s="116">
        <v>953.55</v>
      </c>
      <c r="F1358" s="116">
        <v>962.5</v>
      </c>
      <c r="G1358">
        <v>350949</v>
      </c>
      <c r="H1358" s="116"/>
      <c r="I1358" s="116"/>
      <c r="L1358" s="170">
        <v>44008</v>
      </c>
      <c r="M1358" s="116">
        <v>962.2</v>
      </c>
      <c r="N1358" s="116">
        <v>976.1</v>
      </c>
      <c r="O1358" s="116">
        <v>940.5</v>
      </c>
      <c r="P1358" s="116">
        <v>955</v>
      </c>
      <c r="Q1358" s="116">
        <v>962.2</v>
      </c>
      <c r="R1358">
        <v>6554208</v>
      </c>
    </row>
    <row r="1359" spans="1:18" x14ac:dyDescent="0.25">
      <c r="A1359" s="170">
        <v>44011</v>
      </c>
      <c r="B1359" s="116">
        <v>955.5</v>
      </c>
      <c r="C1359" s="116">
        <v>937</v>
      </c>
      <c r="D1359" s="116">
        <v>930.15</v>
      </c>
      <c r="E1359" s="116">
        <v>953.7</v>
      </c>
      <c r="F1359" s="116">
        <v>937</v>
      </c>
      <c r="G1359">
        <v>314553</v>
      </c>
      <c r="H1359" s="116"/>
      <c r="I1359" s="116"/>
      <c r="L1359" s="170">
        <v>44011</v>
      </c>
      <c r="M1359" s="116">
        <v>936.6</v>
      </c>
      <c r="N1359" s="116">
        <v>956.1</v>
      </c>
      <c r="O1359" s="116">
        <v>930</v>
      </c>
      <c r="P1359" s="116">
        <v>950</v>
      </c>
      <c r="Q1359" s="116">
        <v>936.6</v>
      </c>
      <c r="R1359">
        <v>4575981</v>
      </c>
    </row>
    <row r="1360" spans="1:18" x14ac:dyDescent="0.25">
      <c r="A1360" s="170">
        <v>44012</v>
      </c>
      <c r="B1360" s="116">
        <v>952</v>
      </c>
      <c r="C1360" s="116">
        <v>944.05</v>
      </c>
      <c r="D1360" s="116">
        <v>931.45</v>
      </c>
      <c r="E1360" s="116">
        <v>945</v>
      </c>
      <c r="F1360" s="116">
        <v>944.05</v>
      </c>
      <c r="G1360">
        <v>213289</v>
      </c>
      <c r="H1360" s="116"/>
      <c r="I1360" s="116"/>
      <c r="L1360" s="170">
        <v>44012</v>
      </c>
      <c r="M1360" s="116">
        <v>943.65</v>
      </c>
      <c r="N1360" s="116">
        <v>952.15</v>
      </c>
      <c r="O1360" s="116">
        <v>931.4</v>
      </c>
      <c r="P1360" s="116">
        <v>948.7</v>
      </c>
      <c r="Q1360" s="116">
        <v>943.65</v>
      </c>
      <c r="R1360">
        <v>3656535</v>
      </c>
    </row>
    <row r="1361" spans="1:18" x14ac:dyDescent="0.25">
      <c r="A1361" s="170">
        <v>44013</v>
      </c>
      <c r="B1361" s="116">
        <v>945</v>
      </c>
      <c r="C1361" s="116">
        <v>924.25</v>
      </c>
      <c r="D1361" s="116">
        <v>917.85</v>
      </c>
      <c r="E1361" s="116">
        <v>945</v>
      </c>
      <c r="F1361" s="116">
        <v>924.25</v>
      </c>
      <c r="G1361">
        <v>280614</v>
      </c>
      <c r="H1361" s="116"/>
      <c r="I1361" s="116"/>
      <c r="L1361" s="170">
        <v>44013</v>
      </c>
      <c r="M1361" s="116">
        <v>924.3</v>
      </c>
      <c r="N1361" s="116">
        <v>941</v>
      </c>
      <c r="O1361" s="116">
        <v>917</v>
      </c>
      <c r="P1361" s="116">
        <v>941</v>
      </c>
      <c r="Q1361" s="116">
        <v>924.3</v>
      </c>
      <c r="R1361">
        <v>6426447</v>
      </c>
    </row>
    <row r="1362" spans="1:18" x14ac:dyDescent="0.25">
      <c r="A1362" s="170">
        <v>44014</v>
      </c>
      <c r="B1362" s="116">
        <v>950.7</v>
      </c>
      <c r="C1362" s="116">
        <v>940.65</v>
      </c>
      <c r="D1362" s="116">
        <v>925.75</v>
      </c>
      <c r="E1362" s="116">
        <v>937</v>
      </c>
      <c r="F1362" s="116">
        <v>940.65</v>
      </c>
      <c r="G1362">
        <v>383648</v>
      </c>
      <c r="H1362" s="116"/>
      <c r="I1362" s="116"/>
      <c r="L1362" s="170">
        <v>44014</v>
      </c>
      <c r="M1362" s="116">
        <v>941.3</v>
      </c>
      <c r="N1362" s="116">
        <v>950.7</v>
      </c>
      <c r="O1362" s="116">
        <v>926</v>
      </c>
      <c r="P1362" s="116">
        <v>936</v>
      </c>
      <c r="Q1362" s="116">
        <v>941.3</v>
      </c>
      <c r="R1362">
        <v>6542838</v>
      </c>
    </row>
    <row r="1363" spans="1:18" x14ac:dyDescent="0.25">
      <c r="A1363" s="170">
        <v>44015</v>
      </c>
      <c r="B1363" s="116">
        <v>955</v>
      </c>
      <c r="C1363" s="116">
        <v>944.5</v>
      </c>
      <c r="D1363" s="116">
        <v>942</v>
      </c>
      <c r="E1363" s="116">
        <v>945</v>
      </c>
      <c r="F1363" s="116">
        <v>944.5</v>
      </c>
      <c r="G1363">
        <v>133717</v>
      </c>
      <c r="H1363" s="116"/>
      <c r="I1363" s="116"/>
      <c r="L1363" s="170">
        <v>44015</v>
      </c>
      <c r="M1363" s="116">
        <v>944.25</v>
      </c>
      <c r="N1363" s="116">
        <v>955.4</v>
      </c>
      <c r="O1363" s="116">
        <v>941.6</v>
      </c>
      <c r="P1363" s="116">
        <v>948</v>
      </c>
      <c r="Q1363" s="116">
        <v>944.25</v>
      </c>
      <c r="R1363">
        <v>3928373</v>
      </c>
    </row>
    <row r="1364" spans="1:18" x14ac:dyDescent="0.25">
      <c r="A1364" s="170">
        <v>44018</v>
      </c>
      <c r="B1364" s="116">
        <v>959.2</v>
      </c>
      <c r="C1364" s="116">
        <v>951.05</v>
      </c>
      <c r="D1364" s="116">
        <v>946.3</v>
      </c>
      <c r="E1364" s="116">
        <v>950</v>
      </c>
      <c r="F1364" s="116">
        <v>951.05</v>
      </c>
      <c r="G1364">
        <v>247765</v>
      </c>
      <c r="H1364" s="116"/>
      <c r="I1364" s="116"/>
      <c r="L1364" s="170">
        <v>44018</v>
      </c>
      <c r="M1364" s="116">
        <v>951.2</v>
      </c>
      <c r="N1364" s="116">
        <v>959.5</v>
      </c>
      <c r="O1364" s="116">
        <v>946.65</v>
      </c>
      <c r="P1364" s="116">
        <v>953.1</v>
      </c>
      <c r="Q1364" s="116">
        <v>951.2</v>
      </c>
      <c r="R1364">
        <v>3901314</v>
      </c>
    </row>
    <row r="1365" spans="1:18" x14ac:dyDescent="0.25">
      <c r="A1365" s="170">
        <v>44019</v>
      </c>
      <c r="B1365" s="116">
        <v>961.8</v>
      </c>
      <c r="C1365" s="116">
        <v>943.4</v>
      </c>
      <c r="D1365" s="116">
        <v>940</v>
      </c>
      <c r="E1365" s="116">
        <v>955</v>
      </c>
      <c r="F1365" s="116">
        <v>943.4</v>
      </c>
      <c r="G1365">
        <v>163638</v>
      </c>
      <c r="H1365" s="116"/>
      <c r="I1365" s="116"/>
      <c r="L1365" s="170">
        <v>44019</v>
      </c>
      <c r="M1365" s="116">
        <v>943.6</v>
      </c>
      <c r="N1365" s="116">
        <v>961.9</v>
      </c>
      <c r="O1365" s="116">
        <v>940</v>
      </c>
      <c r="P1365" s="116">
        <v>955</v>
      </c>
      <c r="Q1365" s="116">
        <v>943.6</v>
      </c>
      <c r="R1365">
        <v>4051823</v>
      </c>
    </row>
    <row r="1366" spans="1:18" x14ac:dyDescent="0.25">
      <c r="A1366" s="170">
        <v>44020</v>
      </c>
      <c r="B1366" s="116">
        <v>963.8</v>
      </c>
      <c r="C1366" s="116">
        <v>941.05</v>
      </c>
      <c r="D1366" s="116">
        <v>937.55</v>
      </c>
      <c r="E1366" s="116">
        <v>946.7</v>
      </c>
      <c r="F1366" s="116">
        <v>941.05</v>
      </c>
      <c r="G1366">
        <v>197900</v>
      </c>
      <c r="H1366" s="116"/>
      <c r="I1366" s="116"/>
      <c r="L1366" s="170">
        <v>44020</v>
      </c>
      <c r="M1366" s="116">
        <v>941.25</v>
      </c>
      <c r="N1366" s="116">
        <v>964.4</v>
      </c>
      <c r="O1366" s="116">
        <v>938</v>
      </c>
      <c r="P1366" s="116">
        <v>944.95</v>
      </c>
      <c r="Q1366" s="116">
        <v>941.25</v>
      </c>
      <c r="R1366">
        <v>5227150</v>
      </c>
    </row>
    <row r="1367" spans="1:18" x14ac:dyDescent="0.25">
      <c r="A1367" s="170">
        <v>44021</v>
      </c>
      <c r="B1367" s="116">
        <v>952.5</v>
      </c>
      <c r="C1367" s="116">
        <v>944.75</v>
      </c>
      <c r="D1367" s="116">
        <v>940.2</v>
      </c>
      <c r="E1367" s="116">
        <v>945</v>
      </c>
      <c r="F1367" s="116">
        <v>944.75</v>
      </c>
      <c r="G1367">
        <v>146966</v>
      </c>
      <c r="H1367" s="116"/>
      <c r="I1367" s="116"/>
      <c r="L1367" s="170">
        <v>44021</v>
      </c>
      <c r="M1367" s="116">
        <v>944.95</v>
      </c>
      <c r="N1367" s="116">
        <v>952</v>
      </c>
      <c r="O1367" s="116">
        <v>940</v>
      </c>
      <c r="P1367" s="116">
        <v>945</v>
      </c>
      <c r="Q1367" s="116">
        <v>944.95</v>
      </c>
      <c r="R1367">
        <v>3777810</v>
      </c>
    </row>
    <row r="1368" spans="1:18" x14ac:dyDescent="0.25">
      <c r="A1368" s="170">
        <v>44022</v>
      </c>
      <c r="B1368" s="116">
        <v>952</v>
      </c>
      <c r="C1368" s="116">
        <v>932.2</v>
      </c>
      <c r="D1368" s="116">
        <v>930.95</v>
      </c>
      <c r="E1368" s="116">
        <v>941</v>
      </c>
      <c r="F1368" s="116">
        <v>932.2</v>
      </c>
      <c r="G1368">
        <v>401273</v>
      </c>
      <c r="H1368" s="116"/>
      <c r="I1368" s="116"/>
      <c r="L1368" s="170">
        <v>44022</v>
      </c>
      <c r="M1368" s="116">
        <v>932.15</v>
      </c>
      <c r="N1368" s="116">
        <v>952</v>
      </c>
      <c r="O1368" s="116">
        <v>930.55</v>
      </c>
      <c r="P1368" s="116">
        <v>940</v>
      </c>
      <c r="Q1368" s="116">
        <v>932.15</v>
      </c>
      <c r="R1368">
        <v>4537693</v>
      </c>
    </row>
    <row r="1369" spans="1:18" x14ac:dyDescent="0.25">
      <c r="A1369" s="170">
        <v>44025</v>
      </c>
      <c r="B1369" s="116">
        <v>944.4</v>
      </c>
      <c r="C1369" s="116">
        <v>928.6</v>
      </c>
      <c r="D1369" s="116">
        <v>925.25</v>
      </c>
      <c r="E1369" s="116">
        <v>937.2</v>
      </c>
      <c r="F1369" s="116">
        <v>928.6</v>
      </c>
      <c r="G1369">
        <v>425333</v>
      </c>
      <c r="H1369" s="116"/>
      <c r="I1369" s="116"/>
      <c r="L1369" s="170">
        <v>44025</v>
      </c>
      <c r="M1369" s="116">
        <v>928.15</v>
      </c>
      <c r="N1369" s="116">
        <v>944.8</v>
      </c>
      <c r="O1369" s="116">
        <v>925</v>
      </c>
      <c r="P1369" s="116">
        <v>940</v>
      </c>
      <c r="Q1369" s="116">
        <v>928.15</v>
      </c>
      <c r="R1369">
        <v>3821343</v>
      </c>
    </row>
    <row r="1370" spans="1:18" x14ac:dyDescent="0.25">
      <c r="A1370" s="170">
        <v>44026</v>
      </c>
      <c r="B1370" s="116">
        <v>934.5</v>
      </c>
      <c r="C1370" s="116">
        <v>913</v>
      </c>
      <c r="D1370" s="116">
        <v>906.5</v>
      </c>
      <c r="E1370" s="116">
        <v>926.1</v>
      </c>
      <c r="F1370" s="116">
        <v>913</v>
      </c>
      <c r="G1370">
        <v>238858</v>
      </c>
      <c r="H1370" s="116"/>
      <c r="I1370" s="116"/>
      <c r="L1370" s="170">
        <v>44026</v>
      </c>
      <c r="M1370" s="116">
        <v>912.9</v>
      </c>
      <c r="N1370" s="116">
        <v>934.95</v>
      </c>
      <c r="O1370" s="116">
        <v>905.85</v>
      </c>
      <c r="P1370" s="116">
        <v>928</v>
      </c>
      <c r="Q1370" s="116">
        <v>912.9</v>
      </c>
      <c r="R1370">
        <v>3646381</v>
      </c>
    </row>
    <row r="1371" spans="1:18" x14ac:dyDescent="0.25">
      <c r="A1371" s="170">
        <v>44027</v>
      </c>
      <c r="B1371" s="116">
        <v>925</v>
      </c>
      <c r="C1371" s="116">
        <v>911.95</v>
      </c>
      <c r="D1371" s="116">
        <v>909.2</v>
      </c>
      <c r="E1371" s="116">
        <v>915.55</v>
      </c>
      <c r="F1371" s="116">
        <v>911.95</v>
      </c>
      <c r="G1371">
        <v>208042</v>
      </c>
      <c r="H1371" s="116"/>
      <c r="I1371" s="116"/>
      <c r="L1371" s="170">
        <v>44027</v>
      </c>
      <c r="M1371" s="116">
        <v>912.2</v>
      </c>
      <c r="N1371" s="116">
        <v>925</v>
      </c>
      <c r="O1371" s="116">
        <v>909.3</v>
      </c>
      <c r="P1371" s="116">
        <v>918.05</v>
      </c>
      <c r="Q1371" s="116">
        <v>912.2</v>
      </c>
      <c r="R1371">
        <v>3229981</v>
      </c>
    </row>
    <row r="1372" spans="1:18" x14ac:dyDescent="0.25">
      <c r="A1372" s="170">
        <v>44028</v>
      </c>
      <c r="B1372" s="116">
        <v>923.75</v>
      </c>
      <c r="C1372" s="116">
        <v>921.15</v>
      </c>
      <c r="D1372" s="116">
        <v>898</v>
      </c>
      <c r="E1372" s="116">
        <v>915</v>
      </c>
      <c r="F1372" s="116">
        <v>921.15</v>
      </c>
      <c r="G1372">
        <v>119850</v>
      </c>
      <c r="H1372" s="116"/>
      <c r="I1372" s="116"/>
      <c r="L1372" s="170">
        <v>44028</v>
      </c>
      <c r="M1372" s="116">
        <v>921.15</v>
      </c>
      <c r="N1372" s="116">
        <v>924</v>
      </c>
      <c r="O1372" s="116">
        <v>898.45</v>
      </c>
      <c r="P1372" s="116">
        <v>913</v>
      </c>
      <c r="Q1372" s="116">
        <v>921.15</v>
      </c>
      <c r="R1372">
        <v>3134583</v>
      </c>
    </row>
    <row r="1373" spans="1:18" x14ac:dyDescent="0.25">
      <c r="A1373" s="170">
        <v>44029</v>
      </c>
      <c r="B1373" s="116">
        <v>930</v>
      </c>
      <c r="C1373" s="116">
        <v>925.5</v>
      </c>
      <c r="D1373" s="116">
        <v>918.75</v>
      </c>
      <c r="E1373" s="116">
        <v>924</v>
      </c>
      <c r="F1373" s="116">
        <v>925.5</v>
      </c>
      <c r="G1373">
        <v>68511</v>
      </c>
      <c r="H1373" s="116"/>
      <c r="I1373" s="116"/>
      <c r="L1373" s="170">
        <v>44029</v>
      </c>
      <c r="M1373" s="116">
        <v>925.55</v>
      </c>
      <c r="N1373" s="116">
        <v>929.95</v>
      </c>
      <c r="O1373" s="116">
        <v>918</v>
      </c>
      <c r="P1373" s="116">
        <v>922.1</v>
      </c>
      <c r="Q1373" s="116">
        <v>925.55</v>
      </c>
      <c r="R1373">
        <v>2040652</v>
      </c>
    </row>
    <row r="1374" spans="1:18" x14ac:dyDescent="0.25">
      <c r="A1374" s="170">
        <v>44032</v>
      </c>
      <c r="B1374" s="116">
        <v>932.9</v>
      </c>
      <c r="C1374" s="116">
        <v>919.35</v>
      </c>
      <c r="D1374" s="116">
        <v>915.6</v>
      </c>
      <c r="E1374" s="116">
        <v>932.9</v>
      </c>
      <c r="F1374" s="116">
        <v>919.35</v>
      </c>
      <c r="G1374">
        <v>125551</v>
      </c>
      <c r="H1374" s="116"/>
      <c r="I1374" s="116"/>
      <c r="L1374" s="170">
        <v>44032</v>
      </c>
      <c r="M1374" s="116">
        <v>919.6</v>
      </c>
      <c r="N1374" s="116">
        <v>931.9</v>
      </c>
      <c r="O1374" s="116">
        <v>915</v>
      </c>
      <c r="P1374" s="116">
        <v>929</v>
      </c>
      <c r="Q1374" s="116">
        <v>919.6</v>
      </c>
      <c r="R1374">
        <v>3036076</v>
      </c>
    </row>
    <row r="1375" spans="1:18" x14ac:dyDescent="0.25">
      <c r="A1375" s="170">
        <v>44033</v>
      </c>
      <c r="B1375" s="116">
        <v>942</v>
      </c>
      <c r="C1375" s="116">
        <v>937.8</v>
      </c>
      <c r="D1375" s="116">
        <v>921</v>
      </c>
      <c r="E1375" s="116">
        <v>928.6</v>
      </c>
      <c r="F1375" s="116">
        <v>937.8</v>
      </c>
      <c r="G1375">
        <v>171990</v>
      </c>
      <c r="H1375" s="116"/>
      <c r="I1375" s="116"/>
      <c r="L1375" s="170">
        <v>44033</v>
      </c>
      <c r="M1375" s="116">
        <v>938.05</v>
      </c>
      <c r="N1375" s="116">
        <v>942.3</v>
      </c>
      <c r="O1375" s="116">
        <v>920.6</v>
      </c>
      <c r="P1375" s="116">
        <v>927</v>
      </c>
      <c r="Q1375" s="116">
        <v>938.05</v>
      </c>
      <c r="R1375">
        <v>4759427</v>
      </c>
    </row>
    <row r="1376" spans="1:18" x14ac:dyDescent="0.25">
      <c r="A1376" s="170">
        <v>44034</v>
      </c>
      <c r="B1376" s="116">
        <v>940</v>
      </c>
      <c r="C1376" s="116">
        <v>920.95</v>
      </c>
      <c r="D1376" s="116">
        <v>910.2</v>
      </c>
      <c r="E1376" s="116">
        <v>940</v>
      </c>
      <c r="F1376" s="116">
        <v>920.95</v>
      </c>
      <c r="G1376">
        <v>220012</v>
      </c>
      <c r="H1376" s="116"/>
      <c r="I1376" s="116"/>
      <c r="L1376" s="170">
        <v>44034</v>
      </c>
      <c r="M1376" s="116">
        <v>920.9</v>
      </c>
      <c r="N1376" s="116">
        <v>941</v>
      </c>
      <c r="O1376" s="116">
        <v>910</v>
      </c>
      <c r="P1376" s="116">
        <v>939.2</v>
      </c>
      <c r="Q1376" s="116">
        <v>920.9</v>
      </c>
      <c r="R1376">
        <v>4977538</v>
      </c>
    </row>
    <row r="1377" spans="1:18" x14ac:dyDescent="0.25">
      <c r="A1377" s="170">
        <v>44035</v>
      </c>
      <c r="B1377" s="116">
        <v>937.8</v>
      </c>
      <c r="C1377" s="116">
        <v>916.35</v>
      </c>
      <c r="D1377" s="116">
        <v>910.25</v>
      </c>
      <c r="E1377" s="116">
        <v>910.25</v>
      </c>
      <c r="F1377" s="116">
        <v>916.35</v>
      </c>
      <c r="G1377">
        <v>454308</v>
      </c>
      <c r="H1377" s="116"/>
      <c r="I1377" s="116"/>
      <c r="L1377" s="170">
        <v>44035</v>
      </c>
      <c r="M1377" s="116">
        <v>916.55</v>
      </c>
      <c r="N1377" s="116">
        <v>937.95</v>
      </c>
      <c r="O1377" s="116">
        <v>911.35</v>
      </c>
      <c r="P1377" s="116">
        <v>912</v>
      </c>
      <c r="Q1377" s="116">
        <v>916.55</v>
      </c>
      <c r="R1377">
        <v>9075111</v>
      </c>
    </row>
    <row r="1378" spans="1:18" x14ac:dyDescent="0.25">
      <c r="A1378" s="170">
        <v>44036</v>
      </c>
      <c r="B1378" s="116">
        <v>916</v>
      </c>
      <c r="C1378" s="116">
        <v>904.55</v>
      </c>
      <c r="D1378" s="116">
        <v>898.3</v>
      </c>
      <c r="E1378" s="116">
        <v>916</v>
      </c>
      <c r="F1378" s="116">
        <v>904.55</v>
      </c>
      <c r="G1378">
        <v>255758</v>
      </c>
      <c r="H1378" s="116"/>
      <c r="I1378" s="116"/>
      <c r="L1378" s="170">
        <v>44036</v>
      </c>
      <c r="M1378" s="116">
        <v>904.4</v>
      </c>
      <c r="N1378" s="116">
        <v>914.5</v>
      </c>
      <c r="O1378" s="116">
        <v>898.05</v>
      </c>
      <c r="P1378" s="116">
        <v>914.4</v>
      </c>
      <c r="Q1378" s="116">
        <v>904.4</v>
      </c>
      <c r="R1378">
        <v>6059497</v>
      </c>
    </row>
    <row r="1379" spans="1:18" x14ac:dyDescent="0.25">
      <c r="A1379" s="170">
        <v>44039</v>
      </c>
      <c r="B1379" s="116">
        <v>914.7</v>
      </c>
      <c r="C1379" s="116">
        <v>903.55</v>
      </c>
      <c r="D1379" s="116">
        <v>896.5</v>
      </c>
      <c r="E1379" s="116">
        <v>905.15</v>
      </c>
      <c r="F1379" s="116">
        <v>903.55</v>
      </c>
      <c r="G1379">
        <v>232999</v>
      </c>
      <c r="H1379" s="116"/>
      <c r="I1379" s="116"/>
      <c r="L1379" s="170">
        <v>44039</v>
      </c>
      <c r="M1379" s="116">
        <v>903.8</v>
      </c>
      <c r="N1379" s="116">
        <v>915</v>
      </c>
      <c r="O1379" s="116">
        <v>896.3</v>
      </c>
      <c r="P1379" s="116">
        <v>908</v>
      </c>
      <c r="Q1379" s="116">
        <v>903.8</v>
      </c>
      <c r="R1379">
        <v>3615980</v>
      </c>
    </row>
    <row r="1380" spans="1:18" x14ac:dyDescent="0.25">
      <c r="A1380" s="170">
        <v>44040</v>
      </c>
      <c r="B1380" s="116">
        <v>917</v>
      </c>
      <c r="C1380" s="116">
        <v>913</v>
      </c>
      <c r="D1380" s="116">
        <v>899.5</v>
      </c>
      <c r="E1380" s="116">
        <v>907.1</v>
      </c>
      <c r="F1380" s="116">
        <v>913</v>
      </c>
      <c r="G1380">
        <v>130253</v>
      </c>
      <c r="H1380" s="116"/>
      <c r="I1380" s="116"/>
      <c r="L1380" s="170">
        <v>44040</v>
      </c>
      <c r="M1380" s="116">
        <v>913.5</v>
      </c>
      <c r="N1380" s="116">
        <v>917</v>
      </c>
      <c r="O1380" s="116">
        <v>899</v>
      </c>
      <c r="P1380" s="116">
        <v>908.8</v>
      </c>
      <c r="Q1380" s="116">
        <v>913.5</v>
      </c>
      <c r="R1380">
        <v>3793771</v>
      </c>
    </row>
    <row r="1381" spans="1:18" x14ac:dyDescent="0.25">
      <c r="A1381" s="170">
        <v>44041</v>
      </c>
      <c r="B1381" s="116">
        <v>940.2</v>
      </c>
      <c r="C1381" s="116">
        <v>922.35</v>
      </c>
      <c r="D1381" s="116">
        <v>918</v>
      </c>
      <c r="E1381" s="116">
        <v>918</v>
      </c>
      <c r="F1381" s="116">
        <v>922.35</v>
      </c>
      <c r="G1381">
        <v>220918</v>
      </c>
      <c r="H1381" s="116"/>
      <c r="I1381" s="116"/>
      <c r="L1381" s="170">
        <v>44041</v>
      </c>
      <c r="M1381" s="116">
        <v>921.95</v>
      </c>
      <c r="N1381" s="116">
        <v>940.85</v>
      </c>
      <c r="O1381" s="116">
        <v>917.25</v>
      </c>
      <c r="P1381" s="116">
        <v>919.6</v>
      </c>
      <c r="Q1381" s="116">
        <v>921.95</v>
      </c>
      <c r="R1381">
        <v>7245293</v>
      </c>
    </row>
    <row r="1382" spans="1:18" x14ac:dyDescent="0.25">
      <c r="A1382" s="170">
        <v>44042</v>
      </c>
      <c r="B1382" s="116">
        <v>931.9</v>
      </c>
      <c r="C1382" s="116">
        <v>908.7</v>
      </c>
      <c r="D1382" s="116">
        <v>904.3</v>
      </c>
      <c r="E1382" s="116">
        <v>927.1</v>
      </c>
      <c r="F1382" s="116">
        <v>908.7</v>
      </c>
      <c r="G1382">
        <v>184763</v>
      </c>
      <c r="H1382" s="116"/>
      <c r="I1382" s="116"/>
      <c r="L1382" s="170">
        <v>44042</v>
      </c>
      <c r="M1382" s="116">
        <v>908.25</v>
      </c>
      <c r="N1382" s="116">
        <v>932.7</v>
      </c>
      <c r="O1382" s="116">
        <v>904.2</v>
      </c>
      <c r="P1382" s="116">
        <v>929</v>
      </c>
      <c r="Q1382" s="116">
        <v>908.25</v>
      </c>
      <c r="R1382">
        <v>3364418</v>
      </c>
    </row>
    <row r="1383" spans="1:18" x14ac:dyDescent="0.25">
      <c r="A1383" s="170">
        <v>44043</v>
      </c>
      <c r="B1383" s="116">
        <v>922.6</v>
      </c>
      <c r="C1383" s="116">
        <v>913.35</v>
      </c>
      <c r="D1383" s="116">
        <v>907</v>
      </c>
      <c r="E1383" s="116">
        <v>911.1</v>
      </c>
      <c r="F1383" s="116">
        <v>913.35</v>
      </c>
      <c r="G1383">
        <v>142790</v>
      </c>
      <c r="H1383" s="116"/>
      <c r="I1383" s="116"/>
      <c r="L1383" s="170">
        <v>44043</v>
      </c>
      <c r="M1383" s="116">
        <v>913.45</v>
      </c>
      <c r="N1383" s="116">
        <v>922.9</v>
      </c>
      <c r="O1383" s="116">
        <v>907.05</v>
      </c>
      <c r="P1383" s="116">
        <v>913.9</v>
      </c>
      <c r="Q1383" s="116">
        <v>913.45</v>
      </c>
      <c r="R1383">
        <v>2944063</v>
      </c>
    </row>
    <row r="1384" spans="1:18" x14ac:dyDescent="0.25">
      <c r="A1384" s="170">
        <v>44046</v>
      </c>
      <c r="B1384" s="116">
        <v>919.7</v>
      </c>
      <c r="C1384" s="116">
        <v>915.8</v>
      </c>
      <c r="D1384" s="116">
        <v>903.4</v>
      </c>
      <c r="E1384" s="116">
        <v>913</v>
      </c>
      <c r="F1384" s="116">
        <v>915.8</v>
      </c>
      <c r="G1384">
        <v>106902</v>
      </c>
      <c r="H1384" s="116"/>
      <c r="I1384" s="116"/>
      <c r="L1384" s="170">
        <v>44046</v>
      </c>
      <c r="M1384" s="116">
        <v>915.9</v>
      </c>
      <c r="N1384" s="116">
        <v>919.75</v>
      </c>
      <c r="O1384" s="116">
        <v>903.55</v>
      </c>
      <c r="P1384" s="116">
        <v>913</v>
      </c>
      <c r="Q1384" s="116">
        <v>915.9</v>
      </c>
      <c r="R1384">
        <v>3583271</v>
      </c>
    </row>
    <row r="1385" spans="1:18" x14ac:dyDescent="0.25">
      <c r="A1385" s="170">
        <v>44047</v>
      </c>
      <c r="B1385" s="116">
        <v>930.2</v>
      </c>
      <c r="C1385" s="116">
        <v>923.8</v>
      </c>
      <c r="D1385" s="116">
        <v>916.35</v>
      </c>
      <c r="E1385" s="116">
        <v>917</v>
      </c>
      <c r="F1385" s="116">
        <v>923.8</v>
      </c>
      <c r="G1385">
        <v>130086</v>
      </c>
      <c r="H1385" s="116"/>
      <c r="I1385" s="116"/>
      <c r="L1385" s="170">
        <v>44047</v>
      </c>
      <c r="M1385" s="116">
        <v>924.25</v>
      </c>
      <c r="N1385" s="116">
        <v>930</v>
      </c>
      <c r="O1385" s="116">
        <v>916.6</v>
      </c>
      <c r="P1385" s="116">
        <v>918</v>
      </c>
      <c r="Q1385" s="116">
        <v>924.25</v>
      </c>
      <c r="R1385">
        <v>3860457</v>
      </c>
    </row>
    <row r="1386" spans="1:18" x14ac:dyDescent="0.25">
      <c r="A1386" s="170">
        <v>44048</v>
      </c>
      <c r="B1386" s="116">
        <v>934.3</v>
      </c>
      <c r="C1386" s="116">
        <v>926</v>
      </c>
      <c r="D1386" s="116">
        <v>921.1</v>
      </c>
      <c r="E1386" s="116">
        <v>923.85</v>
      </c>
      <c r="F1386" s="116">
        <v>926</v>
      </c>
      <c r="G1386">
        <v>85658</v>
      </c>
      <c r="H1386" s="116"/>
      <c r="I1386" s="116"/>
      <c r="L1386" s="170">
        <v>44048</v>
      </c>
      <c r="M1386" s="116">
        <v>925.75</v>
      </c>
      <c r="N1386" s="116">
        <v>934.5</v>
      </c>
      <c r="O1386" s="116">
        <v>920.8</v>
      </c>
      <c r="P1386" s="116">
        <v>923.95</v>
      </c>
      <c r="Q1386" s="116">
        <v>925.75</v>
      </c>
      <c r="R1386">
        <v>3008672</v>
      </c>
    </row>
    <row r="1387" spans="1:18" x14ac:dyDescent="0.25">
      <c r="A1387" s="170">
        <v>44049</v>
      </c>
      <c r="B1387" s="116">
        <v>933</v>
      </c>
      <c r="C1387" s="116">
        <v>921.95</v>
      </c>
      <c r="D1387" s="116">
        <v>920.6</v>
      </c>
      <c r="E1387" s="116">
        <v>927.15</v>
      </c>
      <c r="F1387" s="116">
        <v>921.95</v>
      </c>
      <c r="G1387">
        <v>123606</v>
      </c>
      <c r="H1387" s="116"/>
      <c r="I1387" s="116"/>
      <c r="L1387" s="170">
        <v>44049</v>
      </c>
      <c r="M1387" s="116">
        <v>922.15</v>
      </c>
      <c r="N1387" s="116">
        <v>933.7</v>
      </c>
      <c r="O1387" s="116">
        <v>920.25</v>
      </c>
      <c r="P1387" s="116">
        <v>926.05</v>
      </c>
      <c r="Q1387" s="116">
        <v>922.15</v>
      </c>
      <c r="R1387">
        <v>2188238</v>
      </c>
    </row>
    <row r="1388" spans="1:18" x14ac:dyDescent="0.25">
      <c r="A1388" s="170">
        <v>44050</v>
      </c>
      <c r="B1388" s="116">
        <v>926.5</v>
      </c>
      <c r="C1388" s="116">
        <v>915.7</v>
      </c>
      <c r="D1388" s="116">
        <v>914.1</v>
      </c>
      <c r="E1388" s="116">
        <v>922.5</v>
      </c>
      <c r="F1388" s="116">
        <v>915.7</v>
      </c>
      <c r="G1388">
        <v>127293</v>
      </c>
      <c r="H1388" s="116"/>
      <c r="I1388" s="116"/>
      <c r="L1388" s="170">
        <v>44050</v>
      </c>
      <c r="M1388" s="116">
        <v>915.65</v>
      </c>
      <c r="N1388" s="116">
        <v>926.85</v>
      </c>
      <c r="O1388" s="116">
        <v>914.1</v>
      </c>
      <c r="P1388" s="116">
        <v>922.55</v>
      </c>
      <c r="Q1388" s="116">
        <v>915.65</v>
      </c>
      <c r="R1388">
        <v>2461159</v>
      </c>
    </row>
    <row r="1389" spans="1:18" x14ac:dyDescent="0.25">
      <c r="A1389" s="170">
        <v>44053</v>
      </c>
      <c r="B1389" s="116">
        <v>970</v>
      </c>
      <c r="C1389" s="116">
        <v>959.7</v>
      </c>
      <c r="D1389" s="116">
        <v>925</v>
      </c>
      <c r="E1389" s="116">
        <v>926</v>
      </c>
      <c r="F1389" s="116">
        <v>959.7</v>
      </c>
      <c r="G1389">
        <v>737467</v>
      </c>
      <c r="H1389" s="116"/>
      <c r="I1389" s="116"/>
      <c r="L1389" s="170">
        <v>44053</v>
      </c>
      <c r="M1389" s="116">
        <v>960.05</v>
      </c>
      <c r="N1389" s="116">
        <v>970</v>
      </c>
      <c r="O1389" s="116">
        <v>925</v>
      </c>
      <c r="P1389" s="116">
        <v>925</v>
      </c>
      <c r="Q1389" s="116">
        <v>960.05</v>
      </c>
      <c r="R1389">
        <v>11861752</v>
      </c>
    </row>
    <row r="1390" spans="1:18" x14ac:dyDescent="0.25">
      <c r="A1390" s="170">
        <v>44054</v>
      </c>
      <c r="B1390" s="116">
        <v>979.35</v>
      </c>
      <c r="C1390" s="116">
        <v>961.65</v>
      </c>
      <c r="D1390" s="116">
        <v>957.85</v>
      </c>
      <c r="E1390" s="116">
        <v>967.25</v>
      </c>
      <c r="F1390" s="116">
        <v>961.65</v>
      </c>
      <c r="G1390">
        <v>153447</v>
      </c>
      <c r="H1390" s="116"/>
      <c r="I1390" s="116"/>
      <c r="L1390" s="170">
        <v>44054</v>
      </c>
      <c r="M1390" s="116">
        <v>961.9</v>
      </c>
      <c r="N1390" s="116">
        <v>979.7</v>
      </c>
      <c r="O1390" s="116">
        <v>957.1</v>
      </c>
      <c r="P1390" s="116">
        <v>969.6</v>
      </c>
      <c r="Q1390" s="116">
        <v>961.9</v>
      </c>
      <c r="R1390">
        <v>5427537</v>
      </c>
    </row>
    <row r="1391" spans="1:18" x14ac:dyDescent="0.25">
      <c r="A1391" s="170">
        <v>44055</v>
      </c>
      <c r="B1391" s="116">
        <v>960.6</v>
      </c>
      <c r="C1391" s="116">
        <v>949.65</v>
      </c>
      <c r="D1391" s="116">
        <v>945</v>
      </c>
      <c r="E1391" s="116">
        <v>960.6</v>
      </c>
      <c r="F1391" s="116">
        <v>949.65</v>
      </c>
      <c r="G1391">
        <v>106076</v>
      </c>
      <c r="H1391" s="116"/>
      <c r="I1391" s="116"/>
      <c r="L1391" s="170">
        <v>44055</v>
      </c>
      <c r="M1391" s="116">
        <v>949.75</v>
      </c>
      <c r="N1391" s="116">
        <v>956</v>
      </c>
      <c r="O1391" s="116">
        <v>945</v>
      </c>
      <c r="P1391" s="116">
        <v>952</v>
      </c>
      <c r="Q1391" s="116">
        <v>949.75</v>
      </c>
      <c r="R1391">
        <v>3673009</v>
      </c>
    </row>
    <row r="1392" spans="1:18" x14ac:dyDescent="0.25">
      <c r="A1392" s="170">
        <v>44056</v>
      </c>
      <c r="B1392" s="116">
        <v>993.4</v>
      </c>
      <c r="C1392" s="116">
        <v>990.55</v>
      </c>
      <c r="D1392" s="116">
        <v>951.75</v>
      </c>
      <c r="E1392" s="116">
        <v>953.35</v>
      </c>
      <c r="F1392" s="116">
        <v>990.55</v>
      </c>
      <c r="G1392">
        <v>352923</v>
      </c>
      <c r="H1392" s="116"/>
      <c r="I1392" s="116"/>
      <c r="L1392" s="170">
        <v>44056</v>
      </c>
      <c r="M1392" s="116">
        <v>990.7</v>
      </c>
      <c r="N1392" s="116">
        <v>993.65</v>
      </c>
      <c r="O1392" s="116">
        <v>951.55</v>
      </c>
      <c r="P1392" s="116">
        <v>957</v>
      </c>
      <c r="Q1392" s="116">
        <v>990.7</v>
      </c>
      <c r="R1392">
        <v>8816753</v>
      </c>
    </row>
    <row r="1393" spans="1:18" x14ac:dyDescent="0.25">
      <c r="A1393" s="170">
        <v>44057</v>
      </c>
      <c r="B1393" s="116">
        <v>1017.4</v>
      </c>
      <c r="C1393" s="116">
        <v>982.15</v>
      </c>
      <c r="D1393" s="116">
        <v>974.2</v>
      </c>
      <c r="E1393" s="116">
        <v>997</v>
      </c>
      <c r="F1393" s="116">
        <v>982.15</v>
      </c>
      <c r="G1393">
        <v>537656</v>
      </c>
      <c r="H1393" s="116"/>
      <c r="I1393" s="116"/>
      <c r="L1393" s="170">
        <v>44057</v>
      </c>
      <c r="M1393" s="116">
        <v>982.8</v>
      </c>
      <c r="N1393" s="116">
        <v>1017</v>
      </c>
      <c r="O1393" s="116">
        <v>973.4</v>
      </c>
      <c r="P1393" s="116">
        <v>999.95</v>
      </c>
      <c r="Q1393" s="116">
        <v>982.8</v>
      </c>
      <c r="R1393">
        <v>13444105</v>
      </c>
    </row>
    <row r="1394" spans="1:18" x14ac:dyDescent="0.25">
      <c r="A1394" s="170">
        <v>44060</v>
      </c>
      <c r="B1394" s="116">
        <v>1007</v>
      </c>
      <c r="C1394" s="116">
        <v>1000.7</v>
      </c>
      <c r="D1394" s="116">
        <v>988.1</v>
      </c>
      <c r="E1394" s="116">
        <v>1002.3</v>
      </c>
      <c r="F1394" s="116">
        <v>1000.7</v>
      </c>
      <c r="G1394">
        <v>190248</v>
      </c>
      <c r="H1394" s="116"/>
      <c r="I1394" s="116"/>
      <c r="L1394" s="170">
        <v>44060</v>
      </c>
      <c r="M1394" s="116">
        <v>1000.8</v>
      </c>
      <c r="N1394" s="116">
        <v>1007</v>
      </c>
      <c r="O1394" s="116">
        <v>987.7</v>
      </c>
      <c r="P1394" s="116">
        <v>1002</v>
      </c>
      <c r="Q1394" s="116">
        <v>1000.8</v>
      </c>
      <c r="R1394">
        <v>4735275</v>
      </c>
    </row>
    <row r="1395" spans="1:18" x14ac:dyDescent="0.25">
      <c r="A1395" s="170">
        <v>44061</v>
      </c>
      <c r="B1395" s="116">
        <v>1008</v>
      </c>
      <c r="C1395" s="116">
        <v>1004.1</v>
      </c>
      <c r="D1395" s="116">
        <v>995.2</v>
      </c>
      <c r="E1395" s="116">
        <v>1001.25</v>
      </c>
      <c r="F1395" s="116">
        <v>1004.1</v>
      </c>
      <c r="G1395">
        <v>146347</v>
      </c>
      <c r="H1395" s="116"/>
      <c r="I1395" s="116"/>
      <c r="L1395" s="170">
        <v>44061</v>
      </c>
      <c r="M1395" s="116">
        <v>1004.55</v>
      </c>
      <c r="N1395" s="116">
        <v>1008</v>
      </c>
      <c r="O1395" s="116">
        <v>995.4</v>
      </c>
      <c r="P1395" s="116">
        <v>1005.95</v>
      </c>
      <c r="Q1395" s="116">
        <v>1004.55</v>
      </c>
      <c r="R1395">
        <v>4362052</v>
      </c>
    </row>
    <row r="1396" spans="1:18" x14ac:dyDescent="0.25">
      <c r="A1396" s="170">
        <v>44062</v>
      </c>
      <c r="B1396" s="116">
        <v>1024.95</v>
      </c>
      <c r="C1396" s="116">
        <v>1009</v>
      </c>
      <c r="D1396" s="116">
        <v>1005.2</v>
      </c>
      <c r="E1396" s="116">
        <v>1016.05</v>
      </c>
      <c r="F1396" s="116">
        <v>1009</v>
      </c>
      <c r="G1396">
        <v>171295</v>
      </c>
      <c r="H1396" s="116"/>
      <c r="I1396" s="116"/>
      <c r="L1396" s="170">
        <v>44062</v>
      </c>
      <c r="M1396" s="116">
        <v>1009.1</v>
      </c>
      <c r="N1396" s="116">
        <v>1024.95</v>
      </c>
      <c r="O1396" s="116">
        <v>1005.4</v>
      </c>
      <c r="P1396" s="116">
        <v>1017.25</v>
      </c>
      <c r="Q1396" s="116">
        <v>1009.1</v>
      </c>
      <c r="R1396">
        <v>4914253</v>
      </c>
    </row>
    <row r="1397" spans="1:18" x14ac:dyDescent="0.25">
      <c r="A1397" s="170">
        <v>44063</v>
      </c>
      <c r="B1397" s="116">
        <v>1004.8</v>
      </c>
      <c r="C1397" s="116">
        <v>995.85</v>
      </c>
      <c r="D1397" s="116">
        <v>982.3</v>
      </c>
      <c r="E1397" s="116">
        <v>995.95</v>
      </c>
      <c r="F1397" s="116">
        <v>995.85</v>
      </c>
      <c r="G1397">
        <v>150131</v>
      </c>
      <c r="H1397" s="116"/>
      <c r="I1397" s="116"/>
      <c r="L1397" s="170">
        <v>44063</v>
      </c>
      <c r="M1397" s="116">
        <v>995.75</v>
      </c>
      <c r="N1397" s="116">
        <v>1005</v>
      </c>
      <c r="O1397" s="116">
        <v>981</v>
      </c>
      <c r="P1397" s="116">
        <v>986</v>
      </c>
      <c r="Q1397" s="116">
        <v>995.75</v>
      </c>
      <c r="R1397">
        <v>4791067</v>
      </c>
    </row>
    <row r="1398" spans="1:18" x14ac:dyDescent="0.25">
      <c r="A1398" s="170">
        <v>44064</v>
      </c>
      <c r="B1398" s="116">
        <v>1008</v>
      </c>
      <c r="C1398" s="116">
        <v>994.05</v>
      </c>
      <c r="D1398" s="116">
        <v>991.75</v>
      </c>
      <c r="E1398" s="116">
        <v>1003</v>
      </c>
      <c r="F1398" s="116">
        <v>994.05</v>
      </c>
      <c r="G1398">
        <v>160305</v>
      </c>
      <c r="H1398" s="116"/>
      <c r="I1398" s="116"/>
      <c r="L1398" s="170">
        <v>44064</v>
      </c>
      <c r="M1398" s="116">
        <v>994.15</v>
      </c>
      <c r="N1398" s="116">
        <v>1010</v>
      </c>
      <c r="O1398" s="116">
        <v>992</v>
      </c>
      <c r="P1398" s="116">
        <v>1010</v>
      </c>
      <c r="Q1398" s="116">
        <v>994.15</v>
      </c>
      <c r="R1398">
        <v>2806880</v>
      </c>
    </row>
    <row r="1399" spans="1:18" x14ac:dyDescent="0.25">
      <c r="A1399" s="170">
        <v>44067</v>
      </c>
      <c r="B1399" s="116">
        <v>1000</v>
      </c>
      <c r="C1399" s="116">
        <v>991.85</v>
      </c>
      <c r="D1399" s="116">
        <v>990.25</v>
      </c>
      <c r="E1399" s="116">
        <v>996</v>
      </c>
      <c r="F1399" s="116">
        <v>991.85</v>
      </c>
      <c r="G1399">
        <v>85333</v>
      </c>
      <c r="H1399" s="116"/>
      <c r="I1399" s="116"/>
      <c r="L1399" s="170">
        <v>44067</v>
      </c>
      <c r="M1399" s="116">
        <v>991.35</v>
      </c>
      <c r="N1399" s="116">
        <v>1001.4</v>
      </c>
      <c r="O1399" s="116">
        <v>990</v>
      </c>
      <c r="P1399" s="116">
        <v>996</v>
      </c>
      <c r="Q1399" s="116">
        <v>991.35</v>
      </c>
      <c r="R1399">
        <v>2026316</v>
      </c>
    </row>
    <row r="1400" spans="1:18" x14ac:dyDescent="0.25">
      <c r="A1400" s="170">
        <v>44068</v>
      </c>
      <c r="B1400" s="116">
        <v>999</v>
      </c>
      <c r="C1400" s="116">
        <v>980.6</v>
      </c>
      <c r="D1400" s="116">
        <v>978.1</v>
      </c>
      <c r="E1400" s="116">
        <v>992.5</v>
      </c>
      <c r="F1400" s="116">
        <v>980.6</v>
      </c>
      <c r="G1400">
        <v>153824</v>
      </c>
      <c r="H1400" s="116"/>
      <c r="I1400" s="116"/>
      <c r="L1400" s="170">
        <v>44068</v>
      </c>
      <c r="M1400" s="116">
        <v>980.4</v>
      </c>
      <c r="N1400" s="116">
        <v>999.9</v>
      </c>
      <c r="O1400" s="116">
        <v>977.8</v>
      </c>
      <c r="P1400" s="116">
        <v>993</v>
      </c>
      <c r="Q1400" s="116">
        <v>980.4</v>
      </c>
      <c r="R1400">
        <v>2914757</v>
      </c>
    </row>
    <row r="1401" spans="1:18" x14ac:dyDescent="0.25">
      <c r="A1401" s="170">
        <v>44069</v>
      </c>
      <c r="B1401" s="116">
        <v>987</v>
      </c>
      <c r="C1401" s="116">
        <v>968.95</v>
      </c>
      <c r="D1401" s="116">
        <v>965.2</v>
      </c>
      <c r="E1401" s="116">
        <v>984</v>
      </c>
      <c r="F1401" s="116">
        <v>968.95</v>
      </c>
      <c r="G1401">
        <v>182924</v>
      </c>
      <c r="H1401" s="116"/>
      <c r="I1401" s="116"/>
      <c r="L1401" s="170">
        <v>44069</v>
      </c>
      <c r="M1401" s="116">
        <v>968.95</v>
      </c>
      <c r="N1401" s="116">
        <v>988</v>
      </c>
      <c r="O1401" s="116">
        <v>965</v>
      </c>
      <c r="P1401" s="116">
        <v>987</v>
      </c>
      <c r="Q1401" s="116">
        <v>968.95</v>
      </c>
      <c r="R1401">
        <v>4482342</v>
      </c>
    </row>
    <row r="1402" spans="1:18" x14ac:dyDescent="0.25">
      <c r="A1402" s="170">
        <v>44070</v>
      </c>
      <c r="B1402" s="116">
        <v>979.85</v>
      </c>
      <c r="C1402" s="116">
        <v>975.45</v>
      </c>
      <c r="D1402" s="116">
        <v>965.6</v>
      </c>
      <c r="E1402" s="116">
        <v>973.15</v>
      </c>
      <c r="F1402" s="116">
        <v>975.45</v>
      </c>
      <c r="G1402">
        <v>166063</v>
      </c>
      <c r="H1402" s="116"/>
      <c r="I1402" s="116"/>
      <c r="L1402" s="170">
        <v>44070</v>
      </c>
      <c r="M1402" s="116">
        <v>975.6</v>
      </c>
      <c r="N1402" s="116">
        <v>980</v>
      </c>
      <c r="O1402" s="116">
        <v>965.3</v>
      </c>
      <c r="P1402" s="116">
        <v>975.25</v>
      </c>
      <c r="Q1402" s="116">
        <v>975.6</v>
      </c>
      <c r="R1402">
        <v>4466694</v>
      </c>
    </row>
    <row r="1403" spans="1:18" x14ac:dyDescent="0.25">
      <c r="A1403" s="170">
        <v>44071</v>
      </c>
      <c r="B1403" s="116">
        <v>1004.4</v>
      </c>
      <c r="C1403" s="116">
        <v>981.8</v>
      </c>
      <c r="D1403" s="116">
        <v>978.6</v>
      </c>
      <c r="E1403" s="116">
        <v>989</v>
      </c>
      <c r="F1403" s="116">
        <v>981.8</v>
      </c>
      <c r="G1403">
        <v>237533</v>
      </c>
      <c r="H1403" s="116"/>
      <c r="I1403" s="116"/>
      <c r="L1403" s="170">
        <v>44071</v>
      </c>
      <c r="M1403" s="116">
        <v>981.85</v>
      </c>
      <c r="N1403" s="116">
        <v>1004.7</v>
      </c>
      <c r="O1403" s="116">
        <v>978.2</v>
      </c>
      <c r="P1403" s="116">
        <v>988</v>
      </c>
      <c r="Q1403" s="116">
        <v>981.85</v>
      </c>
      <c r="R1403">
        <v>7821217</v>
      </c>
    </row>
    <row r="1404" spans="1:18" x14ac:dyDescent="0.25">
      <c r="A1404" s="170">
        <v>44074</v>
      </c>
      <c r="B1404" s="116">
        <v>995</v>
      </c>
      <c r="C1404" s="116">
        <v>945.3</v>
      </c>
      <c r="D1404" s="116">
        <v>941.2</v>
      </c>
      <c r="E1404" s="116">
        <v>986</v>
      </c>
      <c r="F1404" s="116">
        <v>945.3</v>
      </c>
      <c r="G1404">
        <v>280994</v>
      </c>
      <c r="H1404" s="116"/>
      <c r="I1404" s="116"/>
      <c r="L1404" s="170">
        <v>44074</v>
      </c>
      <c r="M1404" s="116">
        <v>944.95</v>
      </c>
      <c r="N1404" s="116">
        <v>995.4</v>
      </c>
      <c r="O1404" s="116">
        <v>940.4</v>
      </c>
      <c r="P1404" s="116">
        <v>988.1</v>
      </c>
      <c r="Q1404" s="116">
        <v>944.95</v>
      </c>
      <c r="R1404">
        <v>8490694</v>
      </c>
    </row>
    <row r="1405" spans="1:18" x14ac:dyDescent="0.25">
      <c r="A1405" s="170">
        <v>44075</v>
      </c>
      <c r="B1405" s="116">
        <v>965.95</v>
      </c>
      <c r="C1405" s="116">
        <v>955.3</v>
      </c>
      <c r="D1405" s="116">
        <v>944.1</v>
      </c>
      <c r="E1405" s="116">
        <v>955.25</v>
      </c>
      <c r="F1405" s="116">
        <v>955.3</v>
      </c>
      <c r="G1405">
        <v>227270</v>
      </c>
      <c r="H1405" s="116"/>
      <c r="I1405" s="116"/>
      <c r="L1405" s="170">
        <v>44075</v>
      </c>
      <c r="M1405" s="116">
        <v>955.2</v>
      </c>
      <c r="N1405" s="116">
        <v>966</v>
      </c>
      <c r="O1405" s="116">
        <v>943.3</v>
      </c>
      <c r="P1405" s="116">
        <v>964.95</v>
      </c>
      <c r="Q1405" s="116">
        <v>955.2</v>
      </c>
      <c r="R1405">
        <v>5100024</v>
      </c>
    </row>
    <row r="1406" spans="1:18" x14ac:dyDescent="0.25">
      <c r="A1406" s="170">
        <v>44076</v>
      </c>
      <c r="B1406" s="116">
        <v>959.85</v>
      </c>
      <c r="C1406" s="116">
        <v>955.75</v>
      </c>
      <c r="D1406" s="116">
        <v>948</v>
      </c>
      <c r="E1406" s="116">
        <v>959.35</v>
      </c>
      <c r="F1406" s="116">
        <v>955.75</v>
      </c>
      <c r="G1406">
        <v>117039</v>
      </c>
      <c r="H1406" s="116"/>
      <c r="I1406" s="116"/>
      <c r="L1406" s="170">
        <v>44076</v>
      </c>
      <c r="M1406" s="116">
        <v>955.55</v>
      </c>
      <c r="N1406" s="116">
        <v>959.8</v>
      </c>
      <c r="O1406" s="116">
        <v>948</v>
      </c>
      <c r="P1406" s="116">
        <v>956.45</v>
      </c>
      <c r="Q1406" s="116">
        <v>955.55</v>
      </c>
      <c r="R1406">
        <v>2107726</v>
      </c>
    </row>
    <row r="1407" spans="1:18" x14ac:dyDescent="0.25">
      <c r="A1407" s="170">
        <v>44077</v>
      </c>
      <c r="B1407" s="116">
        <v>970.85</v>
      </c>
      <c r="C1407" s="116">
        <v>961.05</v>
      </c>
      <c r="D1407" s="116">
        <v>954.1</v>
      </c>
      <c r="E1407" s="116">
        <v>958.5</v>
      </c>
      <c r="F1407" s="116">
        <v>961.05</v>
      </c>
      <c r="G1407">
        <v>163246</v>
      </c>
      <c r="H1407" s="116"/>
      <c r="I1407" s="116"/>
      <c r="L1407" s="170">
        <v>44077</v>
      </c>
      <c r="M1407" s="116">
        <v>961.15</v>
      </c>
      <c r="N1407" s="116">
        <v>971</v>
      </c>
      <c r="O1407" s="116">
        <v>953.3</v>
      </c>
      <c r="P1407" s="116">
        <v>960</v>
      </c>
      <c r="Q1407" s="116">
        <v>961.15</v>
      </c>
      <c r="R1407">
        <v>3279009</v>
      </c>
    </row>
    <row r="1408" spans="1:18" x14ac:dyDescent="0.25">
      <c r="A1408" s="170">
        <v>44078</v>
      </c>
      <c r="B1408" s="116">
        <v>956.05</v>
      </c>
      <c r="C1408" s="116">
        <v>942.9</v>
      </c>
      <c r="D1408" s="116">
        <v>940.1</v>
      </c>
      <c r="E1408" s="116">
        <v>945</v>
      </c>
      <c r="F1408" s="116">
        <v>942.9</v>
      </c>
      <c r="G1408">
        <v>116630</v>
      </c>
      <c r="H1408" s="116"/>
      <c r="I1408" s="116"/>
      <c r="L1408" s="170">
        <v>44078</v>
      </c>
      <c r="M1408" s="116">
        <v>942.5</v>
      </c>
      <c r="N1408" s="116">
        <v>956.15</v>
      </c>
      <c r="O1408" s="116">
        <v>940</v>
      </c>
      <c r="P1408" s="116">
        <v>948</v>
      </c>
      <c r="Q1408" s="116">
        <v>942.5</v>
      </c>
      <c r="R1408">
        <v>3130771</v>
      </c>
    </row>
    <row r="1409" spans="1:18" x14ac:dyDescent="0.25">
      <c r="A1409" s="170">
        <v>44081</v>
      </c>
      <c r="B1409" s="116">
        <v>950.25</v>
      </c>
      <c r="C1409" s="116">
        <v>932.2</v>
      </c>
      <c r="D1409" s="116">
        <v>916.1</v>
      </c>
      <c r="E1409" s="116">
        <v>945.2</v>
      </c>
      <c r="F1409" s="116">
        <v>932.2</v>
      </c>
      <c r="G1409">
        <v>235755</v>
      </c>
      <c r="H1409" s="116"/>
      <c r="I1409" s="116"/>
      <c r="L1409" s="170">
        <v>44081</v>
      </c>
      <c r="M1409" s="116">
        <v>932.15</v>
      </c>
      <c r="N1409" s="116">
        <v>950.75</v>
      </c>
      <c r="O1409" s="116">
        <v>916.25</v>
      </c>
      <c r="P1409" s="116">
        <v>947.15</v>
      </c>
      <c r="Q1409" s="116">
        <v>932.15</v>
      </c>
      <c r="R1409">
        <v>3470842</v>
      </c>
    </row>
    <row r="1410" spans="1:18" x14ac:dyDescent="0.25">
      <c r="A1410" s="170">
        <v>44082</v>
      </c>
      <c r="B1410" s="116">
        <v>940</v>
      </c>
      <c r="C1410" s="116">
        <v>916.25</v>
      </c>
      <c r="D1410" s="116">
        <v>911.9</v>
      </c>
      <c r="E1410" s="116">
        <v>933</v>
      </c>
      <c r="F1410" s="116">
        <v>916.25</v>
      </c>
      <c r="G1410">
        <v>219624</v>
      </c>
      <c r="H1410" s="116"/>
      <c r="I1410" s="116"/>
      <c r="L1410" s="170">
        <v>44082</v>
      </c>
      <c r="M1410" s="116">
        <v>916.7</v>
      </c>
      <c r="N1410" s="116">
        <v>936</v>
      </c>
      <c r="O1410" s="116">
        <v>912.95</v>
      </c>
      <c r="P1410" s="116">
        <v>936</v>
      </c>
      <c r="Q1410" s="116">
        <v>916.7</v>
      </c>
      <c r="R1410">
        <v>3739099</v>
      </c>
    </row>
    <row r="1411" spans="1:18" x14ac:dyDescent="0.25">
      <c r="A1411" s="170">
        <v>44083</v>
      </c>
      <c r="B1411" s="116">
        <v>927.8</v>
      </c>
      <c r="C1411" s="116">
        <v>909.55</v>
      </c>
      <c r="D1411" s="116">
        <v>901.6</v>
      </c>
      <c r="E1411" s="116">
        <v>913.7</v>
      </c>
      <c r="F1411" s="116">
        <v>909.55</v>
      </c>
      <c r="G1411">
        <v>158394</v>
      </c>
      <c r="H1411" s="116"/>
      <c r="I1411" s="116"/>
      <c r="L1411" s="170">
        <v>44083</v>
      </c>
      <c r="M1411" s="116">
        <v>909.5</v>
      </c>
      <c r="N1411" s="116">
        <v>928</v>
      </c>
      <c r="O1411" s="116">
        <v>901</v>
      </c>
      <c r="P1411" s="116">
        <v>907.55</v>
      </c>
      <c r="Q1411" s="116">
        <v>909.5</v>
      </c>
      <c r="R1411">
        <v>5656608</v>
      </c>
    </row>
    <row r="1412" spans="1:18" x14ac:dyDescent="0.25">
      <c r="A1412" s="170">
        <v>44084</v>
      </c>
      <c r="B1412" s="116">
        <v>923</v>
      </c>
      <c r="C1412" s="116">
        <v>920.65</v>
      </c>
      <c r="D1412" s="116">
        <v>912.25</v>
      </c>
      <c r="E1412" s="116">
        <v>918</v>
      </c>
      <c r="F1412" s="116">
        <v>920.65</v>
      </c>
      <c r="G1412">
        <v>162083</v>
      </c>
      <c r="H1412" s="116"/>
      <c r="I1412" s="116"/>
      <c r="L1412" s="170">
        <v>44084</v>
      </c>
      <c r="M1412" s="116">
        <v>920.95</v>
      </c>
      <c r="N1412" s="116">
        <v>923</v>
      </c>
      <c r="O1412" s="116">
        <v>912</v>
      </c>
      <c r="P1412" s="116">
        <v>917.7</v>
      </c>
      <c r="Q1412" s="116">
        <v>920.95</v>
      </c>
      <c r="R1412">
        <v>2948624</v>
      </c>
    </row>
    <row r="1413" spans="1:18" x14ac:dyDescent="0.25">
      <c r="A1413" s="170">
        <v>44085</v>
      </c>
      <c r="B1413" s="116">
        <v>923.8</v>
      </c>
      <c r="C1413" s="116">
        <v>917.65</v>
      </c>
      <c r="D1413" s="116">
        <v>912.2</v>
      </c>
      <c r="E1413" s="116">
        <v>923.8</v>
      </c>
      <c r="F1413" s="116">
        <v>917.65</v>
      </c>
      <c r="G1413">
        <v>87935</v>
      </c>
      <c r="H1413" s="116"/>
      <c r="I1413" s="116"/>
      <c r="L1413" s="170">
        <v>44085</v>
      </c>
      <c r="M1413" s="116">
        <v>917.4</v>
      </c>
      <c r="N1413" s="116">
        <v>921.55</v>
      </c>
      <c r="O1413" s="116">
        <v>912</v>
      </c>
      <c r="P1413" s="116">
        <v>920</v>
      </c>
      <c r="Q1413" s="116">
        <v>917.4</v>
      </c>
      <c r="R1413">
        <v>2632367</v>
      </c>
    </row>
    <row r="1414" spans="1:18" x14ac:dyDescent="0.25">
      <c r="A1414" s="170">
        <v>44088</v>
      </c>
      <c r="B1414" s="116">
        <v>924</v>
      </c>
      <c r="C1414" s="116">
        <v>902.3</v>
      </c>
      <c r="D1414" s="116">
        <v>901</v>
      </c>
      <c r="E1414" s="116">
        <v>924</v>
      </c>
      <c r="F1414" s="116">
        <v>902.3</v>
      </c>
      <c r="G1414">
        <v>302393</v>
      </c>
      <c r="H1414" s="116"/>
      <c r="I1414" s="116"/>
      <c r="L1414" s="170">
        <v>44088</v>
      </c>
      <c r="M1414" s="116">
        <v>902.1</v>
      </c>
      <c r="N1414" s="116">
        <v>923.35</v>
      </c>
      <c r="O1414" s="116">
        <v>901</v>
      </c>
      <c r="P1414" s="116">
        <v>922.4</v>
      </c>
      <c r="Q1414" s="116">
        <v>902.1</v>
      </c>
      <c r="R1414">
        <v>5006822</v>
      </c>
    </row>
    <row r="1415" spans="1:18" x14ac:dyDescent="0.25">
      <c r="A1415" s="170">
        <v>44089</v>
      </c>
      <c r="B1415" s="116">
        <v>914.7</v>
      </c>
      <c r="C1415" s="116">
        <v>909.55</v>
      </c>
      <c r="D1415" s="116">
        <v>900</v>
      </c>
      <c r="E1415" s="116">
        <v>908.3</v>
      </c>
      <c r="F1415" s="116">
        <v>909.55</v>
      </c>
      <c r="G1415">
        <v>277929</v>
      </c>
      <c r="H1415" s="116"/>
      <c r="I1415" s="116"/>
      <c r="L1415" s="170">
        <v>44089</v>
      </c>
      <c r="M1415" s="116">
        <v>909.95</v>
      </c>
      <c r="N1415" s="116">
        <v>915.2</v>
      </c>
      <c r="O1415" s="116">
        <v>900</v>
      </c>
      <c r="P1415" s="116">
        <v>910</v>
      </c>
      <c r="Q1415" s="116">
        <v>909.95</v>
      </c>
      <c r="R1415">
        <v>4488940</v>
      </c>
    </row>
    <row r="1416" spans="1:18" x14ac:dyDescent="0.25">
      <c r="A1416" s="170">
        <v>44090</v>
      </c>
      <c r="B1416" s="116">
        <v>923.5</v>
      </c>
      <c r="C1416" s="116">
        <v>921.95</v>
      </c>
      <c r="D1416" s="116">
        <v>912.2</v>
      </c>
      <c r="E1416" s="116">
        <v>912.2</v>
      </c>
      <c r="F1416" s="116">
        <v>921.95</v>
      </c>
      <c r="G1416">
        <v>128510</v>
      </c>
      <c r="H1416" s="116"/>
      <c r="I1416" s="116"/>
      <c r="L1416" s="170">
        <v>44090</v>
      </c>
      <c r="M1416" s="116">
        <v>921.8</v>
      </c>
      <c r="N1416" s="116">
        <v>924</v>
      </c>
      <c r="O1416" s="116">
        <v>911.35</v>
      </c>
      <c r="P1416" s="116">
        <v>915</v>
      </c>
      <c r="Q1416" s="116">
        <v>921.8</v>
      </c>
      <c r="R1416">
        <v>3596210</v>
      </c>
    </row>
    <row r="1417" spans="1:18" x14ac:dyDescent="0.25">
      <c r="A1417" s="170">
        <v>44091</v>
      </c>
      <c r="B1417" s="116">
        <v>918.8</v>
      </c>
      <c r="C1417" s="116">
        <v>906.3</v>
      </c>
      <c r="D1417" s="116">
        <v>905</v>
      </c>
      <c r="E1417" s="116">
        <v>918.8</v>
      </c>
      <c r="F1417" s="116">
        <v>906.3</v>
      </c>
      <c r="G1417">
        <v>233784</v>
      </c>
      <c r="H1417" s="116"/>
      <c r="I1417" s="116"/>
      <c r="L1417" s="170">
        <v>44091</v>
      </c>
      <c r="M1417" s="116">
        <v>906.3</v>
      </c>
      <c r="N1417" s="116">
        <v>917.95</v>
      </c>
      <c r="O1417" s="116">
        <v>905.05</v>
      </c>
      <c r="P1417" s="116">
        <v>915</v>
      </c>
      <c r="Q1417" s="116">
        <v>906.3</v>
      </c>
      <c r="R1417">
        <v>4512699</v>
      </c>
    </row>
    <row r="1418" spans="1:18" x14ac:dyDescent="0.25">
      <c r="A1418" s="170">
        <v>44092</v>
      </c>
      <c r="B1418" s="116">
        <v>914</v>
      </c>
      <c r="C1418" s="116">
        <v>900.2</v>
      </c>
      <c r="D1418" s="116">
        <v>896.6</v>
      </c>
      <c r="E1418" s="116">
        <v>910</v>
      </c>
      <c r="F1418" s="116">
        <v>900.2</v>
      </c>
      <c r="G1418">
        <v>158560</v>
      </c>
      <c r="H1418" s="116"/>
      <c r="I1418" s="116"/>
      <c r="L1418" s="170">
        <v>44092</v>
      </c>
      <c r="M1418" s="116">
        <v>900.7</v>
      </c>
      <c r="N1418" s="116">
        <v>914.1</v>
      </c>
      <c r="O1418" s="116">
        <v>897</v>
      </c>
      <c r="P1418" s="116">
        <v>911.2</v>
      </c>
      <c r="Q1418" s="116">
        <v>900.7</v>
      </c>
      <c r="R1418">
        <v>7496745</v>
      </c>
    </row>
    <row r="1419" spans="1:18" x14ac:dyDescent="0.25">
      <c r="A1419" s="170">
        <v>44095</v>
      </c>
      <c r="B1419" s="116">
        <v>904.3</v>
      </c>
      <c r="C1419" s="116">
        <v>881.9</v>
      </c>
      <c r="D1419" s="116">
        <v>874.55</v>
      </c>
      <c r="E1419" s="116">
        <v>900.2</v>
      </c>
      <c r="F1419" s="116">
        <v>881.9</v>
      </c>
      <c r="G1419">
        <v>199708</v>
      </c>
      <c r="H1419" s="116"/>
      <c r="I1419" s="116"/>
      <c r="L1419" s="170">
        <v>44095</v>
      </c>
      <c r="M1419" s="116">
        <v>881.85</v>
      </c>
      <c r="N1419" s="116">
        <v>903.8</v>
      </c>
      <c r="O1419" s="116">
        <v>874.3</v>
      </c>
      <c r="P1419" s="116">
        <v>901</v>
      </c>
      <c r="Q1419" s="116">
        <v>881.85</v>
      </c>
      <c r="R1419">
        <v>4598553</v>
      </c>
    </row>
    <row r="1420" spans="1:18" x14ac:dyDescent="0.25">
      <c r="A1420" s="170">
        <v>44096</v>
      </c>
      <c r="B1420" s="116">
        <v>888</v>
      </c>
      <c r="C1420" s="116">
        <v>857.05</v>
      </c>
      <c r="D1420" s="116">
        <v>852</v>
      </c>
      <c r="E1420" s="116">
        <v>886.9</v>
      </c>
      <c r="F1420" s="116">
        <v>857.05</v>
      </c>
      <c r="G1420">
        <v>432055</v>
      </c>
      <c r="H1420" s="116"/>
      <c r="I1420" s="116"/>
      <c r="L1420" s="170">
        <v>44096</v>
      </c>
      <c r="M1420" s="116">
        <v>856.5</v>
      </c>
      <c r="N1420" s="116">
        <v>887.95</v>
      </c>
      <c r="O1420" s="116">
        <v>852</v>
      </c>
      <c r="P1420" s="116">
        <v>887.95</v>
      </c>
      <c r="Q1420" s="116">
        <v>856.5</v>
      </c>
      <c r="R1420">
        <v>5089088</v>
      </c>
    </row>
    <row r="1421" spans="1:18" x14ac:dyDescent="0.25">
      <c r="A1421" s="170">
        <v>44097</v>
      </c>
      <c r="B1421" s="116">
        <v>873.85</v>
      </c>
      <c r="C1421" s="116">
        <v>860.75</v>
      </c>
      <c r="D1421" s="116">
        <v>855</v>
      </c>
      <c r="E1421" s="116">
        <v>869.8</v>
      </c>
      <c r="F1421" s="116">
        <v>860.75</v>
      </c>
      <c r="G1421">
        <v>216225</v>
      </c>
      <c r="H1421" s="116"/>
      <c r="I1421" s="116"/>
      <c r="L1421" s="170">
        <v>44097</v>
      </c>
      <c r="M1421" s="116">
        <v>860.6</v>
      </c>
      <c r="N1421" s="116">
        <v>873.7</v>
      </c>
      <c r="O1421" s="116">
        <v>854.55</v>
      </c>
      <c r="P1421" s="116">
        <v>866.2</v>
      </c>
      <c r="Q1421" s="116">
        <v>860.6</v>
      </c>
      <c r="R1421">
        <v>3709625</v>
      </c>
    </row>
    <row r="1422" spans="1:18" x14ac:dyDescent="0.25">
      <c r="A1422" s="170">
        <v>44098</v>
      </c>
      <c r="B1422" s="116">
        <v>859.5</v>
      </c>
      <c r="C1422" s="116">
        <v>850.35</v>
      </c>
      <c r="D1422" s="116">
        <v>842.5</v>
      </c>
      <c r="E1422" s="116">
        <v>857.8</v>
      </c>
      <c r="F1422" s="116">
        <v>850.35</v>
      </c>
      <c r="G1422">
        <v>517398</v>
      </c>
      <c r="H1422" s="116"/>
      <c r="I1422" s="116"/>
      <c r="L1422" s="170">
        <v>44098</v>
      </c>
      <c r="M1422" s="116">
        <v>850.7</v>
      </c>
      <c r="N1422" s="116">
        <v>859.9</v>
      </c>
      <c r="O1422" s="116">
        <v>843</v>
      </c>
      <c r="P1422" s="116">
        <v>856</v>
      </c>
      <c r="Q1422" s="116">
        <v>850.7</v>
      </c>
      <c r="R1422">
        <v>11609455</v>
      </c>
    </row>
    <row r="1423" spans="1:18" x14ac:dyDescent="0.25">
      <c r="A1423" s="170">
        <v>44099</v>
      </c>
      <c r="B1423" s="116">
        <v>895</v>
      </c>
      <c r="C1423" s="116">
        <v>889.3</v>
      </c>
      <c r="D1423" s="116">
        <v>852</v>
      </c>
      <c r="E1423" s="116">
        <v>864</v>
      </c>
      <c r="F1423" s="116">
        <v>889.3</v>
      </c>
      <c r="G1423">
        <v>164404</v>
      </c>
      <c r="H1423" s="116"/>
      <c r="I1423" s="116"/>
      <c r="L1423" s="170">
        <v>44099</v>
      </c>
      <c r="M1423" s="116">
        <v>889.25</v>
      </c>
      <c r="N1423" s="116">
        <v>895.4</v>
      </c>
      <c r="O1423" s="116">
        <v>852</v>
      </c>
      <c r="P1423" s="116">
        <v>860.1</v>
      </c>
      <c r="Q1423" s="116">
        <v>889.25</v>
      </c>
      <c r="R1423">
        <v>4961986</v>
      </c>
    </row>
    <row r="1424" spans="1:18" x14ac:dyDescent="0.25">
      <c r="A1424" s="170">
        <v>44102</v>
      </c>
      <c r="B1424" s="116">
        <v>917</v>
      </c>
      <c r="C1424" s="116">
        <v>902.9</v>
      </c>
      <c r="D1424" s="116">
        <v>893</v>
      </c>
      <c r="E1424" s="116">
        <v>899.95</v>
      </c>
      <c r="F1424" s="116">
        <v>902.9</v>
      </c>
      <c r="G1424">
        <v>227613</v>
      </c>
      <c r="H1424" s="116"/>
      <c r="I1424" s="116"/>
      <c r="L1424" s="170">
        <v>44102</v>
      </c>
      <c r="M1424" s="116">
        <v>902.85</v>
      </c>
      <c r="N1424" s="116">
        <v>917.5</v>
      </c>
      <c r="O1424" s="116">
        <v>893</v>
      </c>
      <c r="P1424" s="116">
        <v>898</v>
      </c>
      <c r="Q1424" s="116">
        <v>902.85</v>
      </c>
      <c r="R1424">
        <v>3853608</v>
      </c>
    </row>
    <row r="1425" spans="1:18" x14ac:dyDescent="0.25">
      <c r="A1425" s="170">
        <v>44103</v>
      </c>
      <c r="B1425" s="116">
        <v>912.8</v>
      </c>
      <c r="C1425" s="116">
        <v>895.15</v>
      </c>
      <c r="D1425" s="116">
        <v>892.2</v>
      </c>
      <c r="E1425" s="116">
        <v>907.05</v>
      </c>
      <c r="F1425" s="116">
        <v>895.15</v>
      </c>
      <c r="G1425">
        <v>169938</v>
      </c>
      <c r="H1425" s="116"/>
      <c r="I1425" s="116"/>
      <c r="L1425" s="170">
        <v>44103</v>
      </c>
      <c r="M1425" s="116">
        <v>895.45</v>
      </c>
      <c r="N1425" s="116">
        <v>912.85</v>
      </c>
      <c r="O1425" s="116">
        <v>892.4</v>
      </c>
      <c r="P1425" s="116">
        <v>909.95</v>
      </c>
      <c r="Q1425" s="116">
        <v>895.45</v>
      </c>
      <c r="R1425">
        <v>3362403</v>
      </c>
    </row>
    <row r="1426" spans="1:18" x14ac:dyDescent="0.25">
      <c r="A1426" s="170">
        <v>44104</v>
      </c>
      <c r="B1426" s="116">
        <v>905</v>
      </c>
      <c r="C1426" s="116">
        <v>902.45</v>
      </c>
      <c r="D1426" s="116">
        <v>884.3</v>
      </c>
      <c r="E1426" s="116">
        <v>897.4</v>
      </c>
      <c r="F1426" s="116">
        <v>902.45</v>
      </c>
      <c r="G1426">
        <v>80945</v>
      </c>
      <c r="H1426" s="116"/>
      <c r="I1426" s="116"/>
      <c r="L1426" s="170">
        <v>44104</v>
      </c>
      <c r="M1426" s="116">
        <v>901.6</v>
      </c>
      <c r="N1426" s="116">
        <v>904.5</v>
      </c>
      <c r="O1426" s="116">
        <v>884.1</v>
      </c>
      <c r="P1426" s="116">
        <v>897.8</v>
      </c>
      <c r="Q1426" s="116">
        <v>901.6</v>
      </c>
      <c r="R1426">
        <v>3582799</v>
      </c>
    </row>
    <row r="1427" spans="1:18" x14ac:dyDescent="0.25">
      <c r="A1427" s="170">
        <v>44105</v>
      </c>
      <c r="B1427" s="116">
        <v>913.3</v>
      </c>
      <c r="C1427" s="116">
        <v>902.95</v>
      </c>
      <c r="D1427" s="116">
        <v>901.25</v>
      </c>
      <c r="E1427" s="116">
        <v>905.1</v>
      </c>
      <c r="F1427" s="116">
        <v>902.95</v>
      </c>
      <c r="G1427">
        <v>141069</v>
      </c>
      <c r="H1427" s="116"/>
      <c r="I1427" s="116"/>
      <c r="L1427" s="170">
        <v>44105</v>
      </c>
      <c r="M1427" s="116">
        <v>902.8</v>
      </c>
      <c r="N1427" s="116">
        <v>913.6</v>
      </c>
      <c r="O1427" s="116">
        <v>900.7</v>
      </c>
      <c r="P1427" s="116">
        <v>909.95</v>
      </c>
      <c r="Q1427" s="116">
        <v>902.8</v>
      </c>
      <c r="R1427">
        <v>2506559</v>
      </c>
    </row>
    <row r="1428" spans="1:18" x14ac:dyDescent="0.25">
      <c r="A1428" s="170">
        <v>44109</v>
      </c>
      <c r="B1428" s="116">
        <v>908.5</v>
      </c>
      <c r="C1428" s="116">
        <v>896.85</v>
      </c>
      <c r="D1428" s="116">
        <v>895.05</v>
      </c>
      <c r="E1428" s="116">
        <v>908</v>
      </c>
      <c r="F1428" s="116">
        <v>896.85</v>
      </c>
      <c r="G1428">
        <v>105597</v>
      </c>
      <c r="H1428" s="116"/>
      <c r="I1428" s="116"/>
      <c r="L1428" s="170">
        <v>44109</v>
      </c>
      <c r="M1428" s="116">
        <v>896.95</v>
      </c>
      <c r="N1428" s="116">
        <v>908.55</v>
      </c>
      <c r="O1428" s="116">
        <v>895.05</v>
      </c>
      <c r="P1428" s="116">
        <v>907.95</v>
      </c>
      <c r="Q1428" s="116">
        <v>896.95</v>
      </c>
      <c r="R1428">
        <v>2788003</v>
      </c>
    </row>
    <row r="1429" spans="1:18" x14ac:dyDescent="0.25">
      <c r="A1429" s="170">
        <v>44110</v>
      </c>
      <c r="B1429" s="116">
        <v>904.65</v>
      </c>
      <c r="C1429" s="116">
        <v>892.7</v>
      </c>
      <c r="D1429" s="116">
        <v>888.7</v>
      </c>
      <c r="E1429" s="116">
        <v>901</v>
      </c>
      <c r="F1429" s="116">
        <v>892.7</v>
      </c>
      <c r="G1429">
        <v>73808</v>
      </c>
      <c r="H1429" s="116"/>
      <c r="I1429" s="116"/>
      <c r="L1429" s="170">
        <v>44110</v>
      </c>
      <c r="M1429" s="116">
        <v>892.6</v>
      </c>
      <c r="N1429" s="116">
        <v>904.55</v>
      </c>
      <c r="O1429" s="116">
        <v>888.25</v>
      </c>
      <c r="P1429" s="116">
        <v>901.05</v>
      </c>
      <c r="Q1429" s="116">
        <v>892.6</v>
      </c>
      <c r="R1429">
        <v>3497327</v>
      </c>
    </row>
    <row r="1430" spans="1:18" x14ac:dyDescent="0.25">
      <c r="A1430" s="170">
        <v>44111</v>
      </c>
      <c r="B1430" s="116">
        <v>895</v>
      </c>
      <c r="C1430" s="116">
        <v>887.7</v>
      </c>
      <c r="D1430" s="116">
        <v>876.25</v>
      </c>
      <c r="E1430" s="116">
        <v>893.1</v>
      </c>
      <c r="F1430" s="116">
        <v>887.7</v>
      </c>
      <c r="G1430">
        <v>213809</v>
      </c>
      <c r="H1430" s="116"/>
      <c r="I1430" s="116"/>
      <c r="L1430" s="170">
        <v>44111</v>
      </c>
      <c r="M1430" s="116">
        <v>887.9</v>
      </c>
      <c r="N1430" s="116">
        <v>895</v>
      </c>
      <c r="O1430" s="116">
        <v>876.05</v>
      </c>
      <c r="P1430" s="116">
        <v>895</v>
      </c>
      <c r="Q1430" s="116">
        <v>887.9</v>
      </c>
      <c r="R1430">
        <v>5074140</v>
      </c>
    </row>
    <row r="1431" spans="1:18" x14ac:dyDescent="0.25">
      <c r="A1431" s="170">
        <v>44112</v>
      </c>
      <c r="B1431" s="116">
        <v>894</v>
      </c>
      <c r="C1431" s="116">
        <v>881</v>
      </c>
      <c r="D1431" s="116">
        <v>880</v>
      </c>
      <c r="E1431" s="116">
        <v>890</v>
      </c>
      <c r="F1431" s="116">
        <v>881</v>
      </c>
      <c r="G1431">
        <v>152003</v>
      </c>
      <c r="H1431" s="116"/>
      <c r="I1431" s="116"/>
      <c r="L1431" s="170">
        <v>44112</v>
      </c>
      <c r="M1431" s="116">
        <v>881.05</v>
      </c>
      <c r="N1431" s="116">
        <v>894</v>
      </c>
      <c r="O1431" s="116">
        <v>879.05</v>
      </c>
      <c r="P1431" s="116">
        <v>890.3</v>
      </c>
      <c r="Q1431" s="116">
        <v>881.05</v>
      </c>
      <c r="R1431">
        <v>3918967</v>
      </c>
    </row>
    <row r="1432" spans="1:18" x14ac:dyDescent="0.25">
      <c r="A1432" s="170">
        <v>44113</v>
      </c>
      <c r="B1432" s="116">
        <v>914.7</v>
      </c>
      <c r="C1432" s="116">
        <v>908.35</v>
      </c>
      <c r="D1432" s="116">
        <v>887</v>
      </c>
      <c r="E1432" s="116">
        <v>887.8</v>
      </c>
      <c r="F1432" s="116">
        <v>908.35</v>
      </c>
      <c r="G1432">
        <v>286962</v>
      </c>
      <c r="H1432" s="116"/>
      <c r="I1432" s="116"/>
      <c r="L1432" s="170">
        <v>44113</v>
      </c>
      <c r="M1432" s="116">
        <v>908.45</v>
      </c>
      <c r="N1432" s="116">
        <v>914.95</v>
      </c>
      <c r="O1432" s="116">
        <v>885.6</v>
      </c>
      <c r="P1432" s="116">
        <v>887.4</v>
      </c>
      <c r="Q1432" s="116">
        <v>908.45</v>
      </c>
      <c r="R1432">
        <v>9668658</v>
      </c>
    </row>
    <row r="1433" spans="1:18" x14ac:dyDescent="0.25">
      <c r="A1433" s="170">
        <v>44116</v>
      </c>
      <c r="B1433" s="116">
        <v>925.8</v>
      </c>
      <c r="C1433" s="116">
        <v>905.5</v>
      </c>
      <c r="D1433" s="116">
        <v>902.35</v>
      </c>
      <c r="E1433" s="116">
        <v>915</v>
      </c>
      <c r="F1433" s="116">
        <v>905.5</v>
      </c>
      <c r="G1433">
        <v>183442</v>
      </c>
      <c r="H1433" s="116"/>
      <c r="I1433" s="116"/>
      <c r="L1433" s="170">
        <v>44116</v>
      </c>
      <c r="M1433" s="116">
        <v>905.75</v>
      </c>
      <c r="N1433" s="116">
        <v>925.75</v>
      </c>
      <c r="O1433" s="116">
        <v>902.05</v>
      </c>
      <c r="P1433" s="116">
        <v>916.95</v>
      </c>
      <c r="Q1433" s="116">
        <v>905.75</v>
      </c>
      <c r="R1433">
        <v>6188907</v>
      </c>
    </row>
    <row r="1434" spans="1:18" x14ac:dyDescent="0.25">
      <c r="A1434" s="170">
        <v>44117</v>
      </c>
      <c r="B1434" s="116">
        <v>915.5</v>
      </c>
      <c r="C1434" s="116">
        <v>896.5</v>
      </c>
      <c r="D1434" s="116">
        <v>889.35</v>
      </c>
      <c r="E1434" s="116">
        <v>906.55</v>
      </c>
      <c r="F1434" s="116">
        <v>896.5</v>
      </c>
      <c r="G1434">
        <v>120618</v>
      </c>
      <c r="H1434" s="116"/>
      <c r="I1434" s="116"/>
      <c r="L1434" s="170">
        <v>44117</v>
      </c>
      <c r="M1434" s="116">
        <v>896.45</v>
      </c>
      <c r="N1434" s="116">
        <v>915.7</v>
      </c>
      <c r="O1434" s="116">
        <v>888.85</v>
      </c>
      <c r="P1434" s="116">
        <v>907.95</v>
      </c>
      <c r="Q1434" s="116">
        <v>896.45</v>
      </c>
      <c r="R1434">
        <v>4548652</v>
      </c>
    </row>
    <row r="1435" spans="1:18" x14ac:dyDescent="0.25">
      <c r="A1435" s="170">
        <v>44118</v>
      </c>
      <c r="B1435" s="116">
        <v>916.85</v>
      </c>
      <c r="C1435" s="116">
        <v>915</v>
      </c>
      <c r="D1435" s="116">
        <v>887.45</v>
      </c>
      <c r="E1435" s="116">
        <v>896.5</v>
      </c>
      <c r="F1435" s="116">
        <v>915</v>
      </c>
      <c r="G1435">
        <v>226465</v>
      </c>
      <c r="H1435" s="116"/>
      <c r="I1435" s="116"/>
      <c r="L1435" s="170">
        <v>44118</v>
      </c>
      <c r="M1435" s="116">
        <v>915.2</v>
      </c>
      <c r="N1435" s="116">
        <v>917</v>
      </c>
      <c r="O1435" s="116">
        <v>887.2</v>
      </c>
      <c r="P1435" s="116">
        <v>897</v>
      </c>
      <c r="Q1435" s="116">
        <v>915.2</v>
      </c>
      <c r="R1435">
        <v>5287050</v>
      </c>
    </row>
    <row r="1436" spans="1:18" x14ac:dyDescent="0.25">
      <c r="A1436" s="170">
        <v>44119</v>
      </c>
      <c r="B1436" s="116">
        <v>918.95</v>
      </c>
      <c r="C1436" s="116">
        <v>888.95</v>
      </c>
      <c r="D1436" s="116">
        <v>887</v>
      </c>
      <c r="E1436" s="116">
        <v>918</v>
      </c>
      <c r="F1436" s="116">
        <v>888.95</v>
      </c>
      <c r="G1436">
        <v>125007</v>
      </c>
      <c r="H1436" s="116"/>
      <c r="I1436" s="116"/>
      <c r="L1436" s="170">
        <v>44119</v>
      </c>
      <c r="M1436" s="116">
        <v>888.8</v>
      </c>
      <c r="N1436" s="116">
        <v>919</v>
      </c>
      <c r="O1436" s="116">
        <v>885.4</v>
      </c>
      <c r="P1436" s="116">
        <v>913</v>
      </c>
      <c r="Q1436" s="116">
        <v>888.8</v>
      </c>
      <c r="R1436">
        <v>4927842</v>
      </c>
    </row>
    <row r="1437" spans="1:18" x14ac:dyDescent="0.25">
      <c r="A1437" s="170">
        <v>44120</v>
      </c>
      <c r="B1437" s="116">
        <v>903</v>
      </c>
      <c r="C1437" s="116">
        <v>894.2</v>
      </c>
      <c r="D1437" s="116">
        <v>889.5</v>
      </c>
      <c r="E1437" s="116">
        <v>890.25</v>
      </c>
      <c r="F1437" s="116">
        <v>894.2</v>
      </c>
      <c r="G1437">
        <v>117788</v>
      </c>
      <c r="H1437" s="116"/>
      <c r="I1437" s="116"/>
      <c r="L1437" s="170">
        <v>44120</v>
      </c>
      <c r="M1437" s="116">
        <v>894.1</v>
      </c>
      <c r="N1437" s="116">
        <v>903.5</v>
      </c>
      <c r="O1437" s="116">
        <v>889.5</v>
      </c>
      <c r="P1437" s="116">
        <v>894</v>
      </c>
      <c r="Q1437" s="116">
        <v>894.1</v>
      </c>
      <c r="R1437">
        <v>2373465</v>
      </c>
    </row>
    <row r="1438" spans="1:18" x14ac:dyDescent="0.25">
      <c r="A1438" s="170">
        <v>44123</v>
      </c>
      <c r="B1438" s="116">
        <v>905.35</v>
      </c>
      <c r="C1438" s="116">
        <v>903</v>
      </c>
      <c r="D1438" s="116">
        <v>884.25</v>
      </c>
      <c r="E1438" s="116">
        <v>900</v>
      </c>
      <c r="F1438" s="116">
        <v>903</v>
      </c>
      <c r="G1438">
        <v>200982</v>
      </c>
      <c r="H1438" s="116"/>
      <c r="I1438" s="116"/>
      <c r="L1438" s="170">
        <v>44123</v>
      </c>
      <c r="M1438" s="116">
        <v>902.9</v>
      </c>
      <c r="N1438" s="116">
        <v>906</v>
      </c>
      <c r="O1438" s="116">
        <v>884</v>
      </c>
      <c r="P1438" s="116">
        <v>899</v>
      </c>
      <c r="Q1438" s="116">
        <v>902.9</v>
      </c>
      <c r="R1438">
        <v>5800528</v>
      </c>
    </row>
    <row r="1439" spans="1:18" x14ac:dyDescent="0.25">
      <c r="A1439" s="170">
        <v>44124</v>
      </c>
      <c r="B1439" s="116">
        <v>935.6</v>
      </c>
      <c r="C1439" s="116">
        <v>917.3</v>
      </c>
      <c r="D1439" s="116">
        <v>912.75</v>
      </c>
      <c r="E1439" s="116">
        <v>915.15</v>
      </c>
      <c r="F1439" s="116">
        <v>917.3</v>
      </c>
      <c r="G1439">
        <v>666965</v>
      </c>
      <c r="H1439" s="116"/>
      <c r="I1439" s="116"/>
      <c r="L1439" s="170">
        <v>44124</v>
      </c>
      <c r="M1439" s="116">
        <v>917.3</v>
      </c>
      <c r="N1439" s="116">
        <v>935.5</v>
      </c>
      <c r="O1439" s="116">
        <v>913</v>
      </c>
      <c r="P1439" s="116">
        <v>919</v>
      </c>
      <c r="Q1439" s="116">
        <v>917.3</v>
      </c>
      <c r="R1439">
        <v>13188768</v>
      </c>
    </row>
    <row r="1440" spans="1:18" x14ac:dyDescent="0.25">
      <c r="A1440" s="170">
        <v>44125</v>
      </c>
      <c r="B1440" s="116">
        <v>931</v>
      </c>
      <c r="C1440" s="116">
        <v>924.65</v>
      </c>
      <c r="D1440" s="116">
        <v>909</v>
      </c>
      <c r="E1440" s="116">
        <v>925.9</v>
      </c>
      <c r="F1440" s="116">
        <v>924.65</v>
      </c>
      <c r="G1440">
        <v>275078</v>
      </c>
      <c r="H1440" s="116"/>
      <c r="I1440" s="116"/>
      <c r="L1440" s="170">
        <v>44125</v>
      </c>
      <c r="M1440" s="116">
        <v>924.45</v>
      </c>
      <c r="N1440" s="116">
        <v>931</v>
      </c>
      <c r="O1440" s="116">
        <v>908.65</v>
      </c>
      <c r="P1440" s="116">
        <v>924.95</v>
      </c>
      <c r="Q1440" s="116">
        <v>924.45</v>
      </c>
      <c r="R1440">
        <v>6391002</v>
      </c>
    </row>
    <row r="1441" spans="1:18" x14ac:dyDescent="0.25">
      <c r="A1441" s="170">
        <v>44126</v>
      </c>
      <c r="B1441" s="116">
        <v>938.95</v>
      </c>
      <c r="C1441" s="116">
        <v>936.25</v>
      </c>
      <c r="D1441" s="116">
        <v>921.05</v>
      </c>
      <c r="E1441" s="116">
        <v>923</v>
      </c>
      <c r="F1441" s="116">
        <v>936.25</v>
      </c>
      <c r="G1441">
        <v>326010</v>
      </c>
      <c r="H1441" s="116"/>
      <c r="I1441" s="116"/>
      <c r="L1441" s="170">
        <v>44126</v>
      </c>
      <c r="M1441" s="116">
        <v>936.3</v>
      </c>
      <c r="N1441" s="116">
        <v>939</v>
      </c>
      <c r="O1441" s="116">
        <v>920.15</v>
      </c>
      <c r="P1441" s="116">
        <v>922</v>
      </c>
      <c r="Q1441" s="116">
        <v>936.3</v>
      </c>
      <c r="R1441">
        <v>6151489</v>
      </c>
    </row>
    <row r="1442" spans="1:18" x14ac:dyDescent="0.25">
      <c r="A1442" s="170">
        <v>44127</v>
      </c>
      <c r="B1442" s="116">
        <v>948.5</v>
      </c>
      <c r="C1442" s="116">
        <v>941.2</v>
      </c>
      <c r="D1442" s="116">
        <v>927.65</v>
      </c>
      <c r="E1442" s="116">
        <v>940</v>
      </c>
      <c r="F1442" s="116">
        <v>941.2</v>
      </c>
      <c r="G1442">
        <v>133994</v>
      </c>
      <c r="H1442" s="116"/>
      <c r="I1442" s="116"/>
      <c r="L1442" s="170">
        <v>44127</v>
      </c>
      <c r="M1442" s="116">
        <v>941.25</v>
      </c>
      <c r="N1442" s="116">
        <v>948.5</v>
      </c>
      <c r="O1442" s="116">
        <v>928</v>
      </c>
      <c r="P1442" s="116">
        <v>940</v>
      </c>
      <c r="Q1442" s="116">
        <v>941.25</v>
      </c>
      <c r="R1442">
        <v>5102393</v>
      </c>
    </row>
    <row r="1443" spans="1:18" x14ac:dyDescent="0.25">
      <c r="A1443" s="170">
        <v>44130</v>
      </c>
      <c r="B1443" s="116">
        <v>959.25</v>
      </c>
      <c r="C1443" s="116">
        <v>951.65</v>
      </c>
      <c r="D1443" s="116">
        <v>943.15</v>
      </c>
      <c r="E1443" s="116">
        <v>950</v>
      </c>
      <c r="F1443" s="116">
        <v>951.65</v>
      </c>
      <c r="G1443">
        <v>228082</v>
      </c>
      <c r="H1443" s="116"/>
      <c r="I1443" s="116"/>
      <c r="L1443" s="170">
        <v>44130</v>
      </c>
      <c r="M1443" s="116">
        <v>951.75</v>
      </c>
      <c r="N1443" s="116">
        <v>959.25</v>
      </c>
      <c r="O1443" s="116">
        <v>943</v>
      </c>
      <c r="P1443" s="116">
        <v>949.85</v>
      </c>
      <c r="Q1443" s="116">
        <v>951.75</v>
      </c>
      <c r="R1443">
        <v>6976099</v>
      </c>
    </row>
    <row r="1444" spans="1:18" x14ac:dyDescent="0.25">
      <c r="A1444" s="170">
        <v>44131</v>
      </c>
      <c r="B1444" s="116">
        <v>986.4</v>
      </c>
      <c r="C1444" s="116">
        <v>982.45</v>
      </c>
      <c r="D1444" s="116">
        <v>955.7</v>
      </c>
      <c r="E1444" s="116">
        <v>961</v>
      </c>
      <c r="F1444" s="116">
        <v>982.45</v>
      </c>
      <c r="G1444">
        <v>257682</v>
      </c>
      <c r="H1444" s="116"/>
      <c r="I1444" s="116"/>
      <c r="L1444" s="170">
        <v>44131</v>
      </c>
      <c r="M1444" s="116">
        <v>981.95</v>
      </c>
      <c r="N1444" s="116">
        <v>986</v>
      </c>
      <c r="O1444" s="116">
        <v>955.15</v>
      </c>
      <c r="P1444" s="116">
        <v>960</v>
      </c>
      <c r="Q1444" s="116">
        <v>981.95</v>
      </c>
      <c r="R1444">
        <v>9638582</v>
      </c>
    </row>
    <row r="1445" spans="1:18" x14ac:dyDescent="0.25">
      <c r="A1445" s="170">
        <v>44132</v>
      </c>
      <c r="B1445" s="116">
        <v>994.85</v>
      </c>
      <c r="C1445" s="116">
        <v>983.65</v>
      </c>
      <c r="D1445" s="116">
        <v>974.15</v>
      </c>
      <c r="E1445" s="116">
        <v>985</v>
      </c>
      <c r="F1445" s="116">
        <v>983.65</v>
      </c>
      <c r="G1445">
        <v>547847</v>
      </c>
      <c r="H1445" s="116"/>
      <c r="I1445" s="116"/>
      <c r="L1445" s="170">
        <v>44132</v>
      </c>
      <c r="M1445" s="116">
        <v>982.85</v>
      </c>
      <c r="N1445" s="116">
        <v>994.65</v>
      </c>
      <c r="O1445" s="116">
        <v>974.2</v>
      </c>
      <c r="P1445" s="116">
        <v>989.95</v>
      </c>
      <c r="Q1445" s="116">
        <v>982.85</v>
      </c>
      <c r="R1445">
        <v>7369226</v>
      </c>
    </row>
    <row r="1446" spans="1:18" x14ac:dyDescent="0.25">
      <c r="A1446" s="170">
        <v>44133</v>
      </c>
      <c r="B1446" s="116">
        <v>958.95</v>
      </c>
      <c r="C1446" s="116">
        <v>934.6</v>
      </c>
      <c r="D1446" s="116">
        <v>927</v>
      </c>
      <c r="E1446" s="116">
        <v>953</v>
      </c>
      <c r="F1446" s="116">
        <v>934.6</v>
      </c>
      <c r="G1446">
        <v>526381</v>
      </c>
      <c r="H1446" s="116"/>
      <c r="I1446" s="116"/>
      <c r="L1446" s="170">
        <v>44133</v>
      </c>
      <c r="M1446" s="116">
        <v>934.5</v>
      </c>
      <c r="N1446" s="116">
        <v>958.8</v>
      </c>
      <c r="O1446" s="116">
        <v>926</v>
      </c>
      <c r="P1446" s="116">
        <v>951.1</v>
      </c>
      <c r="Q1446" s="116">
        <v>934.5</v>
      </c>
      <c r="R1446">
        <v>11853447</v>
      </c>
    </row>
    <row r="1447" spans="1:18" x14ac:dyDescent="0.25">
      <c r="A1447" s="170">
        <v>44134</v>
      </c>
      <c r="B1447" s="116">
        <v>947.15</v>
      </c>
      <c r="C1447" s="116">
        <v>929.6</v>
      </c>
      <c r="D1447" s="116">
        <v>924.15</v>
      </c>
      <c r="E1447" s="116">
        <v>941.15</v>
      </c>
      <c r="F1447" s="116">
        <v>929.6</v>
      </c>
      <c r="G1447">
        <v>233186</v>
      </c>
      <c r="H1447" s="116"/>
      <c r="I1447" s="116"/>
      <c r="L1447" s="170">
        <v>44134</v>
      </c>
      <c r="M1447" s="116">
        <v>929.5</v>
      </c>
      <c r="N1447" s="116">
        <v>946.8</v>
      </c>
      <c r="O1447" s="116">
        <v>924.2</v>
      </c>
      <c r="P1447" s="116">
        <v>941</v>
      </c>
      <c r="Q1447" s="116">
        <v>929.5</v>
      </c>
      <c r="R1447">
        <v>4797494</v>
      </c>
    </row>
    <row r="1448" spans="1:18" x14ac:dyDescent="0.25">
      <c r="A1448" s="170">
        <v>44137</v>
      </c>
      <c r="B1448" s="116">
        <v>937.65</v>
      </c>
      <c r="C1448" s="116">
        <v>929.2</v>
      </c>
      <c r="D1448" s="116">
        <v>920.5</v>
      </c>
      <c r="E1448" s="116">
        <v>930.5</v>
      </c>
      <c r="F1448" s="116">
        <v>929.2</v>
      </c>
      <c r="G1448">
        <v>188303</v>
      </c>
      <c r="H1448" s="116"/>
      <c r="I1448" s="116"/>
      <c r="L1448" s="170">
        <v>44137</v>
      </c>
      <c r="M1448" s="116">
        <v>929.3</v>
      </c>
      <c r="N1448" s="116">
        <v>937.95</v>
      </c>
      <c r="O1448" s="116">
        <v>920.65</v>
      </c>
      <c r="P1448" s="116">
        <v>930</v>
      </c>
      <c r="Q1448" s="116">
        <v>929.3</v>
      </c>
      <c r="R1448">
        <v>3682174</v>
      </c>
    </row>
    <row r="1449" spans="1:18" x14ac:dyDescent="0.25">
      <c r="A1449" s="170">
        <v>44138</v>
      </c>
      <c r="B1449" s="116">
        <v>952.7</v>
      </c>
      <c r="C1449" s="116">
        <v>947.75</v>
      </c>
      <c r="D1449" s="116">
        <v>933</v>
      </c>
      <c r="E1449" s="116">
        <v>947</v>
      </c>
      <c r="F1449" s="116">
        <v>947.75</v>
      </c>
      <c r="G1449">
        <v>155719</v>
      </c>
      <c r="H1449" s="116"/>
      <c r="I1449" s="116"/>
      <c r="L1449" s="170">
        <v>44138</v>
      </c>
      <c r="M1449" s="116">
        <v>947.75</v>
      </c>
      <c r="N1449" s="116">
        <v>952.9</v>
      </c>
      <c r="O1449" s="116">
        <v>932.5</v>
      </c>
      <c r="P1449" s="116">
        <v>944.9</v>
      </c>
      <c r="Q1449" s="116">
        <v>947.75</v>
      </c>
      <c r="R1449">
        <v>4049112</v>
      </c>
    </row>
    <row r="1450" spans="1:18" x14ac:dyDescent="0.25">
      <c r="A1450" s="170">
        <v>44139</v>
      </c>
      <c r="B1450" s="116">
        <v>950.15</v>
      </c>
      <c r="C1450" s="116">
        <v>939.35</v>
      </c>
      <c r="D1450" s="116">
        <v>931.1</v>
      </c>
      <c r="E1450" s="116">
        <v>937</v>
      </c>
      <c r="F1450" s="116">
        <v>939.35</v>
      </c>
      <c r="G1450">
        <v>221832</v>
      </c>
      <c r="H1450" s="116"/>
      <c r="I1450" s="116"/>
      <c r="L1450" s="170">
        <v>44139</v>
      </c>
      <c r="M1450" s="116">
        <v>939.85</v>
      </c>
      <c r="N1450" s="116">
        <v>950.65</v>
      </c>
      <c r="O1450" s="116">
        <v>930</v>
      </c>
      <c r="P1450" s="116">
        <v>934.25</v>
      </c>
      <c r="Q1450" s="116">
        <v>939.85</v>
      </c>
      <c r="R1450">
        <v>3369408</v>
      </c>
    </row>
    <row r="1451" spans="1:18" x14ac:dyDescent="0.25">
      <c r="A1451" s="170">
        <v>44140</v>
      </c>
      <c r="B1451" s="116">
        <v>959.4</v>
      </c>
      <c r="C1451" s="116">
        <v>957.9</v>
      </c>
      <c r="D1451" s="116">
        <v>942.5</v>
      </c>
      <c r="E1451" s="116">
        <v>947.5</v>
      </c>
      <c r="F1451" s="116">
        <v>957.9</v>
      </c>
      <c r="G1451">
        <v>98944</v>
      </c>
      <c r="H1451" s="116"/>
      <c r="I1451" s="116"/>
      <c r="L1451" s="170">
        <v>44140</v>
      </c>
      <c r="M1451" s="116">
        <v>958.1</v>
      </c>
      <c r="N1451" s="116">
        <v>959.8</v>
      </c>
      <c r="O1451" s="116">
        <v>944.3</v>
      </c>
      <c r="P1451" s="116">
        <v>952</v>
      </c>
      <c r="Q1451" s="116">
        <v>958.1</v>
      </c>
      <c r="R1451">
        <v>2889134</v>
      </c>
    </row>
    <row r="1452" spans="1:18" x14ac:dyDescent="0.25">
      <c r="A1452" s="170">
        <v>44141</v>
      </c>
      <c r="B1452" s="116">
        <v>967.25</v>
      </c>
      <c r="C1452" s="116">
        <v>959.3</v>
      </c>
      <c r="D1452" s="116">
        <v>950.6</v>
      </c>
      <c r="E1452" s="116">
        <v>960.7</v>
      </c>
      <c r="F1452" s="116">
        <v>959.3</v>
      </c>
      <c r="G1452">
        <v>118525</v>
      </c>
      <c r="H1452" s="116"/>
      <c r="I1452" s="116"/>
      <c r="L1452" s="170">
        <v>44141</v>
      </c>
      <c r="M1452" s="116">
        <v>960.75</v>
      </c>
      <c r="N1452" s="116">
        <v>967.5</v>
      </c>
      <c r="O1452" s="116">
        <v>950.1</v>
      </c>
      <c r="P1452" s="116">
        <v>959</v>
      </c>
      <c r="Q1452" s="116">
        <v>960.75</v>
      </c>
      <c r="R1452">
        <v>3419233</v>
      </c>
    </row>
    <row r="1453" spans="1:18" x14ac:dyDescent="0.25">
      <c r="A1453" s="170">
        <v>44144</v>
      </c>
      <c r="B1453" s="116">
        <v>974.35</v>
      </c>
      <c r="C1453" s="116">
        <v>965.5</v>
      </c>
      <c r="D1453" s="116">
        <v>962.6</v>
      </c>
      <c r="E1453" s="116">
        <v>970</v>
      </c>
      <c r="F1453" s="116">
        <v>965.5</v>
      </c>
      <c r="G1453">
        <v>140759</v>
      </c>
      <c r="H1453" s="116"/>
      <c r="I1453" s="116"/>
      <c r="L1453" s="170">
        <v>44144</v>
      </c>
      <c r="M1453" s="116">
        <v>965.85</v>
      </c>
      <c r="N1453" s="116">
        <v>974.6</v>
      </c>
      <c r="O1453" s="116">
        <v>962.4</v>
      </c>
      <c r="P1453" s="116">
        <v>971</v>
      </c>
      <c r="Q1453" s="116">
        <v>965.85</v>
      </c>
      <c r="R1453">
        <v>3040456</v>
      </c>
    </row>
    <row r="1454" spans="1:18" x14ac:dyDescent="0.25">
      <c r="A1454" s="170">
        <v>44145</v>
      </c>
      <c r="B1454" s="116">
        <v>1036.2</v>
      </c>
      <c r="C1454" s="116">
        <v>1033</v>
      </c>
      <c r="D1454" s="116">
        <v>965.85</v>
      </c>
      <c r="E1454" s="116">
        <v>971.1</v>
      </c>
      <c r="F1454" s="116">
        <v>1033</v>
      </c>
      <c r="G1454">
        <v>580435</v>
      </c>
      <c r="H1454" s="116"/>
      <c r="I1454" s="116"/>
      <c r="L1454" s="170">
        <v>44145</v>
      </c>
      <c r="M1454" s="116">
        <v>1033.7</v>
      </c>
      <c r="N1454" s="116">
        <v>1036.9000000000001</v>
      </c>
      <c r="O1454" s="116">
        <v>971.6</v>
      </c>
      <c r="P1454" s="116">
        <v>975</v>
      </c>
      <c r="Q1454" s="116">
        <v>1033.7</v>
      </c>
      <c r="R1454">
        <v>12149416</v>
      </c>
    </row>
    <row r="1455" spans="1:18" x14ac:dyDescent="0.25">
      <c r="A1455" s="170">
        <v>44146</v>
      </c>
      <c r="B1455" s="116">
        <v>1062.95</v>
      </c>
      <c r="C1455" s="116">
        <v>1059.45</v>
      </c>
      <c r="D1455" s="116">
        <v>1021.4</v>
      </c>
      <c r="E1455" s="116">
        <v>1038</v>
      </c>
      <c r="F1455" s="116">
        <v>1059.45</v>
      </c>
      <c r="G1455">
        <v>455760</v>
      </c>
      <c r="H1455" s="116"/>
      <c r="I1455" s="116"/>
      <c r="L1455" s="170">
        <v>44146</v>
      </c>
      <c r="M1455" s="116">
        <v>1059.45</v>
      </c>
      <c r="N1455" s="116">
        <v>1062.8</v>
      </c>
      <c r="O1455" s="116">
        <v>1021.25</v>
      </c>
      <c r="P1455" s="116">
        <v>1040</v>
      </c>
      <c r="Q1455" s="116">
        <v>1059.45</v>
      </c>
      <c r="R1455">
        <v>10254627</v>
      </c>
    </row>
    <row r="1456" spans="1:18" x14ac:dyDescent="0.25">
      <c r="A1456" s="170">
        <v>44147</v>
      </c>
      <c r="B1456" s="116">
        <v>1075.4000000000001</v>
      </c>
      <c r="C1456" s="116">
        <v>1073.3</v>
      </c>
      <c r="D1456" s="116">
        <v>1052.25</v>
      </c>
      <c r="E1456" s="116">
        <v>1057.3</v>
      </c>
      <c r="F1456" s="116">
        <v>1073.3</v>
      </c>
      <c r="G1456">
        <v>319813</v>
      </c>
      <c r="H1456" s="116"/>
      <c r="I1456" s="116"/>
      <c r="L1456" s="170">
        <v>44147</v>
      </c>
      <c r="M1456" s="116">
        <v>1073.2</v>
      </c>
      <c r="N1456" s="116">
        <v>1075.8499999999999</v>
      </c>
      <c r="O1456" s="116">
        <v>1052.45</v>
      </c>
      <c r="P1456" s="116">
        <v>1054.9000000000001</v>
      </c>
      <c r="Q1456" s="116">
        <v>1073.2</v>
      </c>
      <c r="R1456">
        <v>6743163</v>
      </c>
    </row>
    <row r="1457" spans="1:18" x14ac:dyDescent="0.25">
      <c r="A1457" s="170">
        <v>44148</v>
      </c>
      <c r="B1457" s="116">
        <v>1067.5</v>
      </c>
      <c r="C1457" s="116">
        <v>1051.4000000000001</v>
      </c>
      <c r="D1457" s="116">
        <v>1038.5999999999999</v>
      </c>
      <c r="E1457" s="116">
        <v>1067.5</v>
      </c>
      <c r="F1457" s="116">
        <v>1051.4000000000001</v>
      </c>
      <c r="G1457">
        <v>570802</v>
      </c>
      <c r="H1457" s="116"/>
      <c r="I1457" s="116"/>
      <c r="L1457" s="170">
        <v>44148</v>
      </c>
      <c r="M1457" s="116">
        <v>1051.5</v>
      </c>
      <c r="N1457" s="116">
        <v>1068.1500000000001</v>
      </c>
      <c r="O1457" s="116">
        <v>1038.0999999999999</v>
      </c>
      <c r="P1457" s="116">
        <v>1065.05</v>
      </c>
      <c r="Q1457" s="116">
        <v>1051.5</v>
      </c>
      <c r="R1457">
        <v>5025096</v>
      </c>
    </row>
    <row r="1458" spans="1:18" x14ac:dyDescent="0.25">
      <c r="A1458" s="170">
        <v>44149</v>
      </c>
      <c r="B1458" s="116">
        <v>1068.5999999999999</v>
      </c>
      <c r="C1458" s="116">
        <v>1059.0999999999999</v>
      </c>
      <c r="D1458" s="116">
        <v>1054.25</v>
      </c>
      <c r="E1458" s="116">
        <v>1065</v>
      </c>
      <c r="F1458" s="116">
        <v>1059.0999999999999</v>
      </c>
      <c r="G1458">
        <v>55189</v>
      </c>
      <c r="H1458" s="116"/>
      <c r="I1458" s="116"/>
      <c r="L1458" s="170">
        <v>44149</v>
      </c>
      <c r="M1458" s="116">
        <v>1059.2</v>
      </c>
      <c r="N1458" s="116">
        <v>1067.8</v>
      </c>
      <c r="O1458" s="116">
        <v>1054</v>
      </c>
      <c r="P1458" s="116">
        <v>1060.05</v>
      </c>
      <c r="Q1458" s="116">
        <v>1059.2</v>
      </c>
      <c r="R1458">
        <v>911852</v>
      </c>
    </row>
    <row r="1459" spans="1:18" x14ac:dyDescent="0.25">
      <c r="A1459" s="170">
        <v>44152</v>
      </c>
      <c r="B1459" s="116">
        <v>1096.7</v>
      </c>
      <c r="C1459" s="116">
        <v>1081.25</v>
      </c>
      <c r="D1459" s="116">
        <v>1061</v>
      </c>
      <c r="E1459" s="116">
        <v>1061</v>
      </c>
      <c r="F1459" s="116">
        <v>1081.25</v>
      </c>
      <c r="G1459">
        <v>325028</v>
      </c>
      <c r="H1459" s="116"/>
      <c r="I1459" s="116"/>
      <c r="L1459" s="170">
        <v>44152</v>
      </c>
      <c r="M1459" s="116">
        <v>1080.9000000000001</v>
      </c>
      <c r="N1459" s="116">
        <v>1096.8499999999999</v>
      </c>
      <c r="O1459" s="116">
        <v>1061.05</v>
      </c>
      <c r="P1459" s="116">
        <v>1063</v>
      </c>
      <c r="Q1459" s="116">
        <v>1080.9000000000001</v>
      </c>
      <c r="R1459">
        <v>7611327</v>
      </c>
    </row>
    <row r="1460" spans="1:18" x14ac:dyDescent="0.25">
      <c r="A1460" s="170">
        <v>44153</v>
      </c>
      <c r="B1460" s="116">
        <v>1154</v>
      </c>
      <c r="C1460" s="116">
        <v>1147.75</v>
      </c>
      <c r="D1460" s="116">
        <v>1079.3499999999999</v>
      </c>
      <c r="E1460" s="116">
        <v>1081</v>
      </c>
      <c r="F1460" s="116">
        <v>1147.75</v>
      </c>
      <c r="G1460">
        <v>932444</v>
      </c>
      <c r="H1460" s="116"/>
      <c r="I1460" s="116"/>
      <c r="L1460" s="170">
        <v>44153</v>
      </c>
      <c r="M1460" s="116">
        <v>1148.1500000000001</v>
      </c>
      <c r="N1460" s="116">
        <v>1154.25</v>
      </c>
      <c r="O1460" s="116">
        <v>1079.1500000000001</v>
      </c>
      <c r="P1460" s="116">
        <v>1080.9000000000001</v>
      </c>
      <c r="Q1460" s="116">
        <v>1148.1500000000001</v>
      </c>
      <c r="R1460">
        <v>13436421</v>
      </c>
    </row>
    <row r="1461" spans="1:18" x14ac:dyDescent="0.25">
      <c r="A1461" s="170">
        <v>44154</v>
      </c>
      <c r="B1461" s="116">
        <v>1176.75</v>
      </c>
      <c r="C1461" s="116">
        <v>1134.95</v>
      </c>
      <c r="D1461" s="116">
        <v>1108.0999999999999</v>
      </c>
      <c r="E1461" s="116">
        <v>1128.8499999999999</v>
      </c>
      <c r="F1461" s="116">
        <v>1134.95</v>
      </c>
      <c r="G1461">
        <v>384826</v>
      </c>
      <c r="H1461" s="116"/>
      <c r="I1461" s="116"/>
      <c r="L1461" s="170">
        <v>44154</v>
      </c>
      <c r="M1461" s="116">
        <v>1134.25</v>
      </c>
      <c r="N1461" s="116">
        <v>1177</v>
      </c>
      <c r="O1461" s="116">
        <v>1107.7</v>
      </c>
      <c r="P1461" s="116">
        <v>1125.05</v>
      </c>
      <c r="Q1461" s="116">
        <v>1134.25</v>
      </c>
      <c r="R1461">
        <v>10841151</v>
      </c>
    </row>
    <row r="1462" spans="1:18" x14ac:dyDescent="0.25">
      <c r="A1462" s="170">
        <v>44155</v>
      </c>
      <c r="B1462" s="116">
        <v>1160</v>
      </c>
      <c r="C1462" s="116">
        <v>1132.1500000000001</v>
      </c>
      <c r="D1462" s="116">
        <v>1118.8</v>
      </c>
      <c r="E1462" s="116">
        <v>1140</v>
      </c>
      <c r="F1462" s="116">
        <v>1132.1500000000001</v>
      </c>
      <c r="G1462">
        <v>333027</v>
      </c>
      <c r="H1462" s="116"/>
      <c r="I1462" s="116"/>
      <c r="L1462" s="170">
        <v>44155</v>
      </c>
      <c r="M1462" s="116">
        <v>1132.3</v>
      </c>
      <c r="N1462" s="116">
        <v>1161</v>
      </c>
      <c r="O1462" s="116">
        <v>1118.5</v>
      </c>
      <c r="P1462" s="116">
        <v>1140</v>
      </c>
      <c r="Q1462" s="116">
        <v>1132.3</v>
      </c>
      <c r="R1462">
        <v>7009257</v>
      </c>
    </row>
    <row r="1463" spans="1:18" x14ac:dyDescent="0.25">
      <c r="A1463" s="170">
        <v>44158</v>
      </c>
      <c r="B1463" s="116">
        <v>1148.0999999999999</v>
      </c>
      <c r="C1463" s="116">
        <v>1125.7</v>
      </c>
      <c r="D1463" s="116">
        <v>1123.2</v>
      </c>
      <c r="E1463" s="116">
        <v>1138</v>
      </c>
      <c r="F1463" s="116">
        <v>1125.7</v>
      </c>
      <c r="G1463">
        <v>143775</v>
      </c>
      <c r="H1463" s="116"/>
      <c r="I1463" s="116"/>
      <c r="L1463" s="170">
        <v>44158</v>
      </c>
      <c r="M1463" s="116">
        <v>1125.8499999999999</v>
      </c>
      <c r="N1463" s="116">
        <v>1147.8499999999999</v>
      </c>
      <c r="O1463" s="116">
        <v>1122.8499999999999</v>
      </c>
      <c r="P1463" s="116">
        <v>1138.8</v>
      </c>
      <c r="Q1463" s="116">
        <v>1125.8499999999999</v>
      </c>
      <c r="R1463">
        <v>4998877</v>
      </c>
    </row>
    <row r="1464" spans="1:18" x14ac:dyDescent="0.25">
      <c r="A1464" s="170">
        <v>44159</v>
      </c>
      <c r="B1464" s="116">
        <v>1144</v>
      </c>
      <c r="C1464" s="116">
        <v>1135.3499999999999</v>
      </c>
      <c r="D1464" s="116">
        <v>1129</v>
      </c>
      <c r="E1464" s="116">
        <v>1137.7</v>
      </c>
      <c r="F1464" s="116">
        <v>1135.3499999999999</v>
      </c>
      <c r="G1464">
        <v>157236</v>
      </c>
      <c r="H1464" s="116"/>
      <c r="I1464" s="116"/>
      <c r="L1464" s="170">
        <v>44159</v>
      </c>
      <c r="M1464" s="116">
        <v>1135.5</v>
      </c>
      <c r="N1464" s="116">
        <v>1144</v>
      </c>
      <c r="O1464" s="116">
        <v>1128.3</v>
      </c>
      <c r="P1464" s="116">
        <v>1135</v>
      </c>
      <c r="Q1464" s="116">
        <v>1135.5</v>
      </c>
      <c r="R1464">
        <v>4623887</v>
      </c>
    </row>
    <row r="1465" spans="1:18" x14ac:dyDescent="0.25">
      <c r="A1465" s="170">
        <v>44160</v>
      </c>
      <c r="B1465" s="116">
        <v>1146</v>
      </c>
      <c r="C1465" s="116">
        <v>1115.7</v>
      </c>
      <c r="D1465" s="116">
        <v>1112.5999999999999</v>
      </c>
      <c r="E1465" s="116">
        <v>1142.8</v>
      </c>
      <c r="F1465" s="116">
        <v>1115.7</v>
      </c>
      <c r="G1465">
        <v>151334</v>
      </c>
      <c r="H1465" s="116"/>
      <c r="I1465" s="116"/>
      <c r="L1465" s="170">
        <v>44160</v>
      </c>
      <c r="M1465" s="116">
        <v>1116</v>
      </c>
      <c r="N1465" s="116">
        <v>1147.8</v>
      </c>
      <c r="O1465" s="116">
        <v>1112.45</v>
      </c>
      <c r="P1465" s="116">
        <v>1141.5</v>
      </c>
      <c r="Q1465" s="116">
        <v>1116</v>
      </c>
      <c r="R1465">
        <v>4651911</v>
      </c>
    </row>
    <row r="1466" spans="1:18" x14ac:dyDescent="0.25">
      <c r="A1466" s="170">
        <v>44161</v>
      </c>
      <c r="B1466" s="116">
        <v>1134.95</v>
      </c>
      <c r="C1466" s="116">
        <v>1119.45</v>
      </c>
      <c r="D1466" s="116">
        <v>1102.25</v>
      </c>
      <c r="E1466" s="116">
        <v>1129.9000000000001</v>
      </c>
      <c r="F1466" s="116">
        <v>1119.45</v>
      </c>
      <c r="G1466">
        <v>220860</v>
      </c>
      <c r="H1466" s="116"/>
      <c r="I1466" s="116"/>
      <c r="L1466" s="170">
        <v>44161</v>
      </c>
      <c r="M1466" s="116">
        <v>1118.8499999999999</v>
      </c>
      <c r="N1466" s="116">
        <v>1134.95</v>
      </c>
      <c r="O1466" s="116">
        <v>1101.55</v>
      </c>
      <c r="P1466" s="116">
        <v>1130</v>
      </c>
      <c r="Q1466" s="116">
        <v>1118.8499999999999</v>
      </c>
      <c r="R1466">
        <v>7360928</v>
      </c>
    </row>
    <row r="1467" spans="1:18" x14ac:dyDescent="0.25">
      <c r="A1467" s="170">
        <v>44162</v>
      </c>
      <c r="B1467" s="116">
        <v>1139.3499999999999</v>
      </c>
      <c r="C1467" s="116">
        <v>1115.8</v>
      </c>
      <c r="D1467" s="116">
        <v>1092.3499999999999</v>
      </c>
      <c r="E1467" s="116">
        <v>1131</v>
      </c>
      <c r="F1467" s="116">
        <v>1115.8</v>
      </c>
      <c r="G1467">
        <v>221163</v>
      </c>
      <c r="H1467" s="116"/>
      <c r="I1467" s="116"/>
      <c r="L1467" s="170">
        <v>44162</v>
      </c>
      <c r="M1467" s="116">
        <v>1122.4000000000001</v>
      </c>
      <c r="N1467" s="116">
        <v>1139.8</v>
      </c>
      <c r="O1467" s="116">
        <v>1092</v>
      </c>
      <c r="P1467" s="116">
        <v>1129</v>
      </c>
      <c r="Q1467" s="116">
        <v>1122.4000000000001</v>
      </c>
      <c r="R1467">
        <v>18995549</v>
      </c>
    </row>
    <row r="1468" spans="1:18" x14ac:dyDescent="0.25">
      <c r="A1468" s="170">
        <v>44166</v>
      </c>
      <c r="B1468" s="116">
        <v>1135</v>
      </c>
      <c r="C1468" s="116">
        <v>1115.7</v>
      </c>
      <c r="D1468" s="116">
        <v>1111.95</v>
      </c>
      <c r="E1468" s="116">
        <v>1132</v>
      </c>
      <c r="F1468" s="116">
        <v>1115.7</v>
      </c>
      <c r="G1468">
        <v>109963</v>
      </c>
      <c r="H1468" s="116"/>
      <c r="I1468" s="116"/>
      <c r="L1468" s="170">
        <v>44166</v>
      </c>
      <c r="M1468" s="116">
        <v>1115.95</v>
      </c>
      <c r="N1468" s="116">
        <v>1140</v>
      </c>
      <c r="O1468" s="116">
        <v>1111.2</v>
      </c>
      <c r="P1468" s="116">
        <v>1140</v>
      </c>
      <c r="Q1468" s="116">
        <v>1115.95</v>
      </c>
      <c r="R1468">
        <v>3551604</v>
      </c>
    </row>
    <row r="1469" spans="1:18" x14ac:dyDescent="0.25">
      <c r="A1469" s="170">
        <v>44167</v>
      </c>
      <c r="B1469" s="116">
        <v>1132</v>
      </c>
      <c r="C1469" s="116">
        <v>1113.9000000000001</v>
      </c>
      <c r="D1469" s="116">
        <v>1104.2</v>
      </c>
      <c r="E1469" s="116">
        <v>1116.0999999999999</v>
      </c>
      <c r="F1469" s="116">
        <v>1113.9000000000001</v>
      </c>
      <c r="G1469">
        <v>127112</v>
      </c>
      <c r="H1469" s="116"/>
      <c r="I1469" s="116"/>
      <c r="L1469" s="170">
        <v>44167</v>
      </c>
      <c r="M1469" s="116">
        <v>1113.75</v>
      </c>
      <c r="N1469" s="116">
        <v>1132.05</v>
      </c>
      <c r="O1469" s="116">
        <v>1104.0999999999999</v>
      </c>
      <c r="P1469" s="116">
        <v>1120.05</v>
      </c>
      <c r="Q1469" s="116">
        <v>1113.75</v>
      </c>
      <c r="R1469">
        <v>4434968</v>
      </c>
    </row>
    <row r="1470" spans="1:18" x14ac:dyDescent="0.25">
      <c r="A1470" s="170">
        <v>44168</v>
      </c>
      <c r="B1470" s="116">
        <v>1135.25</v>
      </c>
      <c r="C1470" s="116">
        <v>1125.05</v>
      </c>
      <c r="D1470" s="116">
        <v>1121</v>
      </c>
      <c r="E1470" s="116">
        <v>1127</v>
      </c>
      <c r="F1470" s="116">
        <v>1125.05</v>
      </c>
      <c r="G1470">
        <v>491068</v>
      </c>
      <c r="H1470" s="116"/>
      <c r="I1470" s="116"/>
      <c r="L1470" s="170">
        <v>44168</v>
      </c>
      <c r="M1470" s="116">
        <v>1125.1500000000001</v>
      </c>
      <c r="N1470" s="116">
        <v>1137.45</v>
      </c>
      <c r="O1470" s="116">
        <v>1120.3</v>
      </c>
      <c r="P1470" s="116">
        <v>1135</v>
      </c>
      <c r="Q1470" s="116">
        <v>1125.1500000000001</v>
      </c>
      <c r="R1470">
        <v>4087608</v>
      </c>
    </row>
    <row r="1471" spans="1:18" x14ac:dyDescent="0.25">
      <c r="A1471" s="170">
        <v>44169</v>
      </c>
      <c r="B1471" s="116">
        <v>1161.9000000000001</v>
      </c>
      <c r="C1471" s="116">
        <v>1149.25</v>
      </c>
      <c r="D1471" s="116">
        <v>1127</v>
      </c>
      <c r="E1471" s="116">
        <v>1127</v>
      </c>
      <c r="F1471" s="116">
        <v>1149.25</v>
      </c>
      <c r="G1471">
        <v>234836</v>
      </c>
      <c r="H1471" s="116"/>
      <c r="I1471" s="116"/>
      <c r="L1471" s="170">
        <v>44169</v>
      </c>
      <c r="M1471" s="116">
        <v>1149.5</v>
      </c>
      <c r="N1471" s="116">
        <v>1162</v>
      </c>
      <c r="O1471" s="116">
        <v>1128.75</v>
      </c>
      <c r="P1471" s="116">
        <v>1130</v>
      </c>
      <c r="Q1471" s="116">
        <v>1149.5</v>
      </c>
      <c r="R1471">
        <v>6542918</v>
      </c>
    </row>
    <row r="1472" spans="1:18" x14ac:dyDescent="0.25">
      <c r="A1472" s="170">
        <v>44172</v>
      </c>
      <c r="B1472" s="116">
        <v>1171.9000000000001</v>
      </c>
      <c r="C1472" s="116">
        <v>1169.5999999999999</v>
      </c>
      <c r="D1472" s="116">
        <v>1144.7</v>
      </c>
      <c r="E1472" s="116">
        <v>1151</v>
      </c>
      <c r="F1472" s="116">
        <v>1169.5999999999999</v>
      </c>
      <c r="G1472">
        <v>225573</v>
      </c>
      <c r="H1472" s="116"/>
      <c r="I1472" s="116"/>
      <c r="L1472" s="170">
        <v>44172</v>
      </c>
      <c r="M1472" s="116">
        <v>1169.7</v>
      </c>
      <c r="N1472" s="116">
        <v>1171.9000000000001</v>
      </c>
      <c r="O1472" s="116">
        <v>1144</v>
      </c>
      <c r="P1472" s="116">
        <v>1154.8</v>
      </c>
      <c r="Q1472" s="116">
        <v>1169.7</v>
      </c>
      <c r="R1472">
        <v>5484461</v>
      </c>
    </row>
    <row r="1473" spans="1:18" x14ac:dyDescent="0.25">
      <c r="A1473" s="170">
        <v>44173</v>
      </c>
      <c r="B1473" s="116">
        <v>1182.45</v>
      </c>
      <c r="C1473" s="116">
        <v>1171.2</v>
      </c>
      <c r="D1473" s="116">
        <v>1148.6500000000001</v>
      </c>
      <c r="E1473" s="116">
        <v>1175</v>
      </c>
      <c r="F1473" s="116">
        <v>1171.2</v>
      </c>
      <c r="G1473">
        <v>230380</v>
      </c>
      <c r="H1473" s="116"/>
      <c r="I1473" s="116"/>
      <c r="L1473" s="170">
        <v>44173</v>
      </c>
      <c r="M1473" s="116">
        <v>1171.4000000000001</v>
      </c>
      <c r="N1473" s="116">
        <v>1182.5</v>
      </c>
      <c r="O1473" s="116">
        <v>1148.05</v>
      </c>
      <c r="P1473" s="116">
        <v>1174.95</v>
      </c>
      <c r="Q1473" s="116">
        <v>1171.4000000000001</v>
      </c>
      <c r="R1473">
        <v>4982626</v>
      </c>
    </row>
    <row r="1474" spans="1:18" x14ac:dyDescent="0.25">
      <c r="A1474" s="170">
        <v>44174</v>
      </c>
      <c r="B1474" s="116">
        <v>1185</v>
      </c>
      <c r="C1474" s="116">
        <v>1181.0999999999999</v>
      </c>
      <c r="D1474" s="116">
        <v>1167.3</v>
      </c>
      <c r="E1474" s="116">
        <v>1180</v>
      </c>
      <c r="F1474" s="116">
        <v>1181.0999999999999</v>
      </c>
      <c r="G1474">
        <v>200435</v>
      </c>
      <c r="H1474" s="116"/>
      <c r="I1474" s="116"/>
      <c r="L1474" s="170">
        <v>44174</v>
      </c>
      <c r="M1474" s="116">
        <v>1181</v>
      </c>
      <c r="N1474" s="116">
        <v>1185</v>
      </c>
      <c r="O1474" s="116">
        <v>1166.3499999999999</v>
      </c>
      <c r="P1474" s="116">
        <v>1178</v>
      </c>
      <c r="Q1474" s="116">
        <v>1181</v>
      </c>
      <c r="R1474">
        <v>4304573</v>
      </c>
    </row>
    <row r="1475" spans="1:18" x14ac:dyDescent="0.25">
      <c r="A1475" s="170">
        <v>44175</v>
      </c>
      <c r="B1475" s="116">
        <v>1193.5</v>
      </c>
      <c r="C1475" s="116">
        <v>1190.3</v>
      </c>
      <c r="D1475" s="116">
        <v>1170</v>
      </c>
      <c r="E1475" s="116">
        <v>1180</v>
      </c>
      <c r="F1475" s="116">
        <v>1190.3</v>
      </c>
      <c r="G1475">
        <v>411434</v>
      </c>
      <c r="H1475" s="116"/>
      <c r="I1475" s="116"/>
      <c r="L1475" s="170">
        <v>44175</v>
      </c>
      <c r="M1475" s="116">
        <v>1190.3499999999999</v>
      </c>
      <c r="N1475" s="116">
        <v>1193.75</v>
      </c>
      <c r="O1475" s="116">
        <v>1170.05</v>
      </c>
      <c r="P1475" s="116">
        <v>1182</v>
      </c>
      <c r="Q1475" s="116">
        <v>1190.3499999999999</v>
      </c>
      <c r="R1475">
        <v>4921373</v>
      </c>
    </row>
    <row r="1476" spans="1:18" x14ac:dyDescent="0.25">
      <c r="A1476" s="170">
        <v>44176</v>
      </c>
      <c r="B1476" s="116">
        <v>1216.55</v>
      </c>
      <c r="C1476" s="116">
        <v>1194.3499999999999</v>
      </c>
      <c r="D1476" s="116">
        <v>1182</v>
      </c>
      <c r="E1476" s="116">
        <v>1191</v>
      </c>
      <c r="F1476" s="116">
        <v>1194.3499999999999</v>
      </c>
      <c r="G1476">
        <v>211495</v>
      </c>
      <c r="H1476" s="116"/>
      <c r="I1476" s="116"/>
      <c r="L1476" s="170">
        <v>44176</v>
      </c>
      <c r="M1476" s="116">
        <v>1194.3</v>
      </c>
      <c r="N1476" s="116">
        <v>1216.8</v>
      </c>
      <c r="O1476" s="116">
        <v>1182</v>
      </c>
      <c r="P1476" s="116">
        <v>1188</v>
      </c>
      <c r="Q1476" s="116">
        <v>1194.3</v>
      </c>
      <c r="R1476">
        <v>6689415</v>
      </c>
    </row>
    <row r="1477" spans="1:18" x14ac:dyDescent="0.25">
      <c r="A1477" s="170">
        <v>44179</v>
      </c>
      <c r="B1477" s="116">
        <v>1263.5999999999999</v>
      </c>
      <c r="C1477" s="116">
        <v>1249.3499999999999</v>
      </c>
      <c r="D1477" s="116">
        <v>1197</v>
      </c>
      <c r="E1477" s="116">
        <v>1197</v>
      </c>
      <c r="F1477" s="116">
        <v>1249.3499999999999</v>
      </c>
      <c r="G1477">
        <v>671086</v>
      </c>
      <c r="H1477" s="116"/>
      <c r="I1477" s="116"/>
      <c r="L1477" s="170">
        <v>44179</v>
      </c>
      <c r="M1477" s="116">
        <v>1249.6500000000001</v>
      </c>
      <c r="N1477" s="116">
        <v>1263.9000000000001</v>
      </c>
      <c r="O1477" s="116">
        <v>1198.0999999999999</v>
      </c>
      <c r="P1477" s="116">
        <v>1198.0999999999999</v>
      </c>
      <c r="Q1477" s="116">
        <v>1249.6500000000001</v>
      </c>
      <c r="R1477">
        <v>9723233</v>
      </c>
    </row>
    <row r="1478" spans="1:18" x14ac:dyDescent="0.25">
      <c r="A1478" s="170">
        <v>44180</v>
      </c>
      <c r="B1478" s="116">
        <v>1252.9000000000001</v>
      </c>
      <c r="C1478" s="116">
        <v>1246.3</v>
      </c>
      <c r="D1478" s="116">
        <v>1216.3499999999999</v>
      </c>
      <c r="E1478" s="116">
        <v>1252.9000000000001</v>
      </c>
      <c r="F1478" s="116">
        <v>1246.3</v>
      </c>
      <c r="G1478">
        <v>338091</v>
      </c>
      <c r="H1478" s="116"/>
      <c r="I1478" s="116"/>
      <c r="L1478" s="170">
        <v>44180</v>
      </c>
      <c r="M1478" s="116">
        <v>1246.25</v>
      </c>
      <c r="N1478" s="116">
        <v>1252</v>
      </c>
      <c r="O1478" s="116">
        <v>1216.0999999999999</v>
      </c>
      <c r="P1478" s="116">
        <v>1250</v>
      </c>
      <c r="Q1478" s="116">
        <v>1246.25</v>
      </c>
      <c r="R1478">
        <v>6953407</v>
      </c>
    </row>
    <row r="1479" spans="1:18" x14ac:dyDescent="0.25">
      <c r="A1479" s="170">
        <v>44181</v>
      </c>
      <c r="B1479" s="116">
        <v>1277.5999999999999</v>
      </c>
      <c r="C1479" s="116">
        <v>1267.5999999999999</v>
      </c>
      <c r="D1479" s="116">
        <v>1247.05</v>
      </c>
      <c r="E1479" s="116">
        <v>1256</v>
      </c>
      <c r="F1479" s="116">
        <v>1267.5999999999999</v>
      </c>
      <c r="G1479">
        <v>372294</v>
      </c>
      <c r="H1479" s="116"/>
      <c r="I1479" s="116"/>
      <c r="L1479" s="170">
        <v>44181</v>
      </c>
      <c r="M1479" s="116">
        <v>1268.25</v>
      </c>
      <c r="N1479" s="116">
        <v>1278</v>
      </c>
      <c r="O1479" s="116">
        <v>1247.05</v>
      </c>
      <c r="P1479" s="116">
        <v>1256.25</v>
      </c>
      <c r="Q1479" s="116">
        <v>1268.25</v>
      </c>
      <c r="R1479">
        <v>5729223</v>
      </c>
    </row>
    <row r="1480" spans="1:18" x14ac:dyDescent="0.25">
      <c r="A1480" s="170">
        <v>44182</v>
      </c>
      <c r="B1480" s="116">
        <v>1283.7</v>
      </c>
      <c r="C1480" s="116">
        <v>1277.8</v>
      </c>
      <c r="D1480" s="116">
        <v>1254.05</v>
      </c>
      <c r="E1480" s="116">
        <v>1267.5999999999999</v>
      </c>
      <c r="F1480" s="116">
        <v>1277.8</v>
      </c>
      <c r="G1480">
        <v>189752</v>
      </c>
      <c r="H1480" s="116"/>
      <c r="I1480" s="116"/>
      <c r="L1480" s="170">
        <v>44182</v>
      </c>
      <c r="M1480" s="116">
        <v>1278.8</v>
      </c>
      <c r="N1480" s="116">
        <v>1284</v>
      </c>
      <c r="O1480" s="116">
        <v>1254.05</v>
      </c>
      <c r="P1480" s="116">
        <v>1270</v>
      </c>
      <c r="Q1480" s="116">
        <v>1278.8</v>
      </c>
      <c r="R1480">
        <v>5345257</v>
      </c>
    </row>
    <row r="1481" spans="1:18" x14ac:dyDescent="0.25">
      <c r="A1481" s="170">
        <v>44183</v>
      </c>
      <c r="B1481" s="116">
        <v>1301</v>
      </c>
      <c r="C1481" s="116">
        <v>1283.1500000000001</v>
      </c>
      <c r="D1481" s="116">
        <v>1270.45</v>
      </c>
      <c r="E1481" s="116">
        <v>1287</v>
      </c>
      <c r="F1481" s="116">
        <v>1283.1500000000001</v>
      </c>
      <c r="G1481">
        <v>237513</v>
      </c>
      <c r="H1481" s="116"/>
      <c r="I1481" s="116"/>
      <c r="L1481" s="170">
        <v>44183</v>
      </c>
      <c r="M1481" s="116">
        <v>1281.55</v>
      </c>
      <c r="N1481" s="116">
        <v>1301</v>
      </c>
      <c r="O1481" s="116">
        <v>1270</v>
      </c>
      <c r="P1481" s="116">
        <v>1283.95</v>
      </c>
      <c r="Q1481" s="116">
        <v>1281.55</v>
      </c>
      <c r="R1481">
        <v>10315248</v>
      </c>
    </row>
    <row r="1482" spans="1:18" x14ac:dyDescent="0.25">
      <c r="A1482" s="170">
        <v>44186</v>
      </c>
      <c r="B1482" s="116">
        <v>1338.4</v>
      </c>
      <c r="C1482" s="116">
        <v>1234.75</v>
      </c>
      <c r="D1482" s="116">
        <v>1154.8499999999999</v>
      </c>
      <c r="E1482" s="116">
        <v>1278</v>
      </c>
      <c r="F1482" s="116">
        <v>1234.75</v>
      </c>
      <c r="G1482">
        <v>1447939</v>
      </c>
      <c r="H1482" s="116"/>
      <c r="I1482" s="116"/>
      <c r="L1482" s="170">
        <v>44186</v>
      </c>
      <c r="M1482" s="116">
        <v>1234.8499999999999</v>
      </c>
      <c r="N1482" s="116">
        <v>1338.5</v>
      </c>
      <c r="O1482" s="116">
        <v>1154</v>
      </c>
      <c r="P1482" s="116">
        <v>1276.25</v>
      </c>
      <c r="Q1482" s="116">
        <v>1234.8499999999999</v>
      </c>
      <c r="R1482">
        <v>21153346</v>
      </c>
    </row>
    <row r="1483" spans="1:18" x14ac:dyDescent="0.25">
      <c r="A1483" s="170">
        <v>44187</v>
      </c>
      <c r="B1483" s="116">
        <v>1268</v>
      </c>
      <c r="C1483" s="116">
        <v>1262.3499999999999</v>
      </c>
      <c r="D1483" s="116">
        <v>1214</v>
      </c>
      <c r="E1483" s="116">
        <v>1232</v>
      </c>
      <c r="F1483" s="116">
        <v>1262.3499999999999</v>
      </c>
      <c r="G1483">
        <v>440125</v>
      </c>
      <c r="H1483" s="116"/>
      <c r="I1483" s="116"/>
      <c r="L1483" s="170">
        <v>44187</v>
      </c>
      <c r="M1483" s="116">
        <v>1262.7</v>
      </c>
      <c r="N1483" s="116">
        <v>1268</v>
      </c>
      <c r="O1483" s="116">
        <v>1213.55</v>
      </c>
      <c r="P1483" s="116">
        <v>1235.25</v>
      </c>
      <c r="Q1483" s="116">
        <v>1262.7</v>
      </c>
      <c r="R1483">
        <v>7998730</v>
      </c>
    </row>
    <row r="1484" spans="1:18" x14ac:dyDescent="0.25">
      <c r="A1484" s="170">
        <v>44188</v>
      </c>
      <c r="B1484" s="116">
        <v>1271</v>
      </c>
      <c r="C1484" s="116">
        <v>1264.4000000000001</v>
      </c>
      <c r="D1484" s="116">
        <v>1249</v>
      </c>
      <c r="E1484" s="116">
        <v>1270</v>
      </c>
      <c r="F1484" s="116">
        <v>1264.4000000000001</v>
      </c>
      <c r="G1484">
        <v>168105</v>
      </c>
      <c r="H1484" s="116"/>
      <c r="I1484" s="116"/>
      <c r="L1484" s="170">
        <v>44188</v>
      </c>
      <c r="M1484" s="116">
        <v>1264.8</v>
      </c>
      <c r="N1484" s="116">
        <v>1271.3</v>
      </c>
      <c r="O1484" s="116">
        <v>1248.3499999999999</v>
      </c>
      <c r="P1484" s="116">
        <v>1268</v>
      </c>
      <c r="Q1484" s="116">
        <v>1264.8</v>
      </c>
      <c r="R1484">
        <v>4057070</v>
      </c>
    </row>
    <row r="1485" spans="1:18" x14ac:dyDescent="0.25">
      <c r="A1485" s="170">
        <v>44189</v>
      </c>
      <c r="B1485" s="116">
        <v>1280.6500000000001</v>
      </c>
      <c r="C1485" s="116">
        <v>1261.8499999999999</v>
      </c>
      <c r="D1485" s="116">
        <v>1254</v>
      </c>
      <c r="E1485" s="116">
        <v>1278</v>
      </c>
      <c r="F1485" s="116">
        <v>1261.8499999999999</v>
      </c>
      <c r="G1485">
        <v>167828</v>
      </c>
      <c r="H1485" s="116"/>
      <c r="I1485" s="116"/>
      <c r="L1485" s="170">
        <v>44189</v>
      </c>
      <c r="M1485" s="116">
        <v>1262.2</v>
      </c>
      <c r="N1485" s="116">
        <v>1281</v>
      </c>
      <c r="O1485" s="116">
        <v>1253.5</v>
      </c>
      <c r="P1485" s="116">
        <v>1275</v>
      </c>
      <c r="Q1485" s="116">
        <v>1262.2</v>
      </c>
      <c r="R1485">
        <v>3277840</v>
      </c>
    </row>
    <row r="1486" spans="1:18" x14ac:dyDescent="0.25">
      <c r="A1486" s="170">
        <v>44193</v>
      </c>
      <c r="B1486" s="116">
        <v>1291</v>
      </c>
      <c r="C1486" s="116">
        <v>1289.0999999999999</v>
      </c>
      <c r="D1486" s="116">
        <v>1267</v>
      </c>
      <c r="E1486" s="116">
        <v>1270.25</v>
      </c>
      <c r="F1486" s="116">
        <v>1289.0999999999999</v>
      </c>
      <c r="G1486">
        <v>141383</v>
      </c>
      <c r="H1486" s="116"/>
      <c r="I1486" s="116"/>
      <c r="L1486" s="170">
        <v>44193</v>
      </c>
      <c r="M1486" s="116">
        <v>1289.4000000000001</v>
      </c>
      <c r="N1486" s="116">
        <v>1291</v>
      </c>
      <c r="O1486" s="116">
        <v>1266.5</v>
      </c>
      <c r="P1486" s="116">
        <v>1275</v>
      </c>
      <c r="Q1486" s="116">
        <v>1289.4000000000001</v>
      </c>
      <c r="R1486">
        <v>3405825</v>
      </c>
    </row>
    <row r="1487" spans="1:18" x14ac:dyDescent="0.25">
      <c r="A1487" s="170">
        <v>44194</v>
      </c>
      <c r="B1487" s="116">
        <v>1297.8</v>
      </c>
      <c r="C1487" s="116">
        <v>1284.6500000000001</v>
      </c>
      <c r="D1487" s="116">
        <v>1267.8499999999999</v>
      </c>
      <c r="E1487" s="116">
        <v>1297.8</v>
      </c>
      <c r="F1487" s="116">
        <v>1284.6500000000001</v>
      </c>
      <c r="G1487">
        <v>133786</v>
      </c>
      <c r="H1487" s="116"/>
      <c r="I1487" s="116"/>
      <c r="L1487" s="170">
        <v>44194</v>
      </c>
      <c r="M1487" s="116">
        <v>1284.8499999999999</v>
      </c>
      <c r="N1487" s="116">
        <v>1295.05</v>
      </c>
      <c r="O1487" s="116">
        <v>1267.7</v>
      </c>
      <c r="P1487" s="116">
        <v>1294.95</v>
      </c>
      <c r="Q1487" s="116">
        <v>1284.8499999999999</v>
      </c>
      <c r="R1487">
        <v>3778319</v>
      </c>
    </row>
    <row r="1488" spans="1:18" x14ac:dyDescent="0.25">
      <c r="A1488" s="170">
        <v>44195</v>
      </c>
      <c r="B1488" s="116">
        <v>1296</v>
      </c>
      <c r="C1488" s="116">
        <v>1291.5999999999999</v>
      </c>
      <c r="D1488" s="116">
        <v>1271.5</v>
      </c>
      <c r="E1488" s="116">
        <v>1284.7</v>
      </c>
      <c r="F1488" s="116">
        <v>1291.5999999999999</v>
      </c>
      <c r="G1488">
        <v>82703</v>
      </c>
      <c r="H1488" s="116"/>
      <c r="I1488" s="116"/>
      <c r="L1488" s="170">
        <v>44195</v>
      </c>
      <c r="M1488" s="116">
        <v>1292.05</v>
      </c>
      <c r="N1488" s="116">
        <v>1296.3499999999999</v>
      </c>
      <c r="O1488" s="116">
        <v>1271</v>
      </c>
      <c r="P1488" s="116">
        <v>1288.2</v>
      </c>
      <c r="Q1488" s="116">
        <v>1292.05</v>
      </c>
      <c r="R1488">
        <v>2866392</v>
      </c>
    </row>
    <row r="1489" spans="1:18" x14ac:dyDescent="0.25">
      <c r="A1489" s="170">
        <v>44196</v>
      </c>
      <c r="B1489" s="116">
        <v>1304</v>
      </c>
      <c r="C1489" s="116">
        <v>1287.55</v>
      </c>
      <c r="D1489" s="116">
        <v>1282</v>
      </c>
      <c r="E1489" s="116">
        <v>1292.05</v>
      </c>
      <c r="F1489" s="116">
        <v>1287.55</v>
      </c>
      <c r="G1489">
        <v>147147</v>
      </c>
      <c r="H1489" s="116"/>
      <c r="I1489" s="116"/>
      <c r="L1489" s="170">
        <v>44196</v>
      </c>
      <c r="M1489" s="116">
        <v>1287.5999999999999</v>
      </c>
      <c r="N1489" s="116">
        <v>1304</v>
      </c>
      <c r="O1489" s="116">
        <v>1282</v>
      </c>
      <c r="P1489" s="116">
        <v>1293</v>
      </c>
      <c r="Q1489" s="116">
        <v>1287.5999999999999</v>
      </c>
      <c r="R1489">
        <v>3889877</v>
      </c>
    </row>
    <row r="1490" spans="1:18" x14ac:dyDescent="0.25">
      <c r="A1490" s="170">
        <v>44197</v>
      </c>
      <c r="B1490" s="116">
        <v>1299.6500000000001</v>
      </c>
      <c r="C1490" s="116">
        <v>1296.75</v>
      </c>
      <c r="D1490" s="116">
        <v>1281</v>
      </c>
      <c r="E1490" s="116">
        <v>1281</v>
      </c>
      <c r="F1490" s="116">
        <v>1296.75</v>
      </c>
      <c r="G1490">
        <v>66220</v>
      </c>
      <c r="H1490" s="116"/>
      <c r="I1490" s="116"/>
      <c r="L1490" s="170">
        <v>44197</v>
      </c>
      <c r="M1490" s="116">
        <v>1297</v>
      </c>
      <c r="N1490" s="116">
        <v>1299.95</v>
      </c>
      <c r="O1490" s="116">
        <v>1283</v>
      </c>
      <c r="P1490" s="116">
        <v>1283</v>
      </c>
      <c r="Q1490" s="116">
        <v>1297</v>
      </c>
      <c r="R1490">
        <v>2058419</v>
      </c>
    </row>
    <row r="1491" spans="1:18" x14ac:dyDescent="0.25">
      <c r="A1491" s="170">
        <v>44200</v>
      </c>
      <c r="B1491" s="116">
        <v>1322.6</v>
      </c>
      <c r="C1491" s="116">
        <v>1314.15</v>
      </c>
      <c r="D1491" s="116">
        <v>1302.3499999999999</v>
      </c>
      <c r="E1491" s="116">
        <v>1303.0999999999999</v>
      </c>
      <c r="F1491" s="116">
        <v>1314.15</v>
      </c>
      <c r="G1491">
        <v>178474</v>
      </c>
      <c r="H1491" s="116"/>
      <c r="I1491" s="116"/>
      <c r="L1491" s="170">
        <v>44200</v>
      </c>
      <c r="M1491" s="116">
        <v>1314.6</v>
      </c>
      <c r="N1491" s="116">
        <v>1322.55</v>
      </c>
      <c r="O1491" s="116">
        <v>1302</v>
      </c>
      <c r="P1491" s="116">
        <v>1305</v>
      </c>
      <c r="Q1491" s="116">
        <v>1314.6</v>
      </c>
      <c r="R1491">
        <v>4014636</v>
      </c>
    </row>
    <row r="1492" spans="1:18" x14ac:dyDescent="0.25">
      <c r="A1492" s="170">
        <v>44201</v>
      </c>
      <c r="B1492" s="116">
        <v>1313.7</v>
      </c>
      <c r="C1492" s="116">
        <v>1305.95</v>
      </c>
      <c r="D1492" s="116">
        <v>1296.8</v>
      </c>
      <c r="E1492" s="116">
        <v>1313.7</v>
      </c>
      <c r="F1492" s="116">
        <v>1305.95</v>
      </c>
      <c r="G1492">
        <v>156624</v>
      </c>
      <c r="H1492" s="116"/>
      <c r="I1492" s="116"/>
      <c r="L1492" s="170">
        <v>44201</v>
      </c>
      <c r="M1492" s="116">
        <v>1306.3</v>
      </c>
      <c r="N1492" s="116">
        <v>1313</v>
      </c>
      <c r="O1492" s="116">
        <v>1295.05</v>
      </c>
      <c r="P1492" s="116">
        <v>1307</v>
      </c>
      <c r="Q1492" s="116">
        <v>1306.3</v>
      </c>
      <c r="R1492">
        <v>2833637</v>
      </c>
    </row>
    <row r="1493" spans="1:18" x14ac:dyDescent="0.25">
      <c r="A1493" s="170">
        <v>44202</v>
      </c>
      <c r="B1493" s="116">
        <v>1329.95</v>
      </c>
      <c r="C1493" s="116">
        <v>1313.65</v>
      </c>
      <c r="D1493" s="116">
        <v>1301.95</v>
      </c>
      <c r="E1493" s="116">
        <v>1309.8</v>
      </c>
      <c r="F1493" s="116">
        <v>1313.65</v>
      </c>
      <c r="G1493">
        <v>317489</v>
      </c>
      <c r="H1493" s="116"/>
      <c r="I1493" s="116"/>
      <c r="L1493" s="170">
        <v>44202</v>
      </c>
      <c r="M1493" s="116">
        <v>1314</v>
      </c>
      <c r="N1493" s="116">
        <v>1330</v>
      </c>
      <c r="O1493" s="116">
        <v>1300</v>
      </c>
      <c r="P1493" s="116">
        <v>1308</v>
      </c>
      <c r="Q1493" s="116">
        <v>1314</v>
      </c>
      <c r="R1493">
        <v>4615963</v>
      </c>
    </row>
    <row r="1494" spans="1:18" x14ac:dyDescent="0.25">
      <c r="A1494" s="170">
        <v>44203</v>
      </c>
      <c r="B1494" s="116">
        <v>1346.95</v>
      </c>
      <c r="C1494" s="116">
        <v>1338.85</v>
      </c>
      <c r="D1494" s="116">
        <v>1324</v>
      </c>
      <c r="E1494" s="116">
        <v>1324</v>
      </c>
      <c r="F1494" s="116">
        <v>1338.85</v>
      </c>
      <c r="G1494">
        <v>193850</v>
      </c>
      <c r="H1494" s="116"/>
      <c r="I1494" s="116"/>
      <c r="L1494" s="170">
        <v>44203</v>
      </c>
      <c r="M1494" s="116">
        <v>1338.95</v>
      </c>
      <c r="N1494" s="116">
        <v>1346.8</v>
      </c>
      <c r="O1494" s="116">
        <v>1325</v>
      </c>
      <c r="P1494" s="116">
        <v>1330</v>
      </c>
      <c r="Q1494" s="116">
        <v>1338.95</v>
      </c>
      <c r="R1494">
        <v>4270598</v>
      </c>
    </row>
    <row r="1495" spans="1:18" x14ac:dyDescent="0.25">
      <c r="A1495" s="170">
        <v>44204</v>
      </c>
      <c r="B1495" s="116">
        <v>1382.75</v>
      </c>
      <c r="C1495" s="116">
        <v>1373.2</v>
      </c>
      <c r="D1495" s="116">
        <v>1347.5</v>
      </c>
      <c r="E1495" s="116">
        <v>1350</v>
      </c>
      <c r="F1495" s="116">
        <v>1373.2</v>
      </c>
      <c r="G1495">
        <v>426372</v>
      </c>
      <c r="H1495" s="116"/>
      <c r="I1495" s="116"/>
      <c r="L1495" s="170">
        <v>44204</v>
      </c>
      <c r="M1495" s="116">
        <v>1373.4</v>
      </c>
      <c r="N1495" s="116">
        <v>1382.95</v>
      </c>
      <c r="O1495" s="116">
        <v>1347</v>
      </c>
      <c r="P1495" s="116">
        <v>1349.8</v>
      </c>
      <c r="Q1495" s="116">
        <v>1373.4</v>
      </c>
      <c r="R1495">
        <v>4984995</v>
      </c>
    </row>
    <row r="1496" spans="1:18" x14ac:dyDescent="0.25">
      <c r="A1496" s="170">
        <v>44207</v>
      </c>
      <c r="B1496" s="116">
        <v>1384.8</v>
      </c>
      <c r="C1496" s="116">
        <v>1349.65</v>
      </c>
      <c r="D1496" s="116">
        <v>1344.75</v>
      </c>
      <c r="E1496" s="116">
        <v>1377.1</v>
      </c>
      <c r="F1496" s="116">
        <v>1349.65</v>
      </c>
      <c r="G1496">
        <v>123832</v>
      </c>
      <c r="H1496" s="116"/>
      <c r="I1496" s="116"/>
      <c r="L1496" s="170">
        <v>44207</v>
      </c>
      <c r="M1496" s="116">
        <v>1350</v>
      </c>
      <c r="N1496" s="116">
        <v>1384.95</v>
      </c>
      <c r="O1496" s="116">
        <v>1345</v>
      </c>
      <c r="P1496" s="116">
        <v>1382</v>
      </c>
      <c r="Q1496" s="116">
        <v>1350</v>
      </c>
      <c r="R1496">
        <v>3252470</v>
      </c>
    </row>
    <row r="1497" spans="1:18" x14ac:dyDescent="0.25">
      <c r="A1497" s="170">
        <v>44208</v>
      </c>
      <c r="B1497" s="116">
        <v>1366.6</v>
      </c>
      <c r="C1497" s="116">
        <v>1349.75</v>
      </c>
      <c r="D1497" s="116">
        <v>1344.5</v>
      </c>
      <c r="E1497" s="116">
        <v>1351</v>
      </c>
      <c r="F1497" s="116">
        <v>1349.75</v>
      </c>
      <c r="G1497">
        <v>117760</v>
      </c>
      <c r="H1497" s="116"/>
      <c r="I1497" s="116"/>
      <c r="L1497" s="170">
        <v>44208</v>
      </c>
      <c r="M1497" s="116">
        <v>1349.8</v>
      </c>
      <c r="N1497" s="116">
        <v>1366.85</v>
      </c>
      <c r="O1497" s="116">
        <v>1344.05</v>
      </c>
      <c r="P1497" s="116">
        <v>1354</v>
      </c>
      <c r="Q1497" s="116">
        <v>1349.8</v>
      </c>
      <c r="R1497">
        <v>2836161</v>
      </c>
    </row>
    <row r="1498" spans="1:18" x14ac:dyDescent="0.25">
      <c r="A1498" s="170">
        <v>44209</v>
      </c>
      <c r="B1498" s="116">
        <v>1372.75</v>
      </c>
      <c r="C1498" s="116">
        <v>1352</v>
      </c>
      <c r="D1498" s="116">
        <v>1344.3</v>
      </c>
      <c r="E1498" s="116">
        <v>1351.2</v>
      </c>
      <c r="F1498" s="116">
        <v>1352</v>
      </c>
      <c r="G1498">
        <v>252769</v>
      </c>
      <c r="H1498" s="116"/>
      <c r="I1498" s="116"/>
      <c r="L1498" s="170">
        <v>44209</v>
      </c>
      <c r="M1498" s="116">
        <v>1352.5</v>
      </c>
      <c r="N1498" s="116">
        <v>1373</v>
      </c>
      <c r="O1498" s="116">
        <v>1344.3</v>
      </c>
      <c r="P1498" s="116">
        <v>1354</v>
      </c>
      <c r="Q1498" s="116">
        <v>1352.5</v>
      </c>
      <c r="R1498">
        <v>4389762</v>
      </c>
    </row>
    <row r="1499" spans="1:18" x14ac:dyDescent="0.25">
      <c r="A1499" s="170">
        <v>44210</v>
      </c>
      <c r="B1499" s="116">
        <v>1389.55</v>
      </c>
      <c r="C1499" s="116">
        <v>1376.4</v>
      </c>
      <c r="D1499" s="116">
        <v>1354.3</v>
      </c>
      <c r="E1499" s="116">
        <v>1354.3</v>
      </c>
      <c r="F1499" s="116">
        <v>1376.4</v>
      </c>
      <c r="G1499">
        <v>422725</v>
      </c>
      <c r="H1499" s="116"/>
      <c r="I1499" s="116"/>
      <c r="L1499" s="170">
        <v>44210</v>
      </c>
      <c r="M1499" s="116">
        <v>1376.6</v>
      </c>
      <c r="N1499" s="116">
        <v>1389.7</v>
      </c>
      <c r="O1499" s="116">
        <v>1356.25</v>
      </c>
      <c r="P1499" s="116">
        <v>1358</v>
      </c>
      <c r="Q1499" s="116">
        <v>1376.6</v>
      </c>
      <c r="R1499">
        <v>5168591</v>
      </c>
    </row>
    <row r="1500" spans="1:18" x14ac:dyDescent="0.25">
      <c r="A1500" s="170">
        <v>44211</v>
      </c>
      <c r="B1500" s="116">
        <v>1384.8</v>
      </c>
      <c r="C1500" s="116">
        <v>1354.6</v>
      </c>
      <c r="D1500" s="116">
        <v>1345</v>
      </c>
      <c r="E1500" s="116">
        <v>1378</v>
      </c>
      <c r="F1500" s="116">
        <v>1354.6</v>
      </c>
      <c r="G1500">
        <v>166501</v>
      </c>
      <c r="H1500" s="116"/>
      <c r="I1500" s="116"/>
      <c r="L1500" s="170">
        <v>44211</v>
      </c>
      <c r="M1500" s="116">
        <v>1354.15</v>
      </c>
      <c r="N1500" s="116">
        <v>1384.5</v>
      </c>
      <c r="O1500" s="116">
        <v>1345.05</v>
      </c>
      <c r="P1500" s="116">
        <v>1376.7</v>
      </c>
      <c r="Q1500" s="116">
        <v>1354.15</v>
      </c>
      <c r="R1500">
        <v>2587576</v>
      </c>
    </row>
    <row r="1501" spans="1:18" x14ac:dyDescent="0.25">
      <c r="A1501" s="170">
        <v>44214</v>
      </c>
      <c r="B1501" s="116">
        <v>1353.7</v>
      </c>
      <c r="C1501" s="116">
        <v>1334.7</v>
      </c>
      <c r="D1501" s="116">
        <v>1326.8</v>
      </c>
      <c r="E1501" s="116">
        <v>1347.6</v>
      </c>
      <c r="F1501" s="116">
        <v>1334.7</v>
      </c>
      <c r="G1501">
        <v>339102</v>
      </c>
      <c r="H1501" s="116"/>
      <c r="I1501" s="116"/>
      <c r="L1501" s="170">
        <v>44214</v>
      </c>
      <c r="M1501" s="116">
        <v>1336.05</v>
      </c>
      <c r="N1501" s="116">
        <v>1353.85</v>
      </c>
      <c r="O1501" s="116">
        <v>1326.15</v>
      </c>
      <c r="P1501" s="116">
        <v>1345.2</v>
      </c>
      <c r="Q1501" s="116">
        <v>1336.05</v>
      </c>
      <c r="R1501">
        <v>3185998</v>
      </c>
    </row>
    <row r="1502" spans="1:18" x14ac:dyDescent="0.25">
      <c r="A1502" s="170">
        <v>44215</v>
      </c>
      <c r="B1502" s="116">
        <v>1381.85</v>
      </c>
      <c r="C1502" s="116">
        <v>1369.75</v>
      </c>
      <c r="D1502" s="116">
        <v>1336</v>
      </c>
      <c r="E1502" s="116">
        <v>1336</v>
      </c>
      <c r="F1502" s="116">
        <v>1369.75</v>
      </c>
      <c r="G1502">
        <v>313253</v>
      </c>
      <c r="H1502" s="116"/>
      <c r="I1502" s="116"/>
      <c r="L1502" s="170">
        <v>44215</v>
      </c>
      <c r="M1502" s="116">
        <v>1369.85</v>
      </c>
      <c r="N1502" s="116">
        <v>1382</v>
      </c>
      <c r="O1502" s="116">
        <v>1337</v>
      </c>
      <c r="P1502" s="116">
        <v>1340.05</v>
      </c>
      <c r="Q1502" s="116">
        <v>1369.85</v>
      </c>
      <c r="R1502">
        <v>3885798</v>
      </c>
    </row>
    <row r="1503" spans="1:18" x14ac:dyDescent="0.25">
      <c r="A1503" s="170">
        <v>44216</v>
      </c>
      <c r="B1503" s="116">
        <v>1392.9</v>
      </c>
      <c r="C1503" s="116">
        <v>1381.95</v>
      </c>
      <c r="D1503" s="116">
        <v>1365</v>
      </c>
      <c r="E1503" s="116">
        <v>1372.9</v>
      </c>
      <c r="F1503" s="116">
        <v>1381.95</v>
      </c>
      <c r="G1503">
        <v>220040</v>
      </c>
      <c r="H1503" s="116"/>
      <c r="I1503" s="116"/>
      <c r="L1503" s="170">
        <v>44216</v>
      </c>
      <c r="M1503" s="116">
        <v>1382.65</v>
      </c>
      <c r="N1503" s="116">
        <v>1393.05</v>
      </c>
      <c r="O1503" s="116">
        <v>1362.55</v>
      </c>
      <c r="P1503" s="116">
        <v>1369</v>
      </c>
      <c r="Q1503" s="116">
        <v>1382.65</v>
      </c>
      <c r="R1503">
        <v>3957992</v>
      </c>
    </row>
    <row r="1504" spans="1:18" x14ac:dyDescent="0.25">
      <c r="A1504" s="170">
        <v>44217</v>
      </c>
      <c r="B1504" s="116">
        <v>1395</v>
      </c>
      <c r="C1504" s="116">
        <v>1370</v>
      </c>
      <c r="D1504" s="116">
        <v>1361</v>
      </c>
      <c r="E1504" s="116">
        <v>1387.85</v>
      </c>
      <c r="F1504" s="116">
        <v>1370</v>
      </c>
      <c r="G1504">
        <v>185843</v>
      </c>
      <c r="H1504" s="116"/>
      <c r="I1504" s="116"/>
      <c r="L1504" s="170">
        <v>44217</v>
      </c>
      <c r="M1504" s="116">
        <v>1371.3</v>
      </c>
      <c r="N1504" s="116">
        <v>1396</v>
      </c>
      <c r="O1504" s="116">
        <v>1361.05</v>
      </c>
      <c r="P1504" s="116">
        <v>1395</v>
      </c>
      <c r="Q1504" s="116">
        <v>1371.3</v>
      </c>
      <c r="R1504">
        <v>2985423</v>
      </c>
    </row>
    <row r="1505" spans="1:18" x14ac:dyDescent="0.25">
      <c r="A1505" s="170">
        <v>44218</v>
      </c>
      <c r="B1505" s="116">
        <v>1373.15</v>
      </c>
      <c r="C1505" s="116">
        <v>1363.15</v>
      </c>
      <c r="D1505" s="116">
        <v>1348.5</v>
      </c>
      <c r="E1505" s="116">
        <v>1363</v>
      </c>
      <c r="F1505" s="116">
        <v>1363.15</v>
      </c>
      <c r="G1505">
        <v>292845</v>
      </c>
      <c r="H1505" s="116"/>
      <c r="I1505" s="116"/>
      <c r="L1505" s="170">
        <v>44218</v>
      </c>
      <c r="M1505" s="116">
        <v>1362.1</v>
      </c>
      <c r="N1505" s="116">
        <v>1375</v>
      </c>
      <c r="O1505" s="116">
        <v>1348.5</v>
      </c>
      <c r="P1505" s="116">
        <v>1362</v>
      </c>
      <c r="Q1505" s="116">
        <v>1362.1</v>
      </c>
      <c r="R1505">
        <v>3282665</v>
      </c>
    </row>
    <row r="1506" spans="1:18" x14ac:dyDescent="0.25">
      <c r="A1506" s="170">
        <v>44221</v>
      </c>
      <c r="B1506" s="116">
        <v>1395.75</v>
      </c>
      <c r="C1506" s="116">
        <v>1361.45</v>
      </c>
      <c r="D1506" s="116">
        <v>1341.65</v>
      </c>
      <c r="E1506" s="116">
        <v>1365.5</v>
      </c>
      <c r="F1506" s="116">
        <v>1361.45</v>
      </c>
      <c r="G1506">
        <v>323242</v>
      </c>
      <c r="H1506" s="116"/>
      <c r="I1506" s="116"/>
      <c r="L1506" s="170">
        <v>44221</v>
      </c>
      <c r="M1506" s="116">
        <v>1361.3</v>
      </c>
      <c r="N1506" s="116">
        <v>1396.4</v>
      </c>
      <c r="O1506" s="116">
        <v>1342</v>
      </c>
      <c r="P1506" s="116">
        <v>1370</v>
      </c>
      <c r="Q1506" s="116">
        <v>1361.3</v>
      </c>
      <c r="R1506">
        <v>4847989</v>
      </c>
    </row>
    <row r="1507" spans="1:18" x14ac:dyDescent="0.25">
      <c r="A1507" s="170">
        <v>44223</v>
      </c>
      <c r="B1507" s="116">
        <v>1392.8</v>
      </c>
      <c r="C1507" s="116">
        <v>1359.75</v>
      </c>
      <c r="D1507" s="116">
        <v>1331.1</v>
      </c>
      <c r="E1507" s="116">
        <v>1373</v>
      </c>
      <c r="F1507" s="116">
        <v>1359.75</v>
      </c>
      <c r="G1507">
        <v>414813</v>
      </c>
      <c r="H1507" s="116"/>
      <c r="I1507" s="116"/>
      <c r="L1507" s="170">
        <v>44223</v>
      </c>
      <c r="M1507" s="116">
        <v>1359.85</v>
      </c>
      <c r="N1507" s="116">
        <v>1392.7</v>
      </c>
      <c r="O1507" s="116">
        <v>1330.1</v>
      </c>
      <c r="P1507" s="116">
        <v>1368.8</v>
      </c>
      <c r="Q1507" s="116">
        <v>1359.85</v>
      </c>
      <c r="R1507">
        <v>8896211</v>
      </c>
    </row>
    <row r="1508" spans="1:18" x14ac:dyDescent="0.25">
      <c r="A1508" s="170">
        <v>44224</v>
      </c>
      <c r="B1508" s="116">
        <v>1365.35</v>
      </c>
      <c r="C1508" s="116">
        <v>1345</v>
      </c>
      <c r="D1508" s="116">
        <v>1340.1</v>
      </c>
      <c r="E1508" s="116">
        <v>1349.75</v>
      </c>
      <c r="F1508" s="116">
        <v>1345</v>
      </c>
      <c r="G1508">
        <v>353375</v>
      </c>
      <c r="H1508" s="116"/>
      <c r="I1508" s="116"/>
      <c r="L1508" s="170">
        <v>44224</v>
      </c>
      <c r="M1508" s="116">
        <v>1345.35</v>
      </c>
      <c r="N1508" s="116">
        <v>1365.1</v>
      </c>
      <c r="O1508" s="116">
        <v>1340</v>
      </c>
      <c r="P1508" s="116">
        <v>1344.7</v>
      </c>
      <c r="Q1508" s="116">
        <v>1345.35</v>
      </c>
      <c r="R1508">
        <v>2962948</v>
      </c>
    </row>
    <row r="1509" spans="1:18" x14ac:dyDescent="0.25">
      <c r="A1509" s="170">
        <v>44225</v>
      </c>
      <c r="B1509" s="116">
        <v>1368.75</v>
      </c>
      <c r="C1509" s="116">
        <v>1334.6</v>
      </c>
      <c r="D1509" s="116">
        <v>1325</v>
      </c>
      <c r="E1509" s="116">
        <v>1365</v>
      </c>
      <c r="F1509" s="116">
        <v>1334.6</v>
      </c>
      <c r="G1509">
        <v>147101</v>
      </c>
      <c r="H1509" s="116"/>
      <c r="I1509" s="116"/>
      <c r="L1509" s="170">
        <v>44225</v>
      </c>
      <c r="M1509" s="116">
        <v>1334.7</v>
      </c>
      <c r="N1509" s="116">
        <v>1369</v>
      </c>
      <c r="O1509" s="116">
        <v>1325.1</v>
      </c>
      <c r="P1509" s="116">
        <v>1362</v>
      </c>
      <c r="Q1509" s="116">
        <v>1334.7</v>
      </c>
      <c r="R1509">
        <v>5130876</v>
      </c>
    </row>
    <row r="1510" spans="1:18" x14ac:dyDescent="0.25">
      <c r="A1510" s="170">
        <v>44228</v>
      </c>
      <c r="B1510" s="116">
        <v>1461</v>
      </c>
      <c r="C1510" s="116">
        <v>1449.45</v>
      </c>
      <c r="D1510" s="116">
        <v>1337.75</v>
      </c>
      <c r="E1510" s="116">
        <v>1360</v>
      </c>
      <c r="F1510" s="116">
        <v>1449.45</v>
      </c>
      <c r="G1510">
        <v>711349</v>
      </c>
      <c r="H1510" s="116"/>
      <c r="I1510" s="116"/>
      <c r="L1510" s="170">
        <v>44228</v>
      </c>
      <c r="M1510" s="116">
        <v>1448.85</v>
      </c>
      <c r="N1510" s="116">
        <v>1462</v>
      </c>
      <c r="O1510" s="116">
        <v>1337.2</v>
      </c>
      <c r="P1510" s="116">
        <v>1345.75</v>
      </c>
      <c r="Q1510" s="116">
        <v>1448.85</v>
      </c>
      <c r="R1510">
        <v>11317043</v>
      </c>
    </row>
    <row r="1511" spans="1:18" x14ac:dyDescent="0.25">
      <c r="A1511" s="170">
        <v>44229</v>
      </c>
      <c r="B1511" s="116">
        <v>1593</v>
      </c>
      <c r="C1511" s="116">
        <v>1519.35</v>
      </c>
      <c r="D1511" s="116">
        <v>1466</v>
      </c>
      <c r="E1511" s="116">
        <v>1466</v>
      </c>
      <c r="F1511" s="116">
        <v>1519.35</v>
      </c>
      <c r="G1511">
        <v>938964</v>
      </c>
      <c r="H1511" s="116"/>
      <c r="I1511" s="116"/>
      <c r="L1511" s="170">
        <v>44229</v>
      </c>
      <c r="M1511" s="116">
        <v>1520.2</v>
      </c>
      <c r="N1511" s="116">
        <v>1593</v>
      </c>
      <c r="O1511" s="116">
        <v>1474</v>
      </c>
      <c r="P1511" s="116">
        <v>1474</v>
      </c>
      <c r="Q1511" s="116">
        <v>1520.2</v>
      </c>
      <c r="R1511">
        <v>14349665</v>
      </c>
    </row>
    <row r="1512" spans="1:18" x14ac:dyDescent="0.25">
      <c r="A1512" s="170">
        <v>44230</v>
      </c>
      <c r="B1512" s="116">
        <v>1557.5</v>
      </c>
      <c r="C1512" s="116">
        <v>1528.75</v>
      </c>
      <c r="D1512" s="116">
        <v>1504.8</v>
      </c>
      <c r="E1512" s="116">
        <v>1535</v>
      </c>
      <c r="F1512" s="116">
        <v>1528.75</v>
      </c>
      <c r="G1512">
        <v>263630</v>
      </c>
      <c r="H1512" s="116"/>
      <c r="I1512" s="116"/>
      <c r="L1512" s="170">
        <v>44230</v>
      </c>
      <c r="M1512" s="116">
        <v>1528.55</v>
      </c>
      <c r="N1512" s="116">
        <v>1558</v>
      </c>
      <c r="O1512" s="116">
        <v>1505</v>
      </c>
      <c r="P1512" s="116">
        <v>1530</v>
      </c>
      <c r="Q1512" s="116">
        <v>1528.55</v>
      </c>
      <c r="R1512">
        <v>6197782</v>
      </c>
    </row>
    <row r="1513" spans="1:18" x14ac:dyDescent="0.25">
      <c r="A1513" s="170">
        <v>44231</v>
      </c>
      <c r="B1513" s="116">
        <v>1549.4</v>
      </c>
      <c r="C1513" s="116">
        <v>1529.45</v>
      </c>
      <c r="D1513" s="116">
        <v>1509.8</v>
      </c>
      <c r="E1513" s="116">
        <v>1523.35</v>
      </c>
      <c r="F1513" s="116">
        <v>1529.45</v>
      </c>
      <c r="G1513">
        <v>376076</v>
      </c>
      <c r="H1513" s="116"/>
      <c r="I1513" s="116"/>
      <c r="L1513" s="170">
        <v>44231</v>
      </c>
      <c r="M1513" s="116">
        <v>1529.8</v>
      </c>
      <c r="N1513" s="116">
        <v>1550</v>
      </c>
      <c r="O1513" s="116">
        <v>1510</v>
      </c>
      <c r="P1513" s="116">
        <v>1525</v>
      </c>
      <c r="Q1513" s="116">
        <v>1529.8</v>
      </c>
      <c r="R1513">
        <v>3957579</v>
      </c>
    </row>
    <row r="1514" spans="1:18" x14ac:dyDescent="0.25">
      <c r="A1514" s="170">
        <v>44232</v>
      </c>
      <c r="B1514" s="116">
        <v>1547</v>
      </c>
      <c r="C1514" s="116">
        <v>1516.45</v>
      </c>
      <c r="D1514" s="116">
        <v>1511.65</v>
      </c>
      <c r="E1514" s="116">
        <v>1543.9</v>
      </c>
      <c r="F1514" s="116">
        <v>1516.45</v>
      </c>
      <c r="G1514">
        <v>139296</v>
      </c>
      <c r="H1514" s="116"/>
      <c r="I1514" s="116"/>
      <c r="L1514" s="170">
        <v>44232</v>
      </c>
      <c r="M1514" s="116">
        <v>1516.5</v>
      </c>
      <c r="N1514" s="116">
        <v>1547</v>
      </c>
      <c r="O1514" s="116">
        <v>1511.1</v>
      </c>
      <c r="P1514" s="116">
        <v>1534.4</v>
      </c>
      <c r="Q1514" s="116">
        <v>1516.5</v>
      </c>
      <c r="R1514">
        <v>3270494</v>
      </c>
    </row>
    <row r="1515" spans="1:18" x14ac:dyDescent="0.25">
      <c r="A1515" s="170">
        <v>44235</v>
      </c>
      <c r="B1515" s="116">
        <v>1569.9</v>
      </c>
      <c r="C1515" s="116">
        <v>1552.1</v>
      </c>
      <c r="D1515" s="116">
        <v>1518.8</v>
      </c>
      <c r="E1515" s="116">
        <v>1520</v>
      </c>
      <c r="F1515" s="116">
        <v>1552.1</v>
      </c>
      <c r="G1515">
        <v>231596</v>
      </c>
      <c r="H1515" s="116"/>
      <c r="I1515" s="116"/>
      <c r="L1515" s="170">
        <v>44235</v>
      </c>
      <c r="M1515" s="116">
        <v>1551.8</v>
      </c>
      <c r="N1515" s="116">
        <v>1570</v>
      </c>
      <c r="O1515" s="116">
        <v>1520</v>
      </c>
      <c r="P1515" s="116">
        <v>1521.15</v>
      </c>
      <c r="Q1515" s="116">
        <v>1551.8</v>
      </c>
      <c r="R1515">
        <v>5223019</v>
      </c>
    </row>
    <row r="1516" spans="1:18" x14ac:dyDescent="0.25">
      <c r="A1516" s="170">
        <v>44236</v>
      </c>
      <c r="B1516" s="116">
        <v>1574</v>
      </c>
      <c r="C1516" s="116">
        <v>1566.25</v>
      </c>
      <c r="D1516" s="116">
        <v>1544.25</v>
      </c>
      <c r="E1516" s="116">
        <v>1551</v>
      </c>
      <c r="F1516" s="116">
        <v>1566.25</v>
      </c>
      <c r="G1516">
        <v>192629</v>
      </c>
      <c r="H1516" s="116"/>
      <c r="I1516" s="116"/>
      <c r="L1516" s="170">
        <v>44236</v>
      </c>
      <c r="M1516" s="116">
        <v>1566.45</v>
      </c>
      <c r="N1516" s="116">
        <v>1574.5</v>
      </c>
      <c r="O1516" s="116">
        <v>1545</v>
      </c>
      <c r="P1516" s="116">
        <v>1557</v>
      </c>
      <c r="Q1516" s="116">
        <v>1566.45</v>
      </c>
      <c r="R1516">
        <v>3825206</v>
      </c>
    </row>
    <row r="1517" spans="1:18" x14ac:dyDescent="0.25">
      <c r="A1517" s="170">
        <v>44237</v>
      </c>
      <c r="B1517" s="116">
        <v>1562.45</v>
      </c>
      <c r="C1517" s="116">
        <v>1552.9</v>
      </c>
      <c r="D1517" s="116">
        <v>1528.8</v>
      </c>
      <c r="E1517" s="116">
        <v>1562</v>
      </c>
      <c r="F1517" s="116">
        <v>1552.9</v>
      </c>
      <c r="G1517">
        <v>108229</v>
      </c>
      <c r="H1517" s="116"/>
      <c r="I1517" s="116"/>
      <c r="L1517" s="170">
        <v>44237</v>
      </c>
      <c r="M1517" s="116">
        <v>1552.85</v>
      </c>
      <c r="N1517" s="116">
        <v>1564</v>
      </c>
      <c r="O1517" s="116">
        <v>1528.7</v>
      </c>
      <c r="P1517" s="116">
        <v>1560</v>
      </c>
      <c r="Q1517" s="116">
        <v>1552.85</v>
      </c>
      <c r="R1517">
        <v>2578777</v>
      </c>
    </row>
    <row r="1518" spans="1:18" x14ac:dyDescent="0.25">
      <c r="A1518" s="170">
        <v>44238</v>
      </c>
      <c r="B1518" s="116">
        <v>1559.45</v>
      </c>
      <c r="C1518" s="116">
        <v>1530.65</v>
      </c>
      <c r="D1518" s="116">
        <v>1527.45</v>
      </c>
      <c r="E1518" s="116">
        <v>1550</v>
      </c>
      <c r="F1518" s="116">
        <v>1530.65</v>
      </c>
      <c r="G1518">
        <v>138719</v>
      </c>
      <c r="H1518" s="116"/>
      <c r="I1518" s="116"/>
      <c r="L1518" s="170">
        <v>44238</v>
      </c>
      <c r="M1518" s="116">
        <v>1530.5</v>
      </c>
      <c r="N1518" s="116">
        <v>1559.9</v>
      </c>
      <c r="O1518" s="116">
        <v>1526.55</v>
      </c>
      <c r="P1518" s="116">
        <v>1549.4</v>
      </c>
      <c r="Q1518" s="116">
        <v>1530.5</v>
      </c>
      <c r="R1518">
        <v>2720190</v>
      </c>
    </row>
    <row r="1519" spans="1:18" x14ac:dyDescent="0.25">
      <c r="A1519" s="170">
        <v>44239</v>
      </c>
      <c r="B1519" s="116">
        <v>1544</v>
      </c>
      <c r="C1519" s="116">
        <v>1521.15</v>
      </c>
      <c r="D1519" s="116">
        <v>1516.1</v>
      </c>
      <c r="E1519" s="116">
        <v>1531.15</v>
      </c>
      <c r="F1519" s="116">
        <v>1521.15</v>
      </c>
      <c r="G1519">
        <v>113043</v>
      </c>
      <c r="H1519" s="116"/>
      <c r="I1519" s="116"/>
      <c r="L1519" s="170">
        <v>44239</v>
      </c>
      <c r="M1519" s="116">
        <v>1521.35</v>
      </c>
      <c r="N1519" s="116">
        <v>1544</v>
      </c>
      <c r="O1519" s="116">
        <v>1516.1</v>
      </c>
      <c r="P1519" s="116">
        <v>1535</v>
      </c>
      <c r="Q1519" s="116">
        <v>1521.35</v>
      </c>
      <c r="R1519">
        <v>1867284</v>
      </c>
    </row>
    <row r="1520" spans="1:18" x14ac:dyDescent="0.25">
      <c r="A1520" s="170">
        <v>44242</v>
      </c>
      <c r="B1520" s="116">
        <v>1544</v>
      </c>
      <c r="C1520" s="116">
        <v>1537.9</v>
      </c>
      <c r="D1520" s="116">
        <v>1521.85</v>
      </c>
      <c r="E1520" s="116">
        <v>1524</v>
      </c>
      <c r="F1520" s="116">
        <v>1537.9</v>
      </c>
      <c r="G1520">
        <v>74196</v>
      </c>
      <c r="H1520" s="116"/>
      <c r="I1520" s="116"/>
      <c r="L1520" s="170">
        <v>44242</v>
      </c>
      <c r="M1520" s="116">
        <v>1537.65</v>
      </c>
      <c r="N1520" s="116">
        <v>1544</v>
      </c>
      <c r="O1520" s="116">
        <v>1521.35</v>
      </c>
      <c r="P1520" s="116">
        <v>1527</v>
      </c>
      <c r="Q1520" s="116">
        <v>1537.65</v>
      </c>
      <c r="R1520">
        <v>1917477</v>
      </c>
    </row>
    <row r="1521" spans="1:18" x14ac:dyDescent="0.25">
      <c r="A1521" s="170">
        <v>44243</v>
      </c>
      <c r="B1521" s="116">
        <v>1573.65</v>
      </c>
      <c r="C1521" s="116">
        <v>1548.75</v>
      </c>
      <c r="D1521" s="116">
        <v>1536</v>
      </c>
      <c r="E1521" s="116">
        <v>1536</v>
      </c>
      <c r="F1521" s="116">
        <v>1548.75</v>
      </c>
      <c r="G1521">
        <v>201764</v>
      </c>
      <c r="H1521" s="116"/>
      <c r="I1521" s="116"/>
      <c r="L1521" s="170">
        <v>44243</v>
      </c>
      <c r="M1521" s="116">
        <v>1549.45</v>
      </c>
      <c r="N1521" s="116">
        <v>1574</v>
      </c>
      <c r="O1521" s="116">
        <v>1539</v>
      </c>
      <c r="P1521" s="116">
        <v>1540</v>
      </c>
      <c r="Q1521" s="116">
        <v>1549.45</v>
      </c>
      <c r="R1521">
        <v>3838556</v>
      </c>
    </row>
    <row r="1522" spans="1:18" x14ac:dyDescent="0.25">
      <c r="A1522" s="170">
        <v>44244</v>
      </c>
      <c r="B1522" s="116">
        <v>1567.3</v>
      </c>
      <c r="C1522" s="116">
        <v>1548.3</v>
      </c>
      <c r="D1522" s="116">
        <v>1533.75</v>
      </c>
      <c r="E1522" s="116">
        <v>1548</v>
      </c>
      <c r="F1522" s="116">
        <v>1548.3</v>
      </c>
      <c r="G1522">
        <v>92366</v>
      </c>
      <c r="H1522" s="116"/>
      <c r="I1522" s="116"/>
      <c r="L1522" s="170">
        <v>44244</v>
      </c>
      <c r="M1522" s="116">
        <v>1548.35</v>
      </c>
      <c r="N1522" s="116">
        <v>1567</v>
      </c>
      <c r="O1522" s="116">
        <v>1533</v>
      </c>
      <c r="P1522" s="116">
        <v>1544</v>
      </c>
      <c r="Q1522" s="116">
        <v>1548.35</v>
      </c>
      <c r="R1522">
        <v>2340184</v>
      </c>
    </row>
    <row r="1523" spans="1:18" x14ac:dyDescent="0.25">
      <c r="A1523" s="170">
        <v>44245</v>
      </c>
      <c r="B1523" s="116">
        <v>1550.8</v>
      </c>
      <c r="C1523" s="116">
        <v>1525.45</v>
      </c>
      <c r="D1523" s="116">
        <v>1515.2</v>
      </c>
      <c r="E1523" s="116">
        <v>1549</v>
      </c>
      <c r="F1523" s="116">
        <v>1525.45</v>
      </c>
      <c r="G1523">
        <v>99549</v>
      </c>
      <c r="H1523" s="116"/>
      <c r="I1523" s="116"/>
      <c r="L1523" s="170">
        <v>44245</v>
      </c>
      <c r="M1523" s="116">
        <v>1524.6</v>
      </c>
      <c r="N1523" s="116">
        <v>1551.2</v>
      </c>
      <c r="O1523" s="116">
        <v>1515.15</v>
      </c>
      <c r="P1523" s="116">
        <v>1542.2</v>
      </c>
      <c r="Q1523" s="116">
        <v>1524.6</v>
      </c>
      <c r="R1523">
        <v>2446843</v>
      </c>
    </row>
    <row r="1524" spans="1:18" x14ac:dyDescent="0.25">
      <c r="A1524" s="170">
        <v>44246</v>
      </c>
      <c r="B1524" s="116">
        <v>1547.3</v>
      </c>
      <c r="C1524" s="116">
        <v>1507.8</v>
      </c>
      <c r="D1524" s="116">
        <v>1499</v>
      </c>
      <c r="E1524" s="116">
        <v>1520.5</v>
      </c>
      <c r="F1524" s="116">
        <v>1507.8</v>
      </c>
      <c r="G1524">
        <v>148810</v>
      </c>
      <c r="H1524" s="116"/>
      <c r="I1524" s="116"/>
      <c r="L1524" s="170">
        <v>44246</v>
      </c>
      <c r="M1524" s="116">
        <v>1508.8</v>
      </c>
      <c r="N1524" s="116">
        <v>1547</v>
      </c>
      <c r="O1524" s="116">
        <v>1498.85</v>
      </c>
      <c r="P1524" s="116">
        <v>1523.85</v>
      </c>
      <c r="Q1524" s="116">
        <v>1508.8</v>
      </c>
      <c r="R1524">
        <v>3044240</v>
      </c>
    </row>
    <row r="1525" spans="1:18" x14ac:dyDescent="0.25">
      <c r="A1525" s="170">
        <v>44249</v>
      </c>
      <c r="B1525" s="116">
        <v>1510</v>
      </c>
      <c r="C1525" s="116">
        <v>1452.25</v>
      </c>
      <c r="D1525" s="116">
        <v>1448</v>
      </c>
      <c r="E1525" s="116">
        <v>1509.2</v>
      </c>
      <c r="F1525" s="116">
        <v>1452.25</v>
      </c>
      <c r="G1525">
        <v>179663</v>
      </c>
      <c r="H1525" s="116"/>
      <c r="I1525" s="116"/>
      <c r="L1525" s="170">
        <v>44249</v>
      </c>
      <c r="M1525" s="116">
        <v>1452.2</v>
      </c>
      <c r="N1525" s="116">
        <v>1511.95</v>
      </c>
      <c r="O1525" s="116">
        <v>1447.1</v>
      </c>
      <c r="P1525" s="116">
        <v>1510.9</v>
      </c>
      <c r="Q1525" s="116">
        <v>1452.2</v>
      </c>
      <c r="R1525">
        <v>6168108</v>
      </c>
    </row>
    <row r="1526" spans="1:18" x14ac:dyDescent="0.25">
      <c r="A1526" s="170">
        <v>44250</v>
      </c>
      <c r="B1526" s="116">
        <v>1498.1</v>
      </c>
      <c r="C1526" s="116">
        <v>1486.35</v>
      </c>
      <c r="D1526" s="116">
        <v>1452</v>
      </c>
      <c r="E1526" s="116">
        <v>1452</v>
      </c>
      <c r="F1526" s="116">
        <v>1486.35</v>
      </c>
      <c r="G1526">
        <v>175316</v>
      </c>
      <c r="H1526" s="116"/>
      <c r="I1526" s="116"/>
      <c r="L1526" s="170">
        <v>44250</v>
      </c>
      <c r="M1526" s="116">
        <v>1486.3</v>
      </c>
      <c r="N1526" s="116">
        <v>1498</v>
      </c>
      <c r="O1526" s="116">
        <v>1460</v>
      </c>
      <c r="P1526" s="116">
        <v>1462</v>
      </c>
      <c r="Q1526" s="116">
        <v>1486.3</v>
      </c>
      <c r="R1526">
        <v>3733776</v>
      </c>
    </row>
    <row r="1527" spans="1:18" x14ac:dyDescent="0.25">
      <c r="A1527" s="170">
        <v>44251</v>
      </c>
      <c r="B1527" s="116">
        <v>1531.35</v>
      </c>
      <c r="C1527" s="116">
        <v>1524.9</v>
      </c>
      <c r="D1527" s="116">
        <v>1452.25</v>
      </c>
      <c r="E1527" s="116">
        <v>1485.9</v>
      </c>
      <c r="F1527" s="116">
        <v>1524.9</v>
      </c>
      <c r="G1527">
        <v>704839</v>
      </c>
      <c r="H1527" s="116"/>
      <c r="I1527" s="116"/>
      <c r="L1527" s="170">
        <v>44251</v>
      </c>
      <c r="M1527" s="116">
        <v>1526.6</v>
      </c>
      <c r="N1527" s="116">
        <v>1532</v>
      </c>
      <c r="O1527" s="116">
        <v>1486.7</v>
      </c>
      <c r="P1527" s="116">
        <v>1486.7</v>
      </c>
      <c r="Q1527" s="116">
        <v>1526.6</v>
      </c>
      <c r="R1527">
        <v>2380414</v>
      </c>
    </row>
    <row r="1528" spans="1:18" x14ac:dyDescent="0.25">
      <c r="A1528" s="170">
        <v>44252</v>
      </c>
      <c r="B1528" s="116">
        <v>1540.9</v>
      </c>
      <c r="C1528" s="116">
        <v>1506.6</v>
      </c>
      <c r="D1528" s="116">
        <v>1502.9</v>
      </c>
      <c r="E1528" s="116">
        <v>1531.3</v>
      </c>
      <c r="F1528" s="116">
        <v>1506.6</v>
      </c>
      <c r="G1528">
        <v>307953</v>
      </c>
      <c r="H1528" s="116"/>
      <c r="I1528" s="116"/>
      <c r="L1528" s="170">
        <v>44252</v>
      </c>
      <c r="M1528" s="116">
        <v>1506.45</v>
      </c>
      <c r="N1528" s="116">
        <v>1540.6</v>
      </c>
      <c r="O1528" s="116">
        <v>1502</v>
      </c>
      <c r="P1528" s="116">
        <v>1534</v>
      </c>
      <c r="Q1528" s="116">
        <v>1506.45</v>
      </c>
      <c r="R1528">
        <v>3168105</v>
      </c>
    </row>
    <row r="1529" spans="1:18" x14ac:dyDescent="0.25">
      <c r="A1529" s="170">
        <v>44253</v>
      </c>
      <c r="B1529" s="116">
        <v>1493</v>
      </c>
      <c r="C1529" s="116">
        <v>1442.25</v>
      </c>
      <c r="D1529" s="116">
        <v>1436.95</v>
      </c>
      <c r="E1529" s="116">
        <v>1480</v>
      </c>
      <c r="F1529" s="116">
        <v>1442.25</v>
      </c>
      <c r="G1529">
        <v>289458</v>
      </c>
      <c r="H1529" s="116"/>
      <c r="I1529" s="116"/>
      <c r="L1529" s="170">
        <v>44253</v>
      </c>
      <c r="M1529" s="116">
        <v>1442.5</v>
      </c>
      <c r="N1529" s="116">
        <v>1493.5</v>
      </c>
      <c r="O1529" s="116">
        <v>1435.15</v>
      </c>
      <c r="P1529" s="116">
        <v>1482</v>
      </c>
      <c r="Q1529" s="116">
        <v>1442.5</v>
      </c>
      <c r="R1529">
        <v>5579058</v>
      </c>
    </row>
    <row r="1530" spans="1:18" x14ac:dyDescent="0.25">
      <c r="A1530" s="170">
        <v>44256</v>
      </c>
      <c r="B1530" s="116">
        <v>1486.2</v>
      </c>
      <c r="C1530" s="116">
        <v>1472.85</v>
      </c>
      <c r="D1530" s="116">
        <v>1439.6</v>
      </c>
      <c r="E1530" s="116">
        <v>1450</v>
      </c>
      <c r="F1530" s="116">
        <v>1472.85</v>
      </c>
      <c r="G1530">
        <v>175372</v>
      </c>
      <c r="H1530" s="116"/>
      <c r="I1530" s="116"/>
      <c r="L1530" s="170">
        <v>44256</v>
      </c>
      <c r="M1530" s="116">
        <v>1472.85</v>
      </c>
      <c r="N1530" s="116">
        <v>1486</v>
      </c>
      <c r="O1530" s="116">
        <v>1438.2</v>
      </c>
      <c r="P1530" s="116">
        <v>1456</v>
      </c>
      <c r="Q1530" s="116">
        <v>1472.85</v>
      </c>
      <c r="R1530">
        <v>2494481</v>
      </c>
    </row>
    <row r="1531" spans="1:18" x14ac:dyDescent="0.25">
      <c r="A1531" s="170">
        <v>44257</v>
      </c>
      <c r="B1531" s="116">
        <v>1489.55</v>
      </c>
      <c r="C1531" s="116">
        <v>1485.6</v>
      </c>
      <c r="D1531" s="116">
        <v>1465</v>
      </c>
      <c r="E1531" s="116">
        <v>1483.8</v>
      </c>
      <c r="F1531" s="116">
        <v>1485.6</v>
      </c>
      <c r="G1531">
        <v>131366</v>
      </c>
      <c r="H1531" s="116"/>
      <c r="I1531" s="116"/>
      <c r="L1531" s="170">
        <v>44257</v>
      </c>
      <c r="M1531" s="116">
        <v>1485.65</v>
      </c>
      <c r="N1531" s="116">
        <v>1489.65</v>
      </c>
      <c r="O1531" s="116">
        <v>1458.15</v>
      </c>
      <c r="P1531" s="116">
        <v>1479.3</v>
      </c>
      <c r="Q1531" s="116">
        <v>1485.65</v>
      </c>
      <c r="R1531">
        <v>2089473</v>
      </c>
    </row>
    <row r="1532" spans="1:18" x14ac:dyDescent="0.25">
      <c r="A1532" s="170">
        <v>44258</v>
      </c>
      <c r="B1532" s="116">
        <v>1509.8</v>
      </c>
      <c r="C1532" s="116">
        <v>1496.7</v>
      </c>
      <c r="D1532" s="116">
        <v>1481.8</v>
      </c>
      <c r="E1532" s="116">
        <v>1490</v>
      </c>
      <c r="F1532" s="116">
        <v>1496.7</v>
      </c>
      <c r="G1532">
        <v>107851</v>
      </c>
      <c r="H1532" s="116"/>
      <c r="I1532" s="116"/>
      <c r="L1532" s="170">
        <v>44258</v>
      </c>
      <c r="M1532" s="116">
        <v>1496.9</v>
      </c>
      <c r="N1532" s="116">
        <v>1510</v>
      </c>
      <c r="O1532" s="116">
        <v>1481.35</v>
      </c>
      <c r="P1532" s="116">
        <v>1493.5</v>
      </c>
      <c r="Q1532" s="116">
        <v>1496.9</v>
      </c>
      <c r="R1532">
        <v>2184001</v>
      </c>
    </row>
    <row r="1533" spans="1:18" x14ac:dyDescent="0.25">
      <c r="A1533" s="170">
        <v>44259</v>
      </c>
      <c r="B1533" s="116">
        <v>1488.95</v>
      </c>
      <c r="C1533" s="116">
        <v>1462.1</v>
      </c>
      <c r="D1533" s="116">
        <v>1458.25</v>
      </c>
      <c r="E1533" s="116">
        <v>1475</v>
      </c>
      <c r="F1533" s="116">
        <v>1462.1</v>
      </c>
      <c r="G1533">
        <v>300482</v>
      </c>
      <c r="H1533" s="116"/>
      <c r="I1533" s="116"/>
      <c r="L1533" s="170">
        <v>44259</v>
      </c>
      <c r="M1533" s="116">
        <v>1462.6</v>
      </c>
      <c r="N1533" s="116">
        <v>1494.35</v>
      </c>
      <c r="O1533" s="116">
        <v>1458</v>
      </c>
      <c r="P1533" s="116">
        <v>1473</v>
      </c>
      <c r="Q1533" s="116">
        <v>1462.6</v>
      </c>
      <c r="R1533">
        <v>3530366</v>
      </c>
    </row>
    <row r="1534" spans="1:18" x14ac:dyDescent="0.25">
      <c r="A1534" s="170">
        <v>44260</v>
      </c>
      <c r="B1534" s="116">
        <v>1477.25</v>
      </c>
      <c r="C1534" s="116">
        <v>1463.6</v>
      </c>
      <c r="D1534" s="116">
        <v>1439.6</v>
      </c>
      <c r="E1534" s="116">
        <v>1459</v>
      </c>
      <c r="F1534" s="116">
        <v>1463.6</v>
      </c>
      <c r="G1534">
        <v>143086</v>
      </c>
      <c r="H1534" s="116"/>
      <c r="I1534" s="116"/>
      <c r="L1534" s="170">
        <v>44260</v>
      </c>
      <c r="M1534" s="116">
        <v>1463.55</v>
      </c>
      <c r="N1534" s="116">
        <v>1477.2</v>
      </c>
      <c r="O1534" s="116">
        <v>1439.1</v>
      </c>
      <c r="P1534" s="116">
        <v>1453.6</v>
      </c>
      <c r="Q1534" s="116">
        <v>1463.55</v>
      </c>
      <c r="R1534">
        <v>3306902</v>
      </c>
    </row>
    <row r="1535" spans="1:18" x14ac:dyDescent="0.25">
      <c r="A1535" s="170">
        <v>44263</v>
      </c>
      <c r="B1535" s="116">
        <v>1525</v>
      </c>
      <c r="C1535" s="116">
        <v>1513.85</v>
      </c>
      <c r="D1535" s="116">
        <v>1470</v>
      </c>
      <c r="E1535" s="116">
        <v>1470</v>
      </c>
      <c r="F1535" s="116">
        <v>1513.85</v>
      </c>
      <c r="G1535">
        <v>317385</v>
      </c>
      <c r="H1535" s="116"/>
      <c r="I1535" s="116"/>
      <c r="L1535" s="170">
        <v>44263</v>
      </c>
      <c r="M1535" s="116">
        <v>1515.2</v>
      </c>
      <c r="N1535" s="116">
        <v>1525</v>
      </c>
      <c r="O1535" s="116">
        <v>1470</v>
      </c>
      <c r="P1535" s="116">
        <v>1478</v>
      </c>
      <c r="Q1535" s="116">
        <v>1515.2</v>
      </c>
      <c r="R1535">
        <v>4150049</v>
      </c>
    </row>
    <row r="1536" spans="1:18" x14ac:dyDescent="0.25">
      <c r="A1536" s="170">
        <v>44264</v>
      </c>
      <c r="B1536" s="116">
        <v>1531.9</v>
      </c>
      <c r="C1536" s="116">
        <v>1508.25</v>
      </c>
      <c r="D1536" s="116">
        <v>1492</v>
      </c>
      <c r="E1536" s="116">
        <v>1525</v>
      </c>
      <c r="F1536" s="116">
        <v>1508.25</v>
      </c>
      <c r="G1536">
        <v>127777</v>
      </c>
      <c r="H1536" s="116"/>
      <c r="I1536" s="116"/>
      <c r="L1536" s="170">
        <v>44264</v>
      </c>
      <c r="M1536" s="116">
        <v>1508.3</v>
      </c>
      <c r="N1536" s="116">
        <v>1532.3</v>
      </c>
      <c r="O1536" s="116">
        <v>1491.8</v>
      </c>
      <c r="P1536" s="116">
        <v>1525</v>
      </c>
      <c r="Q1536" s="116">
        <v>1508.3</v>
      </c>
      <c r="R1536">
        <v>3779948</v>
      </c>
    </row>
    <row r="1537" spans="1:18" x14ac:dyDescent="0.25">
      <c r="A1537" s="170">
        <v>44265</v>
      </c>
      <c r="B1537" s="116">
        <v>1534.35</v>
      </c>
      <c r="C1537" s="116">
        <v>1524.1</v>
      </c>
      <c r="D1537" s="116">
        <v>1508.25</v>
      </c>
      <c r="E1537" s="116">
        <v>1525</v>
      </c>
      <c r="F1537" s="116">
        <v>1524.1</v>
      </c>
      <c r="G1537">
        <v>93563</v>
      </c>
      <c r="H1537" s="116"/>
      <c r="I1537" s="116"/>
      <c r="L1537" s="170">
        <v>44265</v>
      </c>
      <c r="M1537" s="116">
        <v>1524.2</v>
      </c>
      <c r="N1537" s="116">
        <v>1534.75</v>
      </c>
      <c r="O1537" s="116">
        <v>1507.5</v>
      </c>
      <c r="P1537" s="116">
        <v>1523</v>
      </c>
      <c r="Q1537" s="116">
        <v>1524.2</v>
      </c>
      <c r="R1537">
        <v>2210547</v>
      </c>
    </row>
    <row r="1538" spans="1:18" x14ac:dyDescent="0.25">
      <c r="A1538" s="170">
        <v>44267</v>
      </c>
      <c r="B1538" s="116">
        <v>1565</v>
      </c>
      <c r="C1538" s="116">
        <v>1514.35</v>
      </c>
      <c r="D1538" s="116">
        <v>1503.55</v>
      </c>
      <c r="E1538" s="116">
        <v>1530</v>
      </c>
      <c r="F1538" s="116">
        <v>1514.35</v>
      </c>
      <c r="G1538">
        <v>227124</v>
      </c>
      <c r="H1538" s="116"/>
      <c r="I1538" s="116"/>
      <c r="L1538" s="170">
        <v>44267</v>
      </c>
      <c r="M1538" s="116">
        <v>1514</v>
      </c>
      <c r="N1538" s="116">
        <v>1565</v>
      </c>
      <c r="O1538" s="116">
        <v>1503.15</v>
      </c>
      <c r="P1538" s="116">
        <v>1526.3</v>
      </c>
      <c r="Q1538" s="116">
        <v>1514</v>
      </c>
      <c r="R1538">
        <v>4885349</v>
      </c>
    </row>
    <row r="1539" spans="1:18" x14ac:dyDescent="0.25">
      <c r="A1539" s="170">
        <v>44270</v>
      </c>
      <c r="B1539" s="116">
        <v>1527.3</v>
      </c>
      <c r="C1539" s="116">
        <v>1484.15</v>
      </c>
      <c r="D1539" s="116">
        <v>1464</v>
      </c>
      <c r="E1539" s="116">
        <v>1515</v>
      </c>
      <c r="F1539" s="116">
        <v>1484.15</v>
      </c>
      <c r="G1539">
        <v>179831</v>
      </c>
      <c r="H1539" s="116"/>
      <c r="I1539" s="116"/>
      <c r="L1539" s="170">
        <v>44270</v>
      </c>
      <c r="M1539" s="116">
        <v>1483.75</v>
      </c>
      <c r="N1539" s="116">
        <v>1528.1</v>
      </c>
      <c r="O1539" s="116">
        <v>1463.3</v>
      </c>
      <c r="P1539" s="116">
        <v>1520</v>
      </c>
      <c r="Q1539" s="116">
        <v>1483.75</v>
      </c>
      <c r="R1539">
        <v>3181524</v>
      </c>
    </row>
    <row r="1540" spans="1:18" x14ac:dyDescent="0.25">
      <c r="A1540" s="170">
        <v>44271</v>
      </c>
      <c r="B1540" s="116">
        <v>1497.2</v>
      </c>
      <c r="C1540" s="116">
        <v>1461</v>
      </c>
      <c r="D1540" s="116">
        <v>1457</v>
      </c>
      <c r="E1540" s="116">
        <v>1487</v>
      </c>
      <c r="F1540" s="116">
        <v>1461</v>
      </c>
      <c r="G1540">
        <v>150594</v>
      </c>
      <c r="H1540" s="116"/>
      <c r="I1540" s="116"/>
      <c r="L1540" s="170">
        <v>44271</v>
      </c>
      <c r="M1540" s="116">
        <v>1461.8</v>
      </c>
      <c r="N1540" s="116">
        <v>1497</v>
      </c>
      <c r="O1540" s="116">
        <v>1457</v>
      </c>
      <c r="P1540" s="116">
        <v>1488.3</v>
      </c>
      <c r="Q1540" s="116">
        <v>1461.8</v>
      </c>
      <c r="R1540">
        <v>3233903</v>
      </c>
    </row>
    <row r="1541" spans="1:18" x14ac:dyDescent="0.25">
      <c r="A1541" s="170">
        <v>44272</v>
      </c>
      <c r="B1541" s="116">
        <v>1493.85</v>
      </c>
      <c r="C1541" s="116">
        <v>1438.25</v>
      </c>
      <c r="D1541" s="116">
        <v>1431.65</v>
      </c>
      <c r="E1541" s="116">
        <v>1484</v>
      </c>
      <c r="F1541" s="116">
        <v>1438.25</v>
      </c>
      <c r="G1541">
        <v>181099</v>
      </c>
      <c r="H1541" s="116"/>
      <c r="I1541" s="116"/>
      <c r="L1541" s="170">
        <v>44272</v>
      </c>
      <c r="M1541" s="116">
        <v>1437.65</v>
      </c>
      <c r="N1541" s="116">
        <v>1492.95</v>
      </c>
      <c r="O1541" s="116">
        <v>1431.75</v>
      </c>
      <c r="P1541" s="116">
        <v>1476</v>
      </c>
      <c r="Q1541" s="116">
        <v>1437.65</v>
      </c>
      <c r="R1541">
        <v>5178384</v>
      </c>
    </row>
    <row r="1542" spans="1:18" x14ac:dyDescent="0.25">
      <c r="A1542" s="170">
        <v>44273</v>
      </c>
      <c r="B1542" s="116">
        <v>1469</v>
      </c>
      <c r="C1542" s="116">
        <v>1428.45</v>
      </c>
      <c r="D1542" s="116">
        <v>1420</v>
      </c>
      <c r="E1542" s="116">
        <v>1452.35</v>
      </c>
      <c r="F1542" s="116">
        <v>1428.45</v>
      </c>
      <c r="G1542">
        <v>177421</v>
      </c>
      <c r="H1542" s="116"/>
      <c r="I1542" s="116"/>
      <c r="L1542" s="170">
        <v>44273</v>
      </c>
      <c r="M1542" s="116">
        <v>1428.1</v>
      </c>
      <c r="N1542" s="116">
        <v>1469.7</v>
      </c>
      <c r="O1542" s="116">
        <v>1420</v>
      </c>
      <c r="P1542" s="116">
        <v>1455.55</v>
      </c>
      <c r="Q1542" s="116">
        <v>1428.1</v>
      </c>
      <c r="R1542">
        <v>3381940</v>
      </c>
    </row>
    <row r="1543" spans="1:18" x14ac:dyDescent="0.25">
      <c r="A1543" s="170">
        <v>44274</v>
      </c>
      <c r="B1543" s="116">
        <v>1421.65</v>
      </c>
      <c r="C1543" s="116">
        <v>1411.25</v>
      </c>
      <c r="D1543" s="116">
        <v>1378.65</v>
      </c>
      <c r="E1543" s="116">
        <v>1416</v>
      </c>
      <c r="F1543" s="116">
        <v>1411.25</v>
      </c>
      <c r="G1543">
        <v>283381</v>
      </c>
      <c r="H1543" s="116"/>
      <c r="I1543" s="116"/>
      <c r="L1543" s="170">
        <v>44274</v>
      </c>
      <c r="M1543" s="116">
        <v>1411.25</v>
      </c>
      <c r="N1543" s="116">
        <v>1421.85</v>
      </c>
      <c r="O1543" s="116">
        <v>1378.6</v>
      </c>
      <c r="P1543" s="116">
        <v>1415</v>
      </c>
      <c r="Q1543" s="116">
        <v>1411.25</v>
      </c>
      <c r="R1543">
        <v>9920812</v>
      </c>
    </row>
    <row r="1544" spans="1:18" x14ac:dyDescent="0.25">
      <c r="A1544" s="170">
        <v>44277</v>
      </c>
      <c r="B1544" s="116">
        <v>1417.6</v>
      </c>
      <c r="C1544" s="116">
        <v>1399.85</v>
      </c>
      <c r="D1544" s="116">
        <v>1392</v>
      </c>
      <c r="E1544" s="116">
        <v>1395</v>
      </c>
      <c r="F1544" s="116">
        <v>1399.85</v>
      </c>
      <c r="G1544">
        <v>128975</v>
      </c>
      <c r="H1544" s="116"/>
      <c r="I1544" s="116"/>
      <c r="L1544" s="170">
        <v>44277</v>
      </c>
      <c r="M1544" s="116">
        <v>1400.05</v>
      </c>
      <c r="N1544" s="116">
        <v>1417.4</v>
      </c>
      <c r="O1544" s="116">
        <v>1392.25</v>
      </c>
      <c r="P1544" s="116">
        <v>1409</v>
      </c>
      <c r="Q1544" s="116">
        <v>1400.05</v>
      </c>
      <c r="R1544">
        <v>2964175</v>
      </c>
    </row>
    <row r="1545" spans="1:18" x14ac:dyDescent="0.25">
      <c r="A1545" s="170">
        <v>44278</v>
      </c>
      <c r="B1545" s="116">
        <v>1416</v>
      </c>
      <c r="C1545" s="116">
        <v>1404.75</v>
      </c>
      <c r="D1545" s="116">
        <v>1397.7</v>
      </c>
      <c r="E1545" s="116">
        <v>1407</v>
      </c>
      <c r="F1545" s="116">
        <v>1404.75</v>
      </c>
      <c r="G1545">
        <v>113246</v>
      </c>
      <c r="H1545" s="116"/>
      <c r="I1545" s="116"/>
      <c r="L1545" s="170">
        <v>44278</v>
      </c>
      <c r="M1545" s="116">
        <v>1404.35</v>
      </c>
      <c r="N1545" s="116">
        <v>1416.5</v>
      </c>
      <c r="O1545" s="116">
        <v>1398.1</v>
      </c>
      <c r="P1545" s="116">
        <v>1401.9</v>
      </c>
      <c r="Q1545" s="116">
        <v>1404.35</v>
      </c>
      <c r="R1545">
        <v>2564844</v>
      </c>
    </row>
    <row r="1546" spans="1:18" x14ac:dyDescent="0.25">
      <c r="A1546" s="170">
        <v>44279</v>
      </c>
      <c r="B1546" s="116">
        <v>1406.95</v>
      </c>
      <c r="C1546" s="116">
        <v>1368.55</v>
      </c>
      <c r="D1546" s="116">
        <v>1360.5</v>
      </c>
      <c r="E1546" s="116">
        <v>1401.7</v>
      </c>
      <c r="F1546" s="116">
        <v>1368.55</v>
      </c>
      <c r="G1546">
        <v>168863</v>
      </c>
      <c r="H1546" s="116"/>
      <c r="I1546" s="116"/>
      <c r="L1546" s="170">
        <v>44279</v>
      </c>
      <c r="M1546" s="116">
        <v>1369.15</v>
      </c>
      <c r="N1546" s="116">
        <v>1407</v>
      </c>
      <c r="O1546" s="116">
        <v>1360.05</v>
      </c>
      <c r="P1546" s="116">
        <v>1400</v>
      </c>
      <c r="Q1546" s="116">
        <v>1369.15</v>
      </c>
      <c r="R1546">
        <v>4237815</v>
      </c>
    </row>
    <row r="1547" spans="1:18" x14ac:dyDescent="0.25">
      <c r="A1547" s="170">
        <v>44280</v>
      </c>
      <c r="B1547" s="116">
        <v>1388.85</v>
      </c>
      <c r="C1547" s="116">
        <v>1371.45</v>
      </c>
      <c r="D1547" s="116">
        <v>1361.1</v>
      </c>
      <c r="E1547" s="116">
        <v>1368.7</v>
      </c>
      <c r="F1547" s="116">
        <v>1371.45</v>
      </c>
      <c r="G1547">
        <v>139322</v>
      </c>
      <c r="H1547" s="116"/>
      <c r="I1547" s="116"/>
      <c r="L1547" s="170">
        <v>44280</v>
      </c>
      <c r="M1547" s="116">
        <v>1371.1</v>
      </c>
      <c r="N1547" s="116">
        <v>1389</v>
      </c>
      <c r="O1547" s="116">
        <v>1361</v>
      </c>
      <c r="P1547" s="116">
        <v>1361</v>
      </c>
      <c r="Q1547" s="116">
        <v>1371.1</v>
      </c>
      <c r="R1547">
        <v>3894604</v>
      </c>
    </row>
    <row r="1548" spans="1:18" x14ac:dyDescent="0.25">
      <c r="A1548" s="170">
        <v>44281</v>
      </c>
      <c r="B1548" s="116">
        <v>1408</v>
      </c>
      <c r="C1548" s="116">
        <v>1397.55</v>
      </c>
      <c r="D1548" s="116">
        <v>1378</v>
      </c>
      <c r="E1548" s="116">
        <v>1378</v>
      </c>
      <c r="F1548" s="116">
        <v>1397.55</v>
      </c>
      <c r="G1548">
        <v>286230</v>
      </c>
      <c r="H1548" s="116"/>
      <c r="I1548" s="116"/>
      <c r="L1548" s="170">
        <v>44281</v>
      </c>
      <c r="M1548" s="116">
        <v>1398.3</v>
      </c>
      <c r="N1548" s="116">
        <v>1408</v>
      </c>
      <c r="O1548" s="116">
        <v>1382</v>
      </c>
      <c r="P1548" s="116">
        <v>1386.3</v>
      </c>
      <c r="Q1548" s="116">
        <v>1398.3</v>
      </c>
      <c r="R1548">
        <v>3093766</v>
      </c>
    </row>
    <row r="1549" spans="1:18" x14ac:dyDescent="0.25">
      <c r="A1549" s="170">
        <v>44285</v>
      </c>
      <c r="B1549" s="116">
        <v>1427.45</v>
      </c>
      <c r="C1549" s="116">
        <v>1423.15</v>
      </c>
      <c r="D1549" s="116">
        <v>1396.3</v>
      </c>
      <c r="E1549" s="116">
        <v>1401</v>
      </c>
      <c r="F1549" s="116">
        <v>1423.15</v>
      </c>
      <c r="G1549">
        <v>140946</v>
      </c>
      <c r="H1549" s="116"/>
      <c r="I1549" s="116"/>
      <c r="L1549" s="170">
        <v>44285</v>
      </c>
      <c r="M1549" s="116">
        <v>1423.55</v>
      </c>
      <c r="N1549" s="116">
        <v>1428.2</v>
      </c>
      <c r="O1549" s="116">
        <v>1395.55</v>
      </c>
      <c r="P1549" s="116">
        <v>1408</v>
      </c>
      <c r="Q1549" s="116">
        <v>1423.55</v>
      </c>
      <c r="R1549">
        <v>2801283</v>
      </c>
    </row>
    <row r="1550" spans="1:18" x14ac:dyDescent="0.25">
      <c r="A1550" s="170">
        <v>44286</v>
      </c>
      <c r="B1550" s="116">
        <v>1431</v>
      </c>
      <c r="C1550" s="116">
        <v>1418.35</v>
      </c>
      <c r="D1550" s="116">
        <v>1410.5</v>
      </c>
      <c r="E1550" s="116">
        <v>1425</v>
      </c>
      <c r="F1550" s="116">
        <v>1418.35</v>
      </c>
      <c r="G1550">
        <v>92772</v>
      </c>
      <c r="H1550" s="116"/>
      <c r="I1550" s="116"/>
      <c r="L1550" s="170">
        <v>44286</v>
      </c>
      <c r="M1550" s="116">
        <v>1418.9</v>
      </c>
      <c r="N1550" s="116">
        <v>1431.6</v>
      </c>
      <c r="O1550" s="116">
        <v>1410.4</v>
      </c>
      <c r="P1550" s="116">
        <v>1423.6</v>
      </c>
      <c r="Q1550" s="116">
        <v>1418.9</v>
      </c>
      <c r="R1550">
        <v>2400871</v>
      </c>
    </row>
    <row r="1551" spans="1:18" x14ac:dyDescent="0.25">
      <c r="A1551" s="170">
        <v>44287</v>
      </c>
      <c r="B1551" s="116">
        <v>1447.8</v>
      </c>
      <c r="C1551" s="116">
        <v>1444.55</v>
      </c>
      <c r="D1551" s="116">
        <v>1420.55</v>
      </c>
      <c r="E1551" s="116">
        <v>1430.5</v>
      </c>
      <c r="F1551" s="116">
        <v>1444.55</v>
      </c>
      <c r="G1551">
        <v>63804</v>
      </c>
      <c r="H1551" s="116"/>
      <c r="I1551" s="116"/>
      <c r="L1551" s="170">
        <v>44287</v>
      </c>
      <c r="M1551" s="116">
        <v>1444.6</v>
      </c>
      <c r="N1551" s="116">
        <v>1447.85</v>
      </c>
      <c r="O1551" s="116">
        <v>1420.5</v>
      </c>
      <c r="P1551" s="116">
        <v>1432</v>
      </c>
      <c r="Q1551" s="116">
        <v>1444.6</v>
      </c>
      <c r="R1551">
        <v>1380763</v>
      </c>
    </row>
    <row r="1552" spans="1:18" x14ac:dyDescent="0.25">
      <c r="A1552" s="170">
        <v>44291</v>
      </c>
      <c r="B1552" s="116">
        <v>1444</v>
      </c>
      <c r="C1552" s="116">
        <v>1403.55</v>
      </c>
      <c r="D1552" s="116">
        <v>1382</v>
      </c>
      <c r="E1552" s="116">
        <v>1444</v>
      </c>
      <c r="F1552" s="116">
        <v>1403.55</v>
      </c>
      <c r="G1552">
        <v>98093</v>
      </c>
      <c r="H1552" s="116"/>
      <c r="I1552" s="116"/>
      <c r="L1552" s="170">
        <v>44291</v>
      </c>
      <c r="M1552" s="116">
        <v>1403.8</v>
      </c>
      <c r="N1552" s="116">
        <v>1439</v>
      </c>
      <c r="O1552" s="116">
        <v>1381.4</v>
      </c>
      <c r="P1552" s="116">
        <v>1439</v>
      </c>
      <c r="Q1552" s="116">
        <v>1403.8</v>
      </c>
      <c r="R1552">
        <v>2548649</v>
      </c>
    </row>
    <row r="1553" spans="1:18" x14ac:dyDescent="0.25">
      <c r="A1553" s="170">
        <v>44292</v>
      </c>
      <c r="B1553" s="116">
        <v>1416.55</v>
      </c>
      <c r="C1553" s="116">
        <v>1400.85</v>
      </c>
      <c r="D1553" s="116">
        <v>1394</v>
      </c>
      <c r="E1553" s="116">
        <v>1403.55</v>
      </c>
      <c r="F1553" s="116">
        <v>1400.85</v>
      </c>
      <c r="G1553">
        <v>53879</v>
      </c>
      <c r="H1553" s="116"/>
      <c r="I1553" s="116"/>
      <c r="L1553" s="170">
        <v>44292</v>
      </c>
      <c r="M1553" s="116">
        <v>1401</v>
      </c>
      <c r="N1553" s="116">
        <v>1416.3</v>
      </c>
      <c r="O1553" s="116">
        <v>1393.3</v>
      </c>
      <c r="P1553" s="116">
        <v>1405.9</v>
      </c>
      <c r="Q1553" s="116">
        <v>1401</v>
      </c>
      <c r="R1553">
        <v>1824079</v>
      </c>
    </row>
    <row r="1554" spans="1:18" x14ac:dyDescent="0.25">
      <c r="A1554" s="170">
        <v>44293</v>
      </c>
      <c r="B1554" s="116">
        <v>1417</v>
      </c>
      <c r="C1554" s="116">
        <v>1403.9</v>
      </c>
      <c r="D1554" s="116">
        <v>1389.65</v>
      </c>
      <c r="E1554" s="116">
        <v>1409</v>
      </c>
      <c r="F1554" s="116">
        <v>1403.9</v>
      </c>
      <c r="G1554">
        <v>53037</v>
      </c>
      <c r="H1554" s="116"/>
      <c r="I1554" s="116"/>
      <c r="L1554" s="170">
        <v>44293</v>
      </c>
      <c r="M1554" s="116">
        <v>1404.15</v>
      </c>
      <c r="N1554" s="116">
        <v>1417.2</v>
      </c>
      <c r="O1554" s="116">
        <v>1389.25</v>
      </c>
      <c r="P1554" s="116">
        <v>1402</v>
      </c>
      <c r="Q1554" s="116">
        <v>1404.15</v>
      </c>
      <c r="R1554">
        <v>1841308</v>
      </c>
    </row>
    <row r="1555" spans="1:18" x14ac:dyDescent="0.25">
      <c r="A1555" s="170">
        <v>44294</v>
      </c>
      <c r="B1555" s="116">
        <v>1434.1</v>
      </c>
      <c r="C1555" s="116">
        <v>1419.1</v>
      </c>
      <c r="D1555" s="116">
        <v>1407.1</v>
      </c>
      <c r="E1555" s="116">
        <v>1407.1</v>
      </c>
      <c r="F1555" s="116">
        <v>1419.1</v>
      </c>
      <c r="G1555">
        <v>427444</v>
      </c>
      <c r="H1555" s="116"/>
      <c r="I1555" s="116"/>
      <c r="L1555" s="170">
        <v>44294</v>
      </c>
      <c r="M1555" s="116">
        <v>1419.15</v>
      </c>
      <c r="N1555" s="116">
        <v>1434.8</v>
      </c>
      <c r="O1555" s="116">
        <v>1410</v>
      </c>
      <c r="P1555" s="116">
        <v>1410</v>
      </c>
      <c r="Q1555" s="116">
        <v>1419.15</v>
      </c>
      <c r="R1555">
        <v>1644834</v>
      </c>
    </row>
    <row r="1556" spans="1:18" x14ac:dyDescent="0.25">
      <c r="A1556" s="170">
        <v>44295</v>
      </c>
      <c r="B1556" s="116">
        <v>1419.1</v>
      </c>
      <c r="C1556" s="116">
        <v>1404</v>
      </c>
      <c r="D1556" s="116">
        <v>1397.1</v>
      </c>
      <c r="E1556" s="116">
        <v>1419.1</v>
      </c>
      <c r="F1556" s="116">
        <v>1404</v>
      </c>
      <c r="G1556">
        <v>57226</v>
      </c>
      <c r="H1556" s="116"/>
      <c r="I1556" s="116"/>
      <c r="L1556" s="170">
        <v>44295</v>
      </c>
      <c r="M1556" s="116">
        <v>1404.1</v>
      </c>
      <c r="N1556" s="116">
        <v>1417</v>
      </c>
      <c r="O1556" s="116">
        <v>1397.1</v>
      </c>
      <c r="P1556" s="116">
        <v>1414</v>
      </c>
      <c r="Q1556" s="116">
        <v>1404.1</v>
      </c>
      <c r="R1556">
        <v>2015002</v>
      </c>
    </row>
    <row r="1557" spans="1:18" x14ac:dyDescent="0.25">
      <c r="A1557" s="170">
        <v>44298</v>
      </c>
      <c r="B1557" s="116">
        <v>1394.5</v>
      </c>
      <c r="C1557" s="116">
        <v>1345.1</v>
      </c>
      <c r="D1557" s="116">
        <v>1332.2</v>
      </c>
      <c r="E1557" s="116">
        <v>1394.5</v>
      </c>
      <c r="F1557" s="116">
        <v>1345.1</v>
      </c>
      <c r="G1557">
        <v>157079</v>
      </c>
      <c r="H1557" s="116"/>
      <c r="I1557" s="116"/>
      <c r="L1557" s="170">
        <v>44298</v>
      </c>
      <c r="M1557" s="116">
        <v>1345.15</v>
      </c>
      <c r="N1557" s="116">
        <v>1393.95</v>
      </c>
      <c r="O1557" s="116">
        <v>1332</v>
      </c>
      <c r="P1557" s="116">
        <v>1393.95</v>
      </c>
      <c r="Q1557" s="116">
        <v>1345.15</v>
      </c>
      <c r="R1557">
        <v>3755497</v>
      </c>
    </row>
    <row r="1558" spans="1:18" x14ac:dyDescent="0.25">
      <c r="A1558" s="170">
        <v>44299</v>
      </c>
      <c r="B1558" s="116">
        <v>1381</v>
      </c>
      <c r="C1558" s="116">
        <v>1373.5</v>
      </c>
      <c r="D1558" s="116">
        <v>1345.1</v>
      </c>
      <c r="E1558" s="116">
        <v>1345.1</v>
      </c>
      <c r="F1558" s="116">
        <v>1373.5</v>
      </c>
      <c r="G1558">
        <v>85494</v>
      </c>
      <c r="H1558" s="116"/>
      <c r="I1558" s="116"/>
      <c r="L1558" s="170">
        <v>44299</v>
      </c>
      <c r="M1558" s="116">
        <v>1373.7</v>
      </c>
      <c r="N1558" s="116">
        <v>1382</v>
      </c>
      <c r="O1558" s="116">
        <v>1347.25</v>
      </c>
      <c r="P1558" s="116">
        <v>1347.25</v>
      </c>
      <c r="Q1558" s="116">
        <v>1373.7</v>
      </c>
      <c r="R1558">
        <v>2063654</v>
      </c>
    </row>
    <row r="1559" spans="1:18" x14ac:dyDescent="0.25">
      <c r="A1559" s="170">
        <v>44301</v>
      </c>
      <c r="B1559" s="116">
        <v>1390.5</v>
      </c>
      <c r="C1559" s="116">
        <v>1374.65</v>
      </c>
      <c r="D1559" s="116">
        <v>1358.1</v>
      </c>
      <c r="E1559" s="116">
        <v>1372.7</v>
      </c>
      <c r="F1559" s="116">
        <v>1374.65</v>
      </c>
      <c r="G1559">
        <v>243236</v>
      </c>
      <c r="H1559" s="116"/>
      <c r="I1559" s="116"/>
      <c r="L1559" s="170">
        <v>44301</v>
      </c>
      <c r="M1559" s="116">
        <v>1374.65</v>
      </c>
      <c r="N1559" s="116">
        <v>1391.1</v>
      </c>
      <c r="O1559" s="116">
        <v>1358.1</v>
      </c>
      <c r="P1559" s="116">
        <v>1378.95</v>
      </c>
      <c r="Q1559" s="116">
        <v>1374.65</v>
      </c>
      <c r="R1559">
        <v>2625838</v>
      </c>
    </row>
    <row r="1560" spans="1:18" x14ac:dyDescent="0.25">
      <c r="A1560" s="170">
        <v>44302</v>
      </c>
      <c r="B1560" s="116">
        <v>1392.35</v>
      </c>
      <c r="C1560" s="116">
        <v>1359.7</v>
      </c>
      <c r="D1560" s="116">
        <v>1356</v>
      </c>
      <c r="E1560" s="116">
        <v>1373.4</v>
      </c>
      <c r="F1560" s="116">
        <v>1359.7</v>
      </c>
      <c r="G1560">
        <v>96825</v>
      </c>
      <c r="H1560" s="116"/>
      <c r="I1560" s="116"/>
      <c r="L1560" s="170">
        <v>44302</v>
      </c>
      <c r="M1560" s="116">
        <v>1359.15</v>
      </c>
      <c r="N1560" s="116">
        <v>1393.3</v>
      </c>
      <c r="O1560" s="116">
        <v>1355.3</v>
      </c>
      <c r="P1560" s="116">
        <v>1360.5</v>
      </c>
      <c r="Q1560" s="116">
        <v>1359.15</v>
      </c>
      <c r="R1560">
        <v>3752588</v>
      </c>
    </row>
    <row r="1561" spans="1:18" x14ac:dyDescent="0.25">
      <c r="A1561" s="170">
        <v>44305</v>
      </c>
      <c r="B1561" s="116">
        <v>1346</v>
      </c>
      <c r="C1561" s="116">
        <v>1310.8</v>
      </c>
      <c r="D1561" s="116">
        <v>1306.4000000000001</v>
      </c>
      <c r="E1561" s="116">
        <v>1336.3</v>
      </c>
      <c r="F1561" s="116">
        <v>1310.8</v>
      </c>
      <c r="G1561">
        <v>260369</v>
      </c>
      <c r="H1561" s="116"/>
      <c r="I1561" s="116"/>
      <c r="L1561" s="170">
        <v>44305</v>
      </c>
      <c r="M1561" s="116">
        <v>1310.45</v>
      </c>
      <c r="N1561" s="116">
        <v>1346.2</v>
      </c>
      <c r="O1561" s="116">
        <v>1306</v>
      </c>
      <c r="P1561" s="116">
        <v>1340</v>
      </c>
      <c r="Q1561" s="116">
        <v>1310.45</v>
      </c>
      <c r="R1561">
        <v>4157065</v>
      </c>
    </row>
    <row r="1562" spans="1:18" x14ac:dyDescent="0.25">
      <c r="A1562" s="170">
        <v>44306</v>
      </c>
      <c r="B1562" s="116">
        <v>1339.45</v>
      </c>
      <c r="C1562" s="116">
        <v>1331.5</v>
      </c>
      <c r="D1562" s="116">
        <v>1318.2</v>
      </c>
      <c r="E1562" s="116">
        <v>1318.2</v>
      </c>
      <c r="F1562" s="116">
        <v>1331.5</v>
      </c>
      <c r="G1562">
        <v>158558</v>
      </c>
      <c r="H1562" s="116"/>
      <c r="I1562" s="116"/>
      <c r="L1562" s="170">
        <v>44306</v>
      </c>
      <c r="M1562" s="116">
        <v>1331.5</v>
      </c>
      <c r="N1562" s="116">
        <v>1339.45</v>
      </c>
      <c r="O1562" s="116">
        <v>1317.7</v>
      </c>
      <c r="P1562" s="116">
        <v>1320</v>
      </c>
      <c r="Q1562" s="116">
        <v>1331.5</v>
      </c>
      <c r="R1562">
        <v>2989204</v>
      </c>
    </row>
    <row r="1563" spans="1:18" x14ac:dyDescent="0.25">
      <c r="A1563" s="170">
        <v>44308</v>
      </c>
      <c r="B1563" s="116">
        <v>1340</v>
      </c>
      <c r="C1563" s="116">
        <v>1336.2</v>
      </c>
      <c r="D1563" s="116">
        <v>1307.95</v>
      </c>
      <c r="E1563" s="116">
        <v>1313.8</v>
      </c>
      <c r="F1563" s="116">
        <v>1336.2</v>
      </c>
      <c r="G1563">
        <v>166555</v>
      </c>
      <c r="H1563" s="116"/>
      <c r="I1563" s="116"/>
      <c r="L1563" s="170">
        <v>44308</v>
      </c>
      <c r="M1563" s="116">
        <v>1336.8</v>
      </c>
      <c r="N1563" s="116">
        <v>1339.5</v>
      </c>
      <c r="O1563" s="116">
        <v>1307.25</v>
      </c>
      <c r="P1563" s="116">
        <v>1310</v>
      </c>
      <c r="Q1563" s="116">
        <v>1336.8</v>
      </c>
      <c r="R1563">
        <v>2398100</v>
      </c>
    </row>
    <row r="1564" spans="1:18" x14ac:dyDescent="0.25">
      <c r="A1564" s="170">
        <v>44309</v>
      </c>
      <c r="B1564" s="116">
        <v>1344.25</v>
      </c>
      <c r="C1564" s="116">
        <v>1322.9</v>
      </c>
      <c r="D1564" s="116">
        <v>1314.8</v>
      </c>
      <c r="E1564" s="116">
        <v>1337</v>
      </c>
      <c r="F1564" s="116">
        <v>1322.9</v>
      </c>
      <c r="G1564">
        <v>64950</v>
      </c>
      <c r="H1564" s="116"/>
      <c r="I1564" s="116"/>
      <c r="L1564" s="170">
        <v>44309</v>
      </c>
      <c r="M1564" s="116">
        <v>1322.9</v>
      </c>
      <c r="N1564" s="116">
        <v>1344.65</v>
      </c>
      <c r="O1564" s="116">
        <v>1314.45</v>
      </c>
      <c r="P1564" s="116">
        <v>1330</v>
      </c>
      <c r="Q1564" s="116">
        <v>1322.9</v>
      </c>
      <c r="R1564">
        <v>2062964</v>
      </c>
    </row>
    <row r="1565" spans="1:18" x14ac:dyDescent="0.25">
      <c r="A1565" s="170">
        <v>44312</v>
      </c>
      <c r="B1565" s="116">
        <v>1341.95</v>
      </c>
      <c r="C1565" s="116">
        <v>1335.85</v>
      </c>
      <c r="D1565" s="116">
        <v>1322.9</v>
      </c>
      <c r="E1565" s="116">
        <v>1322.9</v>
      </c>
      <c r="F1565" s="116">
        <v>1335.85</v>
      </c>
      <c r="G1565">
        <v>53273</v>
      </c>
      <c r="H1565" s="116"/>
      <c r="I1565" s="116"/>
      <c r="L1565" s="170">
        <v>44312</v>
      </c>
      <c r="M1565" s="116">
        <v>1335.9</v>
      </c>
      <c r="N1565" s="116">
        <v>1341.2</v>
      </c>
      <c r="O1565" s="116">
        <v>1323</v>
      </c>
      <c r="P1565" s="116">
        <v>1330.05</v>
      </c>
      <c r="Q1565" s="116">
        <v>1335.9</v>
      </c>
      <c r="R1565">
        <v>1431562</v>
      </c>
    </row>
    <row r="1566" spans="1:18" x14ac:dyDescent="0.25">
      <c r="A1566" s="170">
        <v>44313</v>
      </c>
      <c r="B1566" s="116">
        <v>1388.55</v>
      </c>
      <c r="C1566" s="116">
        <v>1380.35</v>
      </c>
      <c r="D1566" s="116">
        <v>1337</v>
      </c>
      <c r="E1566" s="116">
        <v>1338</v>
      </c>
      <c r="F1566" s="116">
        <v>1380.35</v>
      </c>
      <c r="G1566">
        <v>114464</v>
      </c>
      <c r="H1566" s="116"/>
      <c r="I1566" s="116"/>
      <c r="L1566" s="170">
        <v>44313</v>
      </c>
      <c r="M1566" s="116">
        <v>1380.65</v>
      </c>
      <c r="N1566" s="116">
        <v>1388.45</v>
      </c>
      <c r="O1566" s="116">
        <v>1335.9</v>
      </c>
      <c r="P1566" s="116">
        <v>1339</v>
      </c>
      <c r="Q1566" s="116">
        <v>1380.65</v>
      </c>
      <c r="R1566">
        <v>4303909</v>
      </c>
    </row>
    <row r="1567" spans="1:18" x14ac:dyDescent="0.25">
      <c r="A1567" s="170">
        <v>44314</v>
      </c>
      <c r="B1567" s="116">
        <v>1399.5</v>
      </c>
      <c r="C1567" s="116">
        <v>1375.05</v>
      </c>
      <c r="D1567" s="116">
        <v>1370.5</v>
      </c>
      <c r="E1567" s="116">
        <v>1380.35</v>
      </c>
      <c r="F1567" s="116">
        <v>1375.05</v>
      </c>
      <c r="G1567">
        <v>134996</v>
      </c>
      <c r="H1567" s="116"/>
      <c r="I1567" s="116"/>
      <c r="L1567" s="170">
        <v>44314</v>
      </c>
      <c r="M1567" s="116">
        <v>1375.9</v>
      </c>
      <c r="N1567" s="116">
        <v>1399.95</v>
      </c>
      <c r="O1567" s="116">
        <v>1372.5</v>
      </c>
      <c r="P1567" s="116">
        <v>1384.85</v>
      </c>
      <c r="Q1567" s="116">
        <v>1375.9</v>
      </c>
      <c r="R1567">
        <v>3220346</v>
      </c>
    </row>
    <row r="1568" spans="1:18" x14ac:dyDescent="0.25">
      <c r="A1568" s="170">
        <v>44315</v>
      </c>
      <c r="B1568" s="116">
        <v>1389.9</v>
      </c>
      <c r="C1568" s="116">
        <v>1358.5</v>
      </c>
      <c r="D1568" s="116">
        <v>1354</v>
      </c>
      <c r="E1568" s="116">
        <v>1382</v>
      </c>
      <c r="F1568" s="116">
        <v>1358.5</v>
      </c>
      <c r="G1568">
        <v>74703</v>
      </c>
      <c r="H1568" s="116"/>
      <c r="I1568" s="116"/>
      <c r="L1568" s="170">
        <v>44315</v>
      </c>
      <c r="M1568" s="116">
        <v>1358.65</v>
      </c>
      <c r="N1568" s="116">
        <v>1389.55</v>
      </c>
      <c r="O1568" s="116">
        <v>1353.5</v>
      </c>
      <c r="P1568" s="116">
        <v>1383.95</v>
      </c>
      <c r="Q1568" s="116">
        <v>1358.65</v>
      </c>
      <c r="R1568">
        <v>2221346</v>
      </c>
    </row>
    <row r="1569" spans="1:18" x14ac:dyDescent="0.25">
      <c r="A1569" s="170">
        <v>44316</v>
      </c>
      <c r="B1569" s="116">
        <v>1364.85</v>
      </c>
      <c r="C1569" s="116">
        <v>1340.2</v>
      </c>
      <c r="D1569" s="116">
        <v>1337.1</v>
      </c>
      <c r="E1569" s="116">
        <v>1355.8</v>
      </c>
      <c r="F1569" s="116">
        <v>1340.2</v>
      </c>
      <c r="G1569">
        <v>94414</v>
      </c>
      <c r="H1569" s="116"/>
      <c r="I1569" s="116"/>
      <c r="L1569" s="170">
        <v>44316</v>
      </c>
      <c r="M1569" s="116">
        <v>1340.45</v>
      </c>
      <c r="N1569" s="116">
        <v>1365</v>
      </c>
      <c r="O1569" s="116">
        <v>1336.1</v>
      </c>
      <c r="P1569" s="116">
        <v>1350</v>
      </c>
      <c r="Q1569" s="116">
        <v>1340.45</v>
      </c>
      <c r="R1569">
        <v>1968093</v>
      </c>
    </row>
    <row r="1570" spans="1:18" x14ac:dyDescent="0.25">
      <c r="A1570" s="170">
        <v>44319</v>
      </c>
      <c r="B1570" s="116">
        <v>1351.3</v>
      </c>
      <c r="C1570" s="116">
        <v>1342.15</v>
      </c>
      <c r="D1570" s="116">
        <v>1320.65</v>
      </c>
      <c r="E1570" s="116">
        <v>1336</v>
      </c>
      <c r="F1570" s="116">
        <v>1342.15</v>
      </c>
      <c r="G1570">
        <v>412197</v>
      </c>
      <c r="H1570" s="116"/>
      <c r="I1570" s="116"/>
      <c r="L1570" s="170">
        <v>44319</v>
      </c>
      <c r="M1570" s="116">
        <v>1342.5</v>
      </c>
      <c r="N1570" s="116">
        <v>1351.3</v>
      </c>
      <c r="O1570" s="116">
        <v>1319.15</v>
      </c>
      <c r="P1570" s="116">
        <v>1325.5</v>
      </c>
      <c r="Q1570" s="116">
        <v>1342.5</v>
      </c>
      <c r="R1570">
        <v>1653245</v>
      </c>
    </row>
    <row r="1571" spans="1:18" x14ac:dyDescent="0.25">
      <c r="A1571" s="170">
        <v>44320</v>
      </c>
      <c r="B1571" s="116">
        <v>1348.8</v>
      </c>
      <c r="C1571" s="116">
        <v>1337.65</v>
      </c>
      <c r="D1571" s="116">
        <v>1331.5</v>
      </c>
      <c r="E1571" s="116">
        <v>1345</v>
      </c>
      <c r="F1571" s="116">
        <v>1337.65</v>
      </c>
      <c r="G1571">
        <v>50173</v>
      </c>
      <c r="H1571" s="116"/>
      <c r="I1571" s="116"/>
      <c r="L1571" s="170">
        <v>44320</v>
      </c>
      <c r="M1571" s="116">
        <v>1337.6</v>
      </c>
      <c r="N1571" s="116">
        <v>1350.9</v>
      </c>
      <c r="O1571" s="116">
        <v>1331</v>
      </c>
      <c r="P1571" s="116">
        <v>1350</v>
      </c>
      <c r="Q1571" s="116">
        <v>1337.6</v>
      </c>
      <c r="R1571">
        <v>2029558</v>
      </c>
    </row>
    <row r="1572" spans="1:18" x14ac:dyDescent="0.25">
      <c r="A1572" s="170">
        <v>44321</v>
      </c>
      <c r="B1572" s="116">
        <v>1346</v>
      </c>
      <c r="C1572" s="116">
        <v>1338.2</v>
      </c>
      <c r="D1572" s="116">
        <v>1324.2</v>
      </c>
      <c r="E1572" s="116">
        <v>1335</v>
      </c>
      <c r="F1572" s="116">
        <v>1338.2</v>
      </c>
      <c r="G1572">
        <v>76027</v>
      </c>
      <c r="H1572" s="116"/>
      <c r="I1572" s="116"/>
      <c r="L1572" s="170">
        <v>44321</v>
      </c>
      <c r="M1572" s="116">
        <v>1338.65</v>
      </c>
      <c r="N1572" s="116">
        <v>1346.75</v>
      </c>
      <c r="O1572" s="116">
        <v>1324</v>
      </c>
      <c r="P1572" s="116">
        <v>1342.2</v>
      </c>
      <c r="Q1572" s="116">
        <v>1338.65</v>
      </c>
      <c r="R1572">
        <v>1813150</v>
      </c>
    </row>
    <row r="1573" spans="1:18" x14ac:dyDescent="0.25">
      <c r="A1573" s="170">
        <v>44322</v>
      </c>
      <c r="B1573" s="116">
        <v>1356.2</v>
      </c>
      <c r="C1573" s="116">
        <v>1339.85</v>
      </c>
      <c r="D1573" s="116">
        <v>1336.25</v>
      </c>
      <c r="E1573" s="116">
        <v>1341.15</v>
      </c>
      <c r="F1573" s="116">
        <v>1339.85</v>
      </c>
      <c r="G1573">
        <v>150093</v>
      </c>
      <c r="H1573" s="116"/>
      <c r="I1573" s="116"/>
      <c r="L1573" s="170">
        <v>44322</v>
      </c>
      <c r="M1573" s="116">
        <v>1339.9</v>
      </c>
      <c r="N1573" s="116">
        <v>1356.55</v>
      </c>
      <c r="O1573" s="116">
        <v>1335.75</v>
      </c>
      <c r="P1573" s="116">
        <v>1344</v>
      </c>
      <c r="Q1573" s="116">
        <v>1339.9</v>
      </c>
      <c r="R1573">
        <v>2333882</v>
      </c>
    </row>
    <row r="1574" spans="1:18" x14ac:dyDescent="0.25">
      <c r="A1574" s="170">
        <v>44323</v>
      </c>
      <c r="B1574" s="116">
        <v>1359.2</v>
      </c>
      <c r="C1574" s="116">
        <v>1342.9</v>
      </c>
      <c r="D1574" s="116">
        <v>1338.55</v>
      </c>
      <c r="E1574" s="116">
        <v>1346.8</v>
      </c>
      <c r="F1574" s="116">
        <v>1342.9</v>
      </c>
      <c r="G1574">
        <v>54508</v>
      </c>
      <c r="H1574" s="116"/>
      <c r="I1574" s="116"/>
      <c r="L1574" s="170">
        <v>44323</v>
      </c>
      <c r="M1574" s="116">
        <v>1342.7</v>
      </c>
      <c r="N1574" s="116">
        <v>1359.9</v>
      </c>
      <c r="O1574" s="116">
        <v>1339</v>
      </c>
      <c r="P1574" s="116">
        <v>1347</v>
      </c>
      <c r="Q1574" s="116">
        <v>1342.7</v>
      </c>
      <c r="R1574">
        <v>2362325</v>
      </c>
    </row>
    <row r="1575" spans="1:18" x14ac:dyDescent="0.25">
      <c r="A1575" s="170">
        <v>44326</v>
      </c>
      <c r="B1575" s="116">
        <v>1399.25</v>
      </c>
      <c r="C1575" s="116">
        <v>1395.1</v>
      </c>
      <c r="D1575" s="116">
        <v>1350</v>
      </c>
      <c r="E1575" s="116">
        <v>1350</v>
      </c>
      <c r="F1575" s="116">
        <v>1395.1</v>
      </c>
      <c r="G1575">
        <v>262439</v>
      </c>
      <c r="H1575" s="116"/>
      <c r="I1575" s="116"/>
      <c r="L1575" s="170">
        <v>44326</v>
      </c>
      <c r="M1575" s="116">
        <v>1395</v>
      </c>
      <c r="N1575" s="116">
        <v>1398.85</v>
      </c>
      <c r="O1575" s="116">
        <v>1347</v>
      </c>
      <c r="P1575" s="116">
        <v>1347</v>
      </c>
      <c r="Q1575" s="116">
        <v>1395</v>
      </c>
      <c r="R1575">
        <v>3929224</v>
      </c>
    </row>
    <row r="1576" spans="1:18" x14ac:dyDescent="0.25">
      <c r="A1576" s="170">
        <v>44327</v>
      </c>
      <c r="B1576" s="116">
        <v>1399.75</v>
      </c>
      <c r="C1576" s="116">
        <v>1383.7</v>
      </c>
      <c r="D1576" s="116">
        <v>1377</v>
      </c>
      <c r="E1576" s="116">
        <v>1380</v>
      </c>
      <c r="F1576" s="116">
        <v>1383.7</v>
      </c>
      <c r="G1576">
        <v>129544</v>
      </c>
      <c r="H1576" s="116"/>
      <c r="I1576" s="116"/>
      <c r="L1576" s="170">
        <v>44327</v>
      </c>
      <c r="M1576" s="116">
        <v>1383.6</v>
      </c>
      <c r="N1576" s="116">
        <v>1399.9</v>
      </c>
      <c r="O1576" s="116">
        <v>1376.1</v>
      </c>
      <c r="P1576" s="116">
        <v>1380</v>
      </c>
      <c r="Q1576" s="116">
        <v>1383.6</v>
      </c>
      <c r="R1576">
        <v>1975828</v>
      </c>
    </row>
    <row r="1577" spans="1:18" x14ac:dyDescent="0.25">
      <c r="A1577" s="170">
        <v>44328</v>
      </c>
      <c r="B1577" s="116">
        <v>1424.5</v>
      </c>
      <c r="C1577" s="116">
        <v>1384.95</v>
      </c>
      <c r="D1577" s="116">
        <v>1378</v>
      </c>
      <c r="E1577" s="116">
        <v>1383.8</v>
      </c>
      <c r="F1577" s="116">
        <v>1384.95</v>
      </c>
      <c r="G1577">
        <v>452335</v>
      </c>
      <c r="H1577" s="116"/>
      <c r="I1577" s="116"/>
      <c r="L1577" s="170">
        <v>44328</v>
      </c>
      <c r="M1577" s="116">
        <v>1385.3</v>
      </c>
      <c r="N1577" s="116">
        <v>1425</v>
      </c>
      <c r="O1577" s="116">
        <v>1377</v>
      </c>
      <c r="P1577" s="116">
        <v>1380</v>
      </c>
      <c r="Q1577" s="116">
        <v>1385.3</v>
      </c>
      <c r="R1577">
        <v>4283174</v>
      </c>
    </row>
    <row r="1578" spans="1:18" x14ac:dyDescent="0.25">
      <c r="A1578" s="170">
        <v>44330</v>
      </c>
      <c r="B1578" s="116">
        <v>1423.45</v>
      </c>
      <c r="C1578" s="116">
        <v>1415.5</v>
      </c>
      <c r="D1578" s="116">
        <v>1374.05</v>
      </c>
      <c r="E1578" s="116">
        <v>1396</v>
      </c>
      <c r="F1578" s="116">
        <v>1415.5</v>
      </c>
      <c r="G1578">
        <v>222767</v>
      </c>
      <c r="H1578" s="116"/>
      <c r="I1578" s="116"/>
      <c r="L1578" s="170">
        <v>44330</v>
      </c>
      <c r="M1578" s="116">
        <v>1415.5</v>
      </c>
      <c r="N1578" s="116">
        <v>1423.9</v>
      </c>
      <c r="O1578" s="116">
        <v>1374.05</v>
      </c>
      <c r="P1578" s="116">
        <v>1394</v>
      </c>
      <c r="Q1578" s="116">
        <v>1415.5</v>
      </c>
      <c r="R1578">
        <v>4558155</v>
      </c>
    </row>
    <row r="1579" spans="1:18" x14ac:dyDescent="0.25">
      <c r="A1579" s="170">
        <v>44333</v>
      </c>
      <c r="B1579" s="116">
        <v>1441.05</v>
      </c>
      <c r="C1579" s="116">
        <v>1386.85</v>
      </c>
      <c r="D1579" s="116">
        <v>1368.5</v>
      </c>
      <c r="E1579" s="116">
        <v>1431</v>
      </c>
      <c r="F1579" s="116">
        <v>1386.85</v>
      </c>
      <c r="G1579">
        <v>322723</v>
      </c>
      <c r="H1579" s="116"/>
      <c r="I1579" s="116"/>
      <c r="L1579" s="170">
        <v>44333</v>
      </c>
      <c r="M1579" s="116">
        <v>1386.75</v>
      </c>
      <c r="N1579" s="116">
        <v>1441</v>
      </c>
      <c r="O1579" s="116">
        <v>1368.2</v>
      </c>
      <c r="P1579" s="116">
        <v>1433</v>
      </c>
      <c r="Q1579" s="116">
        <v>1386.75</v>
      </c>
      <c r="R1579">
        <v>9620003</v>
      </c>
    </row>
    <row r="1580" spans="1:18" x14ac:dyDescent="0.25">
      <c r="A1580" s="170">
        <v>44334</v>
      </c>
      <c r="B1580" s="116">
        <v>1421.15</v>
      </c>
      <c r="C1580" s="116">
        <v>1417.65</v>
      </c>
      <c r="D1580" s="116">
        <v>1396.55</v>
      </c>
      <c r="E1580" s="116">
        <v>1403</v>
      </c>
      <c r="F1580" s="116">
        <v>1417.65</v>
      </c>
      <c r="G1580">
        <v>206785</v>
      </c>
      <c r="H1580" s="116"/>
      <c r="I1580" s="116"/>
      <c r="L1580" s="170">
        <v>44334</v>
      </c>
      <c r="M1580" s="116">
        <v>1417.3</v>
      </c>
      <c r="N1580" s="116">
        <v>1422</v>
      </c>
      <c r="O1580" s="116">
        <v>1397</v>
      </c>
      <c r="P1580" s="116">
        <v>1405</v>
      </c>
      <c r="Q1580" s="116">
        <v>1417.3</v>
      </c>
      <c r="R1580">
        <v>3312380</v>
      </c>
    </row>
    <row r="1581" spans="1:18" x14ac:dyDescent="0.25">
      <c r="A1581" s="170">
        <v>44335</v>
      </c>
      <c r="B1581" s="116">
        <v>1434.8</v>
      </c>
      <c r="C1581" s="116">
        <v>1403.5</v>
      </c>
      <c r="D1581" s="116">
        <v>1400.2</v>
      </c>
      <c r="E1581" s="116">
        <v>1417.65</v>
      </c>
      <c r="F1581" s="116">
        <v>1403.5</v>
      </c>
      <c r="G1581">
        <v>155714</v>
      </c>
      <c r="H1581" s="116"/>
      <c r="I1581" s="116"/>
      <c r="L1581" s="170">
        <v>44335</v>
      </c>
      <c r="M1581" s="116">
        <v>1403.45</v>
      </c>
      <c r="N1581" s="116">
        <v>1435</v>
      </c>
      <c r="O1581" s="116">
        <v>1400</v>
      </c>
      <c r="P1581" s="116">
        <v>1414</v>
      </c>
      <c r="Q1581" s="116">
        <v>1403.45</v>
      </c>
      <c r="R1581">
        <v>3215258</v>
      </c>
    </row>
    <row r="1582" spans="1:18" x14ac:dyDescent="0.25">
      <c r="A1582" s="170">
        <v>44336</v>
      </c>
      <c r="B1582" s="116">
        <v>1426.2</v>
      </c>
      <c r="C1582" s="116">
        <v>1409.65</v>
      </c>
      <c r="D1582" s="116">
        <v>1402</v>
      </c>
      <c r="E1582" s="116">
        <v>1402.55</v>
      </c>
      <c r="F1582" s="116">
        <v>1409.65</v>
      </c>
      <c r="G1582">
        <v>159900</v>
      </c>
      <c r="H1582" s="116"/>
      <c r="I1582" s="116"/>
      <c r="L1582" s="170">
        <v>44336</v>
      </c>
      <c r="M1582" s="116">
        <v>1409.75</v>
      </c>
      <c r="N1582" s="116">
        <v>1426.95</v>
      </c>
      <c r="O1582" s="116">
        <v>1401.65</v>
      </c>
      <c r="P1582" s="116">
        <v>1410.8</v>
      </c>
      <c r="Q1582" s="116">
        <v>1409.75</v>
      </c>
      <c r="R1582">
        <v>1996254</v>
      </c>
    </row>
    <row r="1583" spans="1:18" x14ac:dyDescent="0.25">
      <c r="A1583" s="170">
        <v>44337</v>
      </c>
      <c r="B1583" s="116">
        <v>1424.9</v>
      </c>
      <c r="C1583" s="116">
        <v>1418.55</v>
      </c>
      <c r="D1583" s="116">
        <v>1407.75</v>
      </c>
      <c r="E1583" s="116">
        <v>1408.5</v>
      </c>
      <c r="F1583" s="116">
        <v>1418.55</v>
      </c>
      <c r="G1583">
        <v>154748</v>
      </c>
      <c r="H1583" s="116"/>
      <c r="I1583" s="116"/>
      <c r="L1583" s="170">
        <v>44337</v>
      </c>
      <c r="M1583" s="116">
        <v>1418.05</v>
      </c>
      <c r="N1583" s="116">
        <v>1424.7</v>
      </c>
      <c r="O1583" s="116">
        <v>1407.1</v>
      </c>
      <c r="P1583" s="116">
        <v>1415</v>
      </c>
      <c r="Q1583" s="116">
        <v>1418.05</v>
      </c>
      <c r="R1583">
        <v>2185322</v>
      </c>
    </row>
    <row r="1584" spans="1:18" x14ac:dyDescent="0.25">
      <c r="A1584" s="170">
        <v>44340</v>
      </c>
      <c r="B1584" s="116">
        <v>1458</v>
      </c>
      <c r="C1584" s="116">
        <v>1443.25</v>
      </c>
      <c r="D1584" s="116">
        <v>1413</v>
      </c>
      <c r="E1584" s="116">
        <v>1419.8</v>
      </c>
      <c r="F1584" s="116">
        <v>1443.25</v>
      </c>
      <c r="G1584">
        <v>367277</v>
      </c>
      <c r="H1584" s="116"/>
      <c r="I1584" s="116"/>
      <c r="L1584" s="170">
        <v>44340</v>
      </c>
      <c r="M1584" s="116">
        <v>1443.25</v>
      </c>
      <c r="N1584" s="116">
        <v>1458</v>
      </c>
      <c r="O1584" s="116">
        <v>1410</v>
      </c>
      <c r="P1584" s="116">
        <v>1420</v>
      </c>
      <c r="Q1584" s="116">
        <v>1443.25</v>
      </c>
      <c r="R1584">
        <v>5035538</v>
      </c>
    </row>
    <row r="1585" spans="1:18" x14ac:dyDescent="0.25">
      <c r="A1585" s="170">
        <v>44341</v>
      </c>
      <c r="B1585" s="116">
        <v>1458.45</v>
      </c>
      <c r="C1585" s="116">
        <v>1450.9</v>
      </c>
      <c r="D1585" s="116">
        <v>1442.75</v>
      </c>
      <c r="E1585" s="116">
        <v>1455</v>
      </c>
      <c r="F1585" s="116">
        <v>1450.9</v>
      </c>
      <c r="G1585">
        <v>108038</v>
      </c>
      <c r="H1585" s="116"/>
      <c r="I1585" s="116"/>
      <c r="L1585" s="170">
        <v>44341</v>
      </c>
      <c r="M1585" s="116">
        <v>1450.95</v>
      </c>
      <c r="N1585" s="116">
        <v>1461.95</v>
      </c>
      <c r="O1585" s="116">
        <v>1442.1</v>
      </c>
      <c r="P1585" s="116">
        <v>1460</v>
      </c>
      <c r="Q1585" s="116">
        <v>1450.95</v>
      </c>
      <c r="R1585">
        <v>2892219</v>
      </c>
    </row>
    <row r="1586" spans="1:18" x14ac:dyDescent="0.25">
      <c r="A1586" s="170">
        <v>44342</v>
      </c>
      <c r="B1586" s="116">
        <v>1475.95</v>
      </c>
      <c r="C1586" s="116">
        <v>1472.9</v>
      </c>
      <c r="D1586" s="116">
        <v>1452.3</v>
      </c>
      <c r="E1586" s="116">
        <v>1460</v>
      </c>
      <c r="F1586" s="116">
        <v>1472.9</v>
      </c>
      <c r="G1586">
        <v>100142</v>
      </c>
      <c r="H1586" s="116"/>
      <c r="I1586" s="116"/>
      <c r="L1586" s="170">
        <v>44342</v>
      </c>
      <c r="M1586" s="116">
        <v>1472.9</v>
      </c>
      <c r="N1586" s="116">
        <v>1476.6</v>
      </c>
      <c r="O1586" s="116">
        <v>1452.8</v>
      </c>
      <c r="P1586" s="116">
        <v>1458.9</v>
      </c>
      <c r="Q1586" s="116">
        <v>1472.9</v>
      </c>
      <c r="R1586">
        <v>3230579</v>
      </c>
    </row>
    <row r="1587" spans="1:18" x14ac:dyDescent="0.25">
      <c r="A1587" s="170">
        <v>44343</v>
      </c>
      <c r="B1587" s="116">
        <v>1485</v>
      </c>
      <c r="C1587" s="116">
        <v>1482.75</v>
      </c>
      <c r="D1587" s="116">
        <v>1462</v>
      </c>
      <c r="E1587" s="116">
        <v>1479</v>
      </c>
      <c r="F1587" s="116">
        <v>1482.75</v>
      </c>
      <c r="G1587">
        <v>128786</v>
      </c>
      <c r="H1587" s="116"/>
      <c r="I1587" s="116"/>
      <c r="L1587" s="170">
        <v>44343</v>
      </c>
      <c r="M1587" s="116">
        <v>1482.85</v>
      </c>
      <c r="N1587" s="116">
        <v>1485</v>
      </c>
      <c r="O1587" s="116">
        <v>1461.75</v>
      </c>
      <c r="P1587" s="116">
        <v>1475.95</v>
      </c>
      <c r="Q1587" s="116">
        <v>1482.85</v>
      </c>
      <c r="R1587">
        <v>3747221</v>
      </c>
    </row>
    <row r="1588" spans="1:18" x14ac:dyDescent="0.25">
      <c r="A1588" s="170">
        <v>44344</v>
      </c>
      <c r="B1588" s="116">
        <v>1499.8</v>
      </c>
      <c r="C1588" s="116">
        <v>1477.2</v>
      </c>
      <c r="D1588" s="116">
        <v>1473.9</v>
      </c>
      <c r="E1588" s="116">
        <v>1485</v>
      </c>
      <c r="F1588" s="116">
        <v>1477.2</v>
      </c>
      <c r="G1588">
        <v>92443</v>
      </c>
      <c r="H1588" s="116"/>
      <c r="I1588" s="116"/>
      <c r="L1588" s="170">
        <v>44344</v>
      </c>
      <c r="M1588" s="116">
        <v>1478.1</v>
      </c>
      <c r="N1588" s="116">
        <v>1499.65</v>
      </c>
      <c r="O1588" s="116">
        <v>1473.9</v>
      </c>
      <c r="P1588" s="116">
        <v>1487.1</v>
      </c>
      <c r="Q1588" s="116">
        <v>1478.1</v>
      </c>
      <c r="R1588">
        <v>2315923</v>
      </c>
    </row>
    <row r="1589" spans="1:18" x14ac:dyDescent="0.25">
      <c r="A1589" s="170">
        <v>44347</v>
      </c>
      <c r="B1589" s="116">
        <v>1478</v>
      </c>
      <c r="C1589" s="116">
        <v>1465.55</v>
      </c>
      <c r="D1589" s="116">
        <v>1457.6</v>
      </c>
      <c r="E1589" s="116">
        <v>1477</v>
      </c>
      <c r="F1589" s="116">
        <v>1465.55</v>
      </c>
      <c r="G1589">
        <v>82225</v>
      </c>
      <c r="H1589" s="116"/>
      <c r="I1589" s="116"/>
      <c r="L1589" s="170">
        <v>44347</v>
      </c>
      <c r="M1589" s="116">
        <v>1467.7</v>
      </c>
      <c r="N1589" s="116">
        <v>1476</v>
      </c>
      <c r="O1589" s="116">
        <v>1457.55</v>
      </c>
      <c r="P1589" s="116">
        <v>1472.3</v>
      </c>
      <c r="Q1589" s="116">
        <v>1467.7</v>
      </c>
      <c r="R1589">
        <v>2405318</v>
      </c>
    </row>
    <row r="1590" spans="1:18" x14ac:dyDescent="0.25">
      <c r="A1590" s="170">
        <v>44348</v>
      </c>
      <c r="B1590" s="116">
        <v>1492.5</v>
      </c>
      <c r="C1590" s="116">
        <v>1474.3</v>
      </c>
      <c r="D1590" s="116">
        <v>1464.95</v>
      </c>
      <c r="E1590" s="116">
        <v>1469.85</v>
      </c>
      <c r="F1590" s="116">
        <v>1474.3</v>
      </c>
      <c r="G1590">
        <v>68518</v>
      </c>
      <c r="H1590" s="116"/>
      <c r="I1590" s="116"/>
      <c r="L1590" s="170">
        <v>44348</v>
      </c>
      <c r="M1590" s="116">
        <v>1474.65</v>
      </c>
      <c r="N1590" s="116">
        <v>1492.5</v>
      </c>
      <c r="O1590" s="116">
        <v>1463</v>
      </c>
      <c r="P1590" s="116">
        <v>1465.95</v>
      </c>
      <c r="Q1590" s="116">
        <v>1474.65</v>
      </c>
      <c r="R1590">
        <v>2077742</v>
      </c>
    </row>
    <row r="1591" spans="1:18" x14ac:dyDescent="0.25">
      <c r="A1591" s="170">
        <v>44349</v>
      </c>
      <c r="B1591" s="116">
        <v>1474.55</v>
      </c>
      <c r="C1591" s="116">
        <v>1471.45</v>
      </c>
      <c r="D1591" s="116">
        <v>1455.1</v>
      </c>
      <c r="E1591" s="116">
        <v>1473.95</v>
      </c>
      <c r="F1591" s="116">
        <v>1471.45</v>
      </c>
      <c r="G1591">
        <v>56879</v>
      </c>
      <c r="H1591" s="116"/>
      <c r="I1591" s="116"/>
      <c r="L1591" s="170">
        <v>44349</v>
      </c>
      <c r="M1591" s="116">
        <v>1471.05</v>
      </c>
      <c r="N1591" s="116">
        <v>1474.6</v>
      </c>
      <c r="O1591" s="116">
        <v>1455.05</v>
      </c>
      <c r="P1591" s="116">
        <v>1468.3</v>
      </c>
      <c r="Q1591" s="116">
        <v>1471.05</v>
      </c>
      <c r="R1591">
        <v>2469417</v>
      </c>
    </row>
    <row r="1592" spans="1:18" x14ac:dyDescent="0.25">
      <c r="A1592" s="170">
        <v>44350</v>
      </c>
      <c r="B1592" s="116">
        <v>1514.8</v>
      </c>
      <c r="C1592" s="116">
        <v>1510.25</v>
      </c>
      <c r="D1592" s="116">
        <v>1466.05</v>
      </c>
      <c r="E1592" s="116">
        <v>1466.05</v>
      </c>
      <c r="F1592" s="116">
        <v>1510.25</v>
      </c>
      <c r="G1592">
        <v>259321</v>
      </c>
      <c r="H1592" s="116"/>
      <c r="I1592" s="116"/>
      <c r="L1592" s="170">
        <v>44350</v>
      </c>
      <c r="M1592" s="116">
        <v>1510.85</v>
      </c>
      <c r="N1592" s="116">
        <v>1515</v>
      </c>
      <c r="O1592" s="116">
        <v>1473.2</v>
      </c>
      <c r="P1592" s="116">
        <v>1480.1</v>
      </c>
      <c r="Q1592" s="116">
        <v>1510.85</v>
      </c>
      <c r="R1592">
        <v>3025466</v>
      </c>
    </row>
    <row r="1593" spans="1:18" x14ac:dyDescent="0.25">
      <c r="A1593" s="170">
        <v>44351</v>
      </c>
      <c r="B1593" s="116">
        <v>1547</v>
      </c>
      <c r="C1593" s="116">
        <v>1537.6</v>
      </c>
      <c r="D1593" s="116">
        <v>1515.7</v>
      </c>
      <c r="E1593" s="116">
        <v>1518.7</v>
      </c>
      <c r="F1593" s="116">
        <v>1537.6</v>
      </c>
      <c r="G1593">
        <v>249202</v>
      </c>
      <c r="H1593" s="116"/>
      <c r="I1593" s="116"/>
      <c r="L1593" s="170">
        <v>44351</v>
      </c>
      <c r="M1593" s="116">
        <v>1537.55</v>
      </c>
      <c r="N1593" s="116">
        <v>1547.25</v>
      </c>
      <c r="O1593" s="116">
        <v>1516.9</v>
      </c>
      <c r="P1593" s="116">
        <v>1518.95</v>
      </c>
      <c r="Q1593" s="116">
        <v>1537.55</v>
      </c>
      <c r="R1593">
        <v>5677538</v>
      </c>
    </row>
    <row r="1594" spans="1:18" x14ac:dyDescent="0.25">
      <c r="A1594" s="170">
        <v>44354</v>
      </c>
      <c r="B1594" s="116">
        <v>1569.5</v>
      </c>
      <c r="C1594" s="116">
        <v>1557.35</v>
      </c>
      <c r="D1594" s="116">
        <v>1540.6</v>
      </c>
      <c r="E1594" s="116">
        <v>1540.6</v>
      </c>
      <c r="F1594" s="116">
        <v>1557.35</v>
      </c>
      <c r="G1594">
        <v>1117658</v>
      </c>
      <c r="H1594" s="116"/>
      <c r="I1594" s="116"/>
      <c r="L1594" s="170">
        <v>44354</v>
      </c>
      <c r="M1594" s="116">
        <v>1557.8</v>
      </c>
      <c r="N1594" s="116">
        <v>1569.5</v>
      </c>
      <c r="O1594" s="116">
        <v>1540.75</v>
      </c>
      <c r="P1594" s="116">
        <v>1545.45</v>
      </c>
      <c r="Q1594" s="116">
        <v>1557.8</v>
      </c>
      <c r="R1594">
        <v>3131245</v>
      </c>
    </row>
    <row r="1595" spans="1:18" x14ac:dyDescent="0.25">
      <c r="A1595" s="170">
        <v>44355</v>
      </c>
      <c r="B1595" s="116">
        <v>1582.65</v>
      </c>
      <c r="C1595" s="116">
        <v>1546.6</v>
      </c>
      <c r="D1595" s="116">
        <v>1533.55</v>
      </c>
      <c r="E1595" s="116">
        <v>1559.8</v>
      </c>
      <c r="F1595" s="116">
        <v>1546.6</v>
      </c>
      <c r="G1595">
        <v>133877</v>
      </c>
      <c r="H1595" s="116"/>
      <c r="I1595" s="116"/>
      <c r="L1595" s="170">
        <v>44355</v>
      </c>
      <c r="M1595" s="116">
        <v>1549.15</v>
      </c>
      <c r="N1595" s="116">
        <v>1583</v>
      </c>
      <c r="O1595" s="116">
        <v>1546.05</v>
      </c>
      <c r="P1595" s="116">
        <v>1561</v>
      </c>
      <c r="Q1595" s="116">
        <v>1549.15</v>
      </c>
      <c r="R1595">
        <v>3945382</v>
      </c>
    </row>
    <row r="1596" spans="1:18" x14ac:dyDescent="0.25">
      <c r="A1596" s="170">
        <v>44356</v>
      </c>
      <c r="B1596" s="116">
        <v>1550.05</v>
      </c>
      <c r="C1596" s="116">
        <v>1518.7</v>
      </c>
      <c r="D1596" s="116">
        <v>1513.75</v>
      </c>
      <c r="E1596" s="116">
        <v>1550</v>
      </c>
      <c r="F1596" s="116">
        <v>1518.7</v>
      </c>
      <c r="G1596">
        <v>96576</v>
      </c>
      <c r="H1596" s="116"/>
      <c r="I1596" s="116"/>
      <c r="L1596" s="170">
        <v>44356</v>
      </c>
      <c r="M1596" s="116">
        <v>1519.3</v>
      </c>
      <c r="N1596" s="116">
        <v>1555</v>
      </c>
      <c r="O1596" s="116">
        <v>1513.3</v>
      </c>
      <c r="P1596" s="116">
        <v>1550</v>
      </c>
      <c r="Q1596" s="116">
        <v>1519.3</v>
      </c>
      <c r="R1596">
        <v>3025732</v>
      </c>
    </row>
    <row r="1597" spans="1:18" x14ac:dyDescent="0.25">
      <c r="A1597" s="170">
        <v>44357</v>
      </c>
      <c r="B1597" s="116">
        <v>1533.9</v>
      </c>
      <c r="C1597" s="116">
        <v>1519.05</v>
      </c>
      <c r="D1597" s="116">
        <v>1515</v>
      </c>
      <c r="E1597" s="116">
        <v>1524.9</v>
      </c>
      <c r="F1597" s="116">
        <v>1519.05</v>
      </c>
      <c r="G1597">
        <v>56285</v>
      </c>
      <c r="H1597" s="116"/>
      <c r="I1597" s="116"/>
      <c r="L1597" s="170">
        <v>44357</v>
      </c>
      <c r="M1597" s="116">
        <v>1519.7</v>
      </c>
      <c r="N1597" s="116">
        <v>1534</v>
      </c>
      <c r="O1597" s="116">
        <v>1515</v>
      </c>
      <c r="P1597" s="116">
        <v>1525</v>
      </c>
      <c r="Q1597" s="116">
        <v>1519.7</v>
      </c>
      <c r="R1597">
        <v>1584311</v>
      </c>
    </row>
    <row r="1598" spans="1:18" x14ac:dyDescent="0.25">
      <c r="A1598" s="170">
        <v>44358</v>
      </c>
      <c r="B1598" s="116">
        <v>1527.45</v>
      </c>
      <c r="C1598" s="116">
        <v>1502.75</v>
      </c>
      <c r="D1598" s="116">
        <v>1499</v>
      </c>
      <c r="E1598" s="116">
        <v>1520</v>
      </c>
      <c r="F1598" s="116">
        <v>1502.75</v>
      </c>
      <c r="G1598">
        <v>64494</v>
      </c>
      <c r="H1598" s="116"/>
      <c r="I1598" s="116"/>
      <c r="L1598" s="170">
        <v>44358</v>
      </c>
      <c r="M1598" s="116">
        <v>1503.45</v>
      </c>
      <c r="N1598" s="116">
        <v>1527.15</v>
      </c>
      <c r="O1598" s="116">
        <v>1498.65</v>
      </c>
      <c r="P1598" s="116">
        <v>1521</v>
      </c>
      <c r="Q1598" s="116">
        <v>1503.45</v>
      </c>
      <c r="R1598">
        <v>1909384</v>
      </c>
    </row>
    <row r="1599" spans="1:18" x14ac:dyDescent="0.25">
      <c r="A1599" s="170">
        <v>44361</v>
      </c>
      <c r="B1599" s="116">
        <v>1519</v>
      </c>
      <c r="C1599" s="116">
        <v>1515.65</v>
      </c>
      <c r="D1599" s="116">
        <v>1478.5</v>
      </c>
      <c r="E1599" s="116">
        <v>1504.3</v>
      </c>
      <c r="F1599" s="116">
        <v>1515.65</v>
      </c>
      <c r="G1599">
        <v>115894</v>
      </c>
      <c r="H1599" s="116"/>
      <c r="I1599" s="116"/>
      <c r="L1599" s="170">
        <v>44361</v>
      </c>
      <c r="M1599" s="116">
        <v>1515.75</v>
      </c>
      <c r="N1599" s="116">
        <v>1519.5</v>
      </c>
      <c r="O1599" s="116">
        <v>1478</v>
      </c>
      <c r="P1599" s="116">
        <v>1503.45</v>
      </c>
      <c r="Q1599" s="116">
        <v>1515.75</v>
      </c>
      <c r="R1599">
        <v>2005404</v>
      </c>
    </row>
    <row r="1600" spans="1:18" x14ac:dyDescent="0.25">
      <c r="A1600" s="170">
        <v>44362</v>
      </c>
      <c r="B1600" s="116">
        <v>1524</v>
      </c>
      <c r="C1600" s="116">
        <v>1510.95</v>
      </c>
      <c r="D1600" s="116">
        <v>1506.05</v>
      </c>
      <c r="E1600" s="116">
        <v>1516</v>
      </c>
      <c r="F1600" s="116">
        <v>1510.95</v>
      </c>
      <c r="G1600">
        <v>44836</v>
      </c>
      <c r="H1600" s="116"/>
      <c r="I1600" s="116"/>
      <c r="L1600" s="170">
        <v>44362</v>
      </c>
      <c r="M1600" s="116">
        <v>1510.8</v>
      </c>
      <c r="N1600" s="116">
        <v>1523.7</v>
      </c>
      <c r="O1600" s="116">
        <v>1505.85</v>
      </c>
      <c r="P1600" s="116">
        <v>1520</v>
      </c>
      <c r="Q1600" s="116">
        <v>1510.8</v>
      </c>
      <c r="R1600">
        <v>1831871</v>
      </c>
    </row>
    <row r="1601" spans="1:18" x14ac:dyDescent="0.25">
      <c r="A1601" s="170">
        <v>44363</v>
      </c>
      <c r="B1601" s="116">
        <v>1515</v>
      </c>
      <c r="C1601" s="116">
        <v>1490.65</v>
      </c>
      <c r="D1601" s="116">
        <v>1488</v>
      </c>
      <c r="E1601" s="116">
        <v>1502</v>
      </c>
      <c r="F1601" s="116">
        <v>1490.65</v>
      </c>
      <c r="G1601">
        <v>77620</v>
      </c>
      <c r="H1601" s="116"/>
      <c r="I1601" s="116"/>
      <c r="L1601" s="170">
        <v>44363</v>
      </c>
      <c r="M1601" s="116">
        <v>1490.9</v>
      </c>
      <c r="N1601" s="116">
        <v>1516</v>
      </c>
      <c r="O1601" s="116">
        <v>1488</v>
      </c>
      <c r="P1601" s="116">
        <v>1505.85</v>
      </c>
      <c r="Q1601" s="116">
        <v>1490.9</v>
      </c>
      <c r="R1601">
        <v>1504791</v>
      </c>
    </row>
    <row r="1602" spans="1:18" x14ac:dyDescent="0.25">
      <c r="A1602" s="170">
        <v>44364</v>
      </c>
      <c r="B1602" s="116">
        <v>1499.45</v>
      </c>
      <c r="C1602" s="116">
        <v>1488.55</v>
      </c>
      <c r="D1602" s="116">
        <v>1480.15</v>
      </c>
      <c r="E1602" s="116">
        <v>1483.45</v>
      </c>
      <c r="F1602" s="116">
        <v>1488.55</v>
      </c>
      <c r="G1602">
        <v>36034</v>
      </c>
      <c r="H1602" s="116"/>
      <c r="I1602" s="116"/>
      <c r="L1602" s="170">
        <v>44364</v>
      </c>
      <c r="M1602" s="116">
        <v>1487.55</v>
      </c>
      <c r="N1602" s="116">
        <v>1499.85</v>
      </c>
      <c r="O1602" s="116">
        <v>1480.25</v>
      </c>
      <c r="P1602" s="116">
        <v>1481</v>
      </c>
      <c r="Q1602" s="116">
        <v>1487.55</v>
      </c>
      <c r="R1602">
        <v>1675778</v>
      </c>
    </row>
    <row r="1603" spans="1:18" x14ac:dyDescent="0.25">
      <c r="A1603" s="170">
        <v>44365</v>
      </c>
      <c r="B1603" s="116">
        <v>1490.4</v>
      </c>
      <c r="C1603" s="116">
        <v>1475.55</v>
      </c>
      <c r="D1603" s="116">
        <v>1460</v>
      </c>
      <c r="E1603" s="116">
        <v>1490</v>
      </c>
      <c r="F1603" s="116">
        <v>1475.55</v>
      </c>
      <c r="G1603">
        <v>109796</v>
      </c>
      <c r="H1603" s="116"/>
      <c r="I1603" s="116"/>
      <c r="L1603" s="170">
        <v>44365</v>
      </c>
      <c r="M1603" s="116">
        <v>1476</v>
      </c>
      <c r="N1603" s="116">
        <v>1490.95</v>
      </c>
      <c r="O1603" s="116">
        <v>1460.1</v>
      </c>
      <c r="P1603" s="116">
        <v>1487.55</v>
      </c>
      <c r="Q1603" s="116">
        <v>1476</v>
      </c>
      <c r="R1603">
        <v>4649835</v>
      </c>
    </row>
    <row r="1604" spans="1:18" x14ac:dyDescent="0.25">
      <c r="A1604" s="170">
        <v>44368</v>
      </c>
      <c r="B1604" s="116">
        <v>1469.95</v>
      </c>
      <c r="C1604" s="116">
        <v>1466.9</v>
      </c>
      <c r="D1604" s="116">
        <v>1448</v>
      </c>
      <c r="E1604" s="116">
        <v>1463.5</v>
      </c>
      <c r="F1604" s="116">
        <v>1466.9</v>
      </c>
      <c r="G1604">
        <v>65810</v>
      </c>
      <c r="H1604" s="116"/>
      <c r="I1604" s="116"/>
      <c r="L1604" s="170">
        <v>44368</v>
      </c>
      <c r="M1604" s="116">
        <v>1467.05</v>
      </c>
      <c r="N1604" s="116">
        <v>1469.4</v>
      </c>
      <c r="O1604" s="116">
        <v>1447.25</v>
      </c>
      <c r="P1604" s="116">
        <v>1460</v>
      </c>
      <c r="Q1604" s="116">
        <v>1467.05</v>
      </c>
      <c r="R1604">
        <v>1970012</v>
      </c>
    </row>
    <row r="1605" spans="1:18" x14ac:dyDescent="0.25">
      <c r="A1605" s="170">
        <v>44369</v>
      </c>
      <c r="B1605" s="116">
        <v>1504.65</v>
      </c>
      <c r="C1605" s="116">
        <v>1499.15</v>
      </c>
      <c r="D1605" s="116">
        <v>1470.9</v>
      </c>
      <c r="E1605" s="116">
        <v>1473.5</v>
      </c>
      <c r="F1605" s="116">
        <v>1499.15</v>
      </c>
      <c r="G1605">
        <v>116160</v>
      </c>
      <c r="H1605" s="116"/>
      <c r="I1605" s="116"/>
      <c r="L1605" s="170">
        <v>44369</v>
      </c>
      <c r="M1605" s="116">
        <v>1499.2</v>
      </c>
      <c r="N1605" s="116">
        <v>1504.8</v>
      </c>
      <c r="O1605" s="116">
        <v>1469.55</v>
      </c>
      <c r="P1605" s="116">
        <v>1470.1</v>
      </c>
      <c r="Q1605" s="116">
        <v>1499.2</v>
      </c>
      <c r="R1605">
        <v>3862264</v>
      </c>
    </row>
    <row r="1606" spans="1:18" x14ac:dyDescent="0.25">
      <c r="A1606" s="170">
        <v>44370</v>
      </c>
      <c r="B1606" s="116">
        <v>1507.35</v>
      </c>
      <c r="C1606" s="116">
        <v>1479.8</v>
      </c>
      <c r="D1606" s="116">
        <v>1476.5</v>
      </c>
      <c r="E1606" s="116">
        <v>1502</v>
      </c>
      <c r="F1606" s="116">
        <v>1479.8</v>
      </c>
      <c r="G1606">
        <v>39879</v>
      </c>
      <c r="H1606" s="116"/>
      <c r="I1606" s="116"/>
      <c r="L1606" s="170">
        <v>44370</v>
      </c>
      <c r="M1606" s="116">
        <v>1479.25</v>
      </c>
      <c r="N1606" s="116">
        <v>1507</v>
      </c>
      <c r="O1606" s="116">
        <v>1476.1</v>
      </c>
      <c r="P1606" s="116">
        <v>1505</v>
      </c>
      <c r="Q1606" s="116">
        <v>1479.25</v>
      </c>
      <c r="R1606">
        <v>1818874</v>
      </c>
    </row>
    <row r="1607" spans="1:18" x14ac:dyDescent="0.25">
      <c r="A1607" s="170">
        <v>44371</v>
      </c>
      <c r="B1607" s="116">
        <v>1512.6</v>
      </c>
      <c r="C1607" s="116">
        <v>1504.1</v>
      </c>
      <c r="D1607" s="116">
        <v>1482.55</v>
      </c>
      <c r="E1607" s="116">
        <v>1482.55</v>
      </c>
      <c r="F1607" s="116">
        <v>1504.1</v>
      </c>
      <c r="G1607">
        <v>141465</v>
      </c>
      <c r="H1607" s="116"/>
      <c r="I1607" s="116"/>
      <c r="L1607" s="170">
        <v>44371</v>
      </c>
      <c r="M1607" s="116">
        <v>1504.05</v>
      </c>
      <c r="N1607" s="116">
        <v>1513.2</v>
      </c>
      <c r="O1607" s="116">
        <v>1482</v>
      </c>
      <c r="P1607" s="116">
        <v>1490</v>
      </c>
      <c r="Q1607" s="116">
        <v>1504.05</v>
      </c>
      <c r="R1607">
        <v>2762042</v>
      </c>
    </row>
    <row r="1608" spans="1:18" x14ac:dyDescent="0.25">
      <c r="A1608" s="170">
        <v>44372</v>
      </c>
      <c r="B1608" s="116">
        <v>1528.65</v>
      </c>
      <c r="C1608" s="116">
        <v>1522.9</v>
      </c>
      <c r="D1608" s="116">
        <v>1507.65</v>
      </c>
      <c r="E1608" s="116">
        <v>1515</v>
      </c>
      <c r="F1608" s="116">
        <v>1522.9</v>
      </c>
      <c r="G1608">
        <v>156626</v>
      </c>
      <c r="H1608" s="116"/>
      <c r="I1608" s="116"/>
      <c r="L1608" s="170">
        <v>44372</v>
      </c>
      <c r="M1608" s="116">
        <v>1523.85</v>
      </c>
      <c r="N1608" s="116">
        <v>1529.3</v>
      </c>
      <c r="O1608" s="116">
        <v>1507.5</v>
      </c>
      <c r="P1608" s="116">
        <v>1510.5</v>
      </c>
      <c r="Q1608" s="116">
        <v>1523.85</v>
      </c>
      <c r="R1608">
        <v>2099002</v>
      </c>
    </row>
    <row r="1609" spans="1:18" x14ac:dyDescent="0.25">
      <c r="A1609" s="170">
        <v>44375</v>
      </c>
      <c r="B1609" s="116">
        <v>1527.4</v>
      </c>
      <c r="C1609" s="116">
        <v>1513.95</v>
      </c>
      <c r="D1609" s="116">
        <v>1510</v>
      </c>
      <c r="E1609" s="116">
        <v>1523.1</v>
      </c>
      <c r="F1609" s="116">
        <v>1513.95</v>
      </c>
      <c r="G1609">
        <v>39676</v>
      </c>
      <c r="H1609" s="116"/>
      <c r="I1609" s="116"/>
      <c r="L1609" s="170">
        <v>44375</v>
      </c>
      <c r="M1609" s="116">
        <v>1514.45</v>
      </c>
      <c r="N1609" s="116">
        <v>1527.95</v>
      </c>
      <c r="O1609" s="116">
        <v>1510.35</v>
      </c>
      <c r="P1609" s="116">
        <v>1526</v>
      </c>
      <c r="Q1609" s="116">
        <v>1514.45</v>
      </c>
      <c r="R1609">
        <v>1173658</v>
      </c>
    </row>
    <row r="1610" spans="1:18" x14ac:dyDescent="0.25">
      <c r="A1610" s="170">
        <v>44376</v>
      </c>
      <c r="B1610" s="116">
        <v>1529.55</v>
      </c>
      <c r="C1610" s="116">
        <v>1510.5</v>
      </c>
      <c r="D1610" s="116">
        <v>1504.6</v>
      </c>
      <c r="E1610" s="116">
        <v>1515</v>
      </c>
      <c r="F1610" s="116">
        <v>1510.5</v>
      </c>
      <c r="G1610">
        <v>124719</v>
      </c>
      <c r="H1610" s="116"/>
      <c r="I1610" s="116"/>
      <c r="L1610" s="170">
        <v>44376</v>
      </c>
      <c r="M1610" s="116">
        <v>1510.9</v>
      </c>
      <c r="N1610" s="116">
        <v>1529.8</v>
      </c>
      <c r="O1610" s="116">
        <v>1503.9</v>
      </c>
      <c r="P1610" s="116">
        <v>1513</v>
      </c>
      <c r="Q1610" s="116">
        <v>1510.9</v>
      </c>
      <c r="R1610">
        <v>2174022</v>
      </c>
    </row>
    <row r="1611" spans="1:18" x14ac:dyDescent="0.25">
      <c r="A1611" s="170">
        <v>44377</v>
      </c>
      <c r="B1611" s="116">
        <v>1523</v>
      </c>
      <c r="C1611" s="116">
        <v>1501.25</v>
      </c>
      <c r="D1611" s="116">
        <v>1497</v>
      </c>
      <c r="E1611" s="116">
        <v>1515</v>
      </c>
      <c r="F1611" s="116">
        <v>1501.25</v>
      </c>
      <c r="G1611">
        <v>42754</v>
      </c>
      <c r="H1611" s="116"/>
      <c r="I1611" s="116"/>
      <c r="L1611" s="170">
        <v>44377</v>
      </c>
      <c r="M1611" s="116">
        <v>1500.55</v>
      </c>
      <c r="N1611" s="116">
        <v>1523.4</v>
      </c>
      <c r="O1611" s="116">
        <v>1495.5</v>
      </c>
      <c r="P1611" s="116">
        <v>1516</v>
      </c>
      <c r="Q1611" s="116">
        <v>1500.55</v>
      </c>
      <c r="R1611">
        <v>2139362</v>
      </c>
    </row>
    <row r="1612" spans="1:18" x14ac:dyDescent="0.25">
      <c r="A1612" s="170">
        <v>44378</v>
      </c>
      <c r="B1612" s="116">
        <v>1504.85</v>
      </c>
      <c r="C1612" s="116">
        <v>1492.25</v>
      </c>
      <c r="D1612" s="116">
        <v>1480.5</v>
      </c>
      <c r="E1612" s="116">
        <v>1504.85</v>
      </c>
      <c r="F1612" s="116">
        <v>1492.25</v>
      </c>
      <c r="G1612">
        <v>70499</v>
      </c>
      <c r="H1612" s="116"/>
      <c r="I1612" s="116"/>
      <c r="L1612" s="170">
        <v>44378</v>
      </c>
      <c r="M1612" s="116">
        <v>1492.3</v>
      </c>
      <c r="N1612" s="116">
        <v>1503</v>
      </c>
      <c r="O1612" s="116">
        <v>1480.15</v>
      </c>
      <c r="P1612" s="116">
        <v>1497.1</v>
      </c>
      <c r="Q1612" s="116">
        <v>1492.3</v>
      </c>
      <c r="R1612">
        <v>2060651</v>
      </c>
    </row>
    <row r="1613" spans="1:18" x14ac:dyDescent="0.25">
      <c r="A1613" s="170">
        <v>44379</v>
      </c>
      <c r="B1613" s="116">
        <v>1500.55</v>
      </c>
      <c r="C1613" s="116">
        <v>1485.9</v>
      </c>
      <c r="D1613" s="116">
        <v>1475.85</v>
      </c>
      <c r="E1613" s="116">
        <v>1498</v>
      </c>
      <c r="F1613" s="116">
        <v>1485.9</v>
      </c>
      <c r="G1613">
        <v>56649</v>
      </c>
      <c r="H1613" s="116"/>
      <c r="I1613" s="116"/>
      <c r="L1613" s="170">
        <v>44379</v>
      </c>
      <c r="M1613" s="116">
        <v>1485.65</v>
      </c>
      <c r="N1613" s="116">
        <v>1500.65</v>
      </c>
      <c r="O1613" s="116">
        <v>1475.5</v>
      </c>
      <c r="P1613" s="116">
        <v>1500</v>
      </c>
      <c r="Q1613" s="116">
        <v>1485.65</v>
      </c>
      <c r="R1613">
        <v>1814564</v>
      </c>
    </row>
    <row r="1614" spans="1:18" x14ac:dyDescent="0.25">
      <c r="A1614" s="170">
        <v>44382</v>
      </c>
      <c r="B1614" s="116">
        <v>1513.9</v>
      </c>
      <c r="C1614" s="116">
        <v>1507.7</v>
      </c>
      <c r="D1614" s="116">
        <v>1488.05</v>
      </c>
      <c r="E1614" s="116">
        <v>1490</v>
      </c>
      <c r="F1614" s="116">
        <v>1507.7</v>
      </c>
      <c r="G1614">
        <v>87753</v>
      </c>
      <c r="H1614" s="116"/>
      <c r="I1614" s="116"/>
      <c r="L1614" s="170">
        <v>44382</v>
      </c>
      <c r="M1614" s="116">
        <v>1507.95</v>
      </c>
      <c r="N1614" s="116">
        <v>1514</v>
      </c>
      <c r="O1614" s="116">
        <v>1488</v>
      </c>
      <c r="P1614" s="116">
        <v>1490</v>
      </c>
      <c r="Q1614" s="116">
        <v>1507.95</v>
      </c>
      <c r="R1614">
        <v>1605396</v>
      </c>
    </row>
    <row r="1615" spans="1:18" x14ac:dyDescent="0.25">
      <c r="A1615" s="170">
        <v>44383</v>
      </c>
      <c r="B1615" s="116">
        <v>1519.1</v>
      </c>
      <c r="C1615" s="116">
        <v>1505.1</v>
      </c>
      <c r="D1615" s="116">
        <v>1500.55</v>
      </c>
      <c r="E1615" s="116">
        <v>1508</v>
      </c>
      <c r="F1615" s="116">
        <v>1505.1</v>
      </c>
      <c r="G1615">
        <v>42227</v>
      </c>
      <c r="H1615" s="116"/>
      <c r="I1615" s="116"/>
      <c r="L1615" s="170">
        <v>44383</v>
      </c>
      <c r="M1615" s="116">
        <v>1505.5</v>
      </c>
      <c r="N1615" s="116">
        <v>1519</v>
      </c>
      <c r="O1615" s="116">
        <v>1500</v>
      </c>
      <c r="P1615" s="116">
        <v>1506</v>
      </c>
      <c r="Q1615" s="116">
        <v>1505.5</v>
      </c>
      <c r="R1615">
        <v>1072506</v>
      </c>
    </row>
    <row r="1616" spans="1:18" x14ac:dyDescent="0.25">
      <c r="A1616" s="170">
        <v>44384</v>
      </c>
      <c r="B1616" s="116">
        <v>1519</v>
      </c>
      <c r="C1616" s="116">
        <v>1515.25</v>
      </c>
      <c r="D1616" s="116">
        <v>1495.9</v>
      </c>
      <c r="E1616" s="116">
        <v>1497.7</v>
      </c>
      <c r="F1616" s="116">
        <v>1515.25</v>
      </c>
      <c r="G1616">
        <v>32500</v>
      </c>
      <c r="H1616" s="116"/>
      <c r="I1616" s="116"/>
      <c r="L1616" s="170">
        <v>44384</v>
      </c>
      <c r="M1616" s="116">
        <v>1516.45</v>
      </c>
      <c r="N1616" s="116">
        <v>1519.7</v>
      </c>
      <c r="O1616" s="116">
        <v>1495</v>
      </c>
      <c r="P1616" s="116">
        <v>1495</v>
      </c>
      <c r="Q1616" s="116">
        <v>1516.45</v>
      </c>
      <c r="R1616">
        <v>1096808</v>
      </c>
    </row>
    <row r="1617" spans="1:18" x14ac:dyDescent="0.25">
      <c r="A1617" s="170">
        <v>44385</v>
      </c>
      <c r="B1617" s="116">
        <v>1523.4</v>
      </c>
      <c r="C1617" s="116">
        <v>1500.8</v>
      </c>
      <c r="D1617" s="116">
        <v>1497.1</v>
      </c>
      <c r="E1617" s="116">
        <v>1510</v>
      </c>
      <c r="F1617" s="116">
        <v>1500.8</v>
      </c>
      <c r="G1617">
        <v>29076</v>
      </c>
      <c r="H1617" s="116"/>
      <c r="I1617" s="116"/>
      <c r="L1617" s="170">
        <v>44385</v>
      </c>
      <c r="M1617" s="116">
        <v>1500.7</v>
      </c>
      <c r="N1617" s="116">
        <v>1524</v>
      </c>
      <c r="O1617" s="116">
        <v>1497</v>
      </c>
      <c r="P1617" s="116">
        <v>1503</v>
      </c>
      <c r="Q1617" s="116">
        <v>1500.7</v>
      </c>
      <c r="R1617">
        <v>1456033</v>
      </c>
    </row>
    <row r="1618" spans="1:18" x14ac:dyDescent="0.25">
      <c r="A1618" s="170">
        <v>44386</v>
      </c>
      <c r="B1618" s="116">
        <v>1501.95</v>
      </c>
      <c r="C1618" s="116">
        <v>1499.25</v>
      </c>
      <c r="D1618" s="116">
        <v>1485.15</v>
      </c>
      <c r="E1618" s="116">
        <v>1497.5</v>
      </c>
      <c r="F1618" s="116">
        <v>1499.25</v>
      </c>
      <c r="G1618">
        <v>41963</v>
      </c>
      <c r="H1618" s="116"/>
      <c r="I1618" s="116"/>
      <c r="L1618" s="170">
        <v>44386</v>
      </c>
      <c r="M1618" s="116">
        <v>1499.6</v>
      </c>
      <c r="N1618" s="116">
        <v>1502.85</v>
      </c>
      <c r="O1618" s="116">
        <v>1485.5</v>
      </c>
      <c r="P1618" s="116">
        <v>1497.9</v>
      </c>
      <c r="Q1618" s="116">
        <v>1499.6</v>
      </c>
      <c r="R1618">
        <v>1248405</v>
      </c>
    </row>
    <row r="1619" spans="1:18" x14ac:dyDescent="0.25">
      <c r="A1619" s="170">
        <v>44389</v>
      </c>
      <c r="B1619" s="116">
        <v>1515.85</v>
      </c>
      <c r="C1619" s="116">
        <v>1500.9</v>
      </c>
      <c r="D1619" s="116">
        <v>1491.8</v>
      </c>
      <c r="E1619" s="116">
        <v>1500.3</v>
      </c>
      <c r="F1619" s="116">
        <v>1500.9</v>
      </c>
      <c r="G1619">
        <v>328431</v>
      </c>
      <c r="H1619" s="116"/>
      <c r="I1619" s="116"/>
      <c r="L1619" s="170">
        <v>44389</v>
      </c>
      <c r="M1619" s="116">
        <v>1500.75</v>
      </c>
      <c r="N1619" s="116">
        <v>1516</v>
      </c>
      <c r="O1619" s="116">
        <v>1491.6</v>
      </c>
      <c r="P1619" s="116">
        <v>1504.4</v>
      </c>
      <c r="Q1619" s="116">
        <v>1500.75</v>
      </c>
      <c r="R1619">
        <v>865284</v>
      </c>
    </row>
    <row r="1620" spans="1:18" x14ac:dyDescent="0.25">
      <c r="A1620" s="170">
        <v>44390</v>
      </c>
      <c r="B1620" s="116">
        <v>1515</v>
      </c>
      <c r="C1620" s="116">
        <v>1513.35</v>
      </c>
      <c r="D1620" s="116">
        <v>1501.4</v>
      </c>
      <c r="E1620" s="116">
        <v>1510</v>
      </c>
      <c r="F1620" s="116">
        <v>1513.35</v>
      </c>
      <c r="G1620">
        <v>56329</v>
      </c>
      <c r="H1620" s="116"/>
      <c r="I1620" s="116"/>
      <c r="L1620" s="170">
        <v>44390</v>
      </c>
      <c r="M1620" s="116">
        <v>1513.6</v>
      </c>
      <c r="N1620" s="116">
        <v>1515</v>
      </c>
      <c r="O1620" s="116">
        <v>1501.35</v>
      </c>
      <c r="P1620" s="116">
        <v>1515</v>
      </c>
      <c r="Q1620" s="116">
        <v>1513.6</v>
      </c>
      <c r="R1620">
        <v>995833</v>
      </c>
    </row>
    <row r="1621" spans="1:18" x14ac:dyDescent="0.25">
      <c r="A1621" s="170">
        <v>44391</v>
      </c>
      <c r="B1621" s="116">
        <v>1549.75</v>
      </c>
      <c r="C1621" s="116">
        <v>1544.3</v>
      </c>
      <c r="D1621" s="116">
        <v>1509.6</v>
      </c>
      <c r="E1621" s="116">
        <v>1510</v>
      </c>
      <c r="F1621" s="116">
        <v>1544.3</v>
      </c>
      <c r="G1621">
        <v>138906</v>
      </c>
      <c r="H1621" s="116"/>
      <c r="I1621" s="116"/>
      <c r="L1621" s="170">
        <v>44391</v>
      </c>
      <c r="M1621" s="116">
        <v>1544.7</v>
      </c>
      <c r="N1621" s="116">
        <v>1549.9</v>
      </c>
      <c r="O1621" s="116">
        <v>1508</v>
      </c>
      <c r="P1621" s="116">
        <v>1513.55</v>
      </c>
      <c r="Q1621" s="116">
        <v>1544.7</v>
      </c>
      <c r="R1621">
        <v>4010254</v>
      </c>
    </row>
    <row r="1622" spans="1:18" x14ac:dyDescent="0.25">
      <c r="A1622" s="170">
        <v>44392</v>
      </c>
      <c r="B1622" s="116">
        <v>1624.9</v>
      </c>
      <c r="C1622" s="116">
        <v>1609.05</v>
      </c>
      <c r="D1622" s="116">
        <v>1548.5</v>
      </c>
      <c r="E1622" s="116">
        <v>1550</v>
      </c>
      <c r="F1622" s="116">
        <v>1609.05</v>
      </c>
      <c r="G1622">
        <v>478751</v>
      </c>
      <c r="H1622" s="116"/>
      <c r="I1622" s="116"/>
      <c r="L1622" s="170">
        <v>44392</v>
      </c>
      <c r="M1622" s="116">
        <v>1609.35</v>
      </c>
      <c r="N1622" s="116">
        <v>1625</v>
      </c>
      <c r="O1622" s="116">
        <v>1549.95</v>
      </c>
      <c r="P1622" s="116">
        <v>1550</v>
      </c>
      <c r="Q1622" s="116">
        <v>1609.35</v>
      </c>
      <c r="R1622">
        <v>9066480</v>
      </c>
    </row>
    <row r="1623" spans="1:18" x14ac:dyDescent="0.25">
      <c r="A1623" s="170">
        <v>44393</v>
      </c>
      <c r="B1623" s="116">
        <v>1622.2</v>
      </c>
      <c r="C1623" s="116">
        <v>1619.1</v>
      </c>
      <c r="D1623" s="116">
        <v>1596</v>
      </c>
      <c r="E1623" s="116">
        <v>1610</v>
      </c>
      <c r="F1623" s="116">
        <v>1619.1</v>
      </c>
      <c r="G1623">
        <v>192874</v>
      </c>
      <c r="H1623" s="116"/>
      <c r="I1623" s="116"/>
      <c r="L1623" s="170">
        <v>44393</v>
      </c>
      <c r="M1623" s="116">
        <v>1618.75</v>
      </c>
      <c r="N1623" s="116">
        <v>1622.8</v>
      </c>
      <c r="O1623" s="116">
        <v>1595.1</v>
      </c>
      <c r="P1623" s="116">
        <v>1609.35</v>
      </c>
      <c r="Q1623" s="116">
        <v>1618.75</v>
      </c>
      <c r="R1623">
        <v>4157388</v>
      </c>
    </row>
    <row r="1624" spans="1:18" x14ac:dyDescent="0.25">
      <c r="A1624" s="170">
        <v>44396</v>
      </c>
      <c r="B1624" s="116">
        <v>1638.65</v>
      </c>
      <c r="C1624" s="116">
        <v>1609.1</v>
      </c>
      <c r="D1624" s="116">
        <v>1597</v>
      </c>
      <c r="E1624" s="116">
        <v>1600</v>
      </c>
      <c r="F1624" s="116">
        <v>1609.1</v>
      </c>
      <c r="G1624">
        <v>442979</v>
      </c>
      <c r="H1624" s="116"/>
      <c r="I1624" s="116"/>
      <c r="L1624" s="170">
        <v>44396</v>
      </c>
      <c r="M1624" s="116">
        <v>1609.6</v>
      </c>
      <c r="N1624" s="116">
        <v>1639.4</v>
      </c>
      <c r="O1624" s="116">
        <v>1597.6</v>
      </c>
      <c r="P1624" s="116">
        <v>1600</v>
      </c>
      <c r="Q1624" s="116">
        <v>1609.6</v>
      </c>
      <c r="R1624">
        <v>3027093</v>
      </c>
    </row>
    <row r="1625" spans="1:18" x14ac:dyDescent="0.25">
      <c r="A1625" s="170">
        <v>44397</v>
      </c>
      <c r="B1625" s="116">
        <v>1622.05</v>
      </c>
      <c r="C1625" s="116">
        <v>1590</v>
      </c>
      <c r="D1625" s="116">
        <v>1582.45</v>
      </c>
      <c r="E1625" s="116">
        <v>1615</v>
      </c>
      <c r="F1625" s="116">
        <v>1590</v>
      </c>
      <c r="G1625">
        <v>74829</v>
      </c>
      <c r="H1625" s="116"/>
      <c r="I1625" s="116"/>
      <c r="L1625" s="170">
        <v>44397</v>
      </c>
      <c r="M1625" s="116">
        <v>1590.35</v>
      </c>
      <c r="N1625" s="116">
        <v>1622.65</v>
      </c>
      <c r="O1625" s="116">
        <v>1582</v>
      </c>
      <c r="P1625" s="116">
        <v>1609.85</v>
      </c>
      <c r="Q1625" s="116">
        <v>1590.35</v>
      </c>
      <c r="R1625">
        <v>1847026</v>
      </c>
    </row>
    <row r="1626" spans="1:18" x14ac:dyDescent="0.25">
      <c r="A1626" s="170">
        <v>44399</v>
      </c>
      <c r="B1626" s="116">
        <v>1647</v>
      </c>
      <c r="C1626" s="116">
        <v>1641.55</v>
      </c>
      <c r="D1626" s="116">
        <v>1592.7</v>
      </c>
      <c r="E1626" s="116">
        <v>1606</v>
      </c>
      <c r="F1626" s="116">
        <v>1641.55</v>
      </c>
      <c r="G1626">
        <v>95989</v>
      </c>
      <c r="H1626" s="116"/>
      <c r="I1626" s="116"/>
      <c r="L1626" s="170">
        <v>44399</v>
      </c>
      <c r="M1626" s="116">
        <v>1642.15</v>
      </c>
      <c r="N1626" s="116">
        <v>1647.15</v>
      </c>
      <c r="O1626" s="116">
        <v>1591.55</v>
      </c>
      <c r="P1626" s="116">
        <v>1610</v>
      </c>
      <c r="Q1626" s="116">
        <v>1642.15</v>
      </c>
      <c r="R1626">
        <v>3231269</v>
      </c>
    </row>
    <row r="1627" spans="1:18" x14ac:dyDescent="0.25">
      <c r="A1627" s="170">
        <v>44400</v>
      </c>
      <c r="B1627" s="116">
        <v>1645.35</v>
      </c>
      <c r="C1627" s="116">
        <v>1612</v>
      </c>
      <c r="D1627" s="116">
        <v>1607.2</v>
      </c>
      <c r="E1627" s="116">
        <v>1643.15</v>
      </c>
      <c r="F1627" s="116">
        <v>1612</v>
      </c>
      <c r="G1627">
        <v>85921</v>
      </c>
      <c r="H1627" s="116"/>
      <c r="I1627" s="116"/>
      <c r="L1627" s="170">
        <v>44400</v>
      </c>
      <c r="M1627" s="116">
        <v>1611.75</v>
      </c>
      <c r="N1627" s="116">
        <v>1645.95</v>
      </c>
      <c r="O1627" s="116">
        <v>1606.85</v>
      </c>
      <c r="P1627" s="116">
        <v>1644</v>
      </c>
      <c r="Q1627" s="116">
        <v>1611.75</v>
      </c>
      <c r="R1627">
        <v>2259058</v>
      </c>
    </row>
    <row r="1628" spans="1:18" x14ac:dyDescent="0.25">
      <c r="A1628" s="170">
        <v>44403</v>
      </c>
      <c r="B1628" s="116">
        <v>1626.85</v>
      </c>
      <c r="C1628" s="116">
        <v>1597.85</v>
      </c>
      <c r="D1628" s="116">
        <v>1591.4</v>
      </c>
      <c r="E1628" s="116">
        <v>1612</v>
      </c>
      <c r="F1628" s="116">
        <v>1597.85</v>
      </c>
      <c r="G1628">
        <v>87254</v>
      </c>
      <c r="H1628" s="116"/>
      <c r="I1628" s="116"/>
      <c r="L1628" s="170">
        <v>44403</v>
      </c>
      <c r="M1628" s="116">
        <v>1597.6</v>
      </c>
      <c r="N1628" s="116">
        <v>1627.3</v>
      </c>
      <c r="O1628" s="116">
        <v>1592.8</v>
      </c>
      <c r="P1628" s="116">
        <v>1611.75</v>
      </c>
      <c r="Q1628" s="116">
        <v>1597.6</v>
      </c>
      <c r="R1628">
        <v>2219416</v>
      </c>
    </row>
    <row r="1629" spans="1:18" x14ac:dyDescent="0.25">
      <c r="A1629" s="170">
        <v>44404</v>
      </c>
      <c r="B1629" s="116">
        <v>1618.15</v>
      </c>
      <c r="C1629" s="116">
        <v>1608.2</v>
      </c>
      <c r="D1629" s="116">
        <v>1584.4</v>
      </c>
      <c r="E1629" s="116">
        <v>1609.05</v>
      </c>
      <c r="F1629" s="116">
        <v>1608.2</v>
      </c>
      <c r="G1629">
        <v>134900</v>
      </c>
      <c r="H1629" s="116"/>
      <c r="I1629" s="116"/>
      <c r="L1629" s="170">
        <v>44404</v>
      </c>
      <c r="M1629" s="116">
        <v>1608.25</v>
      </c>
      <c r="N1629" s="116">
        <v>1619</v>
      </c>
      <c r="O1629" s="116">
        <v>1584.25</v>
      </c>
      <c r="P1629" s="116">
        <v>1610.15</v>
      </c>
      <c r="Q1629" s="116">
        <v>1608.25</v>
      </c>
      <c r="R1629">
        <v>3984778</v>
      </c>
    </row>
    <row r="1630" spans="1:18" x14ac:dyDescent="0.25">
      <c r="A1630" s="170">
        <v>44405</v>
      </c>
      <c r="B1630" s="116">
        <v>1601.1</v>
      </c>
      <c r="C1630" s="116">
        <v>1593.8</v>
      </c>
      <c r="D1630" s="116">
        <v>1554.15</v>
      </c>
      <c r="E1630" s="116">
        <v>1593.8</v>
      </c>
      <c r="F1630" s="116">
        <v>1593.8</v>
      </c>
      <c r="G1630">
        <v>86018</v>
      </c>
      <c r="H1630" s="116"/>
      <c r="I1630" s="116"/>
      <c r="L1630" s="170">
        <v>44405</v>
      </c>
      <c r="M1630" s="116">
        <v>1594.2</v>
      </c>
      <c r="N1630" s="116">
        <v>1601.3</v>
      </c>
      <c r="O1630" s="116">
        <v>1553</v>
      </c>
      <c r="P1630" s="116">
        <v>1592.45</v>
      </c>
      <c r="Q1630" s="116">
        <v>1594.2</v>
      </c>
      <c r="R1630">
        <v>4119892</v>
      </c>
    </row>
    <row r="1631" spans="1:18" x14ac:dyDescent="0.25">
      <c r="A1631" s="170">
        <v>44406</v>
      </c>
      <c r="B1631" s="116">
        <v>1606.95</v>
      </c>
      <c r="C1631" s="116">
        <v>1595.8</v>
      </c>
      <c r="D1631" s="116">
        <v>1586</v>
      </c>
      <c r="E1631" s="116">
        <v>1599.8</v>
      </c>
      <c r="F1631" s="116">
        <v>1595.8</v>
      </c>
      <c r="G1631">
        <v>64843</v>
      </c>
      <c r="H1631" s="116"/>
      <c r="I1631" s="116"/>
      <c r="L1631" s="170">
        <v>44406</v>
      </c>
      <c r="M1631" s="116">
        <v>1596</v>
      </c>
      <c r="N1631" s="116">
        <v>1607.35</v>
      </c>
      <c r="O1631" s="116">
        <v>1586</v>
      </c>
      <c r="P1631" s="116">
        <v>1594</v>
      </c>
      <c r="Q1631" s="116">
        <v>1596</v>
      </c>
      <c r="R1631">
        <v>1672177</v>
      </c>
    </row>
    <row r="1632" spans="1:18" x14ac:dyDescent="0.25">
      <c r="A1632" s="170">
        <v>44407</v>
      </c>
      <c r="B1632" s="116">
        <v>1624.85</v>
      </c>
      <c r="C1632" s="116">
        <v>1601.4</v>
      </c>
      <c r="D1632" s="116">
        <v>1585.2</v>
      </c>
      <c r="E1632" s="116">
        <v>1595.8</v>
      </c>
      <c r="F1632" s="116">
        <v>1601.4</v>
      </c>
      <c r="G1632">
        <v>64335</v>
      </c>
      <c r="H1632" s="116"/>
      <c r="I1632" s="116"/>
      <c r="L1632" s="170">
        <v>44407</v>
      </c>
      <c r="M1632" s="116">
        <v>1601.45</v>
      </c>
      <c r="N1632" s="116">
        <v>1624.9</v>
      </c>
      <c r="O1632" s="116">
        <v>1585</v>
      </c>
      <c r="P1632" s="116">
        <v>1598</v>
      </c>
      <c r="Q1632" s="116">
        <v>1601.45</v>
      </c>
      <c r="R1632">
        <v>2536568</v>
      </c>
    </row>
    <row r="1633" spans="1:18" x14ac:dyDescent="0.25">
      <c r="A1633" s="170">
        <v>44410</v>
      </c>
      <c r="B1633" s="116">
        <v>1618</v>
      </c>
      <c r="C1633" s="116">
        <v>1613.7</v>
      </c>
      <c r="D1633" s="116">
        <v>1602.85</v>
      </c>
      <c r="E1633" s="116">
        <v>1614.85</v>
      </c>
      <c r="F1633" s="116">
        <v>1613.7</v>
      </c>
      <c r="G1633">
        <v>35638</v>
      </c>
      <c r="H1633" s="116"/>
      <c r="I1633" s="116"/>
      <c r="L1633" s="170">
        <v>44410</v>
      </c>
      <c r="M1633" s="116">
        <v>1613.95</v>
      </c>
      <c r="N1633" s="116">
        <v>1618</v>
      </c>
      <c r="O1633" s="116">
        <v>1602.05</v>
      </c>
      <c r="P1633" s="116">
        <v>1606.3</v>
      </c>
      <c r="Q1633" s="116">
        <v>1613.95</v>
      </c>
      <c r="R1633">
        <v>1083353</v>
      </c>
    </row>
    <row r="1634" spans="1:18" x14ac:dyDescent="0.25">
      <c r="A1634" s="170">
        <v>44411</v>
      </c>
      <c r="B1634" s="116">
        <v>1638.55</v>
      </c>
      <c r="C1634" s="116">
        <v>1633.15</v>
      </c>
      <c r="D1634" s="116">
        <v>1610.7</v>
      </c>
      <c r="E1634" s="116">
        <v>1620</v>
      </c>
      <c r="F1634" s="116">
        <v>1633.15</v>
      </c>
      <c r="G1634">
        <v>63550</v>
      </c>
      <c r="H1634" s="116"/>
      <c r="I1634" s="116"/>
      <c r="L1634" s="170">
        <v>44411</v>
      </c>
      <c r="M1634" s="116">
        <v>1634.35</v>
      </c>
      <c r="N1634" s="116">
        <v>1638.7</v>
      </c>
      <c r="O1634" s="116">
        <v>1610.3</v>
      </c>
      <c r="P1634" s="116">
        <v>1625</v>
      </c>
      <c r="Q1634" s="116">
        <v>1634.35</v>
      </c>
      <c r="R1634">
        <v>1777140</v>
      </c>
    </row>
    <row r="1635" spans="1:18" x14ac:dyDescent="0.25">
      <c r="A1635" s="170">
        <v>44412</v>
      </c>
      <c r="B1635" s="116">
        <v>1643.5</v>
      </c>
      <c r="C1635" s="116">
        <v>1622.55</v>
      </c>
      <c r="D1635" s="116">
        <v>1613.9</v>
      </c>
      <c r="E1635" s="116">
        <v>1634.7</v>
      </c>
      <c r="F1635" s="116">
        <v>1622.55</v>
      </c>
      <c r="G1635">
        <v>73782</v>
      </c>
      <c r="H1635" s="116"/>
      <c r="I1635" s="116"/>
      <c r="L1635" s="170">
        <v>44412</v>
      </c>
      <c r="M1635" s="116">
        <v>1623.2</v>
      </c>
      <c r="N1635" s="116">
        <v>1644.3</v>
      </c>
      <c r="O1635" s="116">
        <v>1613.6</v>
      </c>
      <c r="P1635" s="116">
        <v>1640</v>
      </c>
      <c r="Q1635" s="116">
        <v>1623.2</v>
      </c>
      <c r="R1635">
        <v>2067087</v>
      </c>
    </row>
    <row r="1636" spans="1:18" x14ac:dyDescent="0.25">
      <c r="A1636" s="170">
        <v>44413</v>
      </c>
      <c r="B1636" s="116">
        <v>1632.45</v>
      </c>
      <c r="C1636" s="116">
        <v>1626.65</v>
      </c>
      <c r="D1636" s="116">
        <v>1609.35</v>
      </c>
      <c r="E1636" s="116">
        <v>1623.9</v>
      </c>
      <c r="F1636" s="116">
        <v>1626.65</v>
      </c>
      <c r="G1636">
        <v>202921</v>
      </c>
      <c r="H1636" s="116"/>
      <c r="I1636" s="116"/>
      <c r="L1636" s="170">
        <v>44413</v>
      </c>
      <c r="M1636" s="116">
        <v>1627.4</v>
      </c>
      <c r="N1636" s="116">
        <v>1632.85</v>
      </c>
      <c r="O1636" s="116">
        <v>1608.8</v>
      </c>
      <c r="P1636" s="116">
        <v>1620</v>
      </c>
      <c r="Q1636" s="116">
        <v>1627.4</v>
      </c>
      <c r="R1636">
        <v>1831728</v>
      </c>
    </row>
    <row r="1637" spans="1:18" x14ac:dyDescent="0.25">
      <c r="A1637" s="170">
        <v>44414</v>
      </c>
      <c r="B1637" s="116">
        <v>1638.85</v>
      </c>
      <c r="C1637" s="116">
        <v>1609.75</v>
      </c>
      <c r="D1637" s="116">
        <v>1606.35</v>
      </c>
      <c r="E1637" s="116">
        <v>1629.5</v>
      </c>
      <c r="F1637" s="116">
        <v>1609.75</v>
      </c>
      <c r="G1637">
        <v>59450</v>
      </c>
      <c r="H1637" s="116"/>
      <c r="I1637" s="116"/>
      <c r="L1637" s="170">
        <v>44414</v>
      </c>
      <c r="M1637" s="116">
        <v>1610.35</v>
      </c>
      <c r="N1637" s="116">
        <v>1639</v>
      </c>
      <c r="O1637" s="116">
        <v>1608.3</v>
      </c>
      <c r="P1637" s="116">
        <v>1627</v>
      </c>
      <c r="Q1637" s="116">
        <v>1610.35</v>
      </c>
      <c r="R1637">
        <v>1192143</v>
      </c>
    </row>
    <row r="1638" spans="1:18" x14ac:dyDescent="0.25">
      <c r="A1638" s="170">
        <v>44417</v>
      </c>
      <c r="B1638" s="116">
        <v>1623.75</v>
      </c>
      <c r="C1638" s="116">
        <v>1597.85</v>
      </c>
      <c r="D1638" s="116">
        <v>1590.55</v>
      </c>
      <c r="E1638" s="116">
        <v>1620</v>
      </c>
      <c r="F1638" s="116">
        <v>1597.85</v>
      </c>
      <c r="G1638">
        <v>50467</v>
      </c>
      <c r="H1638" s="116"/>
      <c r="I1638" s="116"/>
      <c r="L1638" s="170">
        <v>44417</v>
      </c>
      <c r="M1638" s="116">
        <v>1597.45</v>
      </c>
      <c r="N1638" s="116">
        <v>1624</v>
      </c>
      <c r="O1638" s="116">
        <v>1590</v>
      </c>
      <c r="P1638" s="116">
        <v>1620</v>
      </c>
      <c r="Q1638" s="116">
        <v>1597.45</v>
      </c>
      <c r="R1638">
        <v>1223794</v>
      </c>
    </row>
    <row r="1639" spans="1:18" x14ac:dyDescent="0.25">
      <c r="A1639" s="170">
        <v>44418</v>
      </c>
      <c r="B1639" s="116">
        <v>1609.25</v>
      </c>
      <c r="C1639" s="116">
        <v>1587.15</v>
      </c>
      <c r="D1639" s="116">
        <v>1571.05</v>
      </c>
      <c r="E1639" s="116">
        <v>1603.15</v>
      </c>
      <c r="F1639" s="116">
        <v>1587.15</v>
      </c>
      <c r="G1639">
        <v>110343</v>
      </c>
      <c r="H1639" s="116"/>
      <c r="I1639" s="116"/>
      <c r="L1639" s="170">
        <v>44418</v>
      </c>
      <c r="M1639" s="116">
        <v>1588.45</v>
      </c>
      <c r="N1639" s="116">
        <v>1609.9</v>
      </c>
      <c r="O1639" s="116">
        <v>1572</v>
      </c>
      <c r="P1639" s="116">
        <v>1606</v>
      </c>
      <c r="Q1639" s="116">
        <v>1588.45</v>
      </c>
      <c r="R1639">
        <v>1429931</v>
      </c>
    </row>
    <row r="1640" spans="1:18" x14ac:dyDescent="0.25">
      <c r="A1640" s="170">
        <v>44419</v>
      </c>
      <c r="B1640" s="116">
        <v>1597.75</v>
      </c>
      <c r="C1640" s="116">
        <v>1585.5</v>
      </c>
      <c r="D1640" s="116">
        <v>1563.3</v>
      </c>
      <c r="E1640" s="116">
        <v>1589</v>
      </c>
      <c r="F1640" s="116">
        <v>1585.5</v>
      </c>
      <c r="G1640">
        <v>40434</v>
      </c>
      <c r="H1640" s="116"/>
      <c r="I1640" s="116"/>
      <c r="L1640" s="170">
        <v>44419</v>
      </c>
      <c r="M1640" s="116">
        <v>1583.3</v>
      </c>
      <c r="N1640" s="116">
        <v>1597.9</v>
      </c>
      <c r="O1640" s="116">
        <v>1562.75</v>
      </c>
      <c r="P1640" s="116">
        <v>1590.2</v>
      </c>
      <c r="Q1640" s="116">
        <v>1583.3</v>
      </c>
      <c r="R1640">
        <v>1370930</v>
      </c>
    </row>
    <row r="1641" spans="1:18" x14ac:dyDescent="0.25">
      <c r="A1641" s="170">
        <v>44420</v>
      </c>
      <c r="B1641" s="116">
        <v>1626.8</v>
      </c>
      <c r="C1641" s="116">
        <v>1622.4</v>
      </c>
      <c r="D1641" s="116">
        <v>1582</v>
      </c>
      <c r="E1641" s="116">
        <v>1585</v>
      </c>
      <c r="F1641" s="116">
        <v>1622.4</v>
      </c>
      <c r="G1641">
        <v>110044</v>
      </c>
      <c r="H1641" s="116"/>
      <c r="I1641" s="116"/>
      <c r="L1641" s="170">
        <v>44420</v>
      </c>
      <c r="M1641" s="116">
        <v>1623.45</v>
      </c>
      <c r="N1641" s="116">
        <v>1627</v>
      </c>
      <c r="O1641" s="116">
        <v>1582</v>
      </c>
      <c r="P1641" s="116">
        <v>1590</v>
      </c>
      <c r="Q1641" s="116">
        <v>1623.45</v>
      </c>
      <c r="R1641">
        <v>1645811</v>
      </c>
    </row>
    <row r="1642" spans="1:18" x14ac:dyDescent="0.25">
      <c r="A1642" s="170">
        <v>44421</v>
      </c>
      <c r="B1642" s="116">
        <v>1676</v>
      </c>
      <c r="C1642" s="116">
        <v>1667.45</v>
      </c>
      <c r="D1642" s="116">
        <v>1625</v>
      </c>
      <c r="E1642" s="116">
        <v>1626</v>
      </c>
      <c r="F1642" s="116">
        <v>1667.45</v>
      </c>
      <c r="G1642">
        <v>233739</v>
      </c>
      <c r="H1642" s="116"/>
      <c r="I1642" s="116"/>
      <c r="L1642" s="170">
        <v>44421</v>
      </c>
      <c r="M1642" s="116">
        <v>1668.4</v>
      </c>
      <c r="N1642" s="116">
        <v>1676.8</v>
      </c>
      <c r="O1642" s="116">
        <v>1625</v>
      </c>
      <c r="P1642" s="116">
        <v>1626</v>
      </c>
      <c r="Q1642" s="116">
        <v>1668.4</v>
      </c>
      <c r="R1642">
        <v>5439442</v>
      </c>
    </row>
    <row r="1643" spans="1:18" x14ac:dyDescent="0.25">
      <c r="A1643" s="170">
        <v>44424</v>
      </c>
      <c r="B1643" s="116">
        <v>1676.7</v>
      </c>
      <c r="C1643" s="116">
        <v>1656.35</v>
      </c>
      <c r="D1643" s="116">
        <v>1654</v>
      </c>
      <c r="E1643" s="116">
        <v>1671.25</v>
      </c>
      <c r="F1643" s="116">
        <v>1656.35</v>
      </c>
      <c r="G1643">
        <v>52491</v>
      </c>
      <c r="H1643" s="116"/>
      <c r="I1643" s="116"/>
      <c r="L1643" s="170">
        <v>44424</v>
      </c>
      <c r="M1643" s="116">
        <v>1656.1</v>
      </c>
      <c r="N1643" s="116">
        <v>1677.05</v>
      </c>
      <c r="O1643" s="116">
        <v>1653.35</v>
      </c>
      <c r="P1643" s="116">
        <v>1674</v>
      </c>
      <c r="Q1643" s="116">
        <v>1656.1</v>
      </c>
      <c r="R1643">
        <v>1794407</v>
      </c>
    </row>
    <row r="1644" spans="1:18" x14ac:dyDescent="0.25">
      <c r="A1644" s="170">
        <v>44425</v>
      </c>
      <c r="B1644" s="116">
        <v>1664.8</v>
      </c>
      <c r="C1644" s="116">
        <v>1638.2</v>
      </c>
      <c r="D1644" s="116">
        <v>1625.9</v>
      </c>
      <c r="E1644" s="116">
        <v>1656.5</v>
      </c>
      <c r="F1644" s="116">
        <v>1638.2</v>
      </c>
      <c r="G1644">
        <v>78476</v>
      </c>
      <c r="H1644" s="116"/>
      <c r="I1644" s="116"/>
      <c r="L1644" s="170">
        <v>44425</v>
      </c>
      <c r="M1644" s="116">
        <v>1638.75</v>
      </c>
      <c r="N1644" s="116">
        <v>1665</v>
      </c>
      <c r="O1644" s="116">
        <v>1625.05</v>
      </c>
      <c r="P1644" s="116">
        <v>1658</v>
      </c>
      <c r="Q1644" s="116">
        <v>1638.75</v>
      </c>
      <c r="R1644">
        <v>1838525</v>
      </c>
    </row>
    <row r="1645" spans="1:18" x14ac:dyDescent="0.25">
      <c r="A1645" s="170">
        <v>44426</v>
      </c>
      <c r="B1645" s="116">
        <v>1660.85</v>
      </c>
      <c r="C1645" s="116">
        <v>1631.65</v>
      </c>
      <c r="D1645" s="116">
        <v>1627.3</v>
      </c>
      <c r="E1645" s="116">
        <v>1644</v>
      </c>
      <c r="F1645" s="116">
        <v>1631.65</v>
      </c>
      <c r="G1645">
        <v>56067</v>
      </c>
      <c r="H1645" s="116"/>
      <c r="I1645" s="116"/>
      <c r="L1645" s="170">
        <v>44426</v>
      </c>
      <c r="M1645" s="116">
        <v>1632.85</v>
      </c>
      <c r="N1645" s="116">
        <v>1661.1</v>
      </c>
      <c r="O1645" s="116">
        <v>1627.1</v>
      </c>
      <c r="P1645" s="116">
        <v>1647</v>
      </c>
      <c r="Q1645" s="116">
        <v>1632.85</v>
      </c>
      <c r="R1645">
        <v>1570228</v>
      </c>
    </row>
    <row r="1646" spans="1:18" x14ac:dyDescent="0.25">
      <c r="A1646" s="170">
        <v>44428</v>
      </c>
      <c r="B1646" s="116">
        <v>1623</v>
      </c>
      <c r="C1646" s="116">
        <v>1593.5</v>
      </c>
      <c r="D1646" s="116">
        <v>1590</v>
      </c>
      <c r="E1646" s="116">
        <v>1620</v>
      </c>
      <c r="F1646" s="116">
        <v>1593.5</v>
      </c>
      <c r="G1646">
        <v>94075</v>
      </c>
      <c r="H1646" s="116"/>
      <c r="I1646" s="116"/>
      <c r="L1646" s="170">
        <v>44428</v>
      </c>
      <c r="M1646" s="116">
        <v>1593.6</v>
      </c>
      <c r="N1646" s="116">
        <v>1623</v>
      </c>
      <c r="O1646" s="116">
        <v>1590</v>
      </c>
      <c r="P1646" s="116">
        <v>1618.9</v>
      </c>
      <c r="Q1646" s="116">
        <v>1593.6</v>
      </c>
      <c r="R1646">
        <v>2416059</v>
      </c>
    </row>
    <row r="1647" spans="1:18" x14ac:dyDescent="0.25">
      <c r="A1647" s="170">
        <v>44431</v>
      </c>
      <c r="B1647" s="116">
        <v>1617.85</v>
      </c>
      <c r="C1647" s="116">
        <v>1581</v>
      </c>
      <c r="D1647" s="116">
        <v>1568.3</v>
      </c>
      <c r="E1647" s="116">
        <v>1603.8</v>
      </c>
      <c r="F1647" s="116">
        <v>1581</v>
      </c>
      <c r="G1647">
        <v>58544</v>
      </c>
      <c r="H1647" s="116"/>
      <c r="I1647" s="116"/>
      <c r="L1647" s="170">
        <v>44431</v>
      </c>
      <c r="M1647" s="116">
        <v>1580.75</v>
      </c>
      <c r="N1647" s="116">
        <v>1619</v>
      </c>
      <c r="O1647" s="116">
        <v>1567.9</v>
      </c>
      <c r="P1647" s="116">
        <v>1600.1</v>
      </c>
      <c r="Q1647" s="116">
        <v>1580.75</v>
      </c>
      <c r="R1647">
        <v>1973841</v>
      </c>
    </row>
    <row r="1648" spans="1:18" x14ac:dyDescent="0.25">
      <c r="A1648" s="170">
        <v>44432</v>
      </c>
      <c r="B1648" s="116">
        <v>1613.15</v>
      </c>
      <c r="C1648" s="116">
        <v>1607.95</v>
      </c>
      <c r="D1648" s="116">
        <v>1580</v>
      </c>
      <c r="E1648" s="116">
        <v>1580</v>
      </c>
      <c r="F1648" s="116">
        <v>1607.95</v>
      </c>
      <c r="G1648">
        <v>194583</v>
      </c>
      <c r="H1648" s="116"/>
      <c r="I1648" s="116"/>
      <c r="L1648" s="170">
        <v>44432</v>
      </c>
      <c r="M1648" s="116">
        <v>1605.8</v>
      </c>
      <c r="N1648" s="116">
        <v>1613.35</v>
      </c>
      <c r="O1648" s="116">
        <v>1582.8</v>
      </c>
      <c r="P1648" s="116">
        <v>1590</v>
      </c>
      <c r="Q1648" s="116">
        <v>1605.8</v>
      </c>
      <c r="R1648">
        <v>1580003</v>
      </c>
    </row>
    <row r="1649" spans="1:18" x14ac:dyDescent="0.25">
      <c r="A1649" s="170">
        <v>44433</v>
      </c>
      <c r="B1649" s="116">
        <v>1625.15</v>
      </c>
      <c r="C1649" s="116">
        <v>1593.4</v>
      </c>
      <c r="D1649" s="116">
        <v>1590</v>
      </c>
      <c r="E1649" s="116">
        <v>1617.9</v>
      </c>
      <c r="F1649" s="116">
        <v>1593.4</v>
      </c>
      <c r="G1649">
        <v>71897</v>
      </c>
      <c r="H1649" s="116"/>
      <c r="I1649" s="116"/>
      <c r="L1649" s="170">
        <v>44433</v>
      </c>
      <c r="M1649" s="116">
        <v>1593.8</v>
      </c>
      <c r="N1649" s="116">
        <v>1626</v>
      </c>
      <c r="O1649" s="116">
        <v>1590</v>
      </c>
      <c r="P1649" s="116">
        <v>1614.95</v>
      </c>
      <c r="Q1649" s="116">
        <v>1593.8</v>
      </c>
      <c r="R1649">
        <v>1795313</v>
      </c>
    </row>
    <row r="1650" spans="1:18" x14ac:dyDescent="0.25">
      <c r="A1650" s="170">
        <v>44434</v>
      </c>
      <c r="B1650" s="116">
        <v>1602.85</v>
      </c>
      <c r="C1650" s="116">
        <v>1595.25</v>
      </c>
      <c r="D1650" s="116">
        <v>1586</v>
      </c>
      <c r="E1650" s="116">
        <v>1597.9</v>
      </c>
      <c r="F1650" s="116">
        <v>1595.25</v>
      </c>
      <c r="G1650">
        <v>317235</v>
      </c>
      <c r="H1650" s="116"/>
      <c r="I1650" s="116"/>
      <c r="L1650" s="170">
        <v>44434</v>
      </c>
      <c r="M1650" s="116">
        <v>1595.75</v>
      </c>
      <c r="N1650" s="116">
        <v>1602.95</v>
      </c>
      <c r="O1650" s="116">
        <v>1585</v>
      </c>
      <c r="P1650" s="116">
        <v>1593.8</v>
      </c>
      <c r="Q1650" s="116">
        <v>1595.75</v>
      </c>
      <c r="R1650">
        <v>2051262</v>
      </c>
    </row>
    <row r="1651" spans="1:18" x14ac:dyDescent="0.25">
      <c r="A1651" s="170">
        <v>44435</v>
      </c>
      <c r="B1651" s="116">
        <v>1665.95</v>
      </c>
      <c r="C1651" s="116">
        <v>1637.65</v>
      </c>
      <c r="D1651" s="116">
        <v>1599</v>
      </c>
      <c r="E1651" s="116">
        <v>1600</v>
      </c>
      <c r="F1651" s="116">
        <v>1637.65</v>
      </c>
      <c r="G1651">
        <v>200328</v>
      </c>
      <c r="H1651" s="116"/>
      <c r="I1651" s="116"/>
      <c r="L1651" s="170">
        <v>44435</v>
      </c>
      <c r="M1651" s="116">
        <v>1638.1</v>
      </c>
      <c r="N1651" s="116">
        <v>1666.7</v>
      </c>
      <c r="O1651" s="116">
        <v>1598.05</v>
      </c>
      <c r="P1651" s="116">
        <v>1604</v>
      </c>
      <c r="Q1651" s="116">
        <v>1638.1</v>
      </c>
      <c r="R1651">
        <v>4903187</v>
      </c>
    </row>
    <row r="1652" spans="1:18" x14ac:dyDescent="0.25">
      <c r="A1652" s="170">
        <v>44438</v>
      </c>
      <c r="B1652" s="116">
        <v>1684.8</v>
      </c>
      <c r="C1652" s="116">
        <v>1659.85</v>
      </c>
      <c r="D1652" s="116">
        <v>1645</v>
      </c>
      <c r="E1652" s="116">
        <v>1651.5</v>
      </c>
      <c r="F1652" s="116">
        <v>1659.85</v>
      </c>
      <c r="G1652">
        <v>115458</v>
      </c>
      <c r="H1652" s="116"/>
      <c r="I1652" s="116"/>
      <c r="L1652" s="170">
        <v>44438</v>
      </c>
      <c r="M1652" s="116">
        <v>1660.1</v>
      </c>
      <c r="N1652" s="116">
        <v>1684.95</v>
      </c>
      <c r="O1652" s="116">
        <v>1645.1</v>
      </c>
      <c r="P1652" s="116">
        <v>1646.7</v>
      </c>
      <c r="Q1652" s="116">
        <v>1660.1</v>
      </c>
      <c r="R1652">
        <v>3345934</v>
      </c>
    </row>
    <row r="1653" spans="1:18" x14ac:dyDescent="0.25">
      <c r="A1653" s="170">
        <v>44439</v>
      </c>
      <c r="B1653" s="116">
        <v>1676</v>
      </c>
      <c r="C1653" s="116">
        <v>1671.4</v>
      </c>
      <c r="D1653" s="116">
        <v>1645.85</v>
      </c>
      <c r="E1653" s="116">
        <v>1663.4</v>
      </c>
      <c r="F1653" s="116">
        <v>1671.4</v>
      </c>
      <c r="G1653">
        <v>253390</v>
      </c>
      <c r="H1653" s="116"/>
      <c r="I1653" s="116"/>
      <c r="L1653" s="170">
        <v>44439</v>
      </c>
      <c r="M1653" s="116">
        <v>1672.2</v>
      </c>
      <c r="N1653" s="116">
        <v>1676</v>
      </c>
      <c r="O1653" s="116">
        <v>1645</v>
      </c>
      <c r="P1653" s="116">
        <v>1660.05</v>
      </c>
      <c r="Q1653" s="116">
        <v>1672.2</v>
      </c>
      <c r="R1653">
        <v>3264644</v>
      </c>
    </row>
    <row r="1654" spans="1:18" x14ac:dyDescent="0.25">
      <c r="A1654" s="170">
        <v>44440</v>
      </c>
      <c r="B1654" s="116">
        <v>1717.9</v>
      </c>
      <c r="C1654" s="116">
        <v>1686.6</v>
      </c>
      <c r="D1654" s="116">
        <v>1673.65</v>
      </c>
      <c r="E1654" s="116">
        <v>1678</v>
      </c>
      <c r="F1654" s="116">
        <v>1686.6</v>
      </c>
      <c r="G1654">
        <v>125923</v>
      </c>
      <c r="H1654" s="116"/>
      <c r="I1654" s="116"/>
      <c r="L1654" s="170">
        <v>44440</v>
      </c>
      <c r="M1654" s="116">
        <v>1686.4</v>
      </c>
      <c r="N1654" s="116">
        <v>1718</v>
      </c>
      <c r="O1654" s="116">
        <v>1672.2</v>
      </c>
      <c r="P1654" s="116">
        <v>1672.25</v>
      </c>
      <c r="Q1654" s="116">
        <v>1686.4</v>
      </c>
      <c r="R1654">
        <v>3530101</v>
      </c>
    </row>
    <row r="1655" spans="1:18" x14ac:dyDescent="0.25">
      <c r="A1655" s="170">
        <v>44441</v>
      </c>
      <c r="B1655" s="116">
        <v>1709.95</v>
      </c>
      <c r="C1655" s="116">
        <v>1685.6</v>
      </c>
      <c r="D1655" s="116">
        <v>1682.35</v>
      </c>
      <c r="E1655" s="116">
        <v>1686.6</v>
      </c>
      <c r="F1655" s="116">
        <v>1685.6</v>
      </c>
      <c r="G1655">
        <v>267983</v>
      </c>
      <c r="H1655" s="116"/>
      <c r="I1655" s="116"/>
      <c r="L1655" s="170">
        <v>44441</v>
      </c>
      <c r="M1655" s="116">
        <v>1686.2</v>
      </c>
      <c r="N1655" s="116">
        <v>1710</v>
      </c>
      <c r="O1655" s="116">
        <v>1682</v>
      </c>
      <c r="P1655" s="116">
        <v>1687.9</v>
      </c>
      <c r="Q1655" s="116">
        <v>1686.2</v>
      </c>
      <c r="R1655">
        <v>2400278</v>
      </c>
    </row>
    <row r="1656" spans="1:18" x14ac:dyDescent="0.25">
      <c r="A1656" s="170">
        <v>44442</v>
      </c>
      <c r="B1656" s="116">
        <v>1704.35</v>
      </c>
      <c r="C1656" s="116">
        <v>1686.55</v>
      </c>
      <c r="D1656" s="116">
        <v>1672.25</v>
      </c>
      <c r="E1656" s="116">
        <v>1697</v>
      </c>
      <c r="F1656" s="116">
        <v>1686.55</v>
      </c>
      <c r="G1656">
        <v>283783</v>
      </c>
      <c r="H1656" s="116"/>
      <c r="I1656" s="116"/>
      <c r="L1656" s="170">
        <v>44442</v>
      </c>
      <c r="M1656" s="116">
        <v>1691.5</v>
      </c>
      <c r="N1656" s="116">
        <v>1704.3</v>
      </c>
      <c r="O1656" s="116">
        <v>1672.1</v>
      </c>
      <c r="P1656" s="116">
        <v>1697</v>
      </c>
      <c r="Q1656" s="116">
        <v>1691.5</v>
      </c>
      <c r="R1656">
        <v>2336258</v>
      </c>
    </row>
    <row r="1657" spans="1:18" x14ac:dyDescent="0.25">
      <c r="A1657" s="170">
        <v>44445</v>
      </c>
      <c r="B1657" s="116">
        <v>1716</v>
      </c>
      <c r="C1657" s="116">
        <v>1694.9</v>
      </c>
      <c r="D1657" s="116">
        <v>1690</v>
      </c>
      <c r="E1657" s="116">
        <v>1704</v>
      </c>
      <c r="F1657" s="116">
        <v>1694.9</v>
      </c>
      <c r="G1657">
        <v>224041</v>
      </c>
      <c r="H1657" s="116"/>
      <c r="I1657" s="116"/>
      <c r="L1657" s="170">
        <v>44445</v>
      </c>
      <c r="M1657" s="116">
        <v>1694.2</v>
      </c>
      <c r="N1657" s="116">
        <v>1716</v>
      </c>
      <c r="O1657" s="116">
        <v>1690.2</v>
      </c>
      <c r="P1657" s="116">
        <v>1700</v>
      </c>
      <c r="Q1657" s="116">
        <v>1694.2</v>
      </c>
      <c r="R1657">
        <v>1850835</v>
      </c>
    </row>
    <row r="1658" spans="1:18" x14ac:dyDescent="0.25">
      <c r="A1658" s="170">
        <v>44446</v>
      </c>
      <c r="B1658" s="116">
        <v>1704.85</v>
      </c>
      <c r="C1658" s="116">
        <v>1680.35</v>
      </c>
      <c r="D1658" s="116">
        <v>1678</v>
      </c>
      <c r="E1658" s="116">
        <v>1694.9</v>
      </c>
      <c r="F1658" s="116">
        <v>1680.35</v>
      </c>
      <c r="G1658">
        <v>110412</v>
      </c>
      <c r="H1658" s="116"/>
      <c r="I1658" s="116"/>
      <c r="L1658" s="170">
        <v>44446</v>
      </c>
      <c r="M1658" s="116">
        <v>1681.7</v>
      </c>
      <c r="N1658" s="116">
        <v>1705</v>
      </c>
      <c r="O1658" s="116">
        <v>1679.45</v>
      </c>
      <c r="P1658" s="116">
        <v>1694.2</v>
      </c>
      <c r="Q1658" s="116">
        <v>1681.7</v>
      </c>
      <c r="R1658">
        <v>1734879</v>
      </c>
    </row>
    <row r="1659" spans="1:18" x14ac:dyDescent="0.25">
      <c r="A1659" s="170">
        <v>44447</v>
      </c>
      <c r="B1659" s="116">
        <v>1694.05</v>
      </c>
      <c r="C1659" s="116">
        <v>1665.85</v>
      </c>
      <c r="D1659" s="116">
        <v>1658.1</v>
      </c>
      <c r="E1659" s="116">
        <v>1685</v>
      </c>
      <c r="F1659" s="116">
        <v>1665.85</v>
      </c>
      <c r="G1659">
        <v>89961</v>
      </c>
      <c r="H1659" s="116"/>
      <c r="I1659" s="116"/>
      <c r="L1659" s="170">
        <v>44447</v>
      </c>
      <c r="M1659" s="116">
        <v>1666.55</v>
      </c>
      <c r="N1659" s="116">
        <v>1694.7</v>
      </c>
      <c r="O1659" s="116">
        <v>1658</v>
      </c>
      <c r="P1659" s="116">
        <v>1682</v>
      </c>
      <c r="Q1659" s="116">
        <v>1666.55</v>
      </c>
      <c r="R1659">
        <v>1644392</v>
      </c>
    </row>
    <row r="1660" spans="1:18" x14ac:dyDescent="0.25">
      <c r="A1660" s="170">
        <v>44448</v>
      </c>
      <c r="B1660" s="116">
        <v>1680.5</v>
      </c>
      <c r="C1660" s="116">
        <v>1669.55</v>
      </c>
      <c r="D1660" s="116">
        <v>1657.2</v>
      </c>
      <c r="E1660" s="116">
        <v>1664.4</v>
      </c>
      <c r="F1660" s="116">
        <v>1669.55</v>
      </c>
      <c r="G1660">
        <v>59518</v>
      </c>
      <c r="H1660" s="116"/>
      <c r="I1660" s="116"/>
      <c r="L1660" s="170">
        <v>44448</v>
      </c>
      <c r="M1660" s="116">
        <v>1670.05</v>
      </c>
      <c r="N1660" s="116">
        <v>1680.6</v>
      </c>
      <c r="O1660" s="116">
        <v>1655.2</v>
      </c>
      <c r="P1660" s="116">
        <v>1655.2</v>
      </c>
      <c r="Q1660" s="116">
        <v>1670.05</v>
      </c>
      <c r="R1660">
        <v>1225239</v>
      </c>
    </row>
    <row r="1661" spans="1:18" x14ac:dyDescent="0.25">
      <c r="A1661" s="170">
        <v>44452</v>
      </c>
      <c r="B1661" s="116">
        <v>1675.75</v>
      </c>
      <c r="C1661" s="116">
        <v>1671.65</v>
      </c>
      <c r="D1661" s="116">
        <v>1661.2</v>
      </c>
      <c r="E1661" s="116">
        <v>1665</v>
      </c>
      <c r="F1661" s="116">
        <v>1671.65</v>
      </c>
      <c r="G1661">
        <v>31415</v>
      </c>
      <c r="H1661" s="116"/>
      <c r="I1661" s="116"/>
      <c r="L1661" s="170">
        <v>44452</v>
      </c>
      <c r="M1661" s="116">
        <v>1671.7</v>
      </c>
      <c r="N1661" s="116">
        <v>1675.65</v>
      </c>
      <c r="O1661" s="116">
        <v>1660.5</v>
      </c>
      <c r="P1661" s="116">
        <v>1662.05</v>
      </c>
      <c r="Q1661" s="116">
        <v>1671.7</v>
      </c>
      <c r="R1661">
        <v>1578773</v>
      </c>
    </row>
    <row r="1662" spans="1:18" x14ac:dyDescent="0.25">
      <c r="A1662" s="170">
        <v>44453</v>
      </c>
      <c r="B1662" s="116">
        <v>1698.55</v>
      </c>
      <c r="C1662" s="116">
        <v>1696.2</v>
      </c>
      <c r="D1662" s="116">
        <v>1676.8</v>
      </c>
      <c r="E1662" s="116">
        <v>1683.9</v>
      </c>
      <c r="F1662" s="116">
        <v>1696.2</v>
      </c>
      <c r="G1662">
        <v>42820</v>
      </c>
      <c r="H1662" s="116"/>
      <c r="I1662" s="116"/>
      <c r="L1662" s="170">
        <v>44453</v>
      </c>
      <c r="M1662" s="116">
        <v>1696.45</v>
      </c>
      <c r="N1662" s="116">
        <v>1698.8</v>
      </c>
      <c r="O1662" s="116">
        <v>1675.4</v>
      </c>
      <c r="P1662" s="116">
        <v>1676</v>
      </c>
      <c r="Q1662" s="116">
        <v>1696.45</v>
      </c>
      <c r="R1662">
        <v>1407269</v>
      </c>
    </row>
    <row r="1663" spans="1:18" x14ac:dyDescent="0.25">
      <c r="A1663" s="170">
        <v>44454</v>
      </c>
      <c r="B1663" s="116">
        <v>1724</v>
      </c>
      <c r="C1663" s="116">
        <v>1717.05</v>
      </c>
      <c r="D1663" s="116">
        <v>1697.25</v>
      </c>
      <c r="E1663" s="116">
        <v>1700</v>
      </c>
      <c r="F1663" s="116">
        <v>1717.05</v>
      </c>
      <c r="G1663">
        <v>103687</v>
      </c>
      <c r="H1663" s="116"/>
      <c r="I1663" s="116"/>
      <c r="L1663" s="170">
        <v>44454</v>
      </c>
      <c r="M1663" s="116">
        <v>1717</v>
      </c>
      <c r="N1663" s="116">
        <v>1724.6</v>
      </c>
      <c r="O1663" s="116">
        <v>1697</v>
      </c>
      <c r="P1663" s="116">
        <v>1700</v>
      </c>
      <c r="Q1663" s="116">
        <v>1717</v>
      </c>
      <c r="R1663">
        <v>2757989</v>
      </c>
    </row>
    <row r="1664" spans="1:18" x14ac:dyDescent="0.25">
      <c r="A1664" s="170">
        <v>44455</v>
      </c>
      <c r="B1664" s="116">
        <v>1727.95</v>
      </c>
      <c r="C1664" s="116">
        <v>1720.85</v>
      </c>
      <c r="D1664" s="116">
        <v>1711.1</v>
      </c>
      <c r="E1664" s="116">
        <v>1717.9</v>
      </c>
      <c r="F1664" s="116">
        <v>1720.85</v>
      </c>
      <c r="G1664">
        <v>82439</v>
      </c>
      <c r="H1664" s="116"/>
      <c r="I1664" s="116"/>
      <c r="L1664" s="170">
        <v>44455</v>
      </c>
      <c r="M1664" s="116">
        <v>1721.25</v>
      </c>
      <c r="N1664" s="116">
        <v>1728.5</v>
      </c>
      <c r="O1664" s="116">
        <v>1709.25</v>
      </c>
      <c r="P1664" s="116">
        <v>1709.6</v>
      </c>
      <c r="Q1664" s="116">
        <v>1721.25</v>
      </c>
      <c r="R1664">
        <v>2128381</v>
      </c>
    </row>
    <row r="1665" spans="1:18" x14ac:dyDescent="0.25">
      <c r="A1665" s="170">
        <v>44456</v>
      </c>
      <c r="B1665" s="116">
        <v>1741</v>
      </c>
      <c r="C1665" s="116">
        <v>1715.5</v>
      </c>
      <c r="D1665" s="116">
        <v>1706.15</v>
      </c>
      <c r="E1665" s="116">
        <v>1722</v>
      </c>
      <c r="F1665" s="116">
        <v>1715.5</v>
      </c>
      <c r="G1665">
        <v>131726</v>
      </c>
      <c r="H1665" s="116"/>
      <c r="I1665" s="116"/>
      <c r="L1665" s="170">
        <v>44456</v>
      </c>
      <c r="M1665" s="116">
        <v>1716.2</v>
      </c>
      <c r="N1665" s="116">
        <v>1741.7</v>
      </c>
      <c r="O1665" s="116">
        <v>1706.1</v>
      </c>
      <c r="P1665" s="116">
        <v>1724</v>
      </c>
      <c r="Q1665" s="116">
        <v>1716.2</v>
      </c>
      <c r="R1665">
        <v>3473932</v>
      </c>
    </row>
    <row r="1666" spans="1:18" x14ac:dyDescent="0.25">
      <c r="A1666" s="170">
        <v>44459</v>
      </c>
      <c r="B1666" s="116">
        <v>1735</v>
      </c>
      <c r="C1666" s="116">
        <v>1703.75</v>
      </c>
      <c r="D1666" s="116">
        <v>1697.2</v>
      </c>
      <c r="E1666" s="116">
        <v>1700</v>
      </c>
      <c r="F1666" s="116">
        <v>1703.75</v>
      </c>
      <c r="G1666">
        <v>61942</v>
      </c>
      <c r="H1666" s="116"/>
      <c r="I1666" s="116"/>
      <c r="L1666" s="170">
        <v>44459</v>
      </c>
      <c r="M1666" s="116">
        <v>1704.35</v>
      </c>
      <c r="N1666" s="116">
        <v>1735</v>
      </c>
      <c r="O1666" s="116">
        <v>1699.95</v>
      </c>
      <c r="P1666" s="116">
        <v>1700.2</v>
      </c>
      <c r="Q1666" s="116">
        <v>1704.35</v>
      </c>
      <c r="R1666">
        <v>1820374</v>
      </c>
    </row>
    <row r="1667" spans="1:18" x14ac:dyDescent="0.25">
      <c r="A1667" s="170">
        <v>44460</v>
      </c>
      <c r="B1667" s="116">
        <v>1730</v>
      </c>
      <c r="C1667" s="116">
        <v>1718.1</v>
      </c>
      <c r="D1667" s="116">
        <v>1692.3</v>
      </c>
      <c r="E1667" s="116">
        <v>1700</v>
      </c>
      <c r="F1667" s="116">
        <v>1718.1</v>
      </c>
      <c r="G1667">
        <v>164012</v>
      </c>
      <c r="H1667" s="116"/>
      <c r="I1667" s="116"/>
      <c r="L1667" s="170">
        <v>44460</v>
      </c>
      <c r="M1667" s="116">
        <v>1720.9</v>
      </c>
      <c r="N1667" s="116">
        <v>1730.75</v>
      </c>
      <c r="O1667" s="116">
        <v>1692.4</v>
      </c>
      <c r="P1667" s="116">
        <v>1698.6</v>
      </c>
      <c r="Q1667" s="116">
        <v>1720.9</v>
      </c>
      <c r="R1667">
        <v>2029747</v>
      </c>
    </row>
    <row r="1668" spans="1:18" x14ac:dyDescent="0.25">
      <c r="A1668" s="170">
        <v>44461</v>
      </c>
      <c r="B1668" s="116">
        <v>1729.45</v>
      </c>
      <c r="C1668" s="116">
        <v>1710.85</v>
      </c>
      <c r="D1668" s="116">
        <v>1705.3</v>
      </c>
      <c r="E1668" s="116">
        <v>1720</v>
      </c>
      <c r="F1668" s="116">
        <v>1710.85</v>
      </c>
      <c r="G1668">
        <v>46598</v>
      </c>
      <c r="H1668" s="116"/>
      <c r="I1668" s="116"/>
      <c r="L1668" s="170">
        <v>44461</v>
      </c>
      <c r="M1668" s="116">
        <v>1710.9</v>
      </c>
      <c r="N1668" s="116">
        <v>1730</v>
      </c>
      <c r="O1668" s="116">
        <v>1706</v>
      </c>
      <c r="P1668" s="116">
        <v>1720.9</v>
      </c>
      <c r="Q1668" s="116">
        <v>1710.9</v>
      </c>
      <c r="R1668">
        <v>1487933</v>
      </c>
    </row>
    <row r="1669" spans="1:18" x14ac:dyDescent="0.25">
      <c r="A1669" s="170">
        <v>44462</v>
      </c>
      <c r="B1669" s="116">
        <v>1774.75</v>
      </c>
      <c r="C1669" s="116">
        <v>1770</v>
      </c>
      <c r="D1669" s="116">
        <v>1715.25</v>
      </c>
      <c r="E1669" s="116">
        <v>1718</v>
      </c>
      <c r="F1669" s="116">
        <v>1770</v>
      </c>
      <c r="G1669">
        <v>817067</v>
      </c>
      <c r="H1669" s="116"/>
      <c r="I1669" s="116"/>
      <c r="L1669" s="170">
        <v>44462</v>
      </c>
      <c r="M1669" s="116">
        <v>1769.7</v>
      </c>
      <c r="N1669" s="116">
        <v>1775</v>
      </c>
      <c r="O1669" s="116">
        <v>1715.05</v>
      </c>
      <c r="P1669" s="116">
        <v>1718.3</v>
      </c>
      <c r="Q1669" s="116">
        <v>1769.7</v>
      </c>
      <c r="R1669">
        <v>3702946</v>
      </c>
    </row>
    <row r="1670" spans="1:18" x14ac:dyDescent="0.25">
      <c r="A1670" s="170">
        <v>44463</v>
      </c>
      <c r="B1670" s="116">
        <v>1810</v>
      </c>
      <c r="C1670" s="116">
        <v>1768.1</v>
      </c>
      <c r="D1670" s="116">
        <v>1750</v>
      </c>
      <c r="E1670" s="116">
        <v>1780</v>
      </c>
      <c r="F1670" s="116">
        <v>1768.1</v>
      </c>
      <c r="G1670">
        <v>139958</v>
      </c>
      <c r="H1670" s="116"/>
      <c r="I1670" s="116"/>
      <c r="L1670" s="170">
        <v>44463</v>
      </c>
      <c r="M1670" s="116">
        <v>1768.75</v>
      </c>
      <c r="N1670" s="116">
        <v>1810</v>
      </c>
      <c r="O1670" s="116">
        <v>1750</v>
      </c>
      <c r="P1670" s="116">
        <v>1780</v>
      </c>
      <c r="Q1670" s="116">
        <v>1768.75</v>
      </c>
      <c r="R1670">
        <v>3612494</v>
      </c>
    </row>
    <row r="1671" spans="1:18" x14ac:dyDescent="0.25">
      <c r="A1671" s="170">
        <v>44466</v>
      </c>
      <c r="B1671" s="116">
        <v>1782.3</v>
      </c>
      <c r="C1671" s="116">
        <v>1740.1</v>
      </c>
      <c r="D1671" s="116">
        <v>1735</v>
      </c>
      <c r="E1671" s="116">
        <v>1767.1</v>
      </c>
      <c r="F1671" s="116">
        <v>1740.1</v>
      </c>
      <c r="G1671">
        <v>63002</v>
      </c>
      <c r="H1671" s="116"/>
      <c r="I1671" s="116"/>
      <c r="L1671" s="170">
        <v>44466</v>
      </c>
      <c r="M1671" s="116">
        <v>1739.6</v>
      </c>
      <c r="N1671" s="116">
        <v>1782.75</v>
      </c>
      <c r="O1671" s="116">
        <v>1737</v>
      </c>
      <c r="P1671" s="116">
        <v>1772</v>
      </c>
      <c r="Q1671" s="116">
        <v>1739.6</v>
      </c>
      <c r="R1671">
        <v>1650711</v>
      </c>
    </row>
    <row r="1672" spans="1:18" x14ac:dyDescent="0.25">
      <c r="A1672" s="170">
        <v>44467</v>
      </c>
      <c r="B1672" s="116">
        <v>1758.5</v>
      </c>
      <c r="C1672" s="116">
        <v>1736.7</v>
      </c>
      <c r="D1672" s="116">
        <v>1719</v>
      </c>
      <c r="E1672" s="116">
        <v>1740.25</v>
      </c>
      <c r="F1672" s="116">
        <v>1736.7</v>
      </c>
      <c r="G1672">
        <v>88505</v>
      </c>
      <c r="H1672" s="116"/>
      <c r="I1672" s="116"/>
      <c r="L1672" s="170">
        <v>44467</v>
      </c>
      <c r="M1672" s="116">
        <v>1737.15</v>
      </c>
      <c r="N1672" s="116">
        <v>1759.05</v>
      </c>
      <c r="O1672" s="116">
        <v>1719</v>
      </c>
      <c r="P1672" s="116">
        <v>1745.3</v>
      </c>
      <c r="Q1672" s="116">
        <v>1737.15</v>
      </c>
      <c r="R1672">
        <v>1442615</v>
      </c>
    </row>
    <row r="1673" spans="1:18" x14ac:dyDescent="0.25">
      <c r="A1673" s="170">
        <v>44468</v>
      </c>
      <c r="B1673" s="116">
        <v>1741</v>
      </c>
      <c r="C1673" s="116">
        <v>1720.45</v>
      </c>
      <c r="D1673" s="116">
        <v>1716.8</v>
      </c>
      <c r="E1673" s="116">
        <v>1734.9</v>
      </c>
      <c r="F1673" s="116">
        <v>1720.45</v>
      </c>
      <c r="G1673">
        <v>62884</v>
      </c>
      <c r="H1673" s="116"/>
      <c r="I1673" s="116"/>
      <c r="L1673" s="170">
        <v>44468</v>
      </c>
      <c r="M1673" s="116">
        <v>1721</v>
      </c>
      <c r="N1673" s="116">
        <v>1742</v>
      </c>
      <c r="O1673" s="116">
        <v>1716.6</v>
      </c>
      <c r="P1673" s="116">
        <v>1732</v>
      </c>
      <c r="Q1673" s="116">
        <v>1721</v>
      </c>
      <c r="R1673">
        <v>1698747</v>
      </c>
    </row>
    <row r="1674" spans="1:18" x14ac:dyDescent="0.25">
      <c r="A1674" s="170">
        <v>44469</v>
      </c>
      <c r="B1674" s="116">
        <v>1733.35</v>
      </c>
      <c r="C1674" s="116">
        <v>1703.15</v>
      </c>
      <c r="D1674" s="116">
        <v>1698.1</v>
      </c>
      <c r="E1674" s="116">
        <v>1732</v>
      </c>
      <c r="F1674" s="116">
        <v>1703.15</v>
      </c>
      <c r="G1674">
        <v>61623</v>
      </c>
      <c r="H1674" s="116"/>
      <c r="I1674" s="116"/>
      <c r="L1674" s="170">
        <v>44469</v>
      </c>
      <c r="M1674" s="116">
        <v>1702.95</v>
      </c>
      <c r="N1674" s="116">
        <v>1734.25</v>
      </c>
      <c r="O1674" s="116">
        <v>1697</v>
      </c>
      <c r="P1674" s="116">
        <v>1719.95</v>
      </c>
      <c r="Q1674" s="116">
        <v>1702.95</v>
      </c>
      <c r="R1674">
        <v>1792078</v>
      </c>
    </row>
    <row r="1675" spans="1:18" x14ac:dyDescent="0.25">
      <c r="A1675" s="170">
        <v>44470</v>
      </c>
      <c r="B1675" s="116">
        <v>1712.4</v>
      </c>
      <c r="C1675" s="116">
        <v>1696.5</v>
      </c>
      <c r="D1675" s="116">
        <v>1687.2</v>
      </c>
      <c r="E1675" s="116">
        <v>1701</v>
      </c>
      <c r="F1675" s="116">
        <v>1696.5</v>
      </c>
      <c r="G1675">
        <v>51743</v>
      </c>
      <c r="H1675" s="116"/>
      <c r="I1675" s="116"/>
      <c r="L1675" s="170">
        <v>44470</v>
      </c>
      <c r="M1675" s="116">
        <v>1696.9</v>
      </c>
      <c r="N1675" s="116">
        <v>1712.5</v>
      </c>
      <c r="O1675" s="116">
        <v>1687.5</v>
      </c>
      <c r="P1675" s="116">
        <v>1697.5</v>
      </c>
      <c r="Q1675" s="116">
        <v>1696.9</v>
      </c>
      <c r="R1675">
        <v>1563937</v>
      </c>
    </row>
    <row r="1676" spans="1:18" x14ac:dyDescent="0.25">
      <c r="A1676" s="170">
        <v>44473</v>
      </c>
      <c r="B1676" s="116">
        <v>1723.45</v>
      </c>
      <c r="C1676" s="116">
        <v>1714.75</v>
      </c>
      <c r="D1676" s="116">
        <v>1684.4</v>
      </c>
      <c r="E1676" s="116">
        <v>1700</v>
      </c>
      <c r="F1676" s="116">
        <v>1714.75</v>
      </c>
      <c r="G1676">
        <v>81260</v>
      </c>
      <c r="H1676" s="116"/>
      <c r="I1676" s="116"/>
      <c r="L1676" s="170">
        <v>44473</v>
      </c>
      <c r="M1676" s="116">
        <v>1715.25</v>
      </c>
      <c r="N1676" s="116">
        <v>1723.95</v>
      </c>
      <c r="O1676" s="116">
        <v>1684.05</v>
      </c>
      <c r="P1676" s="116">
        <v>1696.5</v>
      </c>
      <c r="Q1676" s="116">
        <v>1715.25</v>
      </c>
      <c r="R1676">
        <v>1588493</v>
      </c>
    </row>
    <row r="1677" spans="1:18" x14ac:dyDescent="0.25">
      <c r="A1677" s="170">
        <v>44474</v>
      </c>
      <c r="B1677" s="116">
        <v>1739.85</v>
      </c>
      <c r="C1677" s="116">
        <v>1716.65</v>
      </c>
      <c r="D1677" s="116">
        <v>1706.75</v>
      </c>
      <c r="E1677" s="116">
        <v>1719.75</v>
      </c>
      <c r="F1677" s="116">
        <v>1716.65</v>
      </c>
      <c r="G1677">
        <v>43123</v>
      </c>
      <c r="H1677" s="116"/>
      <c r="I1677" s="116"/>
      <c r="L1677" s="170">
        <v>44474</v>
      </c>
      <c r="M1677" s="116">
        <v>1716.7</v>
      </c>
      <c r="N1677" s="116">
        <v>1740</v>
      </c>
      <c r="O1677" s="116">
        <v>1706</v>
      </c>
      <c r="P1677" s="116">
        <v>1714.5</v>
      </c>
      <c r="Q1677" s="116">
        <v>1716.7</v>
      </c>
      <c r="R1677">
        <v>1705242</v>
      </c>
    </row>
    <row r="1678" spans="1:18" x14ac:dyDescent="0.25">
      <c r="A1678" s="170">
        <v>44475</v>
      </c>
      <c r="B1678" s="116">
        <v>1735.85</v>
      </c>
      <c r="C1678" s="116">
        <v>1694.95</v>
      </c>
      <c r="D1678" s="116">
        <v>1690</v>
      </c>
      <c r="E1678" s="116">
        <v>1726.7</v>
      </c>
      <c r="F1678" s="116">
        <v>1694.95</v>
      </c>
      <c r="G1678">
        <v>48331</v>
      </c>
      <c r="H1678" s="116"/>
      <c r="I1678" s="116"/>
      <c r="L1678" s="170">
        <v>44475</v>
      </c>
      <c r="M1678" s="116">
        <v>1695.05</v>
      </c>
      <c r="N1678" s="116">
        <v>1735.9</v>
      </c>
      <c r="O1678" s="116">
        <v>1690</v>
      </c>
      <c r="P1678" s="116">
        <v>1716.7</v>
      </c>
      <c r="Q1678" s="116">
        <v>1695.05</v>
      </c>
      <c r="R1678">
        <v>1845661</v>
      </c>
    </row>
    <row r="1679" spans="1:18" x14ac:dyDescent="0.25">
      <c r="A1679" s="170">
        <v>44476</v>
      </c>
      <c r="B1679" s="116">
        <v>1729.2</v>
      </c>
      <c r="C1679" s="116">
        <v>1712.05</v>
      </c>
      <c r="D1679" s="116">
        <v>1700</v>
      </c>
      <c r="E1679" s="116">
        <v>1700</v>
      </c>
      <c r="F1679" s="116">
        <v>1712.05</v>
      </c>
      <c r="G1679">
        <v>51550</v>
      </c>
      <c r="H1679" s="116"/>
      <c r="I1679" s="116"/>
      <c r="L1679" s="170">
        <v>44476</v>
      </c>
      <c r="M1679" s="116">
        <v>1712.45</v>
      </c>
      <c r="N1679" s="116">
        <v>1729.3</v>
      </c>
      <c r="O1679" s="116">
        <v>1700</v>
      </c>
      <c r="P1679" s="116">
        <v>1710</v>
      </c>
      <c r="Q1679" s="116">
        <v>1712.45</v>
      </c>
      <c r="R1679">
        <v>1378863</v>
      </c>
    </row>
    <row r="1680" spans="1:18" x14ac:dyDescent="0.25">
      <c r="A1680" s="170">
        <v>44477</v>
      </c>
      <c r="B1680" s="116">
        <v>1740</v>
      </c>
      <c r="C1680" s="116">
        <v>1727.3</v>
      </c>
      <c r="D1680" s="116">
        <v>1720.1</v>
      </c>
      <c r="E1680" s="116">
        <v>1740</v>
      </c>
      <c r="F1680" s="116">
        <v>1727.3</v>
      </c>
      <c r="G1680">
        <v>35200</v>
      </c>
      <c r="H1680" s="116"/>
      <c r="I1680" s="116"/>
      <c r="L1680" s="170">
        <v>44477</v>
      </c>
      <c r="M1680" s="116">
        <v>1726.9</v>
      </c>
      <c r="N1680" s="116">
        <v>1741</v>
      </c>
      <c r="O1680" s="116">
        <v>1720</v>
      </c>
      <c r="P1680" s="116">
        <v>1740</v>
      </c>
      <c r="Q1680" s="116">
        <v>1726.9</v>
      </c>
      <c r="R1680">
        <v>1755402</v>
      </c>
    </row>
    <row r="1681" spans="1:18" x14ac:dyDescent="0.25">
      <c r="A1681" s="170">
        <v>44480</v>
      </c>
      <c r="B1681" s="116">
        <v>1746.75</v>
      </c>
      <c r="C1681" s="116">
        <v>1716.7</v>
      </c>
      <c r="D1681" s="116">
        <v>1714.95</v>
      </c>
      <c r="E1681" s="116">
        <v>1729.6</v>
      </c>
      <c r="F1681" s="116">
        <v>1716.7</v>
      </c>
      <c r="G1681">
        <v>699594</v>
      </c>
      <c r="H1681" s="116"/>
      <c r="I1681" s="116"/>
      <c r="L1681" s="170">
        <v>44480</v>
      </c>
      <c r="M1681" s="116">
        <v>1716.9</v>
      </c>
      <c r="N1681" s="116">
        <v>1746.85</v>
      </c>
      <c r="O1681" s="116">
        <v>1715</v>
      </c>
      <c r="P1681" s="116">
        <v>1733.75</v>
      </c>
      <c r="Q1681" s="116">
        <v>1716.9</v>
      </c>
      <c r="R1681">
        <v>1528151</v>
      </c>
    </row>
    <row r="1682" spans="1:18" x14ac:dyDescent="0.25">
      <c r="A1682" s="170">
        <v>44481</v>
      </c>
      <c r="B1682" s="116">
        <v>1725</v>
      </c>
      <c r="C1682" s="116">
        <v>1717.9</v>
      </c>
      <c r="D1682" s="116">
        <v>1700</v>
      </c>
      <c r="E1682" s="116">
        <v>1714</v>
      </c>
      <c r="F1682" s="116">
        <v>1717.9</v>
      </c>
      <c r="G1682">
        <v>46400</v>
      </c>
      <c r="H1682" s="116"/>
      <c r="I1682" s="116"/>
      <c r="L1682" s="170">
        <v>44481</v>
      </c>
      <c r="M1682" s="116">
        <v>1718.2</v>
      </c>
      <c r="N1682" s="116">
        <v>1725.55</v>
      </c>
      <c r="O1682" s="116">
        <v>1700</v>
      </c>
      <c r="P1682" s="116">
        <v>1710.5</v>
      </c>
      <c r="Q1682" s="116">
        <v>1718.2</v>
      </c>
      <c r="R1682">
        <v>1671988</v>
      </c>
    </row>
    <row r="1683" spans="1:18" x14ac:dyDescent="0.25">
      <c r="A1683" s="170">
        <v>44482</v>
      </c>
      <c r="B1683" s="116">
        <v>1763.65</v>
      </c>
      <c r="C1683" s="116">
        <v>1751.95</v>
      </c>
      <c r="D1683" s="116">
        <v>1724.35</v>
      </c>
      <c r="E1683" s="116">
        <v>1729</v>
      </c>
      <c r="F1683" s="116">
        <v>1751.95</v>
      </c>
      <c r="G1683">
        <v>66381</v>
      </c>
      <c r="H1683" s="116"/>
      <c r="I1683" s="116"/>
      <c r="L1683" s="170">
        <v>44482</v>
      </c>
      <c r="M1683" s="116">
        <v>1752.05</v>
      </c>
      <c r="N1683" s="116">
        <v>1763.9</v>
      </c>
      <c r="O1683" s="116">
        <v>1724.05</v>
      </c>
      <c r="P1683" s="116">
        <v>1727</v>
      </c>
      <c r="Q1683" s="116">
        <v>1752.05</v>
      </c>
      <c r="R1683">
        <v>2105025</v>
      </c>
    </row>
    <row r="1684" spans="1:18" x14ac:dyDescent="0.25">
      <c r="A1684" s="170">
        <v>44483</v>
      </c>
      <c r="B1684" s="116">
        <v>1817.95</v>
      </c>
      <c r="C1684" s="116">
        <v>1789.1</v>
      </c>
      <c r="D1684" s="116">
        <v>1766.2</v>
      </c>
      <c r="E1684" s="116">
        <v>1766.2</v>
      </c>
      <c r="F1684" s="116">
        <v>1789.1</v>
      </c>
      <c r="G1684">
        <v>168706</v>
      </c>
      <c r="H1684" s="116"/>
      <c r="I1684" s="116"/>
      <c r="L1684" s="170">
        <v>44483</v>
      </c>
      <c r="M1684" s="116">
        <v>1789.3</v>
      </c>
      <c r="N1684" s="116">
        <v>1817.9</v>
      </c>
      <c r="O1684" s="116">
        <v>1767.45</v>
      </c>
      <c r="P1684" s="116">
        <v>1775</v>
      </c>
      <c r="Q1684" s="116">
        <v>1789.3</v>
      </c>
      <c r="R1684">
        <v>4440909</v>
      </c>
    </row>
    <row r="1685" spans="1:18" x14ac:dyDescent="0.25">
      <c r="A1685" s="170">
        <v>44487</v>
      </c>
      <c r="B1685" s="116">
        <v>1810.45</v>
      </c>
      <c r="C1685" s="116">
        <v>1788.1</v>
      </c>
      <c r="D1685" s="116">
        <v>1781.35</v>
      </c>
      <c r="E1685" s="116">
        <v>1801.6</v>
      </c>
      <c r="F1685" s="116">
        <v>1788.1</v>
      </c>
      <c r="G1685">
        <v>72510</v>
      </c>
      <c r="H1685" s="116"/>
      <c r="I1685" s="116"/>
      <c r="L1685" s="170">
        <v>44487</v>
      </c>
      <c r="M1685" s="116">
        <v>1788.45</v>
      </c>
      <c r="N1685" s="116">
        <v>1810.5</v>
      </c>
      <c r="O1685" s="116">
        <v>1782</v>
      </c>
      <c r="P1685" s="116">
        <v>1807.15</v>
      </c>
      <c r="Q1685" s="116">
        <v>1788.45</v>
      </c>
      <c r="R1685">
        <v>1918546</v>
      </c>
    </row>
    <row r="1686" spans="1:18" x14ac:dyDescent="0.25">
      <c r="A1686" s="170">
        <v>44488</v>
      </c>
      <c r="B1686" s="116">
        <v>1884.9</v>
      </c>
      <c r="C1686" s="116">
        <v>1846.4</v>
      </c>
      <c r="D1686" s="116">
        <v>1801.6</v>
      </c>
      <c r="E1686" s="116">
        <v>1805</v>
      </c>
      <c r="F1686" s="116">
        <v>1846.4</v>
      </c>
      <c r="G1686">
        <v>210384</v>
      </c>
      <c r="H1686" s="116"/>
      <c r="I1686" s="116"/>
      <c r="L1686" s="170">
        <v>44488</v>
      </c>
      <c r="M1686" s="116">
        <v>1846.05</v>
      </c>
      <c r="N1686" s="116">
        <v>1885</v>
      </c>
      <c r="O1686" s="116">
        <v>1802.05</v>
      </c>
      <c r="P1686" s="116">
        <v>1809.8</v>
      </c>
      <c r="Q1686" s="116">
        <v>1846.05</v>
      </c>
      <c r="R1686">
        <v>6639827</v>
      </c>
    </row>
    <row r="1687" spans="1:18" x14ac:dyDescent="0.25">
      <c r="A1687" s="170">
        <v>44489</v>
      </c>
      <c r="B1687" s="116">
        <v>1868.5</v>
      </c>
      <c r="C1687" s="116">
        <v>1807.05</v>
      </c>
      <c r="D1687" s="116">
        <v>1796.5</v>
      </c>
      <c r="E1687" s="116">
        <v>1850.05</v>
      </c>
      <c r="F1687" s="116">
        <v>1807.05</v>
      </c>
      <c r="G1687">
        <v>778285</v>
      </c>
      <c r="H1687" s="116"/>
      <c r="I1687" s="116"/>
      <c r="L1687" s="170">
        <v>44489</v>
      </c>
      <c r="M1687" s="116">
        <v>1806.7</v>
      </c>
      <c r="N1687" s="116">
        <v>1868.65</v>
      </c>
      <c r="O1687" s="116">
        <v>1796.3</v>
      </c>
      <c r="P1687" s="116">
        <v>1855</v>
      </c>
      <c r="Q1687" s="116">
        <v>1806.7</v>
      </c>
      <c r="R1687">
        <v>3295376</v>
      </c>
    </row>
    <row r="1688" spans="1:18" x14ac:dyDescent="0.25">
      <c r="A1688" s="170">
        <v>44490</v>
      </c>
      <c r="B1688" s="116">
        <v>1826.5</v>
      </c>
      <c r="C1688" s="116">
        <v>1805.6</v>
      </c>
      <c r="D1688" s="116">
        <v>1791</v>
      </c>
      <c r="E1688" s="116">
        <v>1812.35</v>
      </c>
      <c r="F1688" s="116">
        <v>1805.6</v>
      </c>
      <c r="G1688">
        <v>93005</v>
      </c>
      <c r="H1688" s="116"/>
      <c r="I1688" s="116"/>
      <c r="L1688" s="170">
        <v>44490</v>
      </c>
      <c r="M1688" s="116">
        <v>1805.75</v>
      </c>
      <c r="N1688" s="116">
        <v>1826.5</v>
      </c>
      <c r="O1688" s="116">
        <v>1791.05</v>
      </c>
      <c r="P1688" s="116">
        <v>1815</v>
      </c>
      <c r="Q1688" s="116">
        <v>1805.75</v>
      </c>
      <c r="R1688">
        <v>2774633</v>
      </c>
    </row>
    <row r="1689" spans="1:18" x14ac:dyDescent="0.25">
      <c r="A1689" s="170">
        <v>44491</v>
      </c>
      <c r="B1689" s="116">
        <v>1831.2</v>
      </c>
      <c r="C1689" s="116">
        <v>1791.25</v>
      </c>
      <c r="D1689" s="116">
        <v>1782.15</v>
      </c>
      <c r="E1689" s="116">
        <v>1812.7</v>
      </c>
      <c r="F1689" s="116">
        <v>1791.25</v>
      </c>
      <c r="G1689">
        <v>49486</v>
      </c>
      <c r="H1689" s="116"/>
      <c r="I1689" s="116"/>
      <c r="L1689" s="170">
        <v>44491</v>
      </c>
      <c r="M1689" s="116">
        <v>1792.25</v>
      </c>
      <c r="N1689" s="116">
        <v>1831.5</v>
      </c>
      <c r="O1689" s="116">
        <v>1781.35</v>
      </c>
      <c r="P1689" s="116">
        <v>1816</v>
      </c>
      <c r="Q1689" s="116">
        <v>1792.25</v>
      </c>
      <c r="R1689">
        <v>1520637</v>
      </c>
    </row>
    <row r="1690" spans="1:18" x14ac:dyDescent="0.25">
      <c r="A1690" s="170">
        <v>44494</v>
      </c>
      <c r="B1690" s="116">
        <v>1812</v>
      </c>
      <c r="C1690" s="116">
        <v>1783.25</v>
      </c>
      <c r="D1690" s="116">
        <v>1761</v>
      </c>
      <c r="E1690" s="116">
        <v>1799</v>
      </c>
      <c r="F1690" s="116">
        <v>1783.25</v>
      </c>
      <c r="G1690">
        <v>67178</v>
      </c>
      <c r="H1690" s="116"/>
      <c r="I1690" s="116"/>
      <c r="L1690" s="170">
        <v>44494</v>
      </c>
      <c r="M1690" s="116">
        <v>1784.15</v>
      </c>
      <c r="N1690" s="116">
        <v>1812.8</v>
      </c>
      <c r="O1690" s="116">
        <v>1760.35</v>
      </c>
      <c r="P1690" s="116">
        <v>1792.25</v>
      </c>
      <c r="Q1690" s="116">
        <v>1784.15</v>
      </c>
      <c r="R1690">
        <v>2488386</v>
      </c>
    </row>
    <row r="1691" spans="1:18" x14ac:dyDescent="0.25">
      <c r="A1691" s="170">
        <v>44495</v>
      </c>
      <c r="B1691" s="116">
        <v>1811</v>
      </c>
      <c r="C1691" s="116">
        <v>1794.45</v>
      </c>
      <c r="D1691" s="116">
        <v>1781.4</v>
      </c>
      <c r="E1691" s="116">
        <v>1794</v>
      </c>
      <c r="F1691" s="116">
        <v>1794.45</v>
      </c>
      <c r="G1691">
        <v>38135</v>
      </c>
      <c r="H1691" s="116"/>
      <c r="I1691" s="116"/>
      <c r="L1691" s="170">
        <v>44495</v>
      </c>
      <c r="M1691" s="116">
        <v>1796.25</v>
      </c>
      <c r="N1691" s="116">
        <v>1811.9</v>
      </c>
      <c r="O1691" s="116">
        <v>1781.55</v>
      </c>
      <c r="P1691" s="116">
        <v>1785</v>
      </c>
      <c r="Q1691" s="116">
        <v>1796.25</v>
      </c>
      <c r="R1691">
        <v>1930107</v>
      </c>
    </row>
    <row r="1692" spans="1:18" x14ac:dyDescent="0.25">
      <c r="A1692" s="170">
        <v>44496</v>
      </c>
      <c r="B1692" s="116">
        <v>1813</v>
      </c>
      <c r="C1692" s="116">
        <v>1782.8</v>
      </c>
      <c r="D1692" s="116">
        <v>1775.25</v>
      </c>
      <c r="E1692" s="116">
        <v>1801</v>
      </c>
      <c r="F1692" s="116">
        <v>1782.8</v>
      </c>
      <c r="G1692">
        <v>45832</v>
      </c>
      <c r="H1692" s="116"/>
      <c r="I1692" s="116"/>
      <c r="L1692" s="170">
        <v>44496</v>
      </c>
      <c r="M1692" s="116">
        <v>1784.55</v>
      </c>
      <c r="N1692" s="116">
        <v>1814</v>
      </c>
      <c r="O1692" s="116">
        <v>1775.1</v>
      </c>
      <c r="P1692" s="116">
        <v>1801</v>
      </c>
      <c r="Q1692" s="116">
        <v>1784.55</v>
      </c>
      <c r="R1692">
        <v>1408879</v>
      </c>
    </row>
    <row r="1693" spans="1:18" x14ac:dyDescent="0.25">
      <c r="A1693" s="170">
        <v>44497</v>
      </c>
      <c r="B1693" s="116">
        <v>1861</v>
      </c>
      <c r="C1693" s="116">
        <v>1812.35</v>
      </c>
      <c r="D1693" s="116">
        <v>1793</v>
      </c>
      <c r="E1693" s="116">
        <v>1793</v>
      </c>
      <c r="F1693" s="116">
        <v>1812.35</v>
      </c>
      <c r="G1693">
        <v>173856</v>
      </c>
      <c r="H1693" s="116"/>
      <c r="I1693" s="116"/>
      <c r="L1693" s="170">
        <v>44497</v>
      </c>
      <c r="M1693" s="116">
        <v>1814.25</v>
      </c>
      <c r="N1693" s="116">
        <v>1862</v>
      </c>
      <c r="O1693" s="116">
        <v>1791</v>
      </c>
      <c r="P1693" s="116">
        <v>1799.55</v>
      </c>
      <c r="Q1693" s="116">
        <v>1814.25</v>
      </c>
      <c r="R1693">
        <v>6379424</v>
      </c>
    </row>
    <row r="1694" spans="1:18" x14ac:dyDescent="0.25">
      <c r="A1694" s="170">
        <v>44498</v>
      </c>
      <c r="B1694" s="116">
        <v>1824</v>
      </c>
      <c r="C1694" s="116">
        <v>1766.8</v>
      </c>
      <c r="D1694" s="116">
        <v>1736.75</v>
      </c>
      <c r="E1694" s="116">
        <v>1818</v>
      </c>
      <c r="F1694" s="116">
        <v>1766.8</v>
      </c>
      <c r="G1694">
        <v>111197</v>
      </c>
      <c r="H1694" s="116"/>
      <c r="I1694" s="116"/>
      <c r="L1694" s="170">
        <v>44498</v>
      </c>
      <c r="M1694" s="116">
        <v>1766.65</v>
      </c>
      <c r="N1694" s="116">
        <v>1824.9</v>
      </c>
      <c r="O1694" s="116">
        <v>1735.8</v>
      </c>
      <c r="P1694" s="116">
        <v>1822</v>
      </c>
      <c r="Q1694" s="116">
        <v>1766.65</v>
      </c>
      <c r="R1694">
        <v>3984689</v>
      </c>
    </row>
    <row r="1695" spans="1:18" x14ac:dyDescent="0.25">
      <c r="A1695" s="170">
        <v>44501</v>
      </c>
      <c r="B1695" s="116">
        <v>1805.35</v>
      </c>
      <c r="C1695" s="116">
        <v>1795.1</v>
      </c>
      <c r="D1695" s="116">
        <v>1752</v>
      </c>
      <c r="E1695" s="116">
        <v>1779.45</v>
      </c>
      <c r="F1695" s="116">
        <v>1795.1</v>
      </c>
      <c r="G1695">
        <v>79727</v>
      </c>
      <c r="H1695" s="116"/>
      <c r="I1695" s="116"/>
      <c r="L1695" s="170">
        <v>44501</v>
      </c>
      <c r="M1695" s="116">
        <v>1795.35</v>
      </c>
      <c r="N1695" s="116">
        <v>1805</v>
      </c>
      <c r="O1695" s="116">
        <v>1751.2</v>
      </c>
      <c r="P1695" s="116">
        <v>1776</v>
      </c>
      <c r="Q1695" s="116">
        <v>1795.35</v>
      </c>
      <c r="R1695">
        <v>2316925</v>
      </c>
    </row>
    <row r="1696" spans="1:18" x14ac:dyDescent="0.25">
      <c r="A1696" s="170">
        <v>44502</v>
      </c>
      <c r="B1696" s="116">
        <v>1823.8</v>
      </c>
      <c r="C1696" s="116">
        <v>1816.2</v>
      </c>
      <c r="D1696" s="116">
        <v>1795.8</v>
      </c>
      <c r="E1696" s="116">
        <v>1804</v>
      </c>
      <c r="F1696" s="116">
        <v>1816.2</v>
      </c>
      <c r="G1696">
        <v>46468</v>
      </c>
      <c r="H1696" s="116"/>
      <c r="I1696" s="116"/>
      <c r="L1696" s="170">
        <v>44502</v>
      </c>
      <c r="M1696" s="116">
        <v>1815.65</v>
      </c>
      <c r="N1696" s="116">
        <v>1824.45</v>
      </c>
      <c r="O1696" s="116">
        <v>1795.4</v>
      </c>
      <c r="P1696" s="116">
        <v>1800</v>
      </c>
      <c r="Q1696" s="116">
        <v>1815.65</v>
      </c>
      <c r="R1696">
        <v>1687119</v>
      </c>
    </row>
    <row r="1697" spans="1:18" x14ac:dyDescent="0.25">
      <c r="A1697" s="170">
        <v>44503</v>
      </c>
      <c r="B1697" s="116">
        <v>1912.85</v>
      </c>
      <c r="C1697" s="116">
        <v>1888.65</v>
      </c>
      <c r="D1697" s="116">
        <v>1819.95</v>
      </c>
      <c r="E1697" s="116">
        <v>1820</v>
      </c>
      <c r="F1697" s="116">
        <v>1888.65</v>
      </c>
      <c r="G1697">
        <v>387435</v>
      </c>
      <c r="H1697" s="116"/>
      <c r="I1697" s="116"/>
      <c r="L1697" s="170">
        <v>44503</v>
      </c>
      <c r="M1697" s="116">
        <v>1889.5</v>
      </c>
      <c r="N1697" s="116">
        <v>1915</v>
      </c>
      <c r="O1697" s="116">
        <v>1818</v>
      </c>
      <c r="P1697" s="116">
        <v>1818</v>
      </c>
      <c r="Q1697" s="116">
        <v>1889.5</v>
      </c>
      <c r="R1697">
        <v>11580233</v>
      </c>
    </row>
    <row r="1698" spans="1:18" x14ac:dyDescent="0.25">
      <c r="A1698" s="170">
        <v>44504</v>
      </c>
      <c r="B1698" s="116">
        <v>1920.35</v>
      </c>
      <c r="C1698" s="116">
        <v>1908.7</v>
      </c>
      <c r="D1698" s="116">
        <v>1899</v>
      </c>
      <c r="E1698" s="116">
        <v>1900</v>
      </c>
      <c r="F1698" s="116">
        <v>1908.7</v>
      </c>
      <c r="G1698">
        <v>36399</v>
      </c>
      <c r="H1698" s="116"/>
      <c r="I1698" s="116"/>
      <c r="L1698" s="170">
        <v>44504</v>
      </c>
      <c r="M1698" s="116">
        <v>1908.95</v>
      </c>
      <c r="N1698" s="116">
        <v>1920.85</v>
      </c>
      <c r="O1698" s="116">
        <v>1900</v>
      </c>
      <c r="P1698" s="116">
        <v>1900</v>
      </c>
      <c r="Q1698" s="116">
        <v>1908.95</v>
      </c>
      <c r="R1698">
        <v>764191</v>
      </c>
    </row>
    <row r="1699" spans="1:18" x14ac:dyDescent="0.25">
      <c r="A1699" s="170">
        <v>44508</v>
      </c>
      <c r="B1699" s="116">
        <v>1951.3</v>
      </c>
      <c r="C1699" s="116">
        <v>1924.1</v>
      </c>
      <c r="D1699" s="116">
        <v>1913.25</v>
      </c>
      <c r="E1699" s="116">
        <v>1935.55</v>
      </c>
      <c r="F1699" s="116">
        <v>1924.1</v>
      </c>
      <c r="G1699">
        <v>173023</v>
      </c>
      <c r="H1699" s="116"/>
      <c r="I1699" s="116"/>
      <c r="L1699" s="170">
        <v>44508</v>
      </c>
      <c r="M1699" s="116">
        <v>1924.55</v>
      </c>
      <c r="N1699" s="116">
        <v>1953.9</v>
      </c>
      <c r="O1699" s="116">
        <v>1912.2</v>
      </c>
      <c r="P1699" s="116">
        <v>1944.55</v>
      </c>
      <c r="Q1699" s="116">
        <v>1924.55</v>
      </c>
      <c r="R1699">
        <v>3674523</v>
      </c>
    </row>
    <row r="1700" spans="1:18" x14ac:dyDescent="0.25">
      <c r="A1700" s="170">
        <v>44509</v>
      </c>
      <c r="B1700" s="116">
        <v>1964</v>
      </c>
      <c r="C1700" s="116">
        <v>1946.85</v>
      </c>
      <c r="D1700" s="116">
        <v>1928.15</v>
      </c>
      <c r="E1700" s="116">
        <v>1934.7</v>
      </c>
      <c r="F1700" s="116">
        <v>1946.85</v>
      </c>
      <c r="G1700">
        <v>181384</v>
      </c>
      <c r="H1700" s="116"/>
      <c r="I1700" s="116"/>
      <c r="L1700" s="170">
        <v>44509</v>
      </c>
      <c r="M1700" s="116">
        <v>1943.6</v>
      </c>
      <c r="N1700" s="116">
        <v>1964.1</v>
      </c>
      <c r="O1700" s="116">
        <v>1930.3</v>
      </c>
      <c r="P1700" s="116">
        <v>1933.5</v>
      </c>
      <c r="Q1700" s="116">
        <v>1943.6</v>
      </c>
      <c r="R1700">
        <v>3550645</v>
      </c>
    </row>
    <row r="1701" spans="1:18" x14ac:dyDescent="0.25">
      <c r="A1701" s="170">
        <v>44510</v>
      </c>
      <c r="B1701" s="116">
        <v>1954.05</v>
      </c>
      <c r="C1701" s="116">
        <v>1948.25</v>
      </c>
      <c r="D1701" s="116">
        <v>1930</v>
      </c>
      <c r="E1701" s="116">
        <v>1938.85</v>
      </c>
      <c r="F1701" s="116">
        <v>1948.25</v>
      </c>
      <c r="G1701">
        <v>137822</v>
      </c>
      <c r="H1701" s="116"/>
      <c r="I1701" s="116"/>
      <c r="L1701" s="170">
        <v>44510</v>
      </c>
      <c r="M1701" s="116">
        <v>1950.15</v>
      </c>
      <c r="N1701" s="116">
        <v>1954</v>
      </c>
      <c r="O1701" s="116">
        <v>1932</v>
      </c>
      <c r="P1701" s="116">
        <v>1932.7</v>
      </c>
      <c r="Q1701" s="116">
        <v>1950.15</v>
      </c>
      <c r="R1701">
        <v>3208195</v>
      </c>
    </row>
    <row r="1702" spans="1:18" x14ac:dyDescent="0.25">
      <c r="A1702" s="170">
        <v>44511</v>
      </c>
      <c r="B1702" s="116">
        <v>1982</v>
      </c>
      <c r="C1702" s="116">
        <v>1931.05</v>
      </c>
      <c r="D1702" s="116">
        <v>1926.65</v>
      </c>
      <c r="E1702" s="116">
        <v>1949</v>
      </c>
      <c r="F1702" s="116">
        <v>1931.05</v>
      </c>
      <c r="G1702">
        <v>122214</v>
      </c>
      <c r="H1702" s="116"/>
      <c r="I1702" s="116"/>
      <c r="L1702" s="170">
        <v>44511</v>
      </c>
      <c r="M1702" s="116">
        <v>1931.7</v>
      </c>
      <c r="N1702" s="116">
        <v>1981.75</v>
      </c>
      <c r="O1702" s="116">
        <v>1925.65</v>
      </c>
      <c r="P1702" s="116">
        <v>1947.85</v>
      </c>
      <c r="Q1702" s="116">
        <v>1931.7</v>
      </c>
      <c r="R1702">
        <v>7061537</v>
      </c>
    </row>
    <row r="1703" spans="1:18" x14ac:dyDescent="0.25">
      <c r="A1703" s="170">
        <v>44512</v>
      </c>
      <c r="B1703" s="116">
        <v>1965</v>
      </c>
      <c r="C1703" s="116">
        <v>1958.55</v>
      </c>
      <c r="D1703" s="116">
        <v>1928.9</v>
      </c>
      <c r="E1703" s="116">
        <v>1939.9</v>
      </c>
      <c r="F1703" s="116">
        <v>1958.55</v>
      </c>
      <c r="G1703">
        <v>128984</v>
      </c>
      <c r="H1703" s="116"/>
      <c r="I1703" s="116"/>
      <c r="L1703" s="170">
        <v>44512</v>
      </c>
      <c r="M1703" s="116">
        <v>1959.95</v>
      </c>
      <c r="N1703" s="116">
        <v>1965</v>
      </c>
      <c r="O1703" s="116">
        <v>1928.1</v>
      </c>
      <c r="P1703" s="116">
        <v>1940</v>
      </c>
      <c r="Q1703" s="116">
        <v>1959.95</v>
      </c>
      <c r="R1703">
        <v>2026320</v>
      </c>
    </row>
    <row r="1704" spans="1:18" x14ac:dyDescent="0.25">
      <c r="A1704" s="170">
        <v>44515</v>
      </c>
      <c r="B1704" s="116">
        <v>1982.95</v>
      </c>
      <c r="C1704" s="116">
        <v>1947.05</v>
      </c>
      <c r="D1704" s="116">
        <v>1943.2</v>
      </c>
      <c r="E1704" s="116">
        <v>1962</v>
      </c>
      <c r="F1704" s="116">
        <v>1947.05</v>
      </c>
      <c r="G1704">
        <v>200066</v>
      </c>
      <c r="H1704" s="116"/>
      <c r="I1704" s="116"/>
      <c r="L1704" s="170">
        <v>44515</v>
      </c>
      <c r="M1704" s="116">
        <v>1947.05</v>
      </c>
      <c r="N1704" s="116">
        <v>1974.5</v>
      </c>
      <c r="O1704" s="116">
        <v>1943</v>
      </c>
      <c r="P1704" s="116">
        <v>1961.25</v>
      </c>
      <c r="Q1704" s="116">
        <v>1947.05</v>
      </c>
      <c r="R1704">
        <v>1127678</v>
      </c>
    </row>
    <row r="1705" spans="1:18" x14ac:dyDescent="0.25">
      <c r="A1705" s="170">
        <v>44516</v>
      </c>
      <c r="B1705" s="116">
        <v>1980</v>
      </c>
      <c r="C1705" s="116">
        <v>1955.3</v>
      </c>
      <c r="D1705" s="116">
        <v>1943.95</v>
      </c>
      <c r="E1705" s="116">
        <v>1945.1</v>
      </c>
      <c r="F1705" s="116">
        <v>1955.3</v>
      </c>
      <c r="G1705">
        <v>147690</v>
      </c>
      <c r="H1705" s="116"/>
      <c r="I1705" s="116"/>
      <c r="L1705" s="170">
        <v>44516</v>
      </c>
      <c r="M1705" s="116">
        <v>1955.3</v>
      </c>
      <c r="N1705" s="116">
        <v>1979.95</v>
      </c>
      <c r="O1705" s="116">
        <v>1944</v>
      </c>
      <c r="P1705" s="116">
        <v>1950</v>
      </c>
      <c r="Q1705" s="116">
        <v>1955.3</v>
      </c>
      <c r="R1705">
        <v>2279531</v>
      </c>
    </row>
    <row r="1706" spans="1:18" x14ac:dyDescent="0.25">
      <c r="A1706" s="170">
        <v>44517</v>
      </c>
      <c r="B1706" s="116">
        <v>1978.8</v>
      </c>
      <c r="C1706" s="116">
        <v>1951.6</v>
      </c>
      <c r="D1706" s="116">
        <v>1944.15</v>
      </c>
      <c r="E1706" s="116">
        <v>1960</v>
      </c>
      <c r="F1706" s="116">
        <v>1951.6</v>
      </c>
      <c r="G1706">
        <v>66227</v>
      </c>
      <c r="H1706" s="116"/>
      <c r="I1706" s="116"/>
      <c r="L1706" s="170">
        <v>44517</v>
      </c>
      <c r="M1706" s="116">
        <v>1952.9</v>
      </c>
      <c r="N1706" s="116">
        <v>1978.9</v>
      </c>
      <c r="O1706" s="116">
        <v>1943.55</v>
      </c>
      <c r="P1706" s="116">
        <v>1949</v>
      </c>
      <c r="Q1706" s="116">
        <v>1952.9</v>
      </c>
      <c r="R1706">
        <v>2166686</v>
      </c>
    </row>
    <row r="1707" spans="1:18" x14ac:dyDescent="0.25">
      <c r="A1707" s="170">
        <v>44518</v>
      </c>
      <c r="B1707" s="116">
        <v>1953</v>
      </c>
      <c r="C1707" s="116">
        <v>1898.05</v>
      </c>
      <c r="D1707" s="116">
        <v>1892.9</v>
      </c>
      <c r="E1707" s="116">
        <v>1951</v>
      </c>
      <c r="F1707" s="116">
        <v>1898.05</v>
      </c>
      <c r="G1707">
        <v>84910</v>
      </c>
      <c r="H1707" s="116"/>
      <c r="I1707" s="116"/>
      <c r="L1707" s="170">
        <v>44518</v>
      </c>
      <c r="M1707" s="116">
        <v>1897</v>
      </c>
      <c r="N1707" s="116">
        <v>1954</v>
      </c>
      <c r="O1707" s="116">
        <v>1893</v>
      </c>
      <c r="P1707" s="116">
        <v>1952.9</v>
      </c>
      <c r="Q1707" s="116">
        <v>1897</v>
      </c>
      <c r="R1707">
        <v>1883794</v>
      </c>
    </row>
    <row r="1708" spans="1:18" x14ac:dyDescent="0.25">
      <c r="A1708" s="170">
        <v>44522</v>
      </c>
      <c r="B1708" s="116">
        <v>1899</v>
      </c>
      <c r="C1708" s="116">
        <v>1864.3</v>
      </c>
      <c r="D1708" s="116">
        <v>1837.3</v>
      </c>
      <c r="E1708" s="116">
        <v>1897</v>
      </c>
      <c r="F1708" s="116">
        <v>1864.3</v>
      </c>
      <c r="G1708">
        <v>136081</v>
      </c>
      <c r="H1708" s="116"/>
      <c r="I1708" s="116"/>
      <c r="L1708" s="170">
        <v>44522</v>
      </c>
      <c r="M1708" s="116">
        <v>1864.5</v>
      </c>
      <c r="N1708" s="116">
        <v>1900</v>
      </c>
      <c r="O1708" s="116">
        <v>1837.85</v>
      </c>
      <c r="P1708" s="116">
        <v>1898.25</v>
      </c>
      <c r="Q1708" s="116">
        <v>1864.5</v>
      </c>
      <c r="R1708">
        <v>2407464</v>
      </c>
    </row>
    <row r="1709" spans="1:18" x14ac:dyDescent="0.25">
      <c r="A1709" s="170">
        <v>44523</v>
      </c>
      <c r="B1709" s="116">
        <v>1894.7</v>
      </c>
      <c r="C1709" s="116">
        <v>1888.25</v>
      </c>
      <c r="D1709" s="116">
        <v>1842</v>
      </c>
      <c r="E1709" s="116">
        <v>1842</v>
      </c>
      <c r="F1709" s="116">
        <v>1888.25</v>
      </c>
      <c r="G1709">
        <v>59200</v>
      </c>
      <c r="H1709" s="116"/>
      <c r="I1709" s="116"/>
      <c r="L1709" s="170">
        <v>44523</v>
      </c>
      <c r="M1709" s="116">
        <v>1886.35</v>
      </c>
      <c r="N1709" s="116">
        <v>1895.6</v>
      </c>
      <c r="O1709" s="116">
        <v>1844.5</v>
      </c>
      <c r="P1709" s="116">
        <v>1850</v>
      </c>
      <c r="Q1709" s="116">
        <v>1886.35</v>
      </c>
      <c r="R1709">
        <v>2028470</v>
      </c>
    </row>
    <row r="1710" spans="1:18" x14ac:dyDescent="0.25">
      <c r="A1710" s="170">
        <v>44524</v>
      </c>
      <c r="B1710" s="116">
        <v>1901.95</v>
      </c>
      <c r="C1710" s="116">
        <v>1860.45</v>
      </c>
      <c r="D1710" s="116">
        <v>1850.05</v>
      </c>
      <c r="E1710" s="116">
        <v>1891</v>
      </c>
      <c r="F1710" s="116">
        <v>1860.45</v>
      </c>
      <c r="G1710">
        <v>92181</v>
      </c>
      <c r="H1710" s="116"/>
      <c r="I1710" s="116"/>
      <c r="L1710" s="170">
        <v>44524</v>
      </c>
      <c r="M1710" s="116">
        <v>1862.5</v>
      </c>
      <c r="N1710" s="116">
        <v>1902.4</v>
      </c>
      <c r="O1710" s="116">
        <v>1845.95</v>
      </c>
      <c r="P1710" s="116">
        <v>1894</v>
      </c>
      <c r="Q1710" s="116">
        <v>1862.5</v>
      </c>
      <c r="R1710">
        <v>1361828</v>
      </c>
    </row>
    <row r="1711" spans="1:18" x14ac:dyDescent="0.25">
      <c r="A1711" s="170">
        <v>44525</v>
      </c>
      <c r="B1711" s="116">
        <v>1866.95</v>
      </c>
      <c r="C1711" s="116">
        <v>1849</v>
      </c>
      <c r="D1711" s="116">
        <v>1839</v>
      </c>
      <c r="E1711" s="116">
        <v>1859.9</v>
      </c>
      <c r="F1711" s="116">
        <v>1849</v>
      </c>
      <c r="G1711">
        <v>126527</v>
      </c>
      <c r="H1711" s="116"/>
      <c r="I1711" s="116"/>
      <c r="L1711" s="170">
        <v>44525</v>
      </c>
      <c r="M1711" s="116">
        <v>1849.9</v>
      </c>
      <c r="N1711" s="116">
        <v>1866.85</v>
      </c>
      <c r="O1711" s="116">
        <v>1838.2</v>
      </c>
      <c r="P1711" s="116">
        <v>1855</v>
      </c>
      <c r="Q1711" s="116">
        <v>1849.9</v>
      </c>
      <c r="R1711">
        <v>1930012</v>
      </c>
    </row>
    <row r="1712" spans="1:18" x14ac:dyDescent="0.25">
      <c r="A1712" s="170">
        <v>44526</v>
      </c>
      <c r="B1712" s="116">
        <v>1840.65</v>
      </c>
      <c r="C1712" s="116">
        <v>1777.35</v>
      </c>
      <c r="D1712" s="116">
        <v>1768.55</v>
      </c>
      <c r="E1712" s="116">
        <v>1829</v>
      </c>
      <c r="F1712" s="116">
        <v>1777.35</v>
      </c>
      <c r="G1712">
        <v>80347</v>
      </c>
      <c r="H1712" s="116"/>
      <c r="I1712" s="116"/>
      <c r="L1712" s="170">
        <v>44526</v>
      </c>
      <c r="M1712" s="116">
        <v>1778.15</v>
      </c>
      <c r="N1712" s="116">
        <v>1841.75</v>
      </c>
      <c r="O1712" s="116">
        <v>1768.6</v>
      </c>
      <c r="P1712" s="116">
        <v>1820</v>
      </c>
      <c r="Q1712" s="116">
        <v>1778.15</v>
      </c>
      <c r="R1712">
        <v>2796595</v>
      </c>
    </row>
    <row r="1713" spans="1:18" x14ac:dyDescent="0.25">
      <c r="A1713" s="170">
        <v>44529</v>
      </c>
      <c r="B1713" s="116">
        <v>1789.5</v>
      </c>
      <c r="C1713" s="116">
        <v>1767.6</v>
      </c>
      <c r="D1713" s="116">
        <v>1735.25</v>
      </c>
      <c r="E1713" s="116">
        <v>1771.2</v>
      </c>
      <c r="F1713" s="116">
        <v>1767.6</v>
      </c>
      <c r="G1713">
        <v>73381</v>
      </c>
      <c r="H1713" s="116"/>
      <c r="I1713" s="116"/>
      <c r="L1713" s="170">
        <v>44529</v>
      </c>
      <c r="M1713" s="116">
        <v>1767.25</v>
      </c>
      <c r="N1713" s="116">
        <v>1790.05</v>
      </c>
      <c r="O1713" s="116">
        <v>1735.15</v>
      </c>
      <c r="P1713" s="116">
        <v>1778</v>
      </c>
      <c r="Q1713" s="116">
        <v>1767.25</v>
      </c>
      <c r="R1713">
        <v>2111420</v>
      </c>
    </row>
    <row r="1714" spans="1:18" x14ac:dyDescent="0.25">
      <c r="A1714" s="170">
        <v>44530</v>
      </c>
      <c r="B1714" s="116">
        <v>1799</v>
      </c>
      <c r="C1714" s="116">
        <v>1763.9</v>
      </c>
      <c r="D1714" s="116">
        <v>1755.2</v>
      </c>
      <c r="E1714" s="116">
        <v>1760</v>
      </c>
      <c r="F1714" s="116">
        <v>1763.9</v>
      </c>
      <c r="G1714">
        <v>73313</v>
      </c>
      <c r="H1714" s="116"/>
      <c r="I1714" s="116"/>
      <c r="L1714" s="170">
        <v>44530</v>
      </c>
      <c r="M1714" s="116">
        <v>1764.75</v>
      </c>
      <c r="N1714" s="116">
        <v>1798.9</v>
      </c>
      <c r="O1714" s="116">
        <v>1751.3</v>
      </c>
      <c r="P1714" s="116">
        <v>1767.25</v>
      </c>
      <c r="Q1714" s="116">
        <v>1764.75</v>
      </c>
      <c r="R1714">
        <v>3385628</v>
      </c>
    </row>
    <row r="1715" spans="1:18" x14ac:dyDescent="0.25">
      <c r="A1715" s="170">
        <v>44531</v>
      </c>
      <c r="B1715" s="116">
        <v>1793.65</v>
      </c>
      <c r="C1715" s="116">
        <v>1786</v>
      </c>
      <c r="D1715" s="116">
        <v>1763.9</v>
      </c>
      <c r="E1715" s="116">
        <v>1765.4</v>
      </c>
      <c r="F1715" s="116">
        <v>1786</v>
      </c>
      <c r="G1715">
        <v>38063</v>
      </c>
      <c r="H1715" s="116"/>
      <c r="I1715" s="116"/>
      <c r="L1715" s="170">
        <v>44531</v>
      </c>
      <c r="M1715" s="116">
        <v>1786</v>
      </c>
      <c r="N1715" s="116">
        <v>1794</v>
      </c>
      <c r="O1715" s="116">
        <v>1762.05</v>
      </c>
      <c r="P1715" s="116">
        <v>1764</v>
      </c>
      <c r="Q1715" s="116">
        <v>1786</v>
      </c>
      <c r="R1715">
        <v>1359786</v>
      </c>
    </row>
    <row r="1716" spans="1:18" x14ac:dyDescent="0.25">
      <c r="A1716" s="170">
        <v>44532</v>
      </c>
      <c r="B1716" s="116">
        <v>1793.3</v>
      </c>
      <c r="C1716" s="116">
        <v>1788.95</v>
      </c>
      <c r="D1716" s="116">
        <v>1763</v>
      </c>
      <c r="E1716" s="116">
        <v>1786</v>
      </c>
      <c r="F1716" s="116">
        <v>1788.95</v>
      </c>
      <c r="G1716">
        <v>62583</v>
      </c>
      <c r="H1716" s="116"/>
      <c r="I1716" s="116"/>
      <c r="L1716" s="170">
        <v>44532</v>
      </c>
      <c r="M1716" s="116">
        <v>1789.2</v>
      </c>
      <c r="N1716" s="116">
        <v>1794</v>
      </c>
      <c r="O1716" s="116">
        <v>1763</v>
      </c>
      <c r="P1716" s="116">
        <v>1785.95</v>
      </c>
      <c r="Q1716" s="116">
        <v>1789.2</v>
      </c>
      <c r="R1716">
        <v>2813690</v>
      </c>
    </row>
    <row r="1717" spans="1:18" x14ac:dyDescent="0.25">
      <c r="A1717" s="170">
        <v>44533</v>
      </c>
      <c r="B1717" s="116">
        <v>1844.9</v>
      </c>
      <c r="C1717" s="116">
        <v>1801.85</v>
      </c>
      <c r="D1717" s="116">
        <v>1796.5</v>
      </c>
      <c r="E1717" s="116">
        <v>1800.1</v>
      </c>
      <c r="F1717" s="116">
        <v>1801.85</v>
      </c>
      <c r="G1717">
        <v>111288</v>
      </c>
      <c r="H1717" s="116"/>
      <c r="I1717" s="116"/>
      <c r="L1717" s="170">
        <v>44533</v>
      </c>
      <c r="M1717" s="116">
        <v>1801.25</v>
      </c>
      <c r="N1717" s="116">
        <v>1844.8</v>
      </c>
      <c r="O1717" s="116">
        <v>1796.55</v>
      </c>
      <c r="P1717" s="116">
        <v>1799.95</v>
      </c>
      <c r="Q1717" s="116">
        <v>1801.25</v>
      </c>
      <c r="R1717">
        <v>3612772</v>
      </c>
    </row>
    <row r="1718" spans="1:18" x14ac:dyDescent="0.25">
      <c r="A1718" s="170">
        <v>44536</v>
      </c>
      <c r="B1718" s="116">
        <v>1820.75</v>
      </c>
      <c r="C1718" s="116">
        <v>1781.85</v>
      </c>
      <c r="D1718" s="116">
        <v>1778.55</v>
      </c>
      <c r="E1718" s="116">
        <v>1800</v>
      </c>
      <c r="F1718" s="116">
        <v>1781.85</v>
      </c>
      <c r="G1718">
        <v>75210</v>
      </c>
      <c r="H1718" s="116"/>
      <c r="I1718" s="116"/>
      <c r="L1718" s="170">
        <v>44536</v>
      </c>
      <c r="M1718" s="116">
        <v>1782.65</v>
      </c>
      <c r="N1718" s="116">
        <v>1821</v>
      </c>
      <c r="O1718" s="116">
        <v>1778</v>
      </c>
      <c r="P1718" s="116">
        <v>1799</v>
      </c>
      <c r="Q1718" s="116">
        <v>1782.65</v>
      </c>
      <c r="R1718">
        <v>1566109</v>
      </c>
    </row>
    <row r="1719" spans="1:18" x14ac:dyDescent="0.25">
      <c r="A1719" s="170">
        <v>44537</v>
      </c>
      <c r="B1719" s="116">
        <v>1810</v>
      </c>
      <c r="C1719" s="116">
        <v>1797.6</v>
      </c>
      <c r="D1719" s="116">
        <v>1772.4</v>
      </c>
      <c r="E1719" s="116">
        <v>1789.4</v>
      </c>
      <c r="F1719" s="116">
        <v>1797.6</v>
      </c>
      <c r="G1719">
        <v>141591</v>
      </c>
      <c r="H1719" s="116"/>
      <c r="I1719" s="116"/>
      <c r="L1719" s="170">
        <v>44537</v>
      </c>
      <c r="M1719" s="116">
        <v>1798.1</v>
      </c>
      <c r="N1719" s="116">
        <v>1810</v>
      </c>
      <c r="O1719" s="116">
        <v>1772.1</v>
      </c>
      <c r="P1719" s="116">
        <v>1790.2</v>
      </c>
      <c r="Q1719" s="116">
        <v>1798.1</v>
      </c>
      <c r="R1719">
        <v>2097201</v>
      </c>
    </row>
    <row r="1720" spans="1:18" x14ac:dyDescent="0.25">
      <c r="A1720" s="170">
        <v>44538</v>
      </c>
      <c r="B1720" s="116">
        <v>1840.15</v>
      </c>
      <c r="C1720" s="116">
        <v>1823.95</v>
      </c>
      <c r="D1720" s="116">
        <v>1805.1</v>
      </c>
      <c r="E1720" s="116">
        <v>1806.85</v>
      </c>
      <c r="F1720" s="116">
        <v>1823.95</v>
      </c>
      <c r="G1720">
        <v>231848</v>
      </c>
      <c r="H1720" s="116"/>
      <c r="I1720" s="116"/>
      <c r="L1720" s="170">
        <v>44538</v>
      </c>
      <c r="M1720" s="116">
        <v>1825.05</v>
      </c>
      <c r="N1720" s="116">
        <v>1841</v>
      </c>
      <c r="O1720" s="116">
        <v>1802</v>
      </c>
      <c r="P1720" s="116">
        <v>1802</v>
      </c>
      <c r="Q1720" s="116">
        <v>1825.05</v>
      </c>
      <c r="R1720">
        <v>3433206</v>
      </c>
    </row>
    <row r="1721" spans="1:18" x14ac:dyDescent="0.25">
      <c r="A1721" s="170">
        <v>44539</v>
      </c>
      <c r="B1721" s="116">
        <v>1883.35</v>
      </c>
      <c r="C1721" s="116">
        <v>1879.7</v>
      </c>
      <c r="D1721" s="116">
        <v>1828.2</v>
      </c>
      <c r="E1721" s="116">
        <v>1833.95</v>
      </c>
      <c r="F1721" s="116">
        <v>1879.7</v>
      </c>
      <c r="G1721">
        <v>158865</v>
      </c>
      <c r="H1721" s="116"/>
      <c r="I1721" s="116"/>
      <c r="L1721" s="170">
        <v>44539</v>
      </c>
      <c r="M1721" s="116">
        <v>1879.8</v>
      </c>
      <c r="N1721" s="116">
        <v>1884.15</v>
      </c>
      <c r="O1721" s="116">
        <v>1827.95</v>
      </c>
      <c r="P1721" s="116">
        <v>1835</v>
      </c>
      <c r="Q1721" s="116">
        <v>1879.8</v>
      </c>
      <c r="R1721">
        <v>3791595</v>
      </c>
    </row>
    <row r="1722" spans="1:18" x14ac:dyDescent="0.25">
      <c r="A1722" s="170">
        <v>44540</v>
      </c>
      <c r="B1722" s="116">
        <v>1890.65</v>
      </c>
      <c r="C1722" s="116">
        <v>1873.05</v>
      </c>
      <c r="D1722" s="116">
        <v>1861.45</v>
      </c>
      <c r="E1722" s="116">
        <v>1878</v>
      </c>
      <c r="F1722" s="116">
        <v>1873.05</v>
      </c>
      <c r="G1722">
        <v>147953</v>
      </c>
      <c r="H1722" s="116"/>
      <c r="I1722" s="116"/>
      <c r="L1722" s="170">
        <v>44540</v>
      </c>
      <c r="M1722" s="116">
        <v>1873.4</v>
      </c>
      <c r="N1722" s="116">
        <v>1890.85</v>
      </c>
      <c r="O1722" s="116">
        <v>1861.05</v>
      </c>
      <c r="P1722" s="116">
        <v>1879.8</v>
      </c>
      <c r="Q1722" s="116">
        <v>1873.4</v>
      </c>
      <c r="R1722">
        <v>1771926</v>
      </c>
    </row>
    <row r="1723" spans="1:18" x14ac:dyDescent="0.25">
      <c r="A1723" s="170">
        <v>44543</v>
      </c>
      <c r="B1723" s="116">
        <v>1896.95</v>
      </c>
      <c r="C1723" s="116">
        <v>1861</v>
      </c>
      <c r="D1723" s="116">
        <v>1855.9</v>
      </c>
      <c r="E1723" s="116">
        <v>1887</v>
      </c>
      <c r="F1723" s="116">
        <v>1861</v>
      </c>
      <c r="G1723">
        <v>106288</v>
      </c>
      <c r="H1723" s="116"/>
      <c r="I1723" s="116"/>
      <c r="L1723" s="170">
        <v>44543</v>
      </c>
      <c r="M1723" s="116">
        <v>1861.5</v>
      </c>
      <c r="N1723" s="116">
        <v>1896.25</v>
      </c>
      <c r="O1723" s="116">
        <v>1855.05</v>
      </c>
      <c r="P1723" s="116">
        <v>1893.7</v>
      </c>
      <c r="Q1723" s="116">
        <v>1861.5</v>
      </c>
      <c r="R1723">
        <v>1857829</v>
      </c>
    </row>
    <row r="1724" spans="1:18" x14ac:dyDescent="0.25">
      <c r="A1724" s="170">
        <v>44544</v>
      </c>
      <c r="B1724" s="116">
        <v>1872.4</v>
      </c>
      <c r="C1724" s="116">
        <v>1869.1</v>
      </c>
      <c r="D1724" s="116">
        <v>1847</v>
      </c>
      <c r="E1724" s="116">
        <v>1858.9</v>
      </c>
      <c r="F1724" s="116">
        <v>1869.1</v>
      </c>
      <c r="G1724">
        <v>78166</v>
      </c>
      <c r="H1724" s="116"/>
      <c r="I1724" s="116"/>
      <c r="L1724" s="170">
        <v>44544</v>
      </c>
      <c r="M1724" s="116">
        <v>1865.7</v>
      </c>
      <c r="N1724" s="116">
        <v>1874</v>
      </c>
      <c r="O1724" s="116">
        <v>1846.2</v>
      </c>
      <c r="P1724" s="116">
        <v>1850</v>
      </c>
      <c r="Q1724" s="116">
        <v>1865.7</v>
      </c>
      <c r="R1724">
        <v>1685243</v>
      </c>
    </row>
    <row r="1725" spans="1:18" x14ac:dyDescent="0.25">
      <c r="A1725" s="170">
        <v>44545</v>
      </c>
      <c r="B1725" s="116">
        <v>1898</v>
      </c>
      <c r="C1725" s="116">
        <v>1880.8</v>
      </c>
      <c r="D1725" s="116">
        <v>1864</v>
      </c>
      <c r="E1725" s="116">
        <v>1869.8</v>
      </c>
      <c r="F1725" s="116">
        <v>1880.8</v>
      </c>
      <c r="G1725">
        <v>66014</v>
      </c>
      <c r="H1725" s="116"/>
      <c r="I1725" s="116"/>
      <c r="L1725" s="170">
        <v>44545</v>
      </c>
      <c r="M1725" s="116">
        <v>1880.8</v>
      </c>
      <c r="N1725" s="116">
        <v>1898.75</v>
      </c>
      <c r="O1725" s="116">
        <v>1863.65</v>
      </c>
      <c r="P1725" s="116">
        <v>1866</v>
      </c>
      <c r="Q1725" s="116">
        <v>1880.8</v>
      </c>
      <c r="R1725">
        <v>2176709</v>
      </c>
    </row>
    <row r="1726" spans="1:18" x14ac:dyDescent="0.25">
      <c r="A1726" s="170">
        <v>44546</v>
      </c>
      <c r="B1726" s="116">
        <v>1908</v>
      </c>
      <c r="C1726" s="116">
        <v>1874.5</v>
      </c>
      <c r="D1726" s="116">
        <v>1866.25</v>
      </c>
      <c r="E1726" s="116">
        <v>1892</v>
      </c>
      <c r="F1726" s="116">
        <v>1874.5</v>
      </c>
      <c r="G1726">
        <v>138197</v>
      </c>
      <c r="H1726" s="116"/>
      <c r="I1726" s="116"/>
      <c r="L1726" s="170">
        <v>44546</v>
      </c>
      <c r="M1726" s="116">
        <v>1873.9</v>
      </c>
      <c r="N1726" s="116">
        <v>1908</v>
      </c>
      <c r="O1726" s="116">
        <v>1866.3</v>
      </c>
      <c r="P1726" s="116">
        <v>1892</v>
      </c>
      <c r="Q1726" s="116">
        <v>1873.9</v>
      </c>
      <c r="R1726">
        <v>2469902</v>
      </c>
    </row>
    <row r="1727" spans="1:18" x14ac:dyDescent="0.25">
      <c r="A1727" s="170">
        <v>44547</v>
      </c>
      <c r="B1727" s="116">
        <v>1873.65</v>
      </c>
      <c r="C1727" s="116">
        <v>1846.9</v>
      </c>
      <c r="D1727" s="116">
        <v>1832.1</v>
      </c>
      <c r="E1727" s="116">
        <v>1865</v>
      </c>
      <c r="F1727" s="116">
        <v>1846.9</v>
      </c>
      <c r="G1727">
        <v>109563</v>
      </c>
      <c r="H1727" s="116"/>
      <c r="I1727" s="116"/>
      <c r="L1727" s="170">
        <v>44547</v>
      </c>
      <c r="M1727" s="116">
        <v>1847.1</v>
      </c>
      <c r="N1727" s="116">
        <v>1874.7</v>
      </c>
      <c r="O1727" s="116">
        <v>1831.7</v>
      </c>
      <c r="P1727" s="116">
        <v>1866.5</v>
      </c>
      <c r="Q1727" s="116">
        <v>1847.1</v>
      </c>
      <c r="R1727">
        <v>2352938</v>
      </c>
    </row>
    <row r="1728" spans="1:18" x14ac:dyDescent="0.25">
      <c r="A1728" s="170">
        <v>44550</v>
      </c>
      <c r="B1728" s="116">
        <v>1830.85</v>
      </c>
      <c r="C1728" s="116">
        <v>1797.85</v>
      </c>
      <c r="D1728" s="116">
        <v>1771.2</v>
      </c>
      <c r="E1728" s="116">
        <v>1824</v>
      </c>
      <c r="F1728" s="116">
        <v>1797.85</v>
      </c>
      <c r="G1728">
        <v>127333</v>
      </c>
      <c r="H1728" s="116"/>
      <c r="I1728" s="116"/>
      <c r="L1728" s="170">
        <v>44550</v>
      </c>
      <c r="M1728" s="116">
        <v>1799.35</v>
      </c>
      <c r="N1728" s="116">
        <v>1829.65</v>
      </c>
      <c r="O1728" s="116">
        <v>1771.5</v>
      </c>
      <c r="P1728" s="116">
        <v>1821</v>
      </c>
      <c r="Q1728" s="116">
        <v>1799.35</v>
      </c>
      <c r="R1728">
        <v>2488158</v>
      </c>
    </row>
    <row r="1729" spans="1:18" x14ac:dyDescent="0.25">
      <c r="A1729" s="170">
        <v>44551</v>
      </c>
      <c r="B1729" s="116">
        <v>1851.75</v>
      </c>
      <c r="C1729" s="116">
        <v>1826.8</v>
      </c>
      <c r="D1729" s="116">
        <v>1810</v>
      </c>
      <c r="E1729" s="116">
        <v>1810</v>
      </c>
      <c r="F1729" s="116">
        <v>1826.8</v>
      </c>
      <c r="G1729">
        <v>133877</v>
      </c>
      <c r="H1729" s="116"/>
      <c r="I1729" s="116"/>
      <c r="L1729" s="170">
        <v>44551</v>
      </c>
      <c r="M1729" s="116">
        <v>1827.55</v>
      </c>
      <c r="N1729" s="116">
        <v>1852.2</v>
      </c>
      <c r="O1729" s="116">
        <v>1812.5</v>
      </c>
      <c r="P1729" s="116">
        <v>1817.9</v>
      </c>
      <c r="Q1729" s="116">
        <v>1827.55</v>
      </c>
      <c r="R1729">
        <v>2077840</v>
      </c>
    </row>
    <row r="1730" spans="1:18" x14ac:dyDescent="0.25">
      <c r="A1730" s="170">
        <v>44552</v>
      </c>
      <c r="B1730" s="116">
        <v>1879.35</v>
      </c>
      <c r="C1730" s="116">
        <v>1865.95</v>
      </c>
      <c r="D1730" s="116">
        <v>1830.55</v>
      </c>
      <c r="E1730" s="116">
        <v>1839</v>
      </c>
      <c r="F1730" s="116">
        <v>1865.95</v>
      </c>
      <c r="G1730">
        <v>71527</v>
      </c>
      <c r="H1730" s="116"/>
      <c r="I1730" s="116"/>
      <c r="L1730" s="170">
        <v>44552</v>
      </c>
      <c r="M1730" s="116">
        <v>1871</v>
      </c>
      <c r="N1730" s="116">
        <v>1879.55</v>
      </c>
      <c r="O1730" s="116">
        <v>1827.55</v>
      </c>
      <c r="P1730" s="116">
        <v>1827.55</v>
      </c>
      <c r="Q1730" s="116">
        <v>1871</v>
      </c>
      <c r="R1730">
        <v>1692505</v>
      </c>
    </row>
    <row r="1731" spans="1:18" x14ac:dyDescent="0.25">
      <c r="A1731" s="170">
        <v>44553</v>
      </c>
      <c r="B1731" s="116">
        <v>1887.45</v>
      </c>
      <c r="C1731" s="116">
        <v>1877.1</v>
      </c>
      <c r="D1731" s="116">
        <v>1862.7</v>
      </c>
      <c r="E1731" s="116">
        <v>1878.05</v>
      </c>
      <c r="F1731" s="116">
        <v>1877.1</v>
      </c>
      <c r="G1731">
        <v>57461</v>
      </c>
      <c r="H1731" s="116"/>
      <c r="I1731" s="116"/>
      <c r="L1731" s="170">
        <v>44553</v>
      </c>
      <c r="M1731" s="116">
        <v>1878.45</v>
      </c>
      <c r="N1731" s="116">
        <v>1887.85</v>
      </c>
      <c r="O1731" s="116">
        <v>1862.1</v>
      </c>
      <c r="P1731" s="116">
        <v>1883</v>
      </c>
      <c r="Q1731" s="116">
        <v>1878.45</v>
      </c>
      <c r="R1731">
        <v>1677127</v>
      </c>
    </row>
    <row r="1732" spans="1:18" x14ac:dyDescent="0.25">
      <c r="A1732" s="170">
        <v>44554</v>
      </c>
      <c r="B1732" s="116">
        <v>1885</v>
      </c>
      <c r="C1732" s="116">
        <v>1859.5</v>
      </c>
      <c r="D1732" s="116">
        <v>1850.3</v>
      </c>
      <c r="E1732" s="116">
        <v>1880</v>
      </c>
      <c r="F1732" s="116">
        <v>1859.5</v>
      </c>
      <c r="G1732">
        <v>35807</v>
      </c>
      <c r="H1732" s="116"/>
      <c r="I1732" s="116"/>
      <c r="L1732" s="170">
        <v>44554</v>
      </c>
      <c r="M1732" s="116">
        <v>1859.4</v>
      </c>
      <c r="N1732" s="116">
        <v>1888.75</v>
      </c>
      <c r="O1732" s="116">
        <v>1850</v>
      </c>
      <c r="P1732" s="116">
        <v>1888.75</v>
      </c>
      <c r="Q1732" s="116">
        <v>1859.4</v>
      </c>
      <c r="R1732">
        <v>1203991</v>
      </c>
    </row>
    <row r="1733" spans="1:18" x14ac:dyDescent="0.25">
      <c r="A1733" s="170">
        <v>44557</v>
      </c>
      <c r="B1733" s="116">
        <v>1875</v>
      </c>
      <c r="C1733" s="116">
        <v>1866.2</v>
      </c>
      <c r="D1733" s="116">
        <v>1847.1</v>
      </c>
      <c r="E1733" s="116">
        <v>1860</v>
      </c>
      <c r="F1733" s="116">
        <v>1866.2</v>
      </c>
      <c r="G1733">
        <v>121320</v>
      </c>
      <c r="H1733" s="116"/>
      <c r="I1733" s="116"/>
      <c r="L1733" s="170">
        <v>44557</v>
      </c>
      <c r="M1733" s="116">
        <v>1866.2</v>
      </c>
      <c r="N1733" s="116">
        <v>1875.65</v>
      </c>
      <c r="O1733" s="116">
        <v>1845.8</v>
      </c>
      <c r="P1733" s="116">
        <v>1859.4</v>
      </c>
      <c r="Q1733" s="116">
        <v>1866.2</v>
      </c>
      <c r="R1733">
        <v>1139744</v>
      </c>
    </row>
    <row r="1734" spans="1:18" x14ac:dyDescent="0.25">
      <c r="A1734" s="170">
        <v>44558</v>
      </c>
      <c r="B1734" s="116">
        <v>1908.75</v>
      </c>
      <c r="C1734" s="116">
        <v>1899.4</v>
      </c>
      <c r="D1734" s="116">
        <v>1867.5</v>
      </c>
      <c r="E1734" s="116">
        <v>1867.5</v>
      </c>
      <c r="F1734" s="116">
        <v>1899.4</v>
      </c>
      <c r="G1734">
        <v>106049</v>
      </c>
      <c r="H1734" s="116"/>
      <c r="I1734" s="116"/>
      <c r="L1734" s="170">
        <v>44558</v>
      </c>
      <c r="M1734" s="116">
        <v>1899.5</v>
      </c>
      <c r="N1734" s="116">
        <v>1909</v>
      </c>
      <c r="O1734" s="116">
        <v>1872.1</v>
      </c>
      <c r="P1734" s="116">
        <v>1872.1</v>
      </c>
      <c r="Q1734" s="116">
        <v>1899.5</v>
      </c>
      <c r="R1734">
        <v>1916098</v>
      </c>
    </row>
    <row r="1735" spans="1:18" x14ac:dyDescent="0.25">
      <c r="A1735" s="170">
        <v>44559</v>
      </c>
      <c r="B1735" s="116">
        <v>1908</v>
      </c>
      <c r="C1735" s="116">
        <v>1892.35</v>
      </c>
      <c r="D1735" s="116">
        <v>1890.1</v>
      </c>
      <c r="E1735" s="116">
        <v>1900</v>
      </c>
      <c r="F1735" s="116">
        <v>1892.35</v>
      </c>
      <c r="G1735">
        <v>57910</v>
      </c>
      <c r="H1735" s="116"/>
      <c r="I1735" s="116"/>
      <c r="L1735" s="170">
        <v>44559</v>
      </c>
      <c r="M1735" s="116">
        <v>1894.85</v>
      </c>
      <c r="N1735" s="116">
        <v>1908.95</v>
      </c>
      <c r="O1735" s="116">
        <v>1890.05</v>
      </c>
      <c r="P1735" s="116">
        <v>1895</v>
      </c>
      <c r="Q1735" s="116">
        <v>1894.85</v>
      </c>
      <c r="R1735">
        <v>1287946</v>
      </c>
    </row>
    <row r="1736" spans="1:18" x14ac:dyDescent="0.25">
      <c r="A1736" s="170">
        <v>44560</v>
      </c>
      <c r="B1736" s="116">
        <v>1901</v>
      </c>
      <c r="C1736" s="116">
        <v>1885.6</v>
      </c>
      <c r="D1736" s="116">
        <v>1881.6</v>
      </c>
      <c r="E1736" s="116">
        <v>1895</v>
      </c>
      <c r="F1736" s="116">
        <v>1885.6</v>
      </c>
      <c r="G1736">
        <v>100034</v>
      </c>
      <c r="H1736" s="116"/>
      <c r="I1736" s="116"/>
      <c r="L1736" s="170">
        <v>44560</v>
      </c>
      <c r="M1736" s="116">
        <v>1885.7</v>
      </c>
      <c r="N1736" s="116">
        <v>1901.7</v>
      </c>
      <c r="O1736" s="116">
        <v>1880.9</v>
      </c>
      <c r="P1736" s="116">
        <v>1892.3</v>
      </c>
      <c r="Q1736" s="116">
        <v>1885.7</v>
      </c>
      <c r="R1736">
        <v>1805349</v>
      </c>
    </row>
    <row r="1737" spans="1:18" x14ac:dyDescent="0.25">
      <c r="A1737" s="170">
        <v>44561</v>
      </c>
      <c r="B1737" s="116">
        <v>1907.05</v>
      </c>
      <c r="C1737" s="116">
        <v>1895</v>
      </c>
      <c r="D1737" s="116">
        <v>1880.1</v>
      </c>
      <c r="E1737" s="116">
        <v>1880.1</v>
      </c>
      <c r="F1737" s="116">
        <v>1895</v>
      </c>
      <c r="G1737">
        <v>33056</v>
      </c>
      <c r="H1737" s="116"/>
      <c r="I1737" s="116"/>
      <c r="L1737" s="170">
        <v>44561</v>
      </c>
      <c r="M1737" s="116">
        <v>1895.9</v>
      </c>
      <c r="N1737" s="116">
        <v>1907.1</v>
      </c>
      <c r="O1737" s="116">
        <v>1887.3</v>
      </c>
      <c r="P1737" s="116">
        <v>1887.35</v>
      </c>
      <c r="Q1737" s="116">
        <v>1895.9</v>
      </c>
      <c r="R1737">
        <v>1145546</v>
      </c>
    </row>
    <row r="1738" spans="1:18" x14ac:dyDescent="0.25">
      <c r="A1738" s="170">
        <v>44564</v>
      </c>
      <c r="B1738" s="116">
        <v>1937.2</v>
      </c>
      <c r="C1738" s="116">
        <v>1922.1</v>
      </c>
      <c r="D1738" s="116">
        <v>1886.05</v>
      </c>
      <c r="E1738" s="116">
        <v>1893</v>
      </c>
      <c r="F1738" s="116">
        <v>1922.1</v>
      </c>
      <c r="G1738">
        <v>88026</v>
      </c>
      <c r="H1738" s="116"/>
      <c r="I1738" s="116"/>
      <c r="L1738" s="170">
        <v>44564</v>
      </c>
      <c r="M1738" s="116">
        <v>1922.85</v>
      </c>
      <c r="N1738" s="116">
        <v>1937.45</v>
      </c>
      <c r="O1738" s="116">
        <v>1893.65</v>
      </c>
      <c r="P1738" s="116">
        <v>1895</v>
      </c>
      <c r="Q1738" s="116">
        <v>1922.85</v>
      </c>
      <c r="R1738">
        <v>1906676</v>
      </c>
    </row>
    <row r="1739" spans="1:18" x14ac:dyDescent="0.25">
      <c r="A1739" s="170">
        <v>44565</v>
      </c>
      <c r="B1739" s="116">
        <v>1943.35</v>
      </c>
      <c r="C1739" s="116">
        <v>1938.05</v>
      </c>
      <c r="D1739" s="116">
        <v>1915</v>
      </c>
      <c r="E1739" s="116">
        <v>1927.7</v>
      </c>
      <c r="F1739" s="116">
        <v>1938.05</v>
      </c>
      <c r="G1739">
        <v>115638</v>
      </c>
      <c r="H1739" s="116"/>
      <c r="I1739" s="116"/>
      <c r="L1739" s="170">
        <v>44565</v>
      </c>
      <c r="M1739" s="116">
        <v>1937.55</v>
      </c>
      <c r="N1739" s="116">
        <v>1943</v>
      </c>
      <c r="O1739" s="116">
        <v>1914.55</v>
      </c>
      <c r="P1739" s="116">
        <v>1922.85</v>
      </c>
      <c r="Q1739" s="116">
        <v>1937.55</v>
      </c>
      <c r="R1739">
        <v>1643920</v>
      </c>
    </row>
    <row r="1740" spans="1:18" x14ac:dyDescent="0.25">
      <c r="A1740" s="170">
        <v>44566</v>
      </c>
      <c r="B1740" s="116">
        <v>1950</v>
      </c>
      <c r="C1740" s="116">
        <v>1948.15</v>
      </c>
      <c r="D1740" s="116">
        <v>1927.3</v>
      </c>
      <c r="E1740" s="116">
        <v>1936.3</v>
      </c>
      <c r="F1740" s="116">
        <v>1948.15</v>
      </c>
      <c r="G1740">
        <v>185226</v>
      </c>
      <c r="H1740" s="116"/>
      <c r="I1740" s="116"/>
      <c r="L1740" s="170">
        <v>44566</v>
      </c>
      <c r="M1740" s="116">
        <v>1948.6</v>
      </c>
      <c r="N1740" s="116">
        <v>1951</v>
      </c>
      <c r="O1740" s="116">
        <v>1927.65</v>
      </c>
      <c r="P1740" s="116">
        <v>1940.7</v>
      </c>
      <c r="Q1740" s="116">
        <v>1948.6</v>
      </c>
      <c r="R1740">
        <v>1711667</v>
      </c>
    </row>
    <row r="1741" spans="1:18" x14ac:dyDescent="0.25">
      <c r="A1741" s="170">
        <v>44567</v>
      </c>
      <c r="B1741" s="116">
        <v>1952.1</v>
      </c>
      <c r="C1741" s="116">
        <v>1925.2</v>
      </c>
      <c r="D1741" s="116">
        <v>1920</v>
      </c>
      <c r="E1741" s="116">
        <v>1945</v>
      </c>
      <c r="F1741" s="116">
        <v>1925.2</v>
      </c>
      <c r="G1741">
        <v>90944</v>
      </c>
      <c r="H1741" s="116"/>
      <c r="I1741" s="116"/>
      <c r="L1741" s="170">
        <v>44567</v>
      </c>
      <c r="M1741" s="116">
        <v>1924.5</v>
      </c>
      <c r="N1741" s="116">
        <v>1953</v>
      </c>
      <c r="O1741" s="116">
        <v>1919.6</v>
      </c>
      <c r="P1741" s="116">
        <v>1944.5</v>
      </c>
      <c r="Q1741" s="116">
        <v>1924.5</v>
      </c>
      <c r="R1741">
        <v>1372015</v>
      </c>
    </row>
    <row r="1742" spans="1:18" x14ac:dyDescent="0.25">
      <c r="A1742" s="170">
        <v>44568</v>
      </c>
      <c r="B1742" s="116">
        <v>1935.5</v>
      </c>
      <c r="C1742" s="116">
        <v>1904.75</v>
      </c>
      <c r="D1742" s="116">
        <v>1896.5</v>
      </c>
      <c r="E1742" s="116">
        <v>1922</v>
      </c>
      <c r="F1742" s="116">
        <v>1904.75</v>
      </c>
      <c r="G1742">
        <v>113002</v>
      </c>
      <c r="H1742" s="116"/>
      <c r="I1742" s="116"/>
      <c r="L1742" s="170">
        <v>44568</v>
      </c>
      <c r="M1742" s="116">
        <v>1904.9</v>
      </c>
      <c r="N1742" s="116">
        <v>1934.95</v>
      </c>
      <c r="O1742" s="116">
        <v>1897.15</v>
      </c>
      <c r="P1742" s="116">
        <v>1929.05</v>
      </c>
      <c r="Q1742" s="116">
        <v>1904.9</v>
      </c>
      <c r="R1742">
        <v>1447123</v>
      </c>
    </row>
    <row r="1743" spans="1:18" x14ac:dyDescent="0.25">
      <c r="A1743" s="170">
        <v>44571</v>
      </c>
      <c r="B1743" s="116">
        <v>1959.9</v>
      </c>
      <c r="C1743" s="116">
        <v>1953.15</v>
      </c>
      <c r="D1743" s="116">
        <v>1905.1</v>
      </c>
      <c r="E1743" s="116">
        <v>1905.1</v>
      </c>
      <c r="F1743" s="116">
        <v>1953.15</v>
      </c>
      <c r="G1743">
        <v>64069</v>
      </c>
      <c r="H1743" s="116"/>
      <c r="I1743" s="116"/>
      <c r="L1743" s="170">
        <v>44571</v>
      </c>
      <c r="M1743" s="116">
        <v>1953.1</v>
      </c>
      <c r="N1743" s="116">
        <v>1959.95</v>
      </c>
      <c r="O1743" s="116">
        <v>1907.25</v>
      </c>
      <c r="P1743" s="116">
        <v>1910</v>
      </c>
      <c r="Q1743" s="116">
        <v>1953.1</v>
      </c>
      <c r="R1743">
        <v>2397846</v>
      </c>
    </row>
    <row r="1744" spans="1:18" x14ac:dyDescent="0.25">
      <c r="A1744" s="170">
        <v>44572</v>
      </c>
      <c r="B1744" s="116">
        <v>1970</v>
      </c>
      <c r="C1744" s="116">
        <v>1960.7</v>
      </c>
      <c r="D1744" s="116">
        <v>1938.05</v>
      </c>
      <c r="E1744" s="116">
        <v>1953.1</v>
      </c>
      <c r="F1744" s="116">
        <v>1960.7</v>
      </c>
      <c r="G1744">
        <v>74373</v>
      </c>
      <c r="H1744" s="116"/>
      <c r="I1744" s="116"/>
      <c r="L1744" s="170">
        <v>44572</v>
      </c>
      <c r="M1744" s="116">
        <v>1961.15</v>
      </c>
      <c r="N1744" s="116">
        <v>1970</v>
      </c>
      <c r="O1744" s="116">
        <v>1937.65</v>
      </c>
      <c r="P1744" s="116">
        <v>1949</v>
      </c>
      <c r="Q1744" s="116">
        <v>1961.15</v>
      </c>
      <c r="R1744">
        <v>2232435</v>
      </c>
    </row>
    <row r="1745" spans="1:18" x14ac:dyDescent="0.25">
      <c r="A1745" s="170">
        <v>44573</v>
      </c>
      <c r="B1745" s="116">
        <v>1983.6</v>
      </c>
      <c r="C1745" s="116">
        <v>1972.8</v>
      </c>
      <c r="D1745" s="116">
        <v>1961.8</v>
      </c>
      <c r="E1745" s="116">
        <v>1978.8</v>
      </c>
      <c r="F1745" s="116">
        <v>1972.8</v>
      </c>
      <c r="G1745">
        <v>65357</v>
      </c>
      <c r="H1745" s="116"/>
      <c r="I1745" s="116"/>
      <c r="L1745" s="170">
        <v>44573</v>
      </c>
      <c r="M1745" s="116">
        <v>1974.2</v>
      </c>
      <c r="N1745" s="116">
        <v>1984</v>
      </c>
      <c r="O1745" s="116">
        <v>1960.3</v>
      </c>
      <c r="P1745" s="116">
        <v>1978.5</v>
      </c>
      <c r="Q1745" s="116">
        <v>1974.2</v>
      </c>
      <c r="R1745">
        <v>1585970</v>
      </c>
    </row>
    <row r="1746" spans="1:18" x14ac:dyDescent="0.25">
      <c r="A1746" s="170">
        <v>44574</v>
      </c>
      <c r="B1746" s="116">
        <v>2028.6</v>
      </c>
      <c r="C1746" s="116">
        <v>2018.1</v>
      </c>
      <c r="D1746" s="116">
        <v>1975</v>
      </c>
      <c r="E1746" s="116">
        <v>1975</v>
      </c>
      <c r="F1746" s="116">
        <v>2018.1</v>
      </c>
      <c r="G1746">
        <v>97657</v>
      </c>
      <c r="H1746" s="116"/>
      <c r="I1746" s="116"/>
      <c r="L1746" s="170">
        <v>44574</v>
      </c>
      <c r="M1746" s="116">
        <v>2018.4</v>
      </c>
      <c r="N1746" s="116">
        <v>2029</v>
      </c>
      <c r="O1746" s="116">
        <v>1975.55</v>
      </c>
      <c r="P1746" s="116">
        <v>1975.55</v>
      </c>
      <c r="Q1746" s="116">
        <v>2018.4</v>
      </c>
      <c r="R1746">
        <v>2373324</v>
      </c>
    </row>
    <row r="1747" spans="1:18" x14ac:dyDescent="0.25">
      <c r="A1747" s="170">
        <v>44575</v>
      </c>
      <c r="B1747" s="116">
        <v>2049.85</v>
      </c>
      <c r="C1747" s="116">
        <v>2044.75</v>
      </c>
      <c r="D1747" s="116">
        <v>2006.9</v>
      </c>
      <c r="E1747" s="116">
        <v>2016</v>
      </c>
      <c r="F1747" s="116">
        <v>2044.75</v>
      </c>
      <c r="G1747">
        <v>73099</v>
      </c>
      <c r="H1747" s="116"/>
      <c r="I1747" s="116"/>
      <c r="L1747" s="170">
        <v>44575</v>
      </c>
      <c r="M1747" s="116">
        <v>2044.75</v>
      </c>
      <c r="N1747" s="116">
        <v>2049.9499999999998</v>
      </c>
      <c r="O1747" s="116">
        <v>2007</v>
      </c>
      <c r="P1747" s="116">
        <v>2014</v>
      </c>
      <c r="Q1747" s="116">
        <v>2044.75</v>
      </c>
      <c r="R1747">
        <v>3124945</v>
      </c>
    </row>
    <row r="1748" spans="1:18" x14ac:dyDescent="0.25">
      <c r="A1748" s="170">
        <v>44578</v>
      </c>
      <c r="B1748" s="116">
        <v>2071.9499999999998</v>
      </c>
      <c r="C1748" s="116">
        <v>2069.35</v>
      </c>
      <c r="D1748" s="116">
        <v>2041.95</v>
      </c>
      <c r="E1748" s="116">
        <v>2045</v>
      </c>
      <c r="F1748" s="116">
        <v>2069.35</v>
      </c>
      <c r="G1748">
        <v>96240</v>
      </c>
      <c r="H1748" s="116"/>
      <c r="I1748" s="116"/>
      <c r="L1748" s="170">
        <v>44578</v>
      </c>
      <c r="M1748" s="116">
        <v>2069.4</v>
      </c>
      <c r="N1748" s="116">
        <v>2071.9499999999998</v>
      </c>
      <c r="O1748" s="116">
        <v>2042</v>
      </c>
      <c r="P1748" s="116">
        <v>2044.75</v>
      </c>
      <c r="Q1748" s="116">
        <v>2069.4</v>
      </c>
      <c r="R1748">
        <v>1858651</v>
      </c>
    </row>
    <row r="1749" spans="1:18" x14ac:dyDescent="0.25">
      <c r="A1749" s="170">
        <v>44579</v>
      </c>
      <c r="B1749" s="116">
        <v>2078.1999999999998</v>
      </c>
      <c r="C1749" s="116">
        <v>2021.55</v>
      </c>
      <c r="D1749" s="116">
        <v>2011.05</v>
      </c>
      <c r="E1749" s="116">
        <v>2075</v>
      </c>
      <c r="F1749" s="116">
        <v>2021.55</v>
      </c>
      <c r="G1749">
        <v>41001</v>
      </c>
      <c r="H1749" s="116"/>
      <c r="I1749" s="116"/>
      <c r="L1749" s="170">
        <v>44579</v>
      </c>
      <c r="M1749" s="116">
        <v>2022.2</v>
      </c>
      <c r="N1749" s="116">
        <v>2078.5500000000002</v>
      </c>
      <c r="O1749" s="116">
        <v>2010.55</v>
      </c>
      <c r="P1749" s="116">
        <v>2075.65</v>
      </c>
      <c r="Q1749" s="116">
        <v>2022.2</v>
      </c>
      <c r="R1749">
        <v>1460676</v>
      </c>
    </row>
    <row r="1750" spans="1:18" x14ac:dyDescent="0.25">
      <c r="A1750" s="170">
        <v>44580</v>
      </c>
      <c r="B1750" s="116">
        <v>2026.8</v>
      </c>
      <c r="C1750" s="116">
        <v>2019.35</v>
      </c>
      <c r="D1750" s="116">
        <v>1987.2</v>
      </c>
      <c r="E1750" s="116">
        <v>2023</v>
      </c>
      <c r="F1750" s="116">
        <v>2019.35</v>
      </c>
      <c r="G1750">
        <v>78562</v>
      </c>
      <c r="H1750" s="116"/>
      <c r="I1750" s="116"/>
      <c r="L1750" s="170">
        <v>44580</v>
      </c>
      <c r="M1750" s="116">
        <v>2020.9</v>
      </c>
      <c r="N1750" s="116">
        <v>2027</v>
      </c>
      <c r="O1750" s="116">
        <v>1987</v>
      </c>
      <c r="P1750" s="116">
        <v>2019.9</v>
      </c>
      <c r="Q1750" s="116">
        <v>2020.9</v>
      </c>
      <c r="R1750">
        <v>2336679</v>
      </c>
    </row>
    <row r="1751" spans="1:18" x14ac:dyDescent="0.25">
      <c r="A1751" s="170">
        <v>44581</v>
      </c>
      <c r="B1751" s="116">
        <v>2033.5</v>
      </c>
      <c r="C1751" s="116">
        <v>2002.15</v>
      </c>
      <c r="D1751" s="116">
        <v>1983.65</v>
      </c>
      <c r="E1751" s="116">
        <v>2025</v>
      </c>
      <c r="F1751" s="116">
        <v>2002.15</v>
      </c>
      <c r="G1751">
        <v>88631</v>
      </c>
      <c r="H1751" s="116"/>
      <c r="I1751" s="116"/>
      <c r="L1751" s="170">
        <v>44581</v>
      </c>
      <c r="M1751" s="116">
        <v>2003.5</v>
      </c>
      <c r="N1751" s="116">
        <v>2035</v>
      </c>
      <c r="O1751" s="116">
        <v>1984.1</v>
      </c>
      <c r="P1751" s="116">
        <v>2020</v>
      </c>
      <c r="Q1751" s="116">
        <v>2003.5</v>
      </c>
      <c r="R1751">
        <v>2031107</v>
      </c>
    </row>
    <row r="1752" spans="1:18" x14ac:dyDescent="0.25">
      <c r="A1752" s="170">
        <v>44582</v>
      </c>
      <c r="B1752" s="116">
        <v>1994.55</v>
      </c>
      <c r="C1752" s="116">
        <v>1954.55</v>
      </c>
      <c r="D1752" s="116">
        <v>1943.2</v>
      </c>
      <c r="E1752" s="116">
        <v>1980</v>
      </c>
      <c r="F1752" s="116">
        <v>1954.55</v>
      </c>
      <c r="G1752">
        <v>104495</v>
      </c>
      <c r="H1752" s="116"/>
      <c r="I1752" s="116"/>
      <c r="L1752" s="170">
        <v>44582</v>
      </c>
      <c r="M1752" s="116">
        <v>1956.05</v>
      </c>
      <c r="N1752" s="116">
        <v>1994.8</v>
      </c>
      <c r="O1752" s="116">
        <v>1943.05</v>
      </c>
      <c r="P1752" s="116">
        <v>1982.15</v>
      </c>
      <c r="Q1752" s="116">
        <v>1956.05</v>
      </c>
      <c r="R1752">
        <v>2209132</v>
      </c>
    </row>
    <row r="1753" spans="1:18" x14ac:dyDescent="0.25">
      <c r="A1753" s="170">
        <v>44585</v>
      </c>
      <c r="B1753" s="116">
        <v>1957.25</v>
      </c>
      <c r="C1753" s="116">
        <v>1899.85</v>
      </c>
      <c r="D1753" s="116">
        <v>1881.95</v>
      </c>
      <c r="E1753" s="116">
        <v>1954</v>
      </c>
      <c r="F1753" s="116">
        <v>1899.85</v>
      </c>
      <c r="G1753">
        <v>52783</v>
      </c>
      <c r="H1753" s="116"/>
      <c r="I1753" s="116"/>
      <c r="L1753" s="170">
        <v>44585</v>
      </c>
      <c r="M1753" s="116">
        <v>1899.9</v>
      </c>
      <c r="N1753" s="116">
        <v>1959</v>
      </c>
      <c r="O1753" s="116">
        <v>1881.55</v>
      </c>
      <c r="P1753" s="116">
        <v>1955</v>
      </c>
      <c r="Q1753" s="116">
        <v>1899.9</v>
      </c>
      <c r="R1753">
        <v>2307120</v>
      </c>
    </row>
    <row r="1754" spans="1:18" x14ac:dyDescent="0.25">
      <c r="A1754" s="170">
        <v>44586</v>
      </c>
      <c r="B1754" s="116">
        <v>1931.05</v>
      </c>
      <c r="C1754" s="116">
        <v>1924.7</v>
      </c>
      <c r="D1754" s="116">
        <v>1850.8</v>
      </c>
      <c r="E1754" s="116">
        <v>1899.85</v>
      </c>
      <c r="F1754" s="116">
        <v>1924.7</v>
      </c>
      <c r="G1754">
        <v>59418</v>
      </c>
      <c r="H1754" s="116"/>
      <c r="I1754" s="116"/>
      <c r="L1754" s="170">
        <v>44586</v>
      </c>
      <c r="M1754" s="116">
        <v>1925.3</v>
      </c>
      <c r="N1754" s="116">
        <v>1931.3</v>
      </c>
      <c r="O1754" s="116">
        <v>1850.1</v>
      </c>
      <c r="P1754" s="116">
        <v>1895</v>
      </c>
      <c r="Q1754" s="116">
        <v>1925.3</v>
      </c>
      <c r="R1754">
        <v>2998042</v>
      </c>
    </row>
    <row r="1755" spans="1:18" x14ac:dyDescent="0.25">
      <c r="A1755" s="170">
        <v>44588</v>
      </c>
      <c r="B1755" s="116">
        <v>1921.8</v>
      </c>
      <c r="C1755" s="116">
        <v>1911.2</v>
      </c>
      <c r="D1755" s="116">
        <v>1867.4</v>
      </c>
      <c r="E1755" s="116">
        <v>1918.5</v>
      </c>
      <c r="F1755" s="116">
        <v>1911.2</v>
      </c>
      <c r="G1755">
        <v>74651</v>
      </c>
      <c r="H1755" s="116"/>
      <c r="I1755" s="116"/>
      <c r="L1755" s="170">
        <v>44588</v>
      </c>
      <c r="M1755" s="116">
        <v>1910.85</v>
      </c>
      <c r="N1755" s="116">
        <v>1922</v>
      </c>
      <c r="O1755" s="116">
        <v>1867</v>
      </c>
      <c r="P1755" s="116">
        <v>1914.55</v>
      </c>
      <c r="Q1755" s="116">
        <v>1910.85</v>
      </c>
      <c r="R1755">
        <v>2932713</v>
      </c>
    </row>
    <row r="1756" spans="1:18" x14ac:dyDescent="0.25">
      <c r="A1756" s="170">
        <v>44589</v>
      </c>
      <c r="B1756" s="116">
        <v>1947.65</v>
      </c>
      <c r="C1756" s="116">
        <v>1898.8</v>
      </c>
      <c r="D1756" s="116">
        <v>1892</v>
      </c>
      <c r="E1756" s="116">
        <v>1913.55</v>
      </c>
      <c r="F1756" s="116">
        <v>1898.8</v>
      </c>
      <c r="G1756">
        <v>70451</v>
      </c>
      <c r="H1756" s="116"/>
      <c r="I1756" s="116"/>
      <c r="L1756" s="170">
        <v>44589</v>
      </c>
      <c r="M1756" s="116">
        <v>1897.55</v>
      </c>
      <c r="N1756" s="116">
        <v>1948</v>
      </c>
      <c r="O1756" s="116">
        <v>1891.3</v>
      </c>
      <c r="P1756" s="116">
        <v>1916.1</v>
      </c>
      <c r="Q1756" s="116">
        <v>1897.55</v>
      </c>
      <c r="R1756">
        <v>2233620</v>
      </c>
    </row>
    <row r="1757" spans="1:18" x14ac:dyDescent="0.25">
      <c r="A1757" s="170">
        <v>44592</v>
      </c>
      <c r="B1757" s="116">
        <v>1924</v>
      </c>
      <c r="C1757" s="116">
        <v>1908.85</v>
      </c>
      <c r="D1757" s="116">
        <v>1851</v>
      </c>
      <c r="E1757" s="116">
        <v>1897</v>
      </c>
      <c r="F1757" s="116">
        <v>1908.85</v>
      </c>
      <c r="G1757">
        <v>121172</v>
      </c>
      <c r="H1757" s="116"/>
      <c r="I1757" s="116"/>
      <c r="L1757" s="170">
        <v>44592</v>
      </c>
      <c r="M1757" s="116">
        <v>1909.2</v>
      </c>
      <c r="N1757" s="116">
        <v>1924</v>
      </c>
      <c r="O1757" s="116">
        <v>1850.45</v>
      </c>
      <c r="P1757" s="116">
        <v>1890.2</v>
      </c>
      <c r="Q1757" s="116">
        <v>1909.2</v>
      </c>
      <c r="R1757">
        <v>3161064</v>
      </c>
    </row>
    <row r="1758" spans="1:18" x14ac:dyDescent="0.25">
      <c r="A1758" s="170">
        <v>44593</v>
      </c>
      <c r="B1758" s="116">
        <v>1999.55</v>
      </c>
      <c r="C1758" s="116">
        <v>1991.15</v>
      </c>
      <c r="D1758" s="116">
        <v>1917.55</v>
      </c>
      <c r="E1758" s="116">
        <v>1929.4</v>
      </c>
      <c r="F1758" s="116">
        <v>1991.15</v>
      </c>
      <c r="G1758">
        <v>142615</v>
      </c>
      <c r="H1758" s="116"/>
      <c r="I1758" s="116"/>
      <c r="L1758" s="170">
        <v>44593</v>
      </c>
      <c r="M1758" s="116">
        <v>1990.5</v>
      </c>
      <c r="N1758" s="116">
        <v>1999.9</v>
      </c>
      <c r="O1758" s="116">
        <v>1917</v>
      </c>
      <c r="P1758" s="116">
        <v>1928.65</v>
      </c>
      <c r="Q1758" s="116">
        <v>1990.5</v>
      </c>
      <c r="R1758">
        <v>5392787</v>
      </c>
    </row>
    <row r="1759" spans="1:18" x14ac:dyDescent="0.25">
      <c r="A1759" s="170">
        <v>44594</v>
      </c>
      <c r="B1759" s="116">
        <v>2006.8</v>
      </c>
      <c r="C1759" s="116">
        <v>1981.85</v>
      </c>
      <c r="D1759" s="116">
        <v>1970.9</v>
      </c>
      <c r="E1759" s="116">
        <v>1998.5</v>
      </c>
      <c r="F1759" s="116">
        <v>1981.85</v>
      </c>
      <c r="G1759">
        <v>82414</v>
      </c>
      <c r="H1759" s="116"/>
      <c r="I1759" s="116"/>
      <c r="L1759" s="170">
        <v>44594</v>
      </c>
      <c r="M1759" s="116">
        <v>1982.7</v>
      </c>
      <c r="N1759" s="116">
        <v>2008</v>
      </c>
      <c r="O1759" s="116">
        <v>1970.6</v>
      </c>
      <c r="P1759" s="116">
        <v>1995.1</v>
      </c>
      <c r="Q1759" s="116">
        <v>1982.7</v>
      </c>
      <c r="R1759">
        <v>3579380</v>
      </c>
    </row>
    <row r="1760" spans="1:18" x14ac:dyDescent="0.25">
      <c r="A1760" s="170">
        <v>44595</v>
      </c>
      <c r="B1760" s="116">
        <v>1984.05</v>
      </c>
      <c r="C1760" s="116">
        <v>1935</v>
      </c>
      <c r="D1760" s="116">
        <v>1930.25</v>
      </c>
      <c r="E1760" s="116">
        <v>1981.85</v>
      </c>
      <c r="F1760" s="116">
        <v>1935</v>
      </c>
      <c r="G1760">
        <v>63686</v>
      </c>
      <c r="H1760" s="116"/>
      <c r="I1760" s="116"/>
      <c r="L1760" s="170">
        <v>44595</v>
      </c>
      <c r="M1760" s="116">
        <v>1933.65</v>
      </c>
      <c r="N1760" s="116">
        <v>1985</v>
      </c>
      <c r="O1760" s="116">
        <v>1930</v>
      </c>
      <c r="P1760" s="116">
        <v>1981.5</v>
      </c>
      <c r="Q1760" s="116">
        <v>1933.65</v>
      </c>
      <c r="R1760">
        <v>2262217</v>
      </c>
    </row>
    <row r="1761" spans="1:18" x14ac:dyDescent="0.25">
      <c r="A1761" s="170">
        <v>44596</v>
      </c>
      <c r="B1761" s="116">
        <v>1957.25</v>
      </c>
      <c r="C1761" s="116">
        <v>1948.05</v>
      </c>
      <c r="D1761" s="116">
        <v>1923.3</v>
      </c>
      <c r="E1761" s="116">
        <v>1937.15</v>
      </c>
      <c r="F1761" s="116">
        <v>1948.05</v>
      </c>
      <c r="G1761">
        <v>64725</v>
      </c>
      <c r="H1761" s="116"/>
      <c r="I1761" s="116"/>
      <c r="L1761" s="170">
        <v>44596</v>
      </c>
      <c r="M1761" s="116">
        <v>1947.95</v>
      </c>
      <c r="N1761" s="116">
        <v>1957.8</v>
      </c>
      <c r="O1761" s="116">
        <v>1923.3</v>
      </c>
      <c r="P1761" s="116">
        <v>1948</v>
      </c>
      <c r="Q1761" s="116">
        <v>1947.95</v>
      </c>
      <c r="R1761">
        <v>1440816</v>
      </c>
    </row>
    <row r="1762" spans="1:18" x14ac:dyDescent="0.25">
      <c r="A1762" s="170">
        <v>44599</v>
      </c>
      <c r="B1762" s="116">
        <v>1946.3</v>
      </c>
      <c r="C1762" s="116">
        <v>1885.8</v>
      </c>
      <c r="D1762" s="116">
        <v>1874.6</v>
      </c>
      <c r="E1762" s="116">
        <v>1940</v>
      </c>
      <c r="F1762" s="116">
        <v>1885.8</v>
      </c>
      <c r="G1762">
        <v>106503</v>
      </c>
      <c r="H1762" s="116"/>
      <c r="I1762" s="116"/>
      <c r="L1762" s="170">
        <v>44599</v>
      </c>
      <c r="M1762" s="116">
        <v>1884.5</v>
      </c>
      <c r="N1762" s="116">
        <v>1947.5</v>
      </c>
      <c r="O1762" s="116">
        <v>1874.55</v>
      </c>
      <c r="P1762" s="116">
        <v>1932.5</v>
      </c>
      <c r="Q1762" s="116">
        <v>1884.5</v>
      </c>
      <c r="R1762">
        <v>2641464</v>
      </c>
    </row>
    <row r="1763" spans="1:18" x14ac:dyDescent="0.25">
      <c r="A1763" s="170">
        <v>44600</v>
      </c>
      <c r="B1763" s="116">
        <v>1896.3</v>
      </c>
      <c r="C1763" s="116">
        <v>1874.4</v>
      </c>
      <c r="D1763" s="116">
        <v>1847.45</v>
      </c>
      <c r="E1763" s="116">
        <v>1886.25</v>
      </c>
      <c r="F1763" s="116">
        <v>1874.4</v>
      </c>
      <c r="G1763">
        <v>86161</v>
      </c>
      <c r="H1763" s="116"/>
      <c r="I1763" s="116"/>
      <c r="L1763" s="170">
        <v>44600</v>
      </c>
      <c r="M1763" s="116">
        <v>1875.6</v>
      </c>
      <c r="N1763" s="116">
        <v>1896.95</v>
      </c>
      <c r="O1763" s="116">
        <v>1848</v>
      </c>
      <c r="P1763" s="116">
        <v>1890</v>
      </c>
      <c r="Q1763" s="116">
        <v>1875.6</v>
      </c>
      <c r="R1763">
        <v>2040523</v>
      </c>
    </row>
    <row r="1764" spans="1:18" x14ac:dyDescent="0.25">
      <c r="A1764" s="170">
        <v>44601</v>
      </c>
      <c r="B1764" s="116">
        <v>1899.4</v>
      </c>
      <c r="C1764" s="116">
        <v>1889.1</v>
      </c>
      <c r="D1764" s="116">
        <v>1876</v>
      </c>
      <c r="E1764" s="116">
        <v>1885</v>
      </c>
      <c r="F1764" s="116">
        <v>1889.1</v>
      </c>
      <c r="G1764">
        <v>33720</v>
      </c>
      <c r="H1764" s="116"/>
      <c r="I1764" s="116"/>
      <c r="L1764" s="170">
        <v>44601</v>
      </c>
      <c r="M1764" s="116">
        <v>1888.8</v>
      </c>
      <c r="N1764" s="116">
        <v>1899.9</v>
      </c>
      <c r="O1764" s="116">
        <v>1875.6</v>
      </c>
      <c r="P1764" s="116">
        <v>1884.5</v>
      </c>
      <c r="Q1764" s="116">
        <v>1888.8</v>
      </c>
      <c r="R1764">
        <v>1390810</v>
      </c>
    </row>
    <row r="1765" spans="1:18" x14ac:dyDescent="0.25">
      <c r="A1765" s="170">
        <v>44602</v>
      </c>
      <c r="B1765" s="116">
        <v>1911</v>
      </c>
      <c r="C1765" s="116">
        <v>1899.55</v>
      </c>
      <c r="D1765" s="116">
        <v>1880.6</v>
      </c>
      <c r="E1765" s="116">
        <v>1906.9</v>
      </c>
      <c r="F1765" s="116">
        <v>1899.55</v>
      </c>
      <c r="G1765">
        <v>48962</v>
      </c>
      <c r="H1765" s="116"/>
      <c r="I1765" s="116"/>
      <c r="L1765" s="170">
        <v>44602</v>
      </c>
      <c r="M1765" s="116">
        <v>1901</v>
      </c>
      <c r="N1765" s="116">
        <v>1911</v>
      </c>
      <c r="O1765" s="116">
        <v>1881</v>
      </c>
      <c r="P1765" s="116">
        <v>1892</v>
      </c>
      <c r="Q1765" s="116">
        <v>1901</v>
      </c>
      <c r="R1765">
        <v>1288856</v>
      </c>
    </row>
    <row r="1766" spans="1:18" x14ac:dyDescent="0.25">
      <c r="A1766" s="170">
        <v>44603</v>
      </c>
      <c r="B1766" s="116">
        <v>1892.4</v>
      </c>
      <c r="C1766" s="116">
        <v>1869.05</v>
      </c>
      <c r="D1766" s="116">
        <v>1850.05</v>
      </c>
      <c r="E1766" s="116">
        <v>1892.4</v>
      </c>
      <c r="F1766" s="116">
        <v>1869.05</v>
      </c>
      <c r="G1766">
        <v>43048</v>
      </c>
      <c r="H1766" s="116"/>
      <c r="I1766" s="116"/>
      <c r="L1766" s="170">
        <v>44603</v>
      </c>
      <c r="M1766" s="116">
        <v>1871.25</v>
      </c>
      <c r="N1766" s="116">
        <v>1889</v>
      </c>
      <c r="O1766" s="116">
        <v>1850</v>
      </c>
      <c r="P1766" s="116">
        <v>1889</v>
      </c>
      <c r="Q1766" s="116">
        <v>1871.25</v>
      </c>
      <c r="R1766">
        <v>1744894</v>
      </c>
    </row>
    <row r="1767" spans="1:18" x14ac:dyDescent="0.25">
      <c r="A1767" s="170">
        <v>44606</v>
      </c>
      <c r="B1767" s="116">
        <v>1855</v>
      </c>
      <c r="C1767" s="116">
        <v>1799</v>
      </c>
      <c r="D1767" s="116">
        <v>1795</v>
      </c>
      <c r="E1767" s="116">
        <v>1855</v>
      </c>
      <c r="F1767" s="116">
        <v>1799</v>
      </c>
      <c r="G1767">
        <v>82354</v>
      </c>
      <c r="H1767" s="116"/>
      <c r="I1767" s="116"/>
      <c r="L1767" s="170">
        <v>44606</v>
      </c>
      <c r="M1767" s="116">
        <v>1799</v>
      </c>
      <c r="N1767" s="116">
        <v>1846.95</v>
      </c>
      <c r="O1767" s="116">
        <v>1795</v>
      </c>
      <c r="P1767" s="116">
        <v>1843.25</v>
      </c>
      <c r="Q1767" s="116">
        <v>1799</v>
      </c>
      <c r="R1767">
        <v>2290199</v>
      </c>
    </row>
    <row r="1768" spans="1:18" x14ac:dyDescent="0.25">
      <c r="A1768" s="170">
        <v>44607</v>
      </c>
      <c r="B1768" s="116">
        <v>1882</v>
      </c>
      <c r="C1768" s="116">
        <v>1877.05</v>
      </c>
      <c r="D1768" s="116">
        <v>1805.35</v>
      </c>
      <c r="E1768" s="116">
        <v>1805.35</v>
      </c>
      <c r="F1768" s="116">
        <v>1877.05</v>
      </c>
      <c r="G1768">
        <v>99773</v>
      </c>
      <c r="H1768" s="116"/>
      <c r="I1768" s="116"/>
      <c r="L1768" s="170">
        <v>44607</v>
      </c>
      <c r="M1768" s="116">
        <v>1876.05</v>
      </c>
      <c r="N1768" s="116">
        <v>1882</v>
      </c>
      <c r="O1768" s="116">
        <v>1806.15</v>
      </c>
      <c r="P1768" s="116">
        <v>1810</v>
      </c>
      <c r="Q1768" s="116">
        <v>1876.05</v>
      </c>
      <c r="R1768">
        <v>2602134</v>
      </c>
    </row>
    <row r="1769" spans="1:18" x14ac:dyDescent="0.25">
      <c r="A1769" s="170">
        <v>44608</v>
      </c>
      <c r="B1769" s="116">
        <v>1886.15</v>
      </c>
      <c r="C1769" s="116">
        <v>1860.1</v>
      </c>
      <c r="D1769" s="116">
        <v>1842.8</v>
      </c>
      <c r="E1769" s="116">
        <v>1875.8</v>
      </c>
      <c r="F1769" s="116">
        <v>1860.1</v>
      </c>
      <c r="G1769">
        <v>64539</v>
      </c>
      <c r="H1769" s="116"/>
      <c r="I1769" s="116"/>
      <c r="L1769" s="170">
        <v>44608</v>
      </c>
      <c r="M1769" s="116">
        <v>1860.7</v>
      </c>
      <c r="N1769" s="116">
        <v>1887.3</v>
      </c>
      <c r="O1769" s="116">
        <v>1842.15</v>
      </c>
      <c r="P1769" s="116">
        <v>1876.05</v>
      </c>
      <c r="Q1769" s="116">
        <v>1860.7</v>
      </c>
      <c r="R1769">
        <v>1898439</v>
      </c>
    </row>
    <row r="1770" spans="1:18" x14ac:dyDescent="0.25">
      <c r="A1770" s="170">
        <v>44609</v>
      </c>
      <c r="B1770" s="116">
        <v>1884.2</v>
      </c>
      <c r="C1770" s="116">
        <v>1867.2</v>
      </c>
      <c r="D1770" s="116">
        <v>1855</v>
      </c>
      <c r="E1770" s="116">
        <v>1865</v>
      </c>
      <c r="F1770" s="116">
        <v>1867.2</v>
      </c>
      <c r="G1770">
        <v>37301</v>
      </c>
      <c r="H1770" s="116"/>
      <c r="I1770" s="116"/>
      <c r="L1770" s="170">
        <v>44609</v>
      </c>
      <c r="M1770" s="116">
        <v>1868.7</v>
      </c>
      <c r="N1770" s="116">
        <v>1884.9</v>
      </c>
      <c r="O1770" s="116">
        <v>1854.1</v>
      </c>
      <c r="P1770" s="116">
        <v>1869</v>
      </c>
      <c r="Q1770" s="116">
        <v>1868.7</v>
      </c>
      <c r="R1770">
        <v>1459905</v>
      </c>
    </row>
    <row r="1771" spans="1:18" x14ac:dyDescent="0.25">
      <c r="A1771" s="170">
        <v>44610</v>
      </c>
      <c r="B1771" s="116">
        <v>1895.8</v>
      </c>
      <c r="C1771" s="116">
        <v>1883.95</v>
      </c>
      <c r="D1771" s="116">
        <v>1860</v>
      </c>
      <c r="E1771" s="116">
        <v>1860</v>
      </c>
      <c r="F1771" s="116">
        <v>1883.95</v>
      </c>
      <c r="G1771">
        <v>79508</v>
      </c>
      <c r="H1771" s="116"/>
      <c r="I1771" s="116"/>
      <c r="L1771" s="170">
        <v>44610</v>
      </c>
      <c r="M1771" s="116">
        <v>1883.1</v>
      </c>
      <c r="N1771" s="116">
        <v>1896</v>
      </c>
      <c r="O1771" s="116">
        <v>1865.15</v>
      </c>
      <c r="P1771" s="116">
        <v>1870</v>
      </c>
      <c r="Q1771" s="116">
        <v>1883.1</v>
      </c>
      <c r="R1771">
        <v>1912482</v>
      </c>
    </row>
    <row r="1772" spans="1:18" x14ac:dyDescent="0.25">
      <c r="A1772" s="170">
        <v>44613</v>
      </c>
      <c r="B1772" s="116">
        <v>1883.55</v>
      </c>
      <c r="C1772" s="116">
        <v>1863.05</v>
      </c>
      <c r="D1772" s="116">
        <v>1848.6</v>
      </c>
      <c r="E1772" s="116">
        <v>1871.05</v>
      </c>
      <c r="F1772" s="116">
        <v>1863.05</v>
      </c>
      <c r="G1772">
        <v>66541</v>
      </c>
      <c r="H1772" s="116"/>
      <c r="I1772" s="116"/>
      <c r="L1772" s="170">
        <v>44613</v>
      </c>
      <c r="M1772" s="116">
        <v>1863.95</v>
      </c>
      <c r="N1772" s="116">
        <v>1883.9</v>
      </c>
      <c r="O1772" s="116">
        <v>1848.85</v>
      </c>
      <c r="P1772" s="116">
        <v>1874.95</v>
      </c>
      <c r="Q1772" s="116">
        <v>1863.95</v>
      </c>
      <c r="R1772">
        <v>1262585</v>
      </c>
    </row>
    <row r="1773" spans="1:18" x14ac:dyDescent="0.25">
      <c r="A1773" s="170">
        <v>44614</v>
      </c>
      <c r="B1773" s="116">
        <v>1854.75</v>
      </c>
      <c r="C1773" s="116">
        <v>1842.85</v>
      </c>
      <c r="D1773" s="116">
        <v>1800.7</v>
      </c>
      <c r="E1773" s="116">
        <v>1805</v>
      </c>
      <c r="F1773" s="116">
        <v>1842.85</v>
      </c>
      <c r="G1773">
        <v>103479</v>
      </c>
      <c r="H1773" s="116"/>
      <c r="I1773" s="116"/>
      <c r="L1773" s="170">
        <v>44614</v>
      </c>
      <c r="M1773" s="116">
        <v>1844.45</v>
      </c>
      <c r="N1773" s="116">
        <v>1855</v>
      </c>
      <c r="O1773" s="116">
        <v>1800.5</v>
      </c>
      <c r="P1773" s="116">
        <v>1813</v>
      </c>
      <c r="Q1773" s="116">
        <v>1844.45</v>
      </c>
      <c r="R1773">
        <v>2288298</v>
      </c>
    </row>
    <row r="1774" spans="1:18" x14ac:dyDescent="0.25">
      <c r="A1774" s="170">
        <v>44615</v>
      </c>
      <c r="B1774" s="116">
        <v>1857</v>
      </c>
      <c r="C1774" s="116">
        <v>1822.05</v>
      </c>
      <c r="D1774" s="116">
        <v>1815.9</v>
      </c>
      <c r="E1774" s="116">
        <v>1857</v>
      </c>
      <c r="F1774" s="116">
        <v>1822.05</v>
      </c>
      <c r="G1774">
        <v>50935</v>
      </c>
      <c r="H1774" s="116"/>
      <c r="I1774" s="116"/>
      <c r="L1774" s="170">
        <v>44615</v>
      </c>
      <c r="M1774" s="116">
        <v>1820.3</v>
      </c>
      <c r="N1774" s="116">
        <v>1852</v>
      </c>
      <c r="O1774" s="116">
        <v>1816.15</v>
      </c>
      <c r="P1774" s="116">
        <v>1849</v>
      </c>
      <c r="Q1774" s="116">
        <v>1820.3</v>
      </c>
      <c r="R1774">
        <v>1583872</v>
      </c>
    </row>
    <row r="1775" spans="1:18" x14ac:dyDescent="0.25">
      <c r="A1775" s="170">
        <v>44616</v>
      </c>
      <c r="B1775" s="116">
        <v>1799.9</v>
      </c>
      <c r="C1775" s="116">
        <v>1757.5</v>
      </c>
      <c r="D1775" s="116">
        <v>1750.55</v>
      </c>
      <c r="E1775" s="116">
        <v>1775</v>
      </c>
      <c r="F1775" s="116">
        <v>1757.5</v>
      </c>
      <c r="G1775">
        <v>221973</v>
      </c>
      <c r="H1775" s="116"/>
      <c r="I1775" s="116"/>
      <c r="L1775" s="170">
        <v>44616</v>
      </c>
      <c r="M1775" s="116">
        <v>1757.35</v>
      </c>
      <c r="N1775" s="116">
        <v>1800</v>
      </c>
      <c r="O1775" s="116">
        <v>1751</v>
      </c>
      <c r="P1775" s="116">
        <v>1783.25</v>
      </c>
      <c r="Q1775" s="116">
        <v>1757.35</v>
      </c>
      <c r="R1775">
        <v>3616355</v>
      </c>
    </row>
    <row r="1776" spans="1:18" x14ac:dyDescent="0.25">
      <c r="A1776" s="170">
        <v>44617</v>
      </c>
      <c r="B1776" s="116">
        <v>1799.3</v>
      </c>
      <c r="C1776" s="116">
        <v>1777.65</v>
      </c>
      <c r="D1776" s="116">
        <v>1765.4</v>
      </c>
      <c r="E1776" s="116">
        <v>1772.05</v>
      </c>
      <c r="F1776" s="116">
        <v>1777.65</v>
      </c>
      <c r="G1776">
        <v>100080</v>
      </c>
      <c r="H1776" s="116"/>
      <c r="I1776" s="116"/>
      <c r="L1776" s="170">
        <v>44617</v>
      </c>
      <c r="M1776" s="116">
        <v>1777.05</v>
      </c>
      <c r="N1776" s="116">
        <v>1798.7</v>
      </c>
      <c r="O1776" s="116">
        <v>1765</v>
      </c>
      <c r="P1776" s="116">
        <v>1782</v>
      </c>
      <c r="Q1776" s="116">
        <v>1777.05</v>
      </c>
      <c r="R1776">
        <v>2476882</v>
      </c>
    </row>
    <row r="1777" spans="1:18" x14ac:dyDescent="0.25">
      <c r="A1777" s="170">
        <v>44620</v>
      </c>
      <c r="B1777" s="116">
        <v>1822</v>
      </c>
      <c r="C1777" s="116">
        <v>1816.9</v>
      </c>
      <c r="D1777" s="116">
        <v>1753.9</v>
      </c>
      <c r="E1777" s="116">
        <v>1773.4</v>
      </c>
      <c r="F1777" s="116">
        <v>1816.9</v>
      </c>
      <c r="G1777">
        <v>85890</v>
      </c>
      <c r="H1777" s="116"/>
      <c r="I1777" s="116"/>
      <c r="L1777" s="170">
        <v>44620</v>
      </c>
      <c r="M1777" s="116">
        <v>1816.75</v>
      </c>
      <c r="N1777" s="116">
        <v>1822.25</v>
      </c>
      <c r="O1777" s="116">
        <v>1752.8</v>
      </c>
      <c r="P1777" s="116">
        <v>1764.9</v>
      </c>
      <c r="Q1777" s="116">
        <v>1816.75</v>
      </c>
      <c r="R1777">
        <v>2553662</v>
      </c>
    </row>
    <row r="1778" spans="1:18" x14ac:dyDescent="0.25">
      <c r="A1778" s="170">
        <v>44622</v>
      </c>
      <c r="B1778" s="116">
        <v>1826.35</v>
      </c>
      <c r="C1778" s="116">
        <v>1784.05</v>
      </c>
      <c r="D1778" s="116">
        <v>1768.5</v>
      </c>
      <c r="E1778" s="116">
        <v>1807</v>
      </c>
      <c r="F1778" s="116">
        <v>1784.05</v>
      </c>
      <c r="G1778">
        <v>99845</v>
      </c>
      <c r="H1778" s="116"/>
      <c r="I1778" s="116"/>
      <c r="L1778" s="170">
        <v>44622</v>
      </c>
      <c r="M1778" s="116">
        <v>1784.5</v>
      </c>
      <c r="N1778" s="116">
        <v>1826.95</v>
      </c>
      <c r="O1778" s="116">
        <v>1768.5</v>
      </c>
      <c r="P1778" s="116">
        <v>1800</v>
      </c>
      <c r="Q1778" s="116">
        <v>1784.5</v>
      </c>
      <c r="R1778">
        <v>3152628</v>
      </c>
    </row>
    <row r="1779" spans="1:18" x14ac:dyDescent="0.25">
      <c r="A1779" s="170">
        <v>44623</v>
      </c>
      <c r="B1779" s="116">
        <v>1813.8</v>
      </c>
      <c r="C1779" s="116">
        <v>1751.95</v>
      </c>
      <c r="D1779" s="116">
        <v>1746.1</v>
      </c>
      <c r="E1779" s="116">
        <v>1813.8</v>
      </c>
      <c r="F1779" s="116">
        <v>1751.95</v>
      </c>
      <c r="G1779">
        <v>59916</v>
      </c>
      <c r="H1779" s="116"/>
      <c r="I1779" s="116"/>
      <c r="L1779" s="170">
        <v>44623</v>
      </c>
      <c r="M1779" s="116">
        <v>1752.3</v>
      </c>
      <c r="N1779" s="116">
        <v>1813.55</v>
      </c>
      <c r="O1779" s="116">
        <v>1745.55</v>
      </c>
      <c r="P1779" s="116">
        <v>1810</v>
      </c>
      <c r="Q1779" s="116">
        <v>1752.3</v>
      </c>
      <c r="R1779">
        <v>2259979</v>
      </c>
    </row>
    <row r="1780" spans="1:18" x14ac:dyDescent="0.25">
      <c r="A1780" s="170">
        <v>44624</v>
      </c>
      <c r="B1780" s="116">
        <v>1753.7</v>
      </c>
      <c r="C1780" s="116">
        <v>1711.7</v>
      </c>
      <c r="D1780" s="116">
        <v>1703.2</v>
      </c>
      <c r="E1780" s="116">
        <v>1744</v>
      </c>
      <c r="F1780" s="116">
        <v>1711.7</v>
      </c>
      <c r="G1780">
        <v>95708</v>
      </c>
      <c r="H1780" s="116"/>
      <c r="I1780" s="116"/>
      <c r="L1780" s="170">
        <v>44624</v>
      </c>
      <c r="M1780" s="116">
        <v>1711.75</v>
      </c>
      <c r="N1780" s="116">
        <v>1754.05</v>
      </c>
      <c r="O1780" s="116">
        <v>1703</v>
      </c>
      <c r="P1780" s="116">
        <v>1740</v>
      </c>
      <c r="Q1780" s="116">
        <v>1711.75</v>
      </c>
      <c r="R1780">
        <v>3906819</v>
      </c>
    </row>
    <row r="1781" spans="1:18" x14ac:dyDescent="0.25">
      <c r="A1781" s="170">
        <v>44627</v>
      </c>
      <c r="B1781" s="116">
        <v>1672</v>
      </c>
      <c r="C1781" s="116">
        <v>1634.3</v>
      </c>
      <c r="D1781" s="116">
        <v>1605.55</v>
      </c>
      <c r="E1781" s="116">
        <v>1672</v>
      </c>
      <c r="F1781" s="116">
        <v>1634.3</v>
      </c>
      <c r="G1781">
        <v>375785</v>
      </c>
      <c r="H1781" s="116"/>
      <c r="I1781" s="116"/>
      <c r="L1781" s="170">
        <v>44627</v>
      </c>
      <c r="M1781" s="116">
        <v>1634.45</v>
      </c>
      <c r="N1781" s="116">
        <v>1666.8</v>
      </c>
      <c r="O1781" s="116">
        <v>1605.55</v>
      </c>
      <c r="P1781" s="116">
        <v>1658.25</v>
      </c>
      <c r="Q1781" s="116">
        <v>1634.45</v>
      </c>
      <c r="R1781">
        <v>6318251</v>
      </c>
    </row>
    <row r="1782" spans="1:18" x14ac:dyDescent="0.25">
      <c r="A1782" s="170">
        <v>44628</v>
      </c>
      <c r="B1782" s="116">
        <v>1666</v>
      </c>
      <c r="C1782" s="116">
        <v>1659.1</v>
      </c>
      <c r="D1782" s="116">
        <v>1595</v>
      </c>
      <c r="E1782" s="116">
        <v>1630</v>
      </c>
      <c r="F1782" s="116">
        <v>1659.1</v>
      </c>
      <c r="G1782">
        <v>166973</v>
      </c>
      <c r="H1782" s="116"/>
      <c r="I1782" s="116"/>
      <c r="L1782" s="170">
        <v>44628</v>
      </c>
      <c r="M1782" s="116">
        <v>1658.5</v>
      </c>
      <c r="N1782" s="116">
        <v>1666</v>
      </c>
      <c r="O1782" s="116">
        <v>1595</v>
      </c>
      <c r="P1782" s="116">
        <v>1627.9</v>
      </c>
      <c r="Q1782" s="116">
        <v>1658.5</v>
      </c>
      <c r="R1782">
        <v>4421730</v>
      </c>
    </row>
    <row r="1783" spans="1:18" x14ac:dyDescent="0.25">
      <c r="A1783" s="170">
        <v>44629</v>
      </c>
      <c r="B1783" s="116">
        <v>1699.4</v>
      </c>
      <c r="C1783" s="116">
        <v>1691.45</v>
      </c>
      <c r="D1783" s="116">
        <v>1650</v>
      </c>
      <c r="E1783" s="116">
        <v>1675</v>
      </c>
      <c r="F1783" s="116">
        <v>1691.45</v>
      </c>
      <c r="G1783">
        <v>157239</v>
      </c>
      <c r="H1783" s="116"/>
      <c r="I1783" s="116"/>
      <c r="L1783" s="170">
        <v>44629</v>
      </c>
      <c r="M1783" s="116">
        <v>1690.95</v>
      </c>
      <c r="N1783" s="116">
        <v>1699.8</v>
      </c>
      <c r="O1783" s="116">
        <v>1650.05</v>
      </c>
      <c r="P1783" s="116">
        <v>1676.5</v>
      </c>
      <c r="Q1783" s="116">
        <v>1690.95</v>
      </c>
      <c r="R1783">
        <v>3306502</v>
      </c>
    </row>
    <row r="1784" spans="1:18" x14ac:dyDescent="0.25">
      <c r="A1784" s="170">
        <v>44630</v>
      </c>
      <c r="B1784" s="116">
        <v>1758.4</v>
      </c>
      <c r="C1784" s="116">
        <v>1728.35</v>
      </c>
      <c r="D1784" s="116">
        <v>1707.45</v>
      </c>
      <c r="E1784" s="116">
        <v>1740</v>
      </c>
      <c r="F1784" s="116">
        <v>1728.35</v>
      </c>
      <c r="G1784">
        <v>103306</v>
      </c>
      <c r="H1784" s="116"/>
      <c r="I1784" s="116"/>
      <c r="L1784" s="170">
        <v>44630</v>
      </c>
      <c r="M1784" s="116">
        <v>1728.2</v>
      </c>
      <c r="N1784" s="116">
        <v>1758</v>
      </c>
      <c r="O1784" s="116">
        <v>1707</v>
      </c>
      <c r="P1784" s="116">
        <v>1740</v>
      </c>
      <c r="Q1784" s="116">
        <v>1728.2</v>
      </c>
      <c r="R1784">
        <v>2776325</v>
      </c>
    </row>
    <row r="1785" spans="1:18" x14ac:dyDescent="0.25">
      <c r="A1785" s="170">
        <v>44631</v>
      </c>
      <c r="B1785" s="116">
        <v>1735</v>
      </c>
      <c r="C1785" s="116">
        <v>1727.8</v>
      </c>
      <c r="D1785" s="116">
        <v>1706.2</v>
      </c>
      <c r="E1785" s="116">
        <v>1708.1</v>
      </c>
      <c r="F1785" s="116">
        <v>1727.8</v>
      </c>
      <c r="G1785">
        <v>63125</v>
      </c>
      <c r="H1785" s="116"/>
      <c r="I1785" s="116"/>
      <c r="L1785" s="170">
        <v>44631</v>
      </c>
      <c r="M1785" s="116">
        <v>1728.65</v>
      </c>
      <c r="N1785" s="116">
        <v>1735.45</v>
      </c>
      <c r="O1785" s="116">
        <v>1705.8</v>
      </c>
      <c r="P1785" s="116">
        <v>1720</v>
      </c>
      <c r="Q1785" s="116">
        <v>1728.65</v>
      </c>
      <c r="R1785">
        <v>1577597</v>
      </c>
    </row>
    <row r="1786" spans="1:18" x14ac:dyDescent="0.25">
      <c r="A1786" s="170">
        <v>44634</v>
      </c>
      <c r="B1786" s="116">
        <v>1754.8</v>
      </c>
      <c r="C1786" s="116">
        <v>1747.3</v>
      </c>
      <c r="D1786" s="116">
        <v>1715.7</v>
      </c>
      <c r="E1786" s="116">
        <v>1739.85</v>
      </c>
      <c r="F1786" s="116">
        <v>1747.3</v>
      </c>
      <c r="G1786">
        <v>40727</v>
      </c>
      <c r="H1786" s="116"/>
      <c r="I1786" s="116"/>
      <c r="L1786" s="170">
        <v>44634</v>
      </c>
      <c r="M1786" s="116">
        <v>1746.75</v>
      </c>
      <c r="N1786" s="116">
        <v>1754</v>
      </c>
      <c r="O1786" s="116">
        <v>1715.5</v>
      </c>
      <c r="P1786" s="116">
        <v>1735</v>
      </c>
      <c r="Q1786" s="116">
        <v>1746.75</v>
      </c>
      <c r="R1786">
        <v>1558334</v>
      </c>
    </row>
    <row r="1787" spans="1:18" x14ac:dyDescent="0.25">
      <c r="A1787" s="170">
        <v>44635</v>
      </c>
      <c r="B1787" s="116">
        <v>1765</v>
      </c>
      <c r="C1787" s="116">
        <v>1743.4</v>
      </c>
      <c r="D1787" s="116">
        <v>1726.5</v>
      </c>
      <c r="E1787" s="116">
        <v>1752</v>
      </c>
      <c r="F1787" s="116">
        <v>1743.4</v>
      </c>
      <c r="G1787">
        <v>63687</v>
      </c>
      <c r="H1787" s="116"/>
      <c r="I1787" s="116"/>
      <c r="L1787" s="170">
        <v>44635</v>
      </c>
      <c r="M1787" s="116">
        <v>1743.45</v>
      </c>
      <c r="N1787" s="116">
        <v>1765</v>
      </c>
      <c r="O1787" s="116">
        <v>1726.6</v>
      </c>
      <c r="P1787" s="116">
        <v>1748</v>
      </c>
      <c r="Q1787" s="116">
        <v>1743.45</v>
      </c>
      <c r="R1787">
        <v>2062332</v>
      </c>
    </row>
    <row r="1788" spans="1:18" x14ac:dyDescent="0.25">
      <c r="A1788" s="170">
        <v>44636</v>
      </c>
      <c r="B1788" s="116">
        <v>1770</v>
      </c>
      <c r="C1788" s="116">
        <v>1756.45</v>
      </c>
      <c r="D1788" s="116">
        <v>1747</v>
      </c>
      <c r="E1788" s="116">
        <v>1755</v>
      </c>
      <c r="F1788" s="116">
        <v>1756.45</v>
      </c>
      <c r="G1788">
        <v>26606</v>
      </c>
      <c r="H1788" s="116"/>
      <c r="I1788" s="116"/>
      <c r="L1788" s="170">
        <v>44636</v>
      </c>
      <c r="M1788" s="116">
        <v>1756.2</v>
      </c>
      <c r="N1788" s="116">
        <v>1770.65</v>
      </c>
      <c r="O1788" s="116">
        <v>1746.2</v>
      </c>
      <c r="P1788" s="116">
        <v>1761</v>
      </c>
      <c r="Q1788" s="116">
        <v>1756.2</v>
      </c>
      <c r="R1788">
        <v>2101909</v>
      </c>
    </row>
    <row r="1789" spans="1:18" x14ac:dyDescent="0.25">
      <c r="A1789" s="170">
        <v>44637</v>
      </c>
      <c r="B1789" s="116">
        <v>1804.25</v>
      </c>
      <c r="C1789" s="116">
        <v>1787.5</v>
      </c>
      <c r="D1789" s="116">
        <v>1768.3</v>
      </c>
      <c r="E1789" s="116">
        <v>1773</v>
      </c>
      <c r="F1789" s="116">
        <v>1787.5</v>
      </c>
      <c r="G1789">
        <v>109509</v>
      </c>
      <c r="H1789" s="116"/>
      <c r="I1789" s="116"/>
      <c r="L1789" s="170">
        <v>44637</v>
      </c>
      <c r="M1789" s="116">
        <v>1787.9</v>
      </c>
      <c r="N1789" s="116">
        <v>1804.6</v>
      </c>
      <c r="O1789" s="116">
        <v>1768.45</v>
      </c>
      <c r="P1789" s="116">
        <v>1781.15</v>
      </c>
      <c r="Q1789" s="116">
        <v>1787.9</v>
      </c>
      <c r="R1789">
        <v>3383036</v>
      </c>
    </row>
    <row r="1790" spans="1:18" x14ac:dyDescent="0.25">
      <c r="A1790" s="170">
        <v>44641</v>
      </c>
      <c r="B1790" s="116">
        <v>1809</v>
      </c>
      <c r="C1790" s="116">
        <v>1756.4</v>
      </c>
      <c r="D1790" s="116">
        <v>1745</v>
      </c>
      <c r="E1790" s="116">
        <v>1809</v>
      </c>
      <c r="F1790" s="116">
        <v>1756.4</v>
      </c>
      <c r="G1790">
        <v>42886</v>
      </c>
      <c r="H1790" s="116"/>
      <c r="I1790" s="116"/>
      <c r="L1790" s="170">
        <v>44641</v>
      </c>
      <c r="M1790" s="116">
        <v>1756.3</v>
      </c>
      <c r="N1790" s="116">
        <v>1805</v>
      </c>
      <c r="O1790" s="116">
        <v>1745</v>
      </c>
      <c r="P1790" s="116">
        <v>1805</v>
      </c>
      <c r="Q1790" s="116">
        <v>1756.3</v>
      </c>
      <c r="R1790">
        <v>2301462</v>
      </c>
    </row>
    <row r="1791" spans="1:18" x14ac:dyDescent="0.25">
      <c r="A1791" s="170">
        <v>44642</v>
      </c>
      <c r="B1791" s="116">
        <v>1777.25</v>
      </c>
      <c r="C1791" s="116">
        <v>1773.9</v>
      </c>
      <c r="D1791" s="116">
        <v>1721.9</v>
      </c>
      <c r="E1791" s="116">
        <v>1758.85</v>
      </c>
      <c r="F1791" s="116">
        <v>1773.9</v>
      </c>
      <c r="G1791">
        <v>92669</v>
      </c>
      <c r="H1791" s="116"/>
      <c r="I1791" s="116"/>
      <c r="L1791" s="170">
        <v>44642</v>
      </c>
      <c r="M1791" s="116">
        <v>1774.05</v>
      </c>
      <c r="N1791" s="116">
        <v>1777</v>
      </c>
      <c r="O1791" s="116">
        <v>1721.15</v>
      </c>
      <c r="P1791" s="116">
        <v>1756.3</v>
      </c>
      <c r="Q1791" s="116">
        <v>1774.05</v>
      </c>
      <c r="R1791">
        <v>3986030</v>
      </c>
    </row>
    <row r="1792" spans="1:18" x14ac:dyDescent="0.25">
      <c r="A1792" s="170">
        <v>44643</v>
      </c>
      <c r="B1792" s="116">
        <v>1791</v>
      </c>
      <c r="C1792" s="116">
        <v>1767.05</v>
      </c>
      <c r="D1792" s="116">
        <v>1760</v>
      </c>
      <c r="E1792" s="116">
        <v>1780</v>
      </c>
      <c r="F1792" s="116">
        <v>1767.05</v>
      </c>
      <c r="G1792">
        <v>45322</v>
      </c>
      <c r="H1792" s="116"/>
      <c r="I1792" s="116"/>
      <c r="L1792" s="170">
        <v>44643</v>
      </c>
      <c r="M1792" s="116">
        <v>1767.25</v>
      </c>
      <c r="N1792" s="116">
        <v>1791.55</v>
      </c>
      <c r="O1792" s="116">
        <v>1759.15</v>
      </c>
      <c r="P1792" s="116">
        <v>1780</v>
      </c>
      <c r="Q1792" s="116">
        <v>1767.25</v>
      </c>
      <c r="R1792">
        <v>1574226</v>
      </c>
    </row>
    <row r="1793" spans="1:18" x14ac:dyDescent="0.25">
      <c r="A1793" s="170">
        <v>44644</v>
      </c>
      <c r="B1793" s="116">
        <v>1779.7</v>
      </c>
      <c r="C1793" s="116">
        <v>1771.05</v>
      </c>
      <c r="D1793" s="116">
        <v>1755</v>
      </c>
      <c r="E1793" s="116">
        <v>1755</v>
      </c>
      <c r="F1793" s="116">
        <v>1771.05</v>
      </c>
      <c r="G1793">
        <v>27501</v>
      </c>
      <c r="H1793" s="116"/>
      <c r="I1793" s="116"/>
      <c r="L1793" s="170">
        <v>44644</v>
      </c>
      <c r="M1793" s="116">
        <v>1771.55</v>
      </c>
      <c r="N1793" s="116">
        <v>1779.7</v>
      </c>
      <c r="O1793" s="116">
        <v>1751</v>
      </c>
      <c r="P1793" s="116">
        <v>1755</v>
      </c>
      <c r="Q1793" s="116">
        <v>1771.55</v>
      </c>
      <c r="R1793">
        <v>1580887</v>
      </c>
    </row>
    <row r="1794" spans="1:18" x14ac:dyDescent="0.25">
      <c r="A1794" s="170">
        <v>44645</v>
      </c>
      <c r="B1794" s="116">
        <v>1775.55</v>
      </c>
      <c r="C1794" s="116">
        <v>1750.9</v>
      </c>
      <c r="D1794" s="116">
        <v>1739.1</v>
      </c>
      <c r="E1794" s="116">
        <v>1775</v>
      </c>
      <c r="F1794" s="116">
        <v>1750.9</v>
      </c>
      <c r="G1794">
        <v>34544</v>
      </c>
      <c r="H1794" s="116"/>
      <c r="I1794" s="116"/>
      <c r="L1794" s="170">
        <v>44645</v>
      </c>
      <c r="M1794" s="116">
        <v>1751.1</v>
      </c>
      <c r="N1794" s="116">
        <v>1777.9</v>
      </c>
      <c r="O1794" s="116">
        <v>1739</v>
      </c>
      <c r="P1794" s="116">
        <v>1775.6</v>
      </c>
      <c r="Q1794" s="116">
        <v>1751.1</v>
      </c>
      <c r="R1794">
        <v>1483897</v>
      </c>
    </row>
    <row r="1795" spans="1:18" x14ac:dyDescent="0.25">
      <c r="A1795" s="170">
        <v>44648</v>
      </c>
      <c r="B1795" s="116">
        <v>1761</v>
      </c>
      <c r="C1795" s="116">
        <v>1741.25</v>
      </c>
      <c r="D1795" s="116">
        <v>1727.7</v>
      </c>
      <c r="E1795" s="116">
        <v>1752</v>
      </c>
      <c r="F1795" s="116">
        <v>1741.25</v>
      </c>
      <c r="G1795">
        <v>34405</v>
      </c>
      <c r="H1795" s="116"/>
      <c r="I1795" s="116"/>
      <c r="L1795" s="170">
        <v>44648</v>
      </c>
      <c r="M1795" s="116">
        <v>1741.6</v>
      </c>
      <c r="N1795" s="116">
        <v>1755</v>
      </c>
      <c r="O1795" s="116">
        <v>1725.1</v>
      </c>
      <c r="P1795" s="116">
        <v>1752</v>
      </c>
      <c r="Q1795" s="116">
        <v>1741.6</v>
      </c>
      <c r="R1795">
        <v>1799629</v>
      </c>
    </row>
    <row r="1796" spans="1:18" x14ac:dyDescent="0.25">
      <c r="A1796" s="170">
        <v>44649</v>
      </c>
      <c r="B1796" s="116">
        <v>1759.8</v>
      </c>
      <c r="C1796" s="116">
        <v>1745.4</v>
      </c>
      <c r="D1796" s="116">
        <v>1733.15</v>
      </c>
      <c r="E1796" s="116">
        <v>1759.8</v>
      </c>
      <c r="F1796" s="116">
        <v>1745.4</v>
      </c>
      <c r="G1796">
        <v>72226</v>
      </c>
      <c r="H1796" s="116"/>
      <c r="I1796" s="116"/>
      <c r="L1796" s="170">
        <v>44649</v>
      </c>
      <c r="M1796" s="116">
        <v>1746.65</v>
      </c>
      <c r="N1796" s="116">
        <v>1754.1</v>
      </c>
      <c r="O1796" s="116">
        <v>1733</v>
      </c>
      <c r="P1796" s="116">
        <v>1748.7</v>
      </c>
      <c r="Q1796" s="116">
        <v>1746.65</v>
      </c>
      <c r="R1796">
        <v>2071779</v>
      </c>
    </row>
    <row r="1797" spans="1:18" x14ac:dyDescent="0.25">
      <c r="A1797" s="170">
        <v>44650</v>
      </c>
      <c r="B1797" s="116">
        <v>1777.05</v>
      </c>
      <c r="C1797" s="116">
        <v>1773.35</v>
      </c>
      <c r="D1797" s="116">
        <v>1753.55</v>
      </c>
      <c r="E1797" s="116">
        <v>1753.55</v>
      </c>
      <c r="F1797" s="116">
        <v>1773.35</v>
      </c>
      <c r="G1797">
        <v>45769</v>
      </c>
      <c r="H1797" s="116"/>
      <c r="I1797" s="116"/>
      <c r="L1797" s="170">
        <v>44650</v>
      </c>
      <c r="M1797" s="116">
        <v>1773.6</v>
      </c>
      <c r="N1797" s="116">
        <v>1777.05</v>
      </c>
      <c r="O1797" s="116">
        <v>1754.1</v>
      </c>
      <c r="P1797" s="116">
        <v>1766.9</v>
      </c>
      <c r="Q1797" s="116">
        <v>1773.6</v>
      </c>
      <c r="R1797">
        <v>1712835</v>
      </c>
    </row>
    <row r="1798" spans="1:18" x14ac:dyDescent="0.25">
      <c r="A1798" s="170">
        <v>44651</v>
      </c>
      <c r="B1798" s="116">
        <v>1782.8</v>
      </c>
      <c r="C1798" s="116">
        <v>1767.45</v>
      </c>
      <c r="D1798" s="116">
        <v>1758.25</v>
      </c>
      <c r="E1798" s="116">
        <v>1782.8</v>
      </c>
      <c r="F1798" s="116">
        <v>1767.45</v>
      </c>
      <c r="G1798">
        <v>23918</v>
      </c>
      <c r="H1798" s="116"/>
      <c r="I1798" s="116"/>
      <c r="L1798" s="170">
        <v>44651</v>
      </c>
      <c r="M1798" s="116">
        <v>1767.65</v>
      </c>
      <c r="N1798" s="116">
        <v>1781.35</v>
      </c>
      <c r="O1798" s="116">
        <v>1758</v>
      </c>
      <c r="P1798" s="116">
        <v>1779.95</v>
      </c>
      <c r="Q1798" s="116">
        <v>1767.65</v>
      </c>
      <c r="R1798">
        <v>1401916</v>
      </c>
    </row>
    <row r="1799" spans="1:18" x14ac:dyDescent="0.25">
      <c r="A1799" s="170">
        <v>44652</v>
      </c>
      <c r="B1799" s="116">
        <v>1793.25</v>
      </c>
      <c r="C1799" s="116">
        <v>1790.4</v>
      </c>
      <c r="D1799" s="116">
        <v>1759.75</v>
      </c>
      <c r="E1799" s="116">
        <v>1765</v>
      </c>
      <c r="F1799" s="116">
        <v>1790.4</v>
      </c>
      <c r="G1799">
        <v>37605</v>
      </c>
      <c r="H1799" s="116"/>
      <c r="I1799" s="116"/>
      <c r="L1799" s="170">
        <v>44652</v>
      </c>
      <c r="M1799" s="116">
        <v>1790.1</v>
      </c>
      <c r="N1799" s="116">
        <v>1794</v>
      </c>
      <c r="O1799" s="116">
        <v>1759</v>
      </c>
      <c r="P1799" s="116">
        <v>1759</v>
      </c>
      <c r="Q1799" s="116">
        <v>1790.1</v>
      </c>
      <c r="R1799">
        <v>2050573</v>
      </c>
    </row>
    <row r="1800" spans="1:18" x14ac:dyDescent="0.25">
      <c r="A1800" s="170">
        <v>44655</v>
      </c>
      <c r="B1800" s="116">
        <v>1829.8</v>
      </c>
      <c r="C1800" s="116">
        <v>1825.35</v>
      </c>
      <c r="D1800" s="116">
        <v>1778.25</v>
      </c>
      <c r="E1800" s="116">
        <v>1782.2</v>
      </c>
      <c r="F1800" s="116">
        <v>1825.35</v>
      </c>
      <c r="G1800">
        <v>153526</v>
      </c>
      <c r="H1800" s="116"/>
      <c r="I1800" s="116"/>
      <c r="L1800" s="170">
        <v>44655</v>
      </c>
      <c r="M1800" s="116">
        <v>1826.35</v>
      </c>
      <c r="N1800" s="116">
        <v>1829.85</v>
      </c>
      <c r="O1800" s="116">
        <v>1776.6</v>
      </c>
      <c r="P1800" s="116">
        <v>1784</v>
      </c>
      <c r="Q1800" s="116">
        <v>1826.35</v>
      </c>
      <c r="R1800">
        <v>1955281</v>
      </c>
    </row>
    <row r="1801" spans="1:18" x14ac:dyDescent="0.25">
      <c r="A1801" s="170">
        <v>44656</v>
      </c>
      <c r="B1801" s="116">
        <v>1844.6</v>
      </c>
      <c r="C1801" s="116">
        <v>1833.7</v>
      </c>
      <c r="D1801" s="116">
        <v>1827.4</v>
      </c>
      <c r="E1801" s="116">
        <v>1839.4</v>
      </c>
      <c r="F1801" s="116">
        <v>1833.7</v>
      </c>
      <c r="G1801">
        <v>58918</v>
      </c>
      <c r="H1801" s="116"/>
      <c r="I1801" s="116"/>
      <c r="L1801" s="170">
        <v>44656</v>
      </c>
      <c r="M1801" s="116">
        <v>1836.05</v>
      </c>
      <c r="N1801" s="116">
        <v>1845</v>
      </c>
      <c r="O1801" s="116">
        <v>1827</v>
      </c>
      <c r="P1801" s="116">
        <v>1840</v>
      </c>
      <c r="Q1801" s="116">
        <v>1836.05</v>
      </c>
      <c r="R1801">
        <v>1718581</v>
      </c>
    </row>
    <row r="1802" spans="1:18" x14ac:dyDescent="0.25">
      <c r="A1802" s="170">
        <v>44657</v>
      </c>
      <c r="B1802" s="116">
        <v>1858</v>
      </c>
      <c r="C1802" s="116">
        <v>1852</v>
      </c>
      <c r="D1802" s="116">
        <v>1827.1</v>
      </c>
      <c r="E1802" s="116">
        <v>1827.1</v>
      </c>
      <c r="F1802" s="116">
        <v>1852</v>
      </c>
      <c r="G1802">
        <v>39942</v>
      </c>
      <c r="H1802" s="116"/>
      <c r="I1802" s="116"/>
      <c r="L1802" s="170">
        <v>44657</v>
      </c>
      <c r="M1802" s="116">
        <v>1852.8</v>
      </c>
      <c r="N1802" s="116">
        <v>1858</v>
      </c>
      <c r="O1802" s="116">
        <v>1827.7</v>
      </c>
      <c r="P1802" s="116">
        <v>1833</v>
      </c>
      <c r="Q1802" s="116">
        <v>1852.8</v>
      </c>
      <c r="R1802">
        <v>2245496</v>
      </c>
    </row>
    <row r="1803" spans="1:18" x14ac:dyDescent="0.25">
      <c r="A1803" s="170">
        <v>44658</v>
      </c>
      <c r="B1803" s="116">
        <v>1860</v>
      </c>
      <c r="C1803" s="116">
        <v>1826.2</v>
      </c>
      <c r="D1803" s="116">
        <v>1810</v>
      </c>
      <c r="E1803" s="116">
        <v>1860</v>
      </c>
      <c r="F1803" s="116">
        <v>1826.2</v>
      </c>
      <c r="G1803">
        <v>43141</v>
      </c>
      <c r="H1803" s="116"/>
      <c r="I1803" s="116"/>
      <c r="L1803" s="170">
        <v>44658</v>
      </c>
      <c r="M1803" s="116">
        <v>1826.3</v>
      </c>
      <c r="N1803" s="116">
        <v>1855.85</v>
      </c>
      <c r="O1803" s="116">
        <v>1810.15</v>
      </c>
      <c r="P1803" s="116">
        <v>1849.9</v>
      </c>
      <c r="Q1803" s="116">
        <v>1826.3</v>
      </c>
      <c r="R1803">
        <v>2003954</v>
      </c>
    </row>
    <row r="1804" spans="1:18" x14ac:dyDescent="0.25">
      <c r="A1804" s="170">
        <v>44659</v>
      </c>
      <c r="B1804" s="116">
        <v>1843</v>
      </c>
      <c r="C1804" s="116">
        <v>1830.4</v>
      </c>
      <c r="D1804" s="116">
        <v>1818.7</v>
      </c>
      <c r="E1804" s="116">
        <v>1843</v>
      </c>
      <c r="F1804" s="116">
        <v>1830.4</v>
      </c>
      <c r="G1804">
        <v>34838</v>
      </c>
      <c r="H1804" s="116"/>
      <c r="I1804" s="116"/>
      <c r="L1804" s="170">
        <v>44659</v>
      </c>
      <c r="M1804" s="116">
        <v>1830.75</v>
      </c>
      <c r="N1804" s="116">
        <v>1838.9</v>
      </c>
      <c r="O1804" s="116">
        <v>1818.05</v>
      </c>
      <c r="P1804" s="116">
        <v>1835.4</v>
      </c>
      <c r="Q1804" s="116">
        <v>1830.75</v>
      </c>
      <c r="R1804">
        <v>1903321</v>
      </c>
    </row>
    <row r="1805" spans="1:18" x14ac:dyDescent="0.25">
      <c r="A1805" s="170">
        <v>44662</v>
      </c>
      <c r="B1805" s="116">
        <v>1830</v>
      </c>
      <c r="C1805" s="116">
        <v>1780.6</v>
      </c>
      <c r="D1805" s="116">
        <v>1778</v>
      </c>
      <c r="E1805" s="116">
        <v>1826</v>
      </c>
      <c r="F1805" s="116">
        <v>1780.6</v>
      </c>
      <c r="G1805">
        <v>112608</v>
      </c>
      <c r="H1805" s="116"/>
      <c r="I1805" s="116"/>
      <c r="L1805" s="170">
        <v>44662</v>
      </c>
      <c r="M1805" s="116">
        <v>1781.5</v>
      </c>
      <c r="N1805" s="116">
        <v>1829.75</v>
      </c>
      <c r="O1805" s="116">
        <v>1779</v>
      </c>
      <c r="P1805" s="116">
        <v>1820.25</v>
      </c>
      <c r="Q1805" s="116">
        <v>1781.5</v>
      </c>
      <c r="R1805">
        <v>2262446</v>
      </c>
    </row>
    <row r="1806" spans="1:18" x14ac:dyDescent="0.25">
      <c r="A1806" s="170">
        <v>44663</v>
      </c>
      <c r="B1806" s="116">
        <v>1783.55</v>
      </c>
      <c r="C1806" s="116">
        <v>1747.5</v>
      </c>
      <c r="D1806" s="116">
        <v>1734.15</v>
      </c>
      <c r="E1806" s="116">
        <v>1781</v>
      </c>
      <c r="F1806" s="116">
        <v>1747.5</v>
      </c>
      <c r="G1806">
        <v>54720</v>
      </c>
      <c r="H1806" s="116"/>
      <c r="I1806" s="116"/>
      <c r="L1806" s="170">
        <v>44663</v>
      </c>
      <c r="M1806" s="116">
        <v>1747.7</v>
      </c>
      <c r="N1806" s="116">
        <v>1781.5</v>
      </c>
      <c r="O1806" s="116">
        <v>1733.6</v>
      </c>
      <c r="P1806" s="116">
        <v>1780</v>
      </c>
      <c r="Q1806" s="116">
        <v>1747.7</v>
      </c>
      <c r="R1806">
        <v>4215141</v>
      </c>
    </row>
    <row r="1807" spans="1:18" x14ac:dyDescent="0.25">
      <c r="A1807" s="170">
        <v>44664</v>
      </c>
      <c r="B1807" s="116">
        <v>1773</v>
      </c>
      <c r="C1807" s="116">
        <v>1760.7</v>
      </c>
      <c r="D1807" s="116">
        <v>1747.6</v>
      </c>
      <c r="E1807" s="116">
        <v>1757.95</v>
      </c>
      <c r="F1807" s="116">
        <v>1760.7</v>
      </c>
      <c r="G1807">
        <v>30877</v>
      </c>
      <c r="H1807" s="116"/>
      <c r="I1807" s="116"/>
      <c r="L1807" s="170">
        <v>44664</v>
      </c>
      <c r="M1807" s="116">
        <v>1760.8</v>
      </c>
      <c r="N1807" s="116">
        <v>1772.85</v>
      </c>
      <c r="O1807" s="116">
        <v>1747.1</v>
      </c>
      <c r="P1807" s="116">
        <v>1754.2</v>
      </c>
      <c r="Q1807" s="116">
        <v>1760.8</v>
      </c>
      <c r="R1807">
        <v>1673417</v>
      </c>
    </row>
    <row r="1808" spans="1:18" x14ac:dyDescent="0.25">
      <c r="A1808" s="170">
        <v>44669</v>
      </c>
      <c r="B1808" s="116">
        <v>1750</v>
      </c>
      <c r="C1808" s="116">
        <v>1737.9</v>
      </c>
      <c r="D1808" s="116">
        <v>1715.5</v>
      </c>
      <c r="E1808" s="116">
        <v>1750</v>
      </c>
      <c r="F1808" s="116">
        <v>1737.9</v>
      </c>
      <c r="G1808">
        <v>42250</v>
      </c>
      <c r="H1808" s="116"/>
      <c r="I1808" s="116"/>
      <c r="L1808" s="170">
        <v>44669</v>
      </c>
      <c r="M1808" s="116">
        <v>1738.35</v>
      </c>
      <c r="N1808" s="116">
        <v>1749.95</v>
      </c>
      <c r="O1808" s="116">
        <v>1715</v>
      </c>
      <c r="P1808" s="116">
        <v>1746.3</v>
      </c>
      <c r="Q1808" s="116">
        <v>1738.35</v>
      </c>
      <c r="R1808">
        <v>1808707</v>
      </c>
    </row>
    <row r="1809" spans="1:18" x14ac:dyDescent="0.25">
      <c r="A1809" s="170">
        <v>44670</v>
      </c>
      <c r="B1809" s="116">
        <v>1760.75</v>
      </c>
      <c r="C1809" s="116">
        <v>1701.45</v>
      </c>
      <c r="D1809" s="116">
        <v>1686.25</v>
      </c>
      <c r="E1809" s="116">
        <v>1751</v>
      </c>
      <c r="F1809" s="116">
        <v>1701.45</v>
      </c>
      <c r="G1809">
        <v>63475</v>
      </c>
      <c r="H1809" s="116"/>
      <c r="I1809" s="116"/>
      <c r="L1809" s="170">
        <v>44670</v>
      </c>
      <c r="M1809" s="116">
        <v>1705.75</v>
      </c>
      <c r="N1809" s="116">
        <v>1760.75</v>
      </c>
      <c r="O1809" s="116">
        <v>1687</v>
      </c>
      <c r="P1809" s="116">
        <v>1748.3</v>
      </c>
      <c r="Q1809" s="116">
        <v>1705.75</v>
      </c>
      <c r="R1809">
        <v>2737766</v>
      </c>
    </row>
    <row r="1810" spans="1:18" x14ac:dyDescent="0.25">
      <c r="A1810" s="170">
        <v>44671</v>
      </c>
      <c r="B1810" s="116">
        <v>1710.45</v>
      </c>
      <c r="C1810" s="116">
        <v>1691.95</v>
      </c>
      <c r="D1810" s="116">
        <v>1671.3</v>
      </c>
      <c r="E1810" s="116">
        <v>1709</v>
      </c>
      <c r="F1810" s="116">
        <v>1691.95</v>
      </c>
      <c r="G1810">
        <v>81107</v>
      </c>
      <c r="H1810" s="116"/>
      <c r="I1810" s="116"/>
      <c r="L1810" s="170">
        <v>44671</v>
      </c>
      <c r="M1810" s="116">
        <v>1691.6</v>
      </c>
      <c r="N1810" s="116">
        <v>1712.4</v>
      </c>
      <c r="O1810" s="116">
        <v>1671.35</v>
      </c>
      <c r="P1810" s="116">
        <v>1709.95</v>
      </c>
      <c r="Q1810" s="116">
        <v>1691.6</v>
      </c>
      <c r="R1810">
        <v>3832617</v>
      </c>
    </row>
    <row r="1811" spans="1:18" x14ac:dyDescent="0.25">
      <c r="A1811" s="170">
        <v>44672</v>
      </c>
      <c r="B1811" s="116">
        <v>1725.55</v>
      </c>
      <c r="C1811" s="116">
        <v>1714.95</v>
      </c>
      <c r="D1811" s="116">
        <v>1701</v>
      </c>
      <c r="E1811" s="116">
        <v>1705</v>
      </c>
      <c r="F1811" s="116">
        <v>1714.95</v>
      </c>
      <c r="G1811">
        <v>46716</v>
      </c>
      <c r="H1811" s="116"/>
      <c r="I1811" s="116"/>
      <c r="L1811" s="170">
        <v>44672</v>
      </c>
      <c r="M1811" s="116">
        <v>1714.5</v>
      </c>
      <c r="N1811" s="116">
        <v>1725.8</v>
      </c>
      <c r="O1811" s="116">
        <v>1700</v>
      </c>
      <c r="P1811" s="116">
        <v>1702.95</v>
      </c>
      <c r="Q1811" s="116">
        <v>1714.5</v>
      </c>
      <c r="R1811">
        <v>1797489</v>
      </c>
    </row>
    <row r="1812" spans="1:18" x14ac:dyDescent="0.25">
      <c r="A1812" s="170">
        <v>44673</v>
      </c>
      <c r="B1812" s="116">
        <v>1716</v>
      </c>
      <c r="C1812" s="116">
        <v>1694.75</v>
      </c>
      <c r="D1812" s="116">
        <v>1691</v>
      </c>
      <c r="E1812" s="116">
        <v>1701</v>
      </c>
      <c r="F1812" s="116">
        <v>1694.75</v>
      </c>
      <c r="G1812">
        <v>55244</v>
      </c>
      <c r="H1812" s="116"/>
      <c r="I1812" s="116"/>
      <c r="L1812" s="170">
        <v>44673</v>
      </c>
      <c r="M1812" s="116">
        <v>1694.35</v>
      </c>
      <c r="N1812" s="116">
        <v>1716.4</v>
      </c>
      <c r="O1812" s="116">
        <v>1690.4</v>
      </c>
      <c r="P1812" s="116">
        <v>1701</v>
      </c>
      <c r="Q1812" s="116">
        <v>1694.35</v>
      </c>
      <c r="R1812">
        <v>1474689</v>
      </c>
    </row>
    <row r="1813" spans="1:18" x14ac:dyDescent="0.25">
      <c r="A1813" s="170">
        <v>44676</v>
      </c>
      <c r="B1813" s="116">
        <v>1675.8</v>
      </c>
      <c r="C1813" s="116">
        <v>1657.4</v>
      </c>
      <c r="D1813" s="116">
        <v>1652.2</v>
      </c>
      <c r="E1813" s="116">
        <v>1673.1</v>
      </c>
      <c r="F1813" s="116">
        <v>1657.4</v>
      </c>
      <c r="G1813">
        <v>100171</v>
      </c>
      <c r="H1813" s="116"/>
      <c r="I1813" s="116"/>
      <c r="L1813" s="170">
        <v>44676</v>
      </c>
      <c r="M1813" s="116">
        <v>1657.35</v>
      </c>
      <c r="N1813" s="116">
        <v>1675</v>
      </c>
      <c r="O1813" s="116">
        <v>1652</v>
      </c>
      <c r="P1813" s="116">
        <v>1675</v>
      </c>
      <c r="Q1813" s="116">
        <v>1657.35</v>
      </c>
      <c r="R1813">
        <v>1964344</v>
      </c>
    </row>
    <row r="1814" spans="1:18" x14ac:dyDescent="0.25">
      <c r="A1814" s="170">
        <v>44677</v>
      </c>
      <c r="B1814" s="116">
        <v>1703</v>
      </c>
      <c r="C1814" s="116">
        <v>1699.5</v>
      </c>
      <c r="D1814" s="116">
        <v>1664.2</v>
      </c>
      <c r="E1814" s="116">
        <v>1675</v>
      </c>
      <c r="F1814" s="116">
        <v>1699.5</v>
      </c>
      <c r="G1814">
        <v>77535</v>
      </c>
      <c r="H1814" s="116"/>
      <c r="I1814" s="116"/>
      <c r="L1814" s="170">
        <v>44677</v>
      </c>
      <c r="M1814" s="116">
        <v>1699.95</v>
      </c>
      <c r="N1814" s="116">
        <v>1703.1</v>
      </c>
      <c r="O1814" s="116">
        <v>1664</v>
      </c>
      <c r="P1814" s="116">
        <v>1680</v>
      </c>
      <c r="Q1814" s="116">
        <v>1699.95</v>
      </c>
      <c r="R1814">
        <v>2440990</v>
      </c>
    </row>
    <row r="1815" spans="1:18" x14ac:dyDescent="0.25">
      <c r="A1815" s="170">
        <v>44678</v>
      </c>
      <c r="B1815" s="116">
        <v>1690.75</v>
      </c>
      <c r="C1815" s="116">
        <v>1676.75</v>
      </c>
      <c r="D1815" s="116">
        <v>1671</v>
      </c>
      <c r="E1815" s="116">
        <v>1683.8</v>
      </c>
      <c r="F1815" s="116">
        <v>1676.75</v>
      </c>
      <c r="G1815">
        <v>44146</v>
      </c>
      <c r="H1815" s="116"/>
      <c r="I1815" s="116"/>
      <c r="L1815" s="170">
        <v>44678</v>
      </c>
      <c r="M1815" s="116">
        <v>1677.05</v>
      </c>
      <c r="N1815" s="116">
        <v>1691.6</v>
      </c>
      <c r="O1815" s="116">
        <v>1666.7</v>
      </c>
      <c r="P1815" s="116">
        <v>1675</v>
      </c>
      <c r="Q1815" s="116">
        <v>1677.05</v>
      </c>
      <c r="R1815">
        <v>1346726</v>
      </c>
    </row>
    <row r="1816" spans="1:18" x14ac:dyDescent="0.25">
      <c r="A1816" s="170">
        <v>44679</v>
      </c>
      <c r="B1816" s="116">
        <v>1731</v>
      </c>
      <c r="C1816" s="116">
        <v>1718.15</v>
      </c>
      <c r="D1816" s="116">
        <v>1680.65</v>
      </c>
      <c r="E1816" s="116">
        <v>1686.75</v>
      </c>
      <c r="F1816" s="116">
        <v>1718.15</v>
      </c>
      <c r="G1816">
        <v>42762</v>
      </c>
      <c r="H1816" s="116"/>
      <c r="I1816" s="116"/>
      <c r="L1816" s="170">
        <v>44679</v>
      </c>
      <c r="M1816" s="116">
        <v>1719.25</v>
      </c>
      <c r="N1816" s="116">
        <v>1731</v>
      </c>
      <c r="O1816" s="116">
        <v>1680</v>
      </c>
      <c r="P1816" s="116">
        <v>1690</v>
      </c>
      <c r="Q1816" s="116">
        <v>1719.25</v>
      </c>
      <c r="R1816">
        <v>3117433</v>
      </c>
    </row>
    <row r="1817" spans="1:18" x14ac:dyDescent="0.25">
      <c r="A1817" s="170">
        <v>44680</v>
      </c>
      <c r="B1817" s="116">
        <v>1738.9</v>
      </c>
      <c r="C1817" s="116">
        <v>1695.8</v>
      </c>
      <c r="D1817" s="116">
        <v>1688</v>
      </c>
      <c r="E1817" s="116">
        <v>1725</v>
      </c>
      <c r="F1817" s="116">
        <v>1695.8</v>
      </c>
      <c r="G1817">
        <v>35289</v>
      </c>
      <c r="H1817" s="116"/>
      <c r="I1817" s="116"/>
      <c r="L1817" s="170">
        <v>44680</v>
      </c>
      <c r="M1817" s="116">
        <v>1694.35</v>
      </c>
      <c r="N1817" s="116">
        <v>1739</v>
      </c>
      <c r="O1817" s="116">
        <v>1687.15</v>
      </c>
      <c r="P1817" s="116">
        <v>1731</v>
      </c>
      <c r="Q1817" s="116">
        <v>1694.35</v>
      </c>
      <c r="R1817">
        <v>2404830</v>
      </c>
    </row>
    <row r="1818" spans="1:18" x14ac:dyDescent="0.25">
      <c r="A1818" s="170">
        <v>44683</v>
      </c>
      <c r="B1818" s="116">
        <v>1685.7</v>
      </c>
      <c r="C1818" s="116">
        <v>1679.55</v>
      </c>
      <c r="D1818" s="116">
        <v>1656.6</v>
      </c>
      <c r="E1818" s="116">
        <v>1673</v>
      </c>
      <c r="F1818" s="116">
        <v>1679.55</v>
      </c>
      <c r="G1818">
        <v>66435</v>
      </c>
      <c r="H1818" s="116"/>
      <c r="I1818" s="116"/>
      <c r="L1818" s="170">
        <v>44683</v>
      </c>
      <c r="M1818" s="116">
        <v>1679.45</v>
      </c>
      <c r="N1818" s="116">
        <v>1685.95</v>
      </c>
      <c r="O1818" s="116">
        <v>1655.05</v>
      </c>
      <c r="P1818" s="116">
        <v>1668.6</v>
      </c>
      <c r="Q1818" s="116">
        <v>1679.45</v>
      </c>
      <c r="R1818">
        <v>1399802</v>
      </c>
    </row>
    <row r="1819" spans="1:18" x14ac:dyDescent="0.25">
      <c r="A1819" s="170">
        <v>44685</v>
      </c>
      <c r="B1819" s="116">
        <v>1682.4</v>
      </c>
      <c r="C1819" s="116">
        <v>1633.55</v>
      </c>
      <c r="D1819" s="116">
        <v>1625.65</v>
      </c>
      <c r="E1819" s="116">
        <v>1679.55</v>
      </c>
      <c r="F1819" s="116">
        <v>1633.55</v>
      </c>
      <c r="G1819">
        <v>805288</v>
      </c>
      <c r="H1819" s="116"/>
      <c r="I1819" s="116"/>
      <c r="L1819" s="170">
        <v>44685</v>
      </c>
      <c r="M1819" s="116">
        <v>1633.95</v>
      </c>
      <c r="N1819" s="116">
        <v>1681.9</v>
      </c>
      <c r="O1819" s="116">
        <v>1625.05</v>
      </c>
      <c r="P1819" s="116">
        <v>1679.5</v>
      </c>
      <c r="Q1819" s="116">
        <v>1633.95</v>
      </c>
      <c r="R1819">
        <v>1777673</v>
      </c>
    </row>
    <row r="1820" spans="1:18" x14ac:dyDescent="0.25">
      <c r="A1820" s="170">
        <v>44686</v>
      </c>
      <c r="B1820" s="116">
        <v>1672</v>
      </c>
      <c r="C1820" s="116">
        <v>1638.05</v>
      </c>
      <c r="D1820" s="116">
        <v>1633</v>
      </c>
      <c r="E1820" s="116">
        <v>1653.4</v>
      </c>
      <c r="F1820" s="116">
        <v>1638.05</v>
      </c>
      <c r="G1820">
        <v>36300</v>
      </c>
      <c r="H1820" s="116"/>
      <c r="I1820" s="116"/>
      <c r="L1820" s="170">
        <v>44686</v>
      </c>
      <c r="M1820" s="116">
        <v>1637.65</v>
      </c>
      <c r="N1820" s="116">
        <v>1671.2</v>
      </c>
      <c r="O1820" s="116">
        <v>1633</v>
      </c>
      <c r="P1820" s="116">
        <v>1650.7</v>
      </c>
      <c r="Q1820" s="116">
        <v>1637.65</v>
      </c>
      <c r="R1820">
        <v>1707752</v>
      </c>
    </row>
    <row r="1821" spans="1:18" x14ac:dyDescent="0.25">
      <c r="A1821" s="170">
        <v>44687</v>
      </c>
      <c r="B1821" s="116">
        <v>1633.4</v>
      </c>
      <c r="C1821" s="116">
        <v>1622.6</v>
      </c>
      <c r="D1821" s="116">
        <v>1612</v>
      </c>
      <c r="E1821" s="116">
        <v>1625</v>
      </c>
      <c r="F1821" s="116">
        <v>1622.6</v>
      </c>
      <c r="G1821">
        <v>85429</v>
      </c>
      <c r="H1821" s="116"/>
      <c r="I1821" s="116"/>
      <c r="L1821" s="170">
        <v>44687</v>
      </c>
      <c r="M1821" s="116">
        <v>1622.45</v>
      </c>
      <c r="N1821" s="116">
        <v>1633</v>
      </c>
      <c r="O1821" s="116">
        <v>1612.1</v>
      </c>
      <c r="P1821" s="116">
        <v>1616</v>
      </c>
      <c r="Q1821" s="116">
        <v>1622.45</v>
      </c>
      <c r="R1821">
        <v>1439520</v>
      </c>
    </row>
    <row r="1822" spans="1:18" x14ac:dyDescent="0.25">
      <c r="A1822" s="170">
        <v>44690</v>
      </c>
      <c r="B1822" s="116">
        <v>1629.7</v>
      </c>
      <c r="C1822" s="116">
        <v>1615.5</v>
      </c>
      <c r="D1822" s="116">
        <v>1590.6</v>
      </c>
      <c r="E1822" s="116">
        <v>1610</v>
      </c>
      <c r="F1822" s="116">
        <v>1615.5</v>
      </c>
      <c r="G1822">
        <v>86196</v>
      </c>
      <c r="H1822" s="116"/>
      <c r="I1822" s="116"/>
      <c r="L1822" s="170">
        <v>44690</v>
      </c>
      <c r="M1822" s="116">
        <v>1616.15</v>
      </c>
      <c r="N1822" s="116">
        <v>1629.85</v>
      </c>
      <c r="O1822" s="116">
        <v>1591.25</v>
      </c>
      <c r="P1822" s="116">
        <v>1607.55</v>
      </c>
      <c r="Q1822" s="116">
        <v>1616.15</v>
      </c>
      <c r="R1822">
        <v>1400010</v>
      </c>
    </row>
    <row r="1823" spans="1:18" x14ac:dyDescent="0.25">
      <c r="A1823" s="170">
        <v>44691</v>
      </c>
      <c r="B1823" s="116">
        <v>1628.85</v>
      </c>
      <c r="C1823" s="116">
        <v>1609.1</v>
      </c>
      <c r="D1823" s="116">
        <v>1601</v>
      </c>
      <c r="E1823" s="116">
        <v>1610</v>
      </c>
      <c r="F1823" s="116">
        <v>1609.1</v>
      </c>
      <c r="G1823">
        <v>43956</v>
      </c>
      <c r="H1823" s="116"/>
      <c r="I1823" s="116"/>
      <c r="L1823" s="170">
        <v>44691</v>
      </c>
      <c r="M1823" s="116">
        <v>1607.95</v>
      </c>
      <c r="N1823" s="116">
        <v>1629.6</v>
      </c>
      <c r="O1823" s="116">
        <v>1601</v>
      </c>
      <c r="P1823" s="116">
        <v>1611</v>
      </c>
      <c r="Q1823" s="116">
        <v>1607.95</v>
      </c>
      <c r="R1823">
        <v>1176030</v>
      </c>
    </row>
    <row r="1824" spans="1:18" x14ac:dyDescent="0.25">
      <c r="A1824" s="170">
        <v>44692</v>
      </c>
      <c r="B1824" s="116">
        <v>1605.05</v>
      </c>
      <c r="C1824" s="116">
        <v>1571.45</v>
      </c>
      <c r="D1824" s="116">
        <v>1557.8</v>
      </c>
      <c r="E1824" s="116">
        <v>1605</v>
      </c>
      <c r="F1824" s="116">
        <v>1571.45</v>
      </c>
      <c r="G1824">
        <v>118408</v>
      </c>
      <c r="H1824" s="116"/>
      <c r="I1824" s="116"/>
      <c r="L1824" s="170">
        <v>44692</v>
      </c>
      <c r="M1824" s="116">
        <v>1570.8</v>
      </c>
      <c r="N1824" s="116">
        <v>1609</v>
      </c>
      <c r="O1824" s="116">
        <v>1557.35</v>
      </c>
      <c r="P1824" s="116">
        <v>1600.5</v>
      </c>
      <c r="Q1824" s="116">
        <v>1570.8</v>
      </c>
      <c r="R1824">
        <v>2988788</v>
      </c>
    </row>
    <row r="1825" spans="1:18" x14ac:dyDescent="0.25">
      <c r="A1825" s="170">
        <v>44693</v>
      </c>
      <c r="B1825" s="116">
        <v>1556.35</v>
      </c>
      <c r="C1825" s="116">
        <v>1524.35</v>
      </c>
      <c r="D1825" s="116">
        <v>1513.8</v>
      </c>
      <c r="E1825" s="116">
        <v>1554</v>
      </c>
      <c r="F1825" s="116">
        <v>1524.35</v>
      </c>
      <c r="G1825">
        <v>133475</v>
      </c>
      <c r="H1825" s="116"/>
      <c r="I1825" s="116"/>
      <c r="L1825" s="170">
        <v>44693</v>
      </c>
      <c r="M1825" s="116">
        <v>1526.15</v>
      </c>
      <c r="N1825" s="116">
        <v>1554.95</v>
      </c>
      <c r="O1825" s="116">
        <v>1513.1</v>
      </c>
      <c r="P1825" s="116">
        <v>1550</v>
      </c>
      <c r="Q1825" s="116">
        <v>1526.15</v>
      </c>
      <c r="R1825">
        <v>3407191</v>
      </c>
    </row>
    <row r="1826" spans="1:18" x14ac:dyDescent="0.25">
      <c r="A1826" s="170">
        <v>44694</v>
      </c>
      <c r="B1826" s="116">
        <v>1575.3</v>
      </c>
      <c r="C1826" s="116">
        <v>1534.5</v>
      </c>
      <c r="D1826" s="116">
        <v>1502.3</v>
      </c>
      <c r="E1826" s="116">
        <v>1546</v>
      </c>
      <c r="F1826" s="116">
        <v>1534.5</v>
      </c>
      <c r="G1826">
        <v>104885</v>
      </c>
      <c r="H1826" s="116"/>
      <c r="I1826" s="116"/>
      <c r="L1826" s="170">
        <v>44694</v>
      </c>
      <c r="M1826" s="116">
        <v>1534.5</v>
      </c>
      <c r="N1826" s="116">
        <v>1574.9</v>
      </c>
      <c r="O1826" s="116">
        <v>1502</v>
      </c>
      <c r="P1826" s="116">
        <v>1530</v>
      </c>
      <c r="Q1826" s="116">
        <v>1534.5</v>
      </c>
      <c r="R1826">
        <v>4328846</v>
      </c>
    </row>
    <row r="1827" spans="1:18" x14ac:dyDescent="0.25">
      <c r="A1827" s="170">
        <v>44697</v>
      </c>
      <c r="B1827" s="116">
        <v>1566.45</v>
      </c>
      <c r="C1827" s="116">
        <v>1545.25</v>
      </c>
      <c r="D1827" s="116">
        <v>1539.15</v>
      </c>
      <c r="E1827" s="116">
        <v>1550</v>
      </c>
      <c r="F1827" s="116">
        <v>1545.25</v>
      </c>
      <c r="G1827">
        <v>55491</v>
      </c>
      <c r="H1827" s="116"/>
      <c r="I1827" s="116"/>
      <c r="L1827" s="170">
        <v>44697</v>
      </c>
      <c r="M1827" s="116">
        <v>1542.9</v>
      </c>
      <c r="N1827" s="116">
        <v>1567.5</v>
      </c>
      <c r="O1827" s="116">
        <v>1539.45</v>
      </c>
      <c r="P1827" s="116">
        <v>1550</v>
      </c>
      <c r="Q1827" s="116">
        <v>1542.9</v>
      </c>
      <c r="R1827">
        <v>1775914</v>
      </c>
    </row>
    <row r="1828" spans="1:18" x14ac:dyDescent="0.25">
      <c r="A1828" s="170">
        <v>44698</v>
      </c>
      <c r="B1828" s="116">
        <v>1607.3</v>
      </c>
      <c r="C1828" s="116">
        <v>1604</v>
      </c>
      <c r="D1828" s="116">
        <v>1548.6</v>
      </c>
      <c r="E1828" s="116">
        <v>1548.8</v>
      </c>
      <c r="F1828" s="116">
        <v>1604</v>
      </c>
      <c r="G1828">
        <v>81452</v>
      </c>
      <c r="H1828" s="116"/>
      <c r="I1828" s="116"/>
      <c r="L1828" s="170">
        <v>44698</v>
      </c>
      <c r="M1828" s="116">
        <v>1604.1</v>
      </c>
      <c r="N1828" s="116">
        <v>1607.9</v>
      </c>
      <c r="O1828" s="116">
        <v>1545</v>
      </c>
      <c r="P1828" s="116">
        <v>1545</v>
      </c>
      <c r="Q1828" s="116">
        <v>1604.1</v>
      </c>
      <c r="R1828">
        <v>1608711</v>
      </c>
    </row>
    <row r="1829" spans="1:18" x14ac:dyDescent="0.25">
      <c r="A1829" s="170">
        <v>44699</v>
      </c>
      <c r="B1829" s="116">
        <v>1623.9</v>
      </c>
      <c r="C1829" s="116">
        <v>1573.25</v>
      </c>
      <c r="D1829" s="116">
        <v>1566</v>
      </c>
      <c r="E1829" s="116">
        <v>1623.9</v>
      </c>
      <c r="F1829" s="116">
        <v>1573.25</v>
      </c>
      <c r="G1829">
        <v>40923</v>
      </c>
      <c r="H1829" s="116"/>
      <c r="I1829" s="116"/>
      <c r="L1829" s="170">
        <v>44699</v>
      </c>
      <c r="M1829" s="116">
        <v>1572.5</v>
      </c>
      <c r="N1829" s="116">
        <v>1623</v>
      </c>
      <c r="O1829" s="116">
        <v>1565</v>
      </c>
      <c r="P1829" s="116">
        <v>1623</v>
      </c>
      <c r="Q1829" s="116">
        <v>1572.5</v>
      </c>
      <c r="R1829">
        <v>2984009</v>
      </c>
    </row>
    <row r="1830" spans="1:18" x14ac:dyDescent="0.25">
      <c r="A1830" s="170">
        <v>44700</v>
      </c>
      <c r="B1830" s="116">
        <v>1562.25</v>
      </c>
      <c r="C1830" s="116">
        <v>1548.05</v>
      </c>
      <c r="D1830" s="116">
        <v>1540.5</v>
      </c>
      <c r="E1830" s="116">
        <v>1546.15</v>
      </c>
      <c r="F1830" s="116">
        <v>1548.05</v>
      </c>
      <c r="G1830">
        <v>67431</v>
      </c>
      <c r="H1830" s="116"/>
      <c r="I1830" s="116"/>
      <c r="L1830" s="170">
        <v>44700</v>
      </c>
      <c r="M1830" s="116">
        <v>1547.95</v>
      </c>
      <c r="N1830" s="116">
        <v>1562.75</v>
      </c>
      <c r="O1830" s="116">
        <v>1540.35</v>
      </c>
      <c r="P1830" s="116">
        <v>1550</v>
      </c>
      <c r="Q1830" s="116">
        <v>1547.95</v>
      </c>
      <c r="R1830">
        <v>1798843</v>
      </c>
    </row>
    <row r="1831" spans="1:18" x14ac:dyDescent="0.25">
      <c r="A1831" s="170">
        <v>44701</v>
      </c>
      <c r="B1831" s="116">
        <v>1613.7</v>
      </c>
      <c r="C1831" s="116">
        <v>1610.05</v>
      </c>
      <c r="D1831" s="116">
        <v>1563.45</v>
      </c>
      <c r="E1831" s="116">
        <v>1580</v>
      </c>
      <c r="F1831" s="116">
        <v>1610.05</v>
      </c>
      <c r="G1831">
        <v>77576</v>
      </c>
      <c r="H1831" s="116"/>
      <c r="I1831" s="116"/>
      <c r="L1831" s="170">
        <v>44701</v>
      </c>
      <c r="M1831" s="116">
        <v>1610.1</v>
      </c>
      <c r="N1831" s="116">
        <v>1613.45</v>
      </c>
      <c r="O1831" s="116">
        <v>1561.05</v>
      </c>
      <c r="P1831" s="116">
        <v>1569.4</v>
      </c>
      <c r="Q1831" s="116">
        <v>1610.1</v>
      </c>
      <c r="R1831">
        <v>2175224</v>
      </c>
    </row>
    <row r="1832" spans="1:18" x14ac:dyDescent="0.25">
      <c r="A1832" s="170">
        <v>44704</v>
      </c>
      <c r="B1832" s="116">
        <v>1660</v>
      </c>
      <c r="C1832" s="116">
        <v>1645.65</v>
      </c>
      <c r="D1832" s="116">
        <v>1607</v>
      </c>
      <c r="E1832" s="116">
        <v>1618.15</v>
      </c>
      <c r="F1832" s="116">
        <v>1645.65</v>
      </c>
      <c r="G1832">
        <v>74254</v>
      </c>
      <c r="H1832" s="116"/>
      <c r="I1832" s="116"/>
      <c r="L1832" s="170">
        <v>44704</v>
      </c>
      <c r="M1832" s="116">
        <v>1644.15</v>
      </c>
      <c r="N1832" s="116">
        <v>1660</v>
      </c>
      <c r="O1832" s="116">
        <v>1605.6</v>
      </c>
      <c r="P1832" s="116">
        <v>1629</v>
      </c>
      <c r="Q1832" s="116">
        <v>1644.15</v>
      </c>
      <c r="R1832">
        <v>4177811</v>
      </c>
    </row>
    <row r="1833" spans="1:18" x14ac:dyDescent="0.25">
      <c r="A1833" s="170">
        <v>44705</v>
      </c>
      <c r="B1833" s="116">
        <v>1653.9</v>
      </c>
      <c r="C1833" s="116">
        <v>1625.85</v>
      </c>
      <c r="D1833" s="116">
        <v>1610.25</v>
      </c>
      <c r="E1833" s="116">
        <v>1646</v>
      </c>
      <c r="F1833" s="116">
        <v>1625.85</v>
      </c>
      <c r="G1833">
        <v>54476</v>
      </c>
      <c r="H1833" s="116"/>
      <c r="I1833" s="116"/>
      <c r="L1833" s="170">
        <v>44705</v>
      </c>
      <c r="M1833" s="116">
        <v>1626.3</v>
      </c>
      <c r="N1833" s="116">
        <v>1653.7</v>
      </c>
      <c r="O1833" s="116">
        <v>1610.1</v>
      </c>
      <c r="P1833" s="116">
        <v>1644.8</v>
      </c>
      <c r="Q1833" s="116">
        <v>1626.3</v>
      </c>
      <c r="R1833">
        <v>1970395</v>
      </c>
    </row>
    <row r="1834" spans="1:18" x14ac:dyDescent="0.25">
      <c r="A1834" s="170">
        <v>44706</v>
      </c>
      <c r="B1834" s="116">
        <v>1639.4</v>
      </c>
      <c r="C1834" s="116">
        <v>1575.65</v>
      </c>
      <c r="D1834" s="116">
        <v>1571.5</v>
      </c>
      <c r="E1834" s="116">
        <v>1626.3</v>
      </c>
      <c r="F1834" s="116">
        <v>1575.65</v>
      </c>
      <c r="G1834">
        <v>30215</v>
      </c>
      <c r="H1834" s="116"/>
      <c r="I1834" s="116"/>
      <c r="L1834" s="170">
        <v>44706</v>
      </c>
      <c r="M1834" s="116">
        <v>1574.75</v>
      </c>
      <c r="N1834" s="116">
        <v>1639.7</v>
      </c>
      <c r="O1834" s="116">
        <v>1571.1</v>
      </c>
      <c r="P1834" s="116">
        <v>1633</v>
      </c>
      <c r="Q1834" s="116">
        <v>1574.75</v>
      </c>
      <c r="R1834">
        <v>1417130</v>
      </c>
    </row>
    <row r="1835" spans="1:18" x14ac:dyDescent="0.25">
      <c r="A1835" s="170">
        <v>44707</v>
      </c>
      <c r="B1835" s="116">
        <v>1581.35</v>
      </c>
      <c r="C1835" s="116">
        <v>1565.05</v>
      </c>
      <c r="D1835" s="116">
        <v>1536.55</v>
      </c>
      <c r="E1835" s="116">
        <v>1580</v>
      </c>
      <c r="F1835" s="116">
        <v>1565.05</v>
      </c>
      <c r="G1835">
        <v>81860</v>
      </c>
      <c r="H1835" s="116"/>
      <c r="I1835" s="116"/>
      <c r="L1835" s="170">
        <v>44707</v>
      </c>
      <c r="M1835" s="116">
        <v>1564.55</v>
      </c>
      <c r="N1835" s="116">
        <v>1588.9</v>
      </c>
      <c r="O1835" s="116">
        <v>1536.65</v>
      </c>
      <c r="P1835" s="116">
        <v>1575</v>
      </c>
      <c r="Q1835" s="116">
        <v>1564.55</v>
      </c>
      <c r="R1835">
        <v>3578710</v>
      </c>
    </row>
    <row r="1836" spans="1:18" x14ac:dyDescent="0.25">
      <c r="A1836" s="170">
        <v>44708</v>
      </c>
      <c r="B1836" s="116">
        <v>1606</v>
      </c>
      <c r="C1836" s="116">
        <v>1600.4</v>
      </c>
      <c r="D1836" s="116">
        <v>1572</v>
      </c>
      <c r="E1836" s="116">
        <v>1572</v>
      </c>
      <c r="F1836" s="116">
        <v>1600.4</v>
      </c>
      <c r="G1836">
        <v>49799</v>
      </c>
      <c r="H1836" s="116"/>
      <c r="I1836" s="116"/>
      <c r="L1836" s="170">
        <v>44708</v>
      </c>
      <c r="M1836" s="116">
        <v>1600.3</v>
      </c>
      <c r="N1836" s="116">
        <v>1606</v>
      </c>
      <c r="O1836" s="116">
        <v>1574</v>
      </c>
      <c r="P1836" s="116">
        <v>1575.2</v>
      </c>
      <c r="Q1836" s="116">
        <v>1600.3</v>
      </c>
      <c r="R1836">
        <v>1279218</v>
      </c>
    </row>
    <row r="1837" spans="1:18" x14ac:dyDescent="0.25">
      <c r="A1837" s="170">
        <v>44711</v>
      </c>
      <c r="B1837" s="116">
        <v>1663.3</v>
      </c>
      <c r="C1837" s="116">
        <v>1660.7</v>
      </c>
      <c r="D1837" s="116">
        <v>1604.1</v>
      </c>
      <c r="E1837" s="116">
        <v>1604.1</v>
      </c>
      <c r="F1837" s="116">
        <v>1660.7</v>
      </c>
      <c r="G1837">
        <v>80911</v>
      </c>
      <c r="H1837" s="116"/>
      <c r="I1837" s="116"/>
      <c r="L1837" s="170">
        <v>44711</v>
      </c>
      <c r="M1837" s="116">
        <v>1660.85</v>
      </c>
      <c r="N1837" s="116">
        <v>1663.7</v>
      </c>
      <c r="O1837" s="116">
        <v>1613.6</v>
      </c>
      <c r="P1837" s="116">
        <v>1620</v>
      </c>
      <c r="Q1837" s="116">
        <v>1660.85</v>
      </c>
      <c r="R1837">
        <v>2119326</v>
      </c>
    </row>
    <row r="1838" spans="1:18" x14ac:dyDescent="0.25">
      <c r="A1838" s="170">
        <v>44712</v>
      </c>
      <c r="B1838" s="116">
        <v>1674.7</v>
      </c>
      <c r="C1838" s="116">
        <v>1653.55</v>
      </c>
      <c r="D1838" s="116">
        <v>1644.45</v>
      </c>
      <c r="E1838" s="116">
        <v>1663</v>
      </c>
      <c r="F1838" s="116">
        <v>1653.55</v>
      </c>
      <c r="G1838">
        <v>33352</v>
      </c>
      <c r="H1838" s="116"/>
      <c r="I1838" s="116"/>
      <c r="L1838" s="170">
        <v>44712</v>
      </c>
      <c r="M1838" s="116">
        <v>1654.5</v>
      </c>
      <c r="N1838" s="116">
        <v>1674.4</v>
      </c>
      <c r="O1838" s="116">
        <v>1645</v>
      </c>
      <c r="P1838" s="116">
        <v>1660.5</v>
      </c>
      <c r="Q1838" s="116">
        <v>1654.5</v>
      </c>
      <c r="R1838">
        <v>3534742</v>
      </c>
    </row>
    <row r="1839" spans="1:18" x14ac:dyDescent="0.25">
      <c r="A1839" s="170">
        <v>44713</v>
      </c>
      <c r="B1839" s="116">
        <v>1660.8</v>
      </c>
      <c r="C1839" s="116">
        <v>1648.55</v>
      </c>
      <c r="D1839" s="116">
        <v>1639</v>
      </c>
      <c r="E1839" s="116">
        <v>1658</v>
      </c>
      <c r="F1839" s="116">
        <v>1648.55</v>
      </c>
      <c r="G1839">
        <v>27326</v>
      </c>
      <c r="H1839" s="116"/>
      <c r="I1839" s="116"/>
      <c r="L1839" s="170">
        <v>44713</v>
      </c>
      <c r="M1839" s="116">
        <v>1648</v>
      </c>
      <c r="N1839" s="116">
        <v>1661</v>
      </c>
      <c r="O1839" s="116">
        <v>1638.45</v>
      </c>
      <c r="P1839" s="116">
        <v>1653.55</v>
      </c>
      <c r="Q1839" s="116">
        <v>1648</v>
      </c>
      <c r="R1839">
        <v>1425466</v>
      </c>
    </row>
    <row r="1840" spans="1:18" x14ac:dyDescent="0.25">
      <c r="A1840" s="170">
        <v>44714</v>
      </c>
      <c r="B1840" s="116">
        <v>1649.1</v>
      </c>
      <c r="C1840" s="116">
        <v>1637.75</v>
      </c>
      <c r="D1840" s="116">
        <v>1624</v>
      </c>
      <c r="E1840" s="116">
        <v>1642</v>
      </c>
      <c r="F1840" s="116">
        <v>1637.75</v>
      </c>
      <c r="G1840">
        <v>49761</v>
      </c>
      <c r="H1840" s="116"/>
      <c r="I1840" s="116"/>
      <c r="L1840" s="170">
        <v>44714</v>
      </c>
      <c r="M1840" s="116">
        <v>1637.15</v>
      </c>
      <c r="N1840" s="116">
        <v>1649.45</v>
      </c>
      <c r="O1840" s="116">
        <v>1623.7</v>
      </c>
      <c r="P1840" s="116">
        <v>1632</v>
      </c>
      <c r="Q1840" s="116">
        <v>1637.15</v>
      </c>
      <c r="R1840">
        <v>1852251</v>
      </c>
    </row>
    <row r="1841" spans="1:18" x14ac:dyDescent="0.25">
      <c r="A1841" s="170">
        <v>44715</v>
      </c>
      <c r="B1841" s="116">
        <v>1673.8</v>
      </c>
      <c r="C1841" s="116">
        <v>1651.6</v>
      </c>
      <c r="D1841" s="116">
        <v>1645</v>
      </c>
      <c r="E1841" s="116">
        <v>1651</v>
      </c>
      <c r="F1841" s="116">
        <v>1651.6</v>
      </c>
      <c r="G1841">
        <v>61782</v>
      </c>
      <c r="H1841" s="116"/>
      <c r="I1841" s="116"/>
      <c r="L1841" s="170">
        <v>44715</v>
      </c>
      <c r="M1841" s="116">
        <v>1652.05</v>
      </c>
      <c r="N1841" s="116">
        <v>1673.7</v>
      </c>
      <c r="O1841" s="116">
        <v>1644.95</v>
      </c>
      <c r="P1841" s="116">
        <v>1657.95</v>
      </c>
      <c r="Q1841" s="116">
        <v>1652.05</v>
      </c>
      <c r="R1841">
        <v>2928263</v>
      </c>
    </row>
    <row r="1842" spans="1:18" x14ac:dyDescent="0.25">
      <c r="A1842" s="170">
        <v>44718</v>
      </c>
      <c r="B1842" s="116">
        <v>1662</v>
      </c>
      <c r="C1842" s="116">
        <v>1638.55</v>
      </c>
      <c r="D1842" s="116">
        <v>1633.5</v>
      </c>
      <c r="E1842" s="116">
        <v>1652.1</v>
      </c>
      <c r="F1842" s="116">
        <v>1638.55</v>
      </c>
      <c r="G1842">
        <v>27289</v>
      </c>
      <c r="H1842" s="116"/>
      <c r="I1842" s="116"/>
      <c r="L1842" s="170">
        <v>44718</v>
      </c>
      <c r="M1842" s="116">
        <v>1640.2</v>
      </c>
      <c r="N1842" s="116">
        <v>1662.3</v>
      </c>
      <c r="O1842" s="116">
        <v>1634.1</v>
      </c>
      <c r="P1842" s="116">
        <v>1652.15</v>
      </c>
      <c r="Q1842" s="116">
        <v>1640.2</v>
      </c>
      <c r="R1842">
        <v>1538005</v>
      </c>
    </row>
    <row r="1843" spans="1:18" x14ac:dyDescent="0.25">
      <c r="A1843" s="170">
        <v>44719</v>
      </c>
      <c r="B1843" s="116">
        <v>1638</v>
      </c>
      <c r="C1843" s="116">
        <v>1589.4</v>
      </c>
      <c r="D1843" s="116">
        <v>1586.3</v>
      </c>
      <c r="E1843" s="116">
        <v>1636.7</v>
      </c>
      <c r="F1843" s="116">
        <v>1589.4</v>
      </c>
      <c r="G1843">
        <v>102242</v>
      </c>
      <c r="H1843" s="116"/>
      <c r="I1843" s="116"/>
      <c r="L1843" s="170">
        <v>44719</v>
      </c>
      <c r="M1843" s="116">
        <v>1589.45</v>
      </c>
      <c r="N1843" s="116">
        <v>1638.4</v>
      </c>
      <c r="O1843" s="116">
        <v>1586.1</v>
      </c>
      <c r="P1843" s="116">
        <v>1630</v>
      </c>
      <c r="Q1843" s="116">
        <v>1589.45</v>
      </c>
      <c r="R1843">
        <v>2157491</v>
      </c>
    </row>
    <row r="1844" spans="1:18" x14ac:dyDescent="0.25">
      <c r="A1844" s="170">
        <v>44720</v>
      </c>
      <c r="B1844" s="116">
        <v>1607.85</v>
      </c>
      <c r="C1844" s="116">
        <v>1585.95</v>
      </c>
      <c r="D1844" s="116">
        <v>1570.2</v>
      </c>
      <c r="E1844" s="116">
        <v>1599</v>
      </c>
      <c r="F1844" s="116">
        <v>1585.95</v>
      </c>
      <c r="G1844">
        <v>63562</v>
      </c>
      <c r="H1844" s="116"/>
      <c r="I1844" s="116"/>
      <c r="L1844" s="170">
        <v>44720</v>
      </c>
      <c r="M1844" s="116">
        <v>1584.55</v>
      </c>
      <c r="N1844" s="116">
        <v>1607.8</v>
      </c>
      <c r="O1844" s="116">
        <v>1570.1</v>
      </c>
      <c r="P1844" s="116">
        <v>1595</v>
      </c>
      <c r="Q1844" s="116">
        <v>1584.55</v>
      </c>
      <c r="R1844">
        <v>2122442</v>
      </c>
    </row>
    <row r="1845" spans="1:18" x14ac:dyDescent="0.25">
      <c r="A1845" s="170">
        <v>44721</v>
      </c>
      <c r="B1845" s="116">
        <v>1599.8</v>
      </c>
      <c r="C1845" s="116">
        <v>1596.2</v>
      </c>
      <c r="D1845" s="116">
        <v>1561</v>
      </c>
      <c r="E1845" s="116">
        <v>1569</v>
      </c>
      <c r="F1845" s="116">
        <v>1596.2</v>
      </c>
      <c r="G1845">
        <v>146418</v>
      </c>
      <c r="H1845" s="116"/>
      <c r="I1845" s="116"/>
      <c r="L1845" s="170">
        <v>44721</v>
      </c>
      <c r="M1845" s="116">
        <v>1595.1</v>
      </c>
      <c r="N1845" s="116">
        <v>1600</v>
      </c>
      <c r="O1845" s="116">
        <v>1556.2</v>
      </c>
      <c r="P1845" s="116">
        <v>1556.2</v>
      </c>
      <c r="Q1845" s="116">
        <v>1595.1</v>
      </c>
      <c r="R1845">
        <v>1361104</v>
      </c>
    </row>
    <row r="1846" spans="1:18" x14ac:dyDescent="0.25">
      <c r="A1846" s="170">
        <v>44722</v>
      </c>
      <c r="B1846" s="116">
        <v>1594.6</v>
      </c>
      <c r="C1846" s="116">
        <v>1585.55</v>
      </c>
      <c r="D1846" s="116">
        <v>1570</v>
      </c>
      <c r="E1846" s="116">
        <v>1572</v>
      </c>
      <c r="F1846" s="116">
        <v>1585.55</v>
      </c>
      <c r="G1846">
        <v>128776</v>
      </c>
      <c r="H1846" s="116"/>
      <c r="I1846" s="116"/>
      <c r="L1846" s="170">
        <v>44722</v>
      </c>
      <c r="M1846" s="116">
        <v>1585.1</v>
      </c>
      <c r="N1846" s="116">
        <v>1594.5</v>
      </c>
      <c r="O1846" s="116">
        <v>1569.05</v>
      </c>
      <c r="P1846" s="116">
        <v>1570</v>
      </c>
      <c r="Q1846" s="116">
        <v>1585.1</v>
      </c>
      <c r="R1846">
        <v>1337799</v>
      </c>
    </row>
    <row r="1847" spans="1:18" x14ac:dyDescent="0.25">
      <c r="A1847" s="170">
        <v>44725</v>
      </c>
      <c r="B1847" s="116">
        <v>1562.4</v>
      </c>
      <c r="C1847" s="116">
        <v>1532.5</v>
      </c>
      <c r="D1847" s="116">
        <v>1518.8</v>
      </c>
      <c r="E1847" s="116">
        <v>1555.35</v>
      </c>
      <c r="F1847" s="116">
        <v>1532.5</v>
      </c>
      <c r="G1847">
        <v>235045</v>
      </c>
      <c r="H1847" s="116"/>
      <c r="I1847" s="116"/>
      <c r="L1847" s="170">
        <v>44725</v>
      </c>
      <c r="M1847" s="116">
        <v>1532.05</v>
      </c>
      <c r="N1847" s="116">
        <v>1565.95</v>
      </c>
      <c r="O1847" s="116">
        <v>1518.3</v>
      </c>
      <c r="P1847" s="116">
        <v>1560.15</v>
      </c>
      <c r="Q1847" s="116">
        <v>1532.05</v>
      </c>
      <c r="R1847">
        <v>2460367</v>
      </c>
    </row>
    <row r="1848" spans="1:18" x14ac:dyDescent="0.25">
      <c r="A1848" s="170">
        <v>44726</v>
      </c>
      <c r="B1848" s="116">
        <v>1553.9</v>
      </c>
      <c r="C1848" s="116">
        <v>1545.2</v>
      </c>
      <c r="D1848" s="116">
        <v>1527.7</v>
      </c>
      <c r="E1848" s="116">
        <v>1528</v>
      </c>
      <c r="F1848" s="116">
        <v>1545.2</v>
      </c>
      <c r="G1848">
        <v>144150</v>
      </c>
      <c r="H1848" s="116"/>
      <c r="I1848" s="116"/>
      <c r="L1848" s="170">
        <v>44726</v>
      </c>
      <c r="M1848" s="116">
        <v>1544.65</v>
      </c>
      <c r="N1848" s="116">
        <v>1554.3</v>
      </c>
      <c r="O1848" s="116">
        <v>1525.2</v>
      </c>
      <c r="P1848" s="116">
        <v>1532.05</v>
      </c>
      <c r="Q1848" s="116">
        <v>1544.65</v>
      </c>
      <c r="R1848">
        <v>1983405</v>
      </c>
    </row>
    <row r="1849" spans="1:18" x14ac:dyDescent="0.25">
      <c r="A1849" s="170">
        <v>44727</v>
      </c>
      <c r="B1849" s="116">
        <v>1566.7</v>
      </c>
      <c r="C1849" s="116">
        <v>1560.15</v>
      </c>
      <c r="D1849" s="116">
        <v>1539.7</v>
      </c>
      <c r="E1849" s="116">
        <v>1550</v>
      </c>
      <c r="F1849" s="116">
        <v>1560.15</v>
      </c>
      <c r="G1849">
        <v>117906</v>
      </c>
      <c r="H1849" s="116"/>
      <c r="I1849" s="116"/>
      <c r="L1849" s="170">
        <v>44727</v>
      </c>
      <c r="M1849" s="116">
        <v>1560.35</v>
      </c>
      <c r="N1849" s="116">
        <v>1567</v>
      </c>
      <c r="O1849" s="116">
        <v>1539.05</v>
      </c>
      <c r="P1849" s="116">
        <v>1547.95</v>
      </c>
      <c r="Q1849" s="116">
        <v>1560.35</v>
      </c>
      <c r="R1849">
        <v>1461683</v>
      </c>
    </row>
    <row r="1850" spans="1:18" x14ac:dyDescent="0.25">
      <c r="A1850" s="170">
        <v>44728</v>
      </c>
      <c r="B1850" s="116">
        <v>1574</v>
      </c>
      <c r="C1850" s="116">
        <v>1526.95</v>
      </c>
      <c r="D1850" s="116">
        <v>1517</v>
      </c>
      <c r="E1850" s="116">
        <v>1571.9</v>
      </c>
      <c r="F1850" s="116">
        <v>1526.95</v>
      </c>
      <c r="G1850">
        <v>128789</v>
      </c>
      <c r="H1850" s="116"/>
      <c r="I1850" s="116"/>
      <c r="L1850" s="170">
        <v>44728</v>
      </c>
      <c r="M1850" s="116">
        <v>1527.4</v>
      </c>
      <c r="N1850" s="116">
        <v>1575</v>
      </c>
      <c r="O1850" s="116">
        <v>1516.75</v>
      </c>
      <c r="P1850" s="116">
        <v>1568.4</v>
      </c>
      <c r="Q1850" s="116">
        <v>1527.4</v>
      </c>
      <c r="R1850">
        <v>2329325</v>
      </c>
    </row>
    <row r="1851" spans="1:18" x14ac:dyDescent="0.25">
      <c r="A1851" s="170">
        <v>44729</v>
      </c>
      <c r="B1851" s="116">
        <v>1528.8</v>
      </c>
      <c r="C1851" s="116">
        <v>1488.75</v>
      </c>
      <c r="D1851" s="116">
        <v>1481.2</v>
      </c>
      <c r="E1851" s="116">
        <v>1526</v>
      </c>
      <c r="F1851" s="116">
        <v>1488.75</v>
      </c>
      <c r="G1851">
        <v>139433</v>
      </c>
      <c r="H1851" s="116"/>
      <c r="I1851" s="116"/>
      <c r="L1851" s="170">
        <v>44729</v>
      </c>
      <c r="M1851" s="116">
        <v>1489.95</v>
      </c>
      <c r="N1851" s="116">
        <v>1529.95</v>
      </c>
      <c r="O1851" s="116">
        <v>1481.4</v>
      </c>
      <c r="P1851" s="116">
        <v>1522</v>
      </c>
      <c r="Q1851" s="116">
        <v>1489.95</v>
      </c>
      <c r="R1851">
        <v>4548572</v>
      </c>
    </row>
    <row r="1852" spans="1:18" x14ac:dyDescent="0.25">
      <c r="A1852" s="170">
        <v>44732</v>
      </c>
      <c r="B1852" s="116">
        <v>1498</v>
      </c>
      <c r="C1852" s="116">
        <v>1470.45</v>
      </c>
      <c r="D1852" s="116">
        <v>1456.8</v>
      </c>
      <c r="E1852" s="116">
        <v>1498</v>
      </c>
      <c r="F1852" s="116">
        <v>1470.45</v>
      </c>
      <c r="G1852">
        <v>157639</v>
      </c>
      <c r="H1852" s="116"/>
      <c r="I1852" s="116"/>
      <c r="L1852" s="170">
        <v>44732</v>
      </c>
      <c r="M1852" s="116">
        <v>1471.8</v>
      </c>
      <c r="N1852" s="116">
        <v>1497.85</v>
      </c>
      <c r="O1852" s="116">
        <v>1456.35</v>
      </c>
      <c r="P1852" s="116">
        <v>1490</v>
      </c>
      <c r="Q1852" s="116">
        <v>1471.8</v>
      </c>
      <c r="R1852">
        <v>1837431</v>
      </c>
    </row>
    <row r="1853" spans="1:18" x14ac:dyDescent="0.25">
      <c r="A1853" s="170">
        <v>44733</v>
      </c>
      <c r="B1853" s="116">
        <v>1515</v>
      </c>
      <c r="C1853" s="116">
        <v>1500.65</v>
      </c>
      <c r="D1853" s="116">
        <v>1477</v>
      </c>
      <c r="E1853" s="116">
        <v>1479.9</v>
      </c>
      <c r="F1853" s="116">
        <v>1500.65</v>
      </c>
      <c r="G1853">
        <v>40097</v>
      </c>
      <c r="H1853" s="116"/>
      <c r="I1853" s="116"/>
      <c r="L1853" s="170">
        <v>44733</v>
      </c>
      <c r="M1853" s="116">
        <v>1500.3</v>
      </c>
      <c r="N1853" s="116">
        <v>1515.2</v>
      </c>
      <c r="O1853" s="116">
        <v>1476.9</v>
      </c>
      <c r="P1853" s="116">
        <v>1480</v>
      </c>
      <c r="Q1853" s="116">
        <v>1500.3</v>
      </c>
      <c r="R1853">
        <v>1458922</v>
      </c>
    </row>
    <row r="1854" spans="1:18" x14ac:dyDescent="0.25">
      <c r="A1854" s="170">
        <v>44734</v>
      </c>
      <c r="B1854" s="116">
        <v>1492</v>
      </c>
      <c r="C1854" s="116">
        <v>1478.2</v>
      </c>
      <c r="D1854" s="116">
        <v>1468</v>
      </c>
      <c r="E1854" s="116">
        <v>1492</v>
      </c>
      <c r="F1854" s="116">
        <v>1478.2</v>
      </c>
      <c r="G1854">
        <v>186288</v>
      </c>
      <c r="H1854" s="116"/>
      <c r="I1854" s="116"/>
      <c r="L1854" s="170">
        <v>44734</v>
      </c>
      <c r="M1854" s="116">
        <v>1478.75</v>
      </c>
      <c r="N1854" s="116">
        <v>1490.95</v>
      </c>
      <c r="O1854" s="116">
        <v>1468</v>
      </c>
      <c r="P1854" s="116">
        <v>1490</v>
      </c>
      <c r="Q1854" s="116">
        <v>1478.75</v>
      </c>
      <c r="R1854">
        <v>1906619</v>
      </c>
    </row>
    <row r="1855" spans="1:18" x14ac:dyDescent="0.25">
      <c r="A1855" s="170">
        <v>44735</v>
      </c>
      <c r="B1855" s="116">
        <v>1511.25</v>
      </c>
      <c r="C1855" s="116">
        <v>1496</v>
      </c>
      <c r="D1855" s="116">
        <v>1484.35</v>
      </c>
      <c r="E1855" s="116">
        <v>1493.95</v>
      </c>
      <c r="F1855" s="116">
        <v>1496</v>
      </c>
      <c r="G1855">
        <v>321949</v>
      </c>
      <c r="H1855" s="116"/>
      <c r="I1855" s="116"/>
      <c r="L1855" s="170">
        <v>44735</v>
      </c>
      <c r="M1855" s="116">
        <v>1494.3</v>
      </c>
      <c r="N1855" s="116">
        <v>1511.75</v>
      </c>
      <c r="O1855" s="116">
        <v>1481.5</v>
      </c>
      <c r="P1855" s="116">
        <v>1481.5</v>
      </c>
      <c r="Q1855" s="116">
        <v>1494.3</v>
      </c>
      <c r="R1855">
        <v>1828491</v>
      </c>
    </row>
    <row r="1856" spans="1:18" x14ac:dyDescent="0.25">
      <c r="A1856" s="170">
        <v>44736</v>
      </c>
      <c r="B1856" s="116">
        <v>1512.8</v>
      </c>
      <c r="C1856" s="116">
        <v>1495.35</v>
      </c>
      <c r="D1856" s="116">
        <v>1490</v>
      </c>
      <c r="E1856" s="116">
        <v>1509</v>
      </c>
      <c r="F1856" s="116">
        <v>1495.35</v>
      </c>
      <c r="G1856">
        <v>169145</v>
      </c>
      <c r="H1856" s="116"/>
      <c r="I1856" s="116"/>
      <c r="L1856" s="170">
        <v>44736</v>
      </c>
      <c r="M1856" s="116">
        <v>1494.85</v>
      </c>
      <c r="N1856" s="116">
        <v>1512</v>
      </c>
      <c r="O1856" s="116">
        <v>1489</v>
      </c>
      <c r="P1856" s="116">
        <v>1501.75</v>
      </c>
      <c r="Q1856" s="116">
        <v>1494.85</v>
      </c>
      <c r="R1856">
        <v>1731440</v>
      </c>
    </row>
    <row r="1857" spans="1:18" x14ac:dyDescent="0.25">
      <c r="A1857" s="170">
        <v>44739</v>
      </c>
      <c r="B1857" s="116">
        <v>1544.6</v>
      </c>
      <c r="C1857" s="116">
        <v>1535.6</v>
      </c>
      <c r="D1857" s="116">
        <v>1509.6</v>
      </c>
      <c r="E1857" s="116">
        <v>1523</v>
      </c>
      <c r="F1857" s="116">
        <v>1535.6</v>
      </c>
      <c r="G1857">
        <v>212435</v>
      </c>
      <c r="H1857" s="116"/>
      <c r="I1857" s="116"/>
      <c r="L1857" s="170">
        <v>44739</v>
      </c>
      <c r="M1857" s="116">
        <v>1535.8</v>
      </c>
      <c r="N1857" s="116">
        <v>1544.7</v>
      </c>
      <c r="O1857" s="116">
        <v>1509.75</v>
      </c>
      <c r="P1857" s="116">
        <v>1524</v>
      </c>
      <c r="Q1857" s="116">
        <v>1535.8</v>
      </c>
      <c r="R1857">
        <v>2389778</v>
      </c>
    </row>
    <row r="1858" spans="1:18" x14ac:dyDescent="0.25">
      <c r="A1858" s="170">
        <v>44740</v>
      </c>
      <c r="B1858" s="116">
        <v>1555</v>
      </c>
      <c r="C1858" s="116">
        <v>1551.75</v>
      </c>
      <c r="D1858" s="116">
        <v>1524</v>
      </c>
      <c r="E1858" s="116">
        <v>1526</v>
      </c>
      <c r="F1858" s="116">
        <v>1551.75</v>
      </c>
      <c r="G1858">
        <v>62943</v>
      </c>
      <c r="H1858" s="116"/>
      <c r="I1858" s="116"/>
      <c r="L1858" s="170">
        <v>44740</v>
      </c>
      <c r="M1858" s="116">
        <v>1551.5</v>
      </c>
      <c r="N1858" s="116">
        <v>1557.5</v>
      </c>
      <c r="O1858" s="116">
        <v>1524.1</v>
      </c>
      <c r="P1858" s="116">
        <v>1530</v>
      </c>
      <c r="Q1858" s="116">
        <v>1551.5</v>
      </c>
      <c r="R1858">
        <v>2072405</v>
      </c>
    </row>
    <row r="1859" spans="1:18" x14ac:dyDescent="0.25">
      <c r="A1859" s="170">
        <v>44741</v>
      </c>
      <c r="B1859" s="116">
        <v>1553</v>
      </c>
      <c r="C1859" s="116">
        <v>1547.9</v>
      </c>
      <c r="D1859" s="116">
        <v>1526.1</v>
      </c>
      <c r="E1859" s="116">
        <v>1538.75</v>
      </c>
      <c r="F1859" s="116">
        <v>1547.9</v>
      </c>
      <c r="G1859">
        <v>53283</v>
      </c>
      <c r="H1859" s="116"/>
      <c r="I1859" s="116"/>
      <c r="L1859" s="170">
        <v>44741</v>
      </c>
      <c r="M1859" s="116">
        <v>1547.9</v>
      </c>
      <c r="N1859" s="116">
        <v>1554</v>
      </c>
      <c r="O1859" s="116">
        <v>1525.4</v>
      </c>
      <c r="P1859" s="116">
        <v>1531.25</v>
      </c>
      <c r="Q1859" s="116">
        <v>1547.9</v>
      </c>
      <c r="R1859">
        <v>1480197</v>
      </c>
    </row>
    <row r="1860" spans="1:18" x14ac:dyDescent="0.25">
      <c r="A1860" s="170">
        <v>44742</v>
      </c>
      <c r="B1860" s="116">
        <v>1566.85</v>
      </c>
      <c r="C1860" s="116">
        <v>1557.05</v>
      </c>
      <c r="D1860" s="116">
        <v>1540.2</v>
      </c>
      <c r="E1860" s="116">
        <v>1540.2</v>
      </c>
      <c r="F1860" s="116">
        <v>1557.05</v>
      </c>
      <c r="G1860">
        <v>75187</v>
      </c>
      <c r="H1860" s="116"/>
      <c r="I1860" s="116"/>
      <c r="L1860" s="170">
        <v>44742</v>
      </c>
      <c r="M1860" s="116">
        <v>1558.25</v>
      </c>
      <c r="N1860" s="116">
        <v>1566.9</v>
      </c>
      <c r="O1860" s="116">
        <v>1542.1</v>
      </c>
      <c r="P1860" s="116">
        <v>1549.05</v>
      </c>
      <c r="Q1860" s="116">
        <v>1558.25</v>
      </c>
      <c r="R1860">
        <v>3308971</v>
      </c>
    </row>
    <row r="1861" spans="1:18" x14ac:dyDescent="0.25">
      <c r="A1861" s="170">
        <v>44743</v>
      </c>
      <c r="B1861" s="116">
        <v>1575.9</v>
      </c>
      <c r="C1861" s="116">
        <v>1569.55</v>
      </c>
      <c r="D1861" s="116">
        <v>1535</v>
      </c>
      <c r="E1861" s="116">
        <v>1566.9</v>
      </c>
      <c r="F1861" s="116">
        <v>1569.55</v>
      </c>
      <c r="G1861">
        <v>76101</v>
      </c>
      <c r="H1861" s="116"/>
      <c r="I1861" s="116"/>
      <c r="L1861" s="170">
        <v>44743</v>
      </c>
      <c r="M1861" s="116">
        <v>1572.15</v>
      </c>
      <c r="N1861" s="116">
        <v>1576</v>
      </c>
      <c r="O1861" s="116">
        <v>1534.6</v>
      </c>
      <c r="P1861" s="116">
        <v>1560.95</v>
      </c>
      <c r="Q1861" s="116">
        <v>1572.15</v>
      </c>
      <c r="R1861">
        <v>1294305</v>
      </c>
    </row>
    <row r="1862" spans="1:18" x14ac:dyDescent="0.25">
      <c r="A1862" s="170">
        <v>44746</v>
      </c>
      <c r="B1862" s="116">
        <v>1587.2</v>
      </c>
      <c r="C1862" s="116">
        <v>1582.25</v>
      </c>
      <c r="D1862" s="116">
        <v>1550.7</v>
      </c>
      <c r="E1862" s="116">
        <v>1575</v>
      </c>
      <c r="F1862" s="116">
        <v>1582.25</v>
      </c>
      <c r="G1862">
        <v>25540</v>
      </c>
      <c r="H1862" s="116"/>
      <c r="I1862" s="116"/>
      <c r="L1862" s="170">
        <v>44746</v>
      </c>
      <c r="M1862" s="116">
        <v>1581.7</v>
      </c>
      <c r="N1862" s="116">
        <v>1587.45</v>
      </c>
      <c r="O1862" s="116">
        <v>1550.2</v>
      </c>
      <c r="P1862" s="116">
        <v>1572.1</v>
      </c>
      <c r="Q1862" s="116">
        <v>1581.7</v>
      </c>
      <c r="R1862">
        <v>1269969</v>
      </c>
    </row>
    <row r="1863" spans="1:18" x14ac:dyDescent="0.25">
      <c r="A1863" s="170">
        <v>44747</v>
      </c>
      <c r="B1863" s="116">
        <v>1597.25</v>
      </c>
      <c r="C1863" s="116">
        <v>1564.45</v>
      </c>
      <c r="D1863" s="116">
        <v>1561.7</v>
      </c>
      <c r="E1863" s="116">
        <v>1585</v>
      </c>
      <c r="F1863" s="116">
        <v>1564.45</v>
      </c>
      <c r="G1863">
        <v>82868</v>
      </c>
      <c r="H1863" s="116"/>
      <c r="I1863" s="116"/>
      <c r="L1863" s="170">
        <v>44747</v>
      </c>
      <c r="M1863" s="116">
        <v>1564.9</v>
      </c>
      <c r="N1863" s="116">
        <v>1597.25</v>
      </c>
      <c r="O1863" s="116">
        <v>1561.6</v>
      </c>
      <c r="P1863" s="116">
        <v>1584</v>
      </c>
      <c r="Q1863" s="116">
        <v>1564.9</v>
      </c>
      <c r="R1863">
        <v>1445200</v>
      </c>
    </row>
    <row r="1864" spans="1:18" x14ac:dyDescent="0.25">
      <c r="A1864" s="170">
        <v>44748</v>
      </c>
      <c r="B1864" s="116">
        <v>1590.1</v>
      </c>
      <c r="C1864" s="116">
        <v>1556.55</v>
      </c>
      <c r="D1864" s="116">
        <v>1552.2</v>
      </c>
      <c r="E1864" s="116">
        <v>1558.15</v>
      </c>
      <c r="F1864" s="116">
        <v>1556.55</v>
      </c>
      <c r="G1864">
        <v>136910</v>
      </c>
      <c r="H1864" s="116"/>
      <c r="I1864" s="116"/>
      <c r="L1864" s="170">
        <v>44748</v>
      </c>
      <c r="M1864" s="116">
        <v>1556.15</v>
      </c>
      <c r="N1864" s="116">
        <v>1590.5</v>
      </c>
      <c r="O1864" s="116">
        <v>1551.8</v>
      </c>
      <c r="P1864" s="116">
        <v>1565.55</v>
      </c>
      <c r="Q1864" s="116">
        <v>1556.15</v>
      </c>
      <c r="R1864">
        <v>2422594</v>
      </c>
    </row>
    <row r="1865" spans="1:18" x14ac:dyDescent="0.25">
      <c r="A1865" s="170">
        <v>44749</v>
      </c>
      <c r="B1865" s="116">
        <v>1614.5</v>
      </c>
      <c r="C1865" s="116">
        <v>1611.3</v>
      </c>
      <c r="D1865" s="116">
        <v>1565</v>
      </c>
      <c r="E1865" s="116">
        <v>1565</v>
      </c>
      <c r="F1865" s="116">
        <v>1611.3</v>
      </c>
      <c r="G1865">
        <v>90091</v>
      </c>
      <c r="H1865" s="116"/>
      <c r="I1865" s="116"/>
      <c r="L1865" s="170">
        <v>44749</v>
      </c>
      <c r="M1865" s="116">
        <v>1611.1</v>
      </c>
      <c r="N1865" s="116">
        <v>1614.15</v>
      </c>
      <c r="O1865" s="116">
        <v>1565.65</v>
      </c>
      <c r="P1865" s="116">
        <v>1565.9</v>
      </c>
      <c r="Q1865" s="116">
        <v>1611.1</v>
      </c>
      <c r="R1865">
        <v>1697912</v>
      </c>
    </row>
    <row r="1866" spans="1:18" x14ac:dyDescent="0.25">
      <c r="A1866" s="170">
        <v>44750</v>
      </c>
      <c r="B1866" s="116">
        <v>1702</v>
      </c>
      <c r="C1866" s="116">
        <v>1687.4</v>
      </c>
      <c r="D1866" s="116">
        <v>1618</v>
      </c>
      <c r="E1866" s="116">
        <v>1618</v>
      </c>
      <c r="F1866" s="116">
        <v>1687.4</v>
      </c>
      <c r="G1866">
        <v>245520</v>
      </c>
      <c r="H1866" s="116"/>
      <c r="I1866" s="116"/>
      <c r="L1866" s="170">
        <v>44750</v>
      </c>
      <c r="M1866" s="116">
        <v>1687.45</v>
      </c>
      <c r="N1866" s="116">
        <v>1702</v>
      </c>
      <c r="O1866" s="116">
        <v>1618</v>
      </c>
      <c r="P1866" s="116">
        <v>1621</v>
      </c>
      <c r="Q1866" s="116">
        <v>1687.45</v>
      </c>
      <c r="R1866">
        <v>6516138</v>
      </c>
    </row>
    <row r="1867" spans="1:18" x14ac:dyDescent="0.25">
      <c r="A1867" s="170">
        <v>44753</v>
      </c>
      <c r="B1867" s="116">
        <v>1688.6</v>
      </c>
      <c r="C1867" s="116">
        <v>1662.7</v>
      </c>
      <c r="D1867" s="116">
        <v>1653.5</v>
      </c>
      <c r="E1867" s="116">
        <v>1688</v>
      </c>
      <c r="F1867" s="116">
        <v>1662.7</v>
      </c>
      <c r="G1867">
        <v>44398</v>
      </c>
      <c r="H1867" s="116"/>
      <c r="I1867" s="116"/>
      <c r="L1867" s="170">
        <v>44753</v>
      </c>
      <c r="M1867" s="116">
        <v>1663</v>
      </c>
      <c r="N1867" s="116">
        <v>1688.85</v>
      </c>
      <c r="O1867" s="116">
        <v>1653.4</v>
      </c>
      <c r="P1867" s="116">
        <v>1684.95</v>
      </c>
      <c r="Q1867" s="116">
        <v>1663</v>
      </c>
      <c r="R1867">
        <v>1316037</v>
      </c>
    </row>
    <row r="1868" spans="1:18" x14ac:dyDescent="0.25">
      <c r="A1868" s="170">
        <v>44754</v>
      </c>
      <c r="B1868" s="116">
        <v>1672.2</v>
      </c>
      <c r="C1868" s="116">
        <v>1653.8</v>
      </c>
      <c r="D1868" s="116">
        <v>1650</v>
      </c>
      <c r="E1868" s="116">
        <v>1658.8</v>
      </c>
      <c r="F1868" s="116">
        <v>1653.8</v>
      </c>
      <c r="G1868">
        <v>34047</v>
      </c>
      <c r="H1868" s="116"/>
      <c r="I1868" s="116"/>
      <c r="L1868" s="170">
        <v>44754</v>
      </c>
      <c r="M1868" s="116">
        <v>1653.75</v>
      </c>
      <c r="N1868" s="116">
        <v>1672.9</v>
      </c>
      <c r="O1868" s="116">
        <v>1649.05</v>
      </c>
      <c r="P1868" s="116">
        <v>1655</v>
      </c>
      <c r="Q1868" s="116">
        <v>1653.75</v>
      </c>
      <c r="R1868">
        <v>781516</v>
      </c>
    </row>
    <row r="1869" spans="1:18" x14ac:dyDescent="0.25">
      <c r="A1869" s="170">
        <v>44755</v>
      </c>
      <c r="B1869" s="116">
        <v>1684.05</v>
      </c>
      <c r="C1869" s="116">
        <v>1647.9</v>
      </c>
      <c r="D1869" s="116">
        <v>1644.15</v>
      </c>
      <c r="E1869" s="116">
        <v>1664</v>
      </c>
      <c r="F1869" s="116">
        <v>1647.9</v>
      </c>
      <c r="G1869">
        <v>64054</v>
      </c>
      <c r="H1869" s="116"/>
      <c r="I1869" s="116"/>
      <c r="L1869" s="170">
        <v>44755</v>
      </c>
      <c r="M1869" s="116">
        <v>1647.25</v>
      </c>
      <c r="N1869" s="116">
        <v>1683.25</v>
      </c>
      <c r="O1869" s="116">
        <v>1644.4</v>
      </c>
      <c r="P1869" s="116">
        <v>1664</v>
      </c>
      <c r="Q1869" s="116">
        <v>1647.25</v>
      </c>
      <c r="R1869">
        <v>1914814</v>
      </c>
    </row>
    <row r="1870" spans="1:18" x14ac:dyDescent="0.25">
      <c r="A1870" s="170">
        <v>44756</v>
      </c>
      <c r="B1870" s="116">
        <v>1666.05</v>
      </c>
      <c r="C1870" s="116">
        <v>1646.05</v>
      </c>
      <c r="D1870" s="116">
        <v>1633.75</v>
      </c>
      <c r="E1870" s="116">
        <v>1652</v>
      </c>
      <c r="F1870" s="116">
        <v>1646.05</v>
      </c>
      <c r="G1870">
        <v>37754</v>
      </c>
      <c r="H1870" s="116"/>
      <c r="I1870" s="116"/>
      <c r="L1870" s="170">
        <v>44756</v>
      </c>
      <c r="M1870" s="116">
        <v>1646.15</v>
      </c>
      <c r="N1870" s="116">
        <v>1667.35</v>
      </c>
      <c r="O1870" s="116">
        <v>1634.6</v>
      </c>
      <c r="P1870" s="116">
        <v>1651.85</v>
      </c>
      <c r="Q1870" s="116">
        <v>1646.15</v>
      </c>
      <c r="R1870">
        <v>1170472</v>
      </c>
    </row>
    <row r="1871" spans="1:18" x14ac:dyDescent="0.25">
      <c r="A1871" s="170">
        <v>44757</v>
      </c>
      <c r="B1871" s="116">
        <v>1688.2</v>
      </c>
      <c r="C1871" s="116">
        <v>1684.6</v>
      </c>
      <c r="D1871" s="116">
        <v>1648</v>
      </c>
      <c r="E1871" s="116">
        <v>1648</v>
      </c>
      <c r="F1871" s="116">
        <v>1684.6</v>
      </c>
      <c r="G1871">
        <v>25862</v>
      </c>
      <c r="H1871" s="116"/>
      <c r="I1871" s="116"/>
      <c r="L1871" s="170">
        <v>44757</v>
      </c>
      <c r="M1871" s="116">
        <v>1684.85</v>
      </c>
      <c r="N1871" s="116">
        <v>1687.85</v>
      </c>
      <c r="O1871" s="116">
        <v>1649.2</v>
      </c>
      <c r="P1871" s="116">
        <v>1653.9</v>
      </c>
      <c r="Q1871" s="116">
        <v>1684.85</v>
      </c>
      <c r="R1871">
        <v>1345141</v>
      </c>
    </row>
    <row r="1872" spans="1:18" x14ac:dyDescent="0.25">
      <c r="A1872" s="170">
        <v>44760</v>
      </c>
      <c r="B1872" s="116">
        <v>1734.3</v>
      </c>
      <c r="C1872" s="116">
        <v>1727.25</v>
      </c>
      <c r="D1872" s="116">
        <v>1694.25</v>
      </c>
      <c r="E1872" s="116">
        <v>1700</v>
      </c>
      <c r="F1872" s="116">
        <v>1727.25</v>
      </c>
      <c r="G1872">
        <v>1174780</v>
      </c>
      <c r="H1872" s="116"/>
      <c r="I1872" s="116"/>
      <c r="L1872" s="170">
        <v>44760</v>
      </c>
      <c r="M1872" s="116">
        <v>1727.65</v>
      </c>
      <c r="N1872" s="116">
        <v>1734.6</v>
      </c>
      <c r="O1872" s="116">
        <v>1690</v>
      </c>
      <c r="P1872" s="116">
        <v>1696.05</v>
      </c>
      <c r="Q1872" s="116">
        <v>1727.65</v>
      </c>
      <c r="R1872">
        <v>3200640</v>
      </c>
    </row>
    <row r="1873" spans="1:18" x14ac:dyDescent="0.25">
      <c r="A1873" s="170">
        <v>44761</v>
      </c>
      <c r="B1873" s="116">
        <v>1734.5</v>
      </c>
      <c r="C1873" s="116">
        <v>1728.15</v>
      </c>
      <c r="D1873" s="116">
        <v>1714.45</v>
      </c>
      <c r="E1873" s="116">
        <v>1725.85</v>
      </c>
      <c r="F1873" s="116">
        <v>1728.15</v>
      </c>
      <c r="G1873">
        <v>48666</v>
      </c>
      <c r="H1873" s="116"/>
      <c r="I1873" s="116"/>
      <c r="L1873" s="170">
        <v>44761</v>
      </c>
      <c r="M1873" s="116">
        <v>1729.8</v>
      </c>
      <c r="N1873" s="116">
        <v>1734.95</v>
      </c>
      <c r="O1873" s="116">
        <v>1714</v>
      </c>
      <c r="P1873" s="116">
        <v>1719.95</v>
      </c>
      <c r="Q1873" s="116">
        <v>1729.8</v>
      </c>
      <c r="R1873">
        <v>1351783</v>
      </c>
    </row>
    <row r="1874" spans="1:18" x14ac:dyDescent="0.25">
      <c r="A1874" s="170">
        <v>44762</v>
      </c>
      <c r="B1874" s="116">
        <v>1747</v>
      </c>
      <c r="C1874" s="116">
        <v>1740</v>
      </c>
      <c r="D1874" s="116">
        <v>1728</v>
      </c>
      <c r="E1874" s="116">
        <v>1740.2</v>
      </c>
      <c r="F1874" s="116">
        <v>1740</v>
      </c>
      <c r="G1874">
        <v>28391</v>
      </c>
      <c r="H1874" s="116"/>
      <c r="I1874" s="116"/>
      <c r="L1874" s="170">
        <v>44762</v>
      </c>
      <c r="M1874" s="116">
        <v>1739.95</v>
      </c>
      <c r="N1874" s="116">
        <v>1746.85</v>
      </c>
      <c r="O1874" s="116">
        <v>1727.95</v>
      </c>
      <c r="P1874" s="116">
        <v>1740.35</v>
      </c>
      <c r="Q1874" s="116">
        <v>1739.95</v>
      </c>
      <c r="R1874">
        <v>1509911</v>
      </c>
    </row>
    <row r="1875" spans="1:18" x14ac:dyDescent="0.25">
      <c r="A1875" s="170">
        <v>44763</v>
      </c>
      <c r="B1875" s="116">
        <v>1769</v>
      </c>
      <c r="C1875" s="116">
        <v>1765.15</v>
      </c>
      <c r="D1875" s="116">
        <v>1715</v>
      </c>
      <c r="E1875" s="116">
        <v>1727</v>
      </c>
      <c r="F1875" s="116">
        <v>1765.15</v>
      </c>
      <c r="G1875">
        <v>78866</v>
      </c>
      <c r="H1875" s="116"/>
      <c r="I1875" s="116"/>
      <c r="L1875" s="170">
        <v>44763</v>
      </c>
      <c r="M1875" s="116">
        <v>1765.15</v>
      </c>
      <c r="N1875" s="116">
        <v>1768.95</v>
      </c>
      <c r="O1875" s="116">
        <v>1715.1</v>
      </c>
      <c r="P1875" s="116">
        <v>1726.9</v>
      </c>
      <c r="Q1875" s="116">
        <v>1765.15</v>
      </c>
      <c r="R1875">
        <v>2827327</v>
      </c>
    </row>
    <row r="1876" spans="1:18" x14ac:dyDescent="0.25">
      <c r="A1876" s="170">
        <v>44764</v>
      </c>
      <c r="B1876" s="116">
        <v>1779.25</v>
      </c>
      <c r="C1876" s="116">
        <v>1767.9</v>
      </c>
      <c r="D1876" s="116">
        <v>1752.75</v>
      </c>
      <c r="E1876" s="116">
        <v>1755.3</v>
      </c>
      <c r="F1876" s="116">
        <v>1767.9</v>
      </c>
      <c r="G1876">
        <v>81844</v>
      </c>
      <c r="H1876" s="116"/>
      <c r="I1876" s="116"/>
      <c r="L1876" s="170">
        <v>44764</v>
      </c>
      <c r="M1876" s="116">
        <v>1767.75</v>
      </c>
      <c r="N1876" s="116">
        <v>1779.55</v>
      </c>
      <c r="O1876" s="116">
        <v>1752.55</v>
      </c>
      <c r="P1876" s="116">
        <v>1765.5</v>
      </c>
      <c r="Q1876" s="116">
        <v>1767.75</v>
      </c>
      <c r="R1876">
        <v>1495629</v>
      </c>
    </row>
    <row r="1877" spans="1:18" x14ac:dyDescent="0.25">
      <c r="A1877" s="170">
        <v>44767</v>
      </c>
      <c r="B1877" s="116">
        <v>1785</v>
      </c>
      <c r="C1877" s="116">
        <v>1781.9</v>
      </c>
      <c r="D1877" s="116">
        <v>1759.05</v>
      </c>
      <c r="E1877" s="116">
        <v>1759.05</v>
      </c>
      <c r="F1877" s="116">
        <v>1781.9</v>
      </c>
      <c r="G1877">
        <v>86294</v>
      </c>
      <c r="H1877" s="116"/>
      <c r="I1877" s="116"/>
      <c r="L1877" s="170">
        <v>44767</v>
      </c>
      <c r="M1877" s="116">
        <v>1782.45</v>
      </c>
      <c r="N1877" s="116">
        <v>1785.5</v>
      </c>
      <c r="O1877" s="116">
        <v>1760.05</v>
      </c>
      <c r="P1877" s="116">
        <v>1765</v>
      </c>
      <c r="Q1877" s="116">
        <v>1782.45</v>
      </c>
      <c r="R1877">
        <v>1916615</v>
      </c>
    </row>
    <row r="1878" spans="1:18" x14ac:dyDescent="0.25">
      <c r="A1878" s="170">
        <v>44768</v>
      </c>
      <c r="B1878" s="116">
        <v>1785</v>
      </c>
      <c r="C1878" s="116">
        <v>1750.45</v>
      </c>
      <c r="D1878" s="116">
        <v>1742</v>
      </c>
      <c r="E1878" s="116">
        <v>1782</v>
      </c>
      <c r="F1878" s="116">
        <v>1750.45</v>
      </c>
      <c r="G1878">
        <v>61480</v>
      </c>
      <c r="H1878" s="116"/>
      <c r="I1878" s="116"/>
      <c r="L1878" s="170">
        <v>44768</v>
      </c>
      <c r="M1878" s="116">
        <v>1751.25</v>
      </c>
      <c r="N1878" s="116">
        <v>1780.75</v>
      </c>
      <c r="O1878" s="116">
        <v>1741.9</v>
      </c>
      <c r="P1878" s="116">
        <v>1780.75</v>
      </c>
      <c r="Q1878" s="116">
        <v>1751.25</v>
      </c>
      <c r="R1878">
        <v>1585897</v>
      </c>
    </row>
    <row r="1879" spans="1:18" x14ac:dyDescent="0.25">
      <c r="A1879" s="170">
        <v>44769</v>
      </c>
      <c r="B1879" s="116">
        <v>1819</v>
      </c>
      <c r="C1879" s="116">
        <v>1797.2</v>
      </c>
      <c r="D1879" s="116">
        <v>1750</v>
      </c>
      <c r="E1879" s="116">
        <v>1758</v>
      </c>
      <c r="F1879" s="116">
        <v>1797.2</v>
      </c>
      <c r="G1879">
        <v>132835</v>
      </c>
      <c r="H1879" s="116"/>
      <c r="I1879" s="116"/>
      <c r="L1879" s="170">
        <v>44769</v>
      </c>
      <c r="M1879" s="116">
        <v>1796.65</v>
      </c>
      <c r="N1879" s="116">
        <v>1819.5</v>
      </c>
      <c r="O1879" s="116">
        <v>1750</v>
      </c>
      <c r="P1879" s="116">
        <v>1754</v>
      </c>
      <c r="Q1879" s="116">
        <v>1796.65</v>
      </c>
      <c r="R1879">
        <v>5369460</v>
      </c>
    </row>
    <row r="1880" spans="1:18" x14ac:dyDescent="0.25">
      <c r="A1880" s="170">
        <v>44770</v>
      </c>
      <c r="B1880" s="116">
        <v>1815.6</v>
      </c>
      <c r="C1880" s="116">
        <v>1801.25</v>
      </c>
      <c r="D1880" s="116">
        <v>1786.75</v>
      </c>
      <c r="E1880" s="116">
        <v>1800</v>
      </c>
      <c r="F1880" s="116">
        <v>1801.25</v>
      </c>
      <c r="G1880">
        <v>92493</v>
      </c>
      <c r="H1880" s="116"/>
      <c r="I1880" s="116"/>
      <c r="L1880" s="170">
        <v>44770</v>
      </c>
      <c r="M1880" s="116">
        <v>1801.25</v>
      </c>
      <c r="N1880" s="116">
        <v>1816</v>
      </c>
      <c r="O1880" s="116">
        <v>1786.95</v>
      </c>
      <c r="P1880" s="116">
        <v>1805</v>
      </c>
      <c r="Q1880" s="116">
        <v>1801.25</v>
      </c>
      <c r="R1880">
        <v>1831059</v>
      </c>
    </row>
    <row r="1881" spans="1:18" x14ac:dyDescent="0.25">
      <c r="A1881" s="170">
        <v>44771</v>
      </c>
      <c r="B1881" s="116">
        <v>1832</v>
      </c>
      <c r="C1881" s="116">
        <v>1807.65</v>
      </c>
      <c r="D1881" s="116">
        <v>1794.15</v>
      </c>
      <c r="E1881" s="116">
        <v>1811</v>
      </c>
      <c r="F1881" s="116">
        <v>1807.65</v>
      </c>
      <c r="G1881">
        <v>83599</v>
      </c>
      <c r="H1881" s="116"/>
      <c r="I1881" s="116"/>
      <c r="L1881" s="170">
        <v>44771</v>
      </c>
      <c r="M1881" s="116">
        <v>1808.05</v>
      </c>
      <c r="N1881" s="116">
        <v>1832.5</v>
      </c>
      <c r="O1881" s="116">
        <v>1794</v>
      </c>
      <c r="P1881" s="116">
        <v>1814.95</v>
      </c>
      <c r="Q1881" s="116">
        <v>1808.05</v>
      </c>
      <c r="R1881">
        <v>1747781</v>
      </c>
    </row>
    <row r="1882" spans="1:18" x14ac:dyDescent="0.25">
      <c r="A1882" s="170">
        <v>44774</v>
      </c>
      <c r="B1882" s="116">
        <v>1817.25</v>
      </c>
      <c r="C1882" s="116">
        <v>1814.2</v>
      </c>
      <c r="D1882" s="116">
        <v>1790</v>
      </c>
      <c r="E1882" s="116">
        <v>1807.7</v>
      </c>
      <c r="F1882" s="116">
        <v>1814.2</v>
      </c>
      <c r="G1882">
        <v>1037236</v>
      </c>
      <c r="H1882" s="116"/>
      <c r="I1882" s="116"/>
      <c r="L1882" s="170">
        <v>44774</v>
      </c>
      <c r="M1882" s="116">
        <v>1814.7</v>
      </c>
      <c r="N1882" s="116">
        <v>1817.85</v>
      </c>
      <c r="O1882" s="116">
        <v>1790.3</v>
      </c>
      <c r="P1882" s="116">
        <v>1808</v>
      </c>
      <c r="Q1882" s="116">
        <v>1814.7</v>
      </c>
      <c r="R1882">
        <v>1341943</v>
      </c>
    </row>
    <row r="1883" spans="1:18" x14ac:dyDescent="0.25">
      <c r="A1883" s="170">
        <v>44775</v>
      </c>
      <c r="B1883" s="116">
        <v>1811.35</v>
      </c>
      <c r="C1883" s="116">
        <v>1792.5</v>
      </c>
      <c r="D1883" s="116">
        <v>1775.9</v>
      </c>
      <c r="E1883" s="116">
        <v>1809.7</v>
      </c>
      <c r="F1883" s="116">
        <v>1792.5</v>
      </c>
      <c r="G1883">
        <v>46522</v>
      </c>
      <c r="H1883" s="116"/>
      <c r="I1883" s="116"/>
      <c r="L1883" s="170">
        <v>44775</v>
      </c>
      <c r="M1883" s="116">
        <v>1793.05</v>
      </c>
      <c r="N1883" s="116">
        <v>1811.65</v>
      </c>
      <c r="O1883" s="116">
        <v>1775.7</v>
      </c>
      <c r="P1883" s="116">
        <v>1809</v>
      </c>
      <c r="Q1883" s="116">
        <v>1793.05</v>
      </c>
      <c r="R1883">
        <v>1749346</v>
      </c>
    </row>
    <row r="1884" spans="1:18" x14ac:dyDescent="0.25">
      <c r="A1884" s="170">
        <v>44776</v>
      </c>
      <c r="B1884" s="116">
        <v>1803.05</v>
      </c>
      <c r="C1884" s="116">
        <v>1789.45</v>
      </c>
      <c r="D1884" s="116">
        <v>1773.45</v>
      </c>
      <c r="E1884" s="116">
        <v>1787.2</v>
      </c>
      <c r="F1884" s="116">
        <v>1789.45</v>
      </c>
      <c r="G1884">
        <v>29030</v>
      </c>
      <c r="H1884" s="116"/>
      <c r="I1884" s="116"/>
      <c r="L1884" s="170">
        <v>44776</v>
      </c>
      <c r="M1884" s="116">
        <v>1789.8</v>
      </c>
      <c r="N1884" s="116">
        <v>1804</v>
      </c>
      <c r="O1884" s="116">
        <v>1773</v>
      </c>
      <c r="P1884" s="116">
        <v>1793.05</v>
      </c>
      <c r="Q1884" s="116">
        <v>1789.8</v>
      </c>
      <c r="R1884">
        <v>1264299</v>
      </c>
    </row>
    <row r="1885" spans="1:18" x14ac:dyDescent="0.25">
      <c r="A1885" s="170">
        <v>44777</v>
      </c>
      <c r="B1885" s="116">
        <v>1814.7</v>
      </c>
      <c r="C1885" s="116">
        <v>1780.2</v>
      </c>
      <c r="D1885" s="116">
        <v>1774.9</v>
      </c>
      <c r="E1885" s="116">
        <v>1786.2</v>
      </c>
      <c r="F1885" s="116">
        <v>1780.2</v>
      </c>
      <c r="G1885">
        <v>35460</v>
      </c>
      <c r="H1885" s="116"/>
      <c r="I1885" s="116"/>
      <c r="L1885" s="170">
        <v>44777</v>
      </c>
      <c r="M1885" s="116">
        <v>1780.1</v>
      </c>
      <c r="N1885" s="116">
        <v>1814.8</v>
      </c>
      <c r="O1885" s="116">
        <v>1775</v>
      </c>
      <c r="P1885" s="116">
        <v>1793.8</v>
      </c>
      <c r="Q1885" s="116">
        <v>1780.1</v>
      </c>
      <c r="R1885">
        <v>1856927</v>
      </c>
    </row>
    <row r="1886" spans="1:18" x14ac:dyDescent="0.25">
      <c r="A1886" s="170">
        <v>44778</v>
      </c>
      <c r="B1886" s="116">
        <v>1806.3</v>
      </c>
      <c r="C1886" s="116">
        <v>1787.55</v>
      </c>
      <c r="D1886" s="116">
        <v>1775.4</v>
      </c>
      <c r="E1886" s="116">
        <v>1780</v>
      </c>
      <c r="F1886" s="116">
        <v>1787.55</v>
      </c>
      <c r="G1886">
        <v>74178</v>
      </c>
      <c r="H1886" s="116"/>
      <c r="I1886" s="116"/>
      <c r="L1886" s="170">
        <v>44778</v>
      </c>
      <c r="M1886" s="116">
        <v>1787.45</v>
      </c>
      <c r="N1886" s="116">
        <v>1807</v>
      </c>
      <c r="O1886" s="116">
        <v>1775.3</v>
      </c>
      <c r="P1886" s="116">
        <v>1782.95</v>
      </c>
      <c r="Q1886" s="116">
        <v>1787.45</v>
      </c>
      <c r="R1886">
        <v>1430542</v>
      </c>
    </row>
    <row r="1887" spans="1:18" x14ac:dyDescent="0.25">
      <c r="A1887" s="170">
        <v>44781</v>
      </c>
      <c r="B1887" s="116">
        <v>1831.95</v>
      </c>
      <c r="C1887" s="116">
        <v>1829.45</v>
      </c>
      <c r="D1887" s="116">
        <v>1785.1</v>
      </c>
      <c r="E1887" s="116">
        <v>1785.1</v>
      </c>
      <c r="F1887" s="116">
        <v>1829.45</v>
      </c>
      <c r="G1887">
        <v>178264</v>
      </c>
      <c r="H1887" s="116"/>
      <c r="I1887" s="116"/>
      <c r="L1887" s="170">
        <v>44781</v>
      </c>
      <c r="M1887" s="116">
        <v>1829.65</v>
      </c>
      <c r="N1887" s="116">
        <v>1832.05</v>
      </c>
      <c r="O1887" s="116">
        <v>1790.25</v>
      </c>
      <c r="P1887" s="116">
        <v>1796.4</v>
      </c>
      <c r="Q1887" s="116">
        <v>1829.65</v>
      </c>
      <c r="R1887">
        <v>2625195</v>
      </c>
    </row>
    <row r="1888" spans="1:18" x14ac:dyDescent="0.25">
      <c r="A1888" s="170">
        <v>44783</v>
      </c>
      <c r="B1888" s="116">
        <v>1866.95</v>
      </c>
      <c r="C1888" s="116">
        <v>1854.65</v>
      </c>
      <c r="D1888" s="116">
        <v>1822.15</v>
      </c>
      <c r="E1888" s="116">
        <v>1828</v>
      </c>
      <c r="F1888" s="116">
        <v>1854.65</v>
      </c>
      <c r="G1888">
        <v>182357</v>
      </c>
      <c r="H1888" s="116"/>
      <c r="I1888" s="116"/>
      <c r="L1888" s="170">
        <v>44783</v>
      </c>
      <c r="M1888" s="116">
        <v>1855.15</v>
      </c>
      <c r="N1888" s="116">
        <v>1867</v>
      </c>
      <c r="O1888" s="116">
        <v>1822.25</v>
      </c>
      <c r="P1888" s="116">
        <v>1830</v>
      </c>
      <c r="Q1888" s="116">
        <v>1855.15</v>
      </c>
      <c r="R1888">
        <v>3422074</v>
      </c>
    </row>
    <row r="1889" spans="1:18" x14ac:dyDescent="0.25">
      <c r="A1889" s="170">
        <v>44784</v>
      </c>
      <c r="B1889" s="116">
        <v>1879.05</v>
      </c>
      <c r="C1889" s="116">
        <v>1867.25</v>
      </c>
      <c r="D1889" s="116">
        <v>1855.2</v>
      </c>
      <c r="E1889" s="116">
        <v>1863</v>
      </c>
      <c r="F1889" s="116">
        <v>1867.25</v>
      </c>
      <c r="G1889">
        <v>58931</v>
      </c>
      <c r="H1889" s="116"/>
      <c r="I1889" s="116"/>
      <c r="L1889" s="170">
        <v>44784</v>
      </c>
      <c r="M1889" s="116">
        <v>1867.15</v>
      </c>
      <c r="N1889" s="116">
        <v>1878.8</v>
      </c>
      <c r="O1889" s="116">
        <v>1855.2</v>
      </c>
      <c r="P1889" s="116">
        <v>1870.05</v>
      </c>
      <c r="Q1889" s="116">
        <v>1867.15</v>
      </c>
      <c r="R1889">
        <v>1918049</v>
      </c>
    </row>
    <row r="1890" spans="1:18" x14ac:dyDescent="0.25">
      <c r="A1890" s="170">
        <v>44785</v>
      </c>
      <c r="B1890" s="116">
        <v>1868.95</v>
      </c>
      <c r="C1890" s="116">
        <v>1844</v>
      </c>
      <c r="D1890" s="116">
        <v>1837.5</v>
      </c>
      <c r="E1890" s="116">
        <v>1855.2</v>
      </c>
      <c r="F1890" s="116">
        <v>1844</v>
      </c>
      <c r="G1890">
        <v>62435</v>
      </c>
      <c r="H1890" s="116"/>
      <c r="I1890" s="116"/>
      <c r="L1890" s="170">
        <v>44785</v>
      </c>
      <c r="M1890" s="116">
        <v>1846.45</v>
      </c>
      <c r="N1890" s="116">
        <v>1869</v>
      </c>
      <c r="O1890" s="116">
        <v>1838</v>
      </c>
      <c r="P1890" s="116">
        <v>1865</v>
      </c>
      <c r="Q1890" s="116">
        <v>1846.45</v>
      </c>
      <c r="R1890">
        <v>1041383</v>
      </c>
    </row>
    <row r="1891" spans="1:18" x14ac:dyDescent="0.25">
      <c r="A1891" s="170">
        <v>44789</v>
      </c>
      <c r="B1891" s="116">
        <v>1861.75</v>
      </c>
      <c r="C1891" s="116">
        <v>1848.45</v>
      </c>
      <c r="D1891" s="116">
        <v>1841.55</v>
      </c>
      <c r="E1891" s="116">
        <v>1850</v>
      </c>
      <c r="F1891" s="116">
        <v>1848.45</v>
      </c>
      <c r="G1891">
        <v>26197</v>
      </c>
      <c r="H1891" s="116"/>
      <c r="I1891" s="116"/>
      <c r="L1891" s="170">
        <v>44789</v>
      </c>
      <c r="M1891" s="116">
        <v>1848.9</v>
      </c>
      <c r="N1891" s="116">
        <v>1864</v>
      </c>
      <c r="O1891" s="116">
        <v>1842</v>
      </c>
      <c r="P1891" s="116">
        <v>1860</v>
      </c>
      <c r="Q1891" s="116">
        <v>1848.9</v>
      </c>
      <c r="R1891">
        <v>1426893</v>
      </c>
    </row>
    <row r="1892" spans="1:18" x14ac:dyDescent="0.25">
      <c r="A1892" s="170">
        <v>44790</v>
      </c>
      <c r="B1892" s="116">
        <v>1867.3</v>
      </c>
      <c r="C1892" s="116">
        <v>1855.35</v>
      </c>
      <c r="D1892" s="116">
        <v>1850.05</v>
      </c>
      <c r="E1892" s="116">
        <v>1851.05</v>
      </c>
      <c r="F1892" s="116">
        <v>1855.35</v>
      </c>
      <c r="G1892">
        <v>92071</v>
      </c>
      <c r="H1892" s="116"/>
      <c r="I1892" s="116"/>
      <c r="L1892" s="170">
        <v>44790</v>
      </c>
      <c r="M1892" s="116">
        <v>1855.7</v>
      </c>
      <c r="N1892" s="116">
        <v>1867.35</v>
      </c>
      <c r="O1892" s="116">
        <v>1850.05</v>
      </c>
      <c r="P1892" s="116">
        <v>1861.45</v>
      </c>
      <c r="Q1892" s="116">
        <v>1855.7</v>
      </c>
      <c r="R1892">
        <v>1748371</v>
      </c>
    </row>
    <row r="1893" spans="1:18" x14ac:dyDescent="0.25">
      <c r="A1893" s="170">
        <v>44791</v>
      </c>
      <c r="B1893" s="116">
        <v>1897.6</v>
      </c>
      <c r="C1893" s="116">
        <v>1894.2</v>
      </c>
      <c r="D1893" s="116">
        <v>1849.65</v>
      </c>
      <c r="E1893" s="116">
        <v>1857</v>
      </c>
      <c r="F1893" s="116">
        <v>1894.2</v>
      </c>
      <c r="G1893">
        <v>94001</v>
      </c>
      <c r="H1893" s="116"/>
      <c r="I1893" s="116"/>
      <c r="L1893" s="170">
        <v>44791</v>
      </c>
      <c r="M1893" s="116">
        <v>1894.55</v>
      </c>
      <c r="N1893" s="116">
        <v>1898.55</v>
      </c>
      <c r="O1893" s="116">
        <v>1850</v>
      </c>
      <c r="P1893" s="116">
        <v>1857</v>
      </c>
      <c r="Q1893" s="116">
        <v>1894.55</v>
      </c>
      <c r="R1893">
        <v>2519639</v>
      </c>
    </row>
    <row r="1894" spans="1:18" x14ac:dyDescent="0.25">
      <c r="A1894" s="170">
        <v>44792</v>
      </c>
      <c r="B1894" s="116">
        <v>1942</v>
      </c>
      <c r="C1894" s="116">
        <v>1935.85</v>
      </c>
      <c r="D1894" s="116">
        <v>1895</v>
      </c>
      <c r="E1894" s="116">
        <v>1898.5</v>
      </c>
      <c r="F1894" s="116">
        <v>1935.85</v>
      </c>
      <c r="G1894">
        <v>100725</v>
      </c>
      <c r="H1894" s="116"/>
      <c r="I1894" s="116"/>
      <c r="L1894" s="170">
        <v>44792</v>
      </c>
      <c r="M1894" s="116">
        <v>1936.05</v>
      </c>
      <c r="N1894" s="116">
        <v>1942</v>
      </c>
      <c r="O1894" s="116">
        <v>1892.75</v>
      </c>
      <c r="P1894" s="116">
        <v>1894.1</v>
      </c>
      <c r="Q1894" s="116">
        <v>1936.05</v>
      </c>
      <c r="R1894">
        <v>4134598</v>
      </c>
    </row>
    <row r="1895" spans="1:18" x14ac:dyDescent="0.25">
      <c r="A1895" s="170">
        <v>44795</v>
      </c>
      <c r="B1895" s="116">
        <v>1943</v>
      </c>
      <c r="C1895" s="116">
        <v>1880.25</v>
      </c>
      <c r="D1895" s="116">
        <v>1874.25</v>
      </c>
      <c r="E1895" s="116">
        <v>1938.85</v>
      </c>
      <c r="F1895" s="116">
        <v>1880.25</v>
      </c>
      <c r="G1895">
        <v>85227</v>
      </c>
      <c r="H1895" s="116"/>
      <c r="I1895" s="116"/>
      <c r="L1895" s="170">
        <v>44795</v>
      </c>
      <c r="M1895" s="116">
        <v>1880.65</v>
      </c>
      <c r="N1895" s="116">
        <v>1944</v>
      </c>
      <c r="O1895" s="116">
        <v>1875</v>
      </c>
      <c r="P1895" s="116">
        <v>1937.1</v>
      </c>
      <c r="Q1895" s="116">
        <v>1880.65</v>
      </c>
      <c r="R1895">
        <v>3175874</v>
      </c>
    </row>
    <row r="1896" spans="1:18" x14ac:dyDescent="0.25">
      <c r="A1896" s="170">
        <v>44796</v>
      </c>
      <c r="B1896" s="116">
        <v>1911.9</v>
      </c>
      <c r="C1896" s="116">
        <v>1876.05</v>
      </c>
      <c r="D1896" s="116">
        <v>1867.8</v>
      </c>
      <c r="E1896" s="116">
        <v>1873</v>
      </c>
      <c r="F1896" s="116">
        <v>1876.05</v>
      </c>
      <c r="G1896">
        <v>56064</v>
      </c>
      <c r="H1896" s="116"/>
      <c r="I1896" s="116"/>
      <c r="L1896" s="170">
        <v>44796</v>
      </c>
      <c r="M1896" s="116">
        <v>1877.05</v>
      </c>
      <c r="N1896" s="116">
        <v>1911.95</v>
      </c>
      <c r="O1896" s="116">
        <v>1865.7</v>
      </c>
      <c r="P1896" s="116">
        <v>1870</v>
      </c>
      <c r="Q1896" s="116">
        <v>1877.05</v>
      </c>
      <c r="R1896">
        <v>1811509</v>
      </c>
    </row>
    <row r="1897" spans="1:18" x14ac:dyDescent="0.25">
      <c r="A1897" s="170">
        <v>44797</v>
      </c>
      <c r="B1897" s="116">
        <v>1897.9</v>
      </c>
      <c r="C1897" s="116">
        <v>1893.3</v>
      </c>
      <c r="D1897" s="116">
        <v>1851.55</v>
      </c>
      <c r="E1897" s="116">
        <v>1880</v>
      </c>
      <c r="F1897" s="116">
        <v>1893.3</v>
      </c>
      <c r="G1897">
        <v>49359</v>
      </c>
      <c r="H1897" s="116"/>
      <c r="I1897" s="116"/>
      <c r="L1897" s="170">
        <v>44797</v>
      </c>
      <c r="M1897" s="116">
        <v>1893.35</v>
      </c>
      <c r="N1897" s="116">
        <v>1898</v>
      </c>
      <c r="O1897" s="116">
        <v>1851.6</v>
      </c>
      <c r="P1897" s="116">
        <v>1876</v>
      </c>
      <c r="Q1897" s="116">
        <v>1893.35</v>
      </c>
      <c r="R1897">
        <v>1534933</v>
      </c>
    </row>
    <row r="1898" spans="1:18" x14ac:dyDescent="0.25">
      <c r="A1898" s="170">
        <v>44798</v>
      </c>
      <c r="B1898" s="116">
        <v>1917.4</v>
      </c>
      <c r="C1898" s="116">
        <v>1877.8</v>
      </c>
      <c r="D1898" s="116">
        <v>1873.75</v>
      </c>
      <c r="E1898" s="116">
        <v>1897.5</v>
      </c>
      <c r="F1898" s="116">
        <v>1877.8</v>
      </c>
      <c r="G1898">
        <v>42160</v>
      </c>
      <c r="H1898" s="116"/>
      <c r="I1898" s="116"/>
      <c r="L1898" s="170">
        <v>44798</v>
      </c>
      <c r="M1898" s="116">
        <v>1877.9</v>
      </c>
      <c r="N1898" s="116">
        <v>1918</v>
      </c>
      <c r="O1898" s="116">
        <v>1873</v>
      </c>
      <c r="P1898" s="116">
        <v>1900</v>
      </c>
      <c r="Q1898" s="116">
        <v>1877.9</v>
      </c>
      <c r="R1898">
        <v>1121363</v>
      </c>
    </row>
    <row r="1899" spans="1:18" x14ac:dyDescent="0.25">
      <c r="A1899" s="170">
        <v>44799</v>
      </c>
      <c r="B1899" s="116">
        <v>1911.6</v>
      </c>
      <c r="C1899" s="116">
        <v>1905.4</v>
      </c>
      <c r="D1899" s="116">
        <v>1885.05</v>
      </c>
      <c r="E1899" s="116">
        <v>1885.05</v>
      </c>
      <c r="F1899" s="116">
        <v>1905.4</v>
      </c>
      <c r="G1899">
        <v>57553</v>
      </c>
      <c r="H1899" s="116"/>
      <c r="I1899" s="116"/>
      <c r="L1899" s="170">
        <v>44799</v>
      </c>
      <c r="M1899" s="116">
        <v>1905.4</v>
      </c>
      <c r="N1899" s="116">
        <v>1912</v>
      </c>
      <c r="O1899" s="116">
        <v>1887.2</v>
      </c>
      <c r="P1899" s="116">
        <v>1890.2</v>
      </c>
      <c r="Q1899" s="116">
        <v>1905.4</v>
      </c>
      <c r="R1899">
        <v>1119310</v>
      </c>
    </row>
    <row r="1900" spans="1:18" x14ac:dyDescent="0.25">
      <c r="A1900" s="170">
        <v>44802</v>
      </c>
      <c r="B1900" s="116">
        <v>1889.4</v>
      </c>
      <c r="C1900" s="116">
        <v>1880.8</v>
      </c>
      <c r="D1900" s="116">
        <v>1855</v>
      </c>
      <c r="E1900" s="116">
        <v>1855</v>
      </c>
      <c r="F1900" s="116">
        <v>1880.8</v>
      </c>
      <c r="G1900">
        <v>67467</v>
      </c>
      <c r="H1900" s="116"/>
      <c r="I1900" s="116"/>
      <c r="L1900" s="170">
        <v>44802</v>
      </c>
      <c r="M1900" s="116">
        <v>1881.5</v>
      </c>
      <c r="N1900" s="116">
        <v>1890</v>
      </c>
      <c r="O1900" s="116">
        <v>1861</v>
      </c>
      <c r="P1900" s="116">
        <v>1870</v>
      </c>
      <c r="Q1900" s="116">
        <v>1881.5</v>
      </c>
      <c r="R1900">
        <v>1183546</v>
      </c>
    </row>
    <row r="1901" spans="1:18" x14ac:dyDescent="0.25">
      <c r="A1901" s="170">
        <v>44803</v>
      </c>
      <c r="B1901" s="116">
        <v>1926.2</v>
      </c>
      <c r="C1901" s="116">
        <v>1921.75</v>
      </c>
      <c r="D1901" s="116">
        <v>1889.3</v>
      </c>
      <c r="E1901" s="116">
        <v>1897.4</v>
      </c>
      <c r="F1901" s="116">
        <v>1921.75</v>
      </c>
      <c r="G1901">
        <v>68281</v>
      </c>
      <c r="H1901" s="116"/>
      <c r="I1901" s="116"/>
      <c r="L1901" s="170">
        <v>44803</v>
      </c>
      <c r="M1901" s="116">
        <v>1922.5</v>
      </c>
      <c r="N1901" s="116">
        <v>1928</v>
      </c>
      <c r="O1901" s="116">
        <v>1889.15</v>
      </c>
      <c r="P1901" s="116">
        <v>1893.9</v>
      </c>
      <c r="Q1901" s="116">
        <v>1922.5</v>
      </c>
      <c r="R1901">
        <v>1394462</v>
      </c>
    </row>
    <row r="1902" spans="1:18" x14ac:dyDescent="0.25">
      <c r="A1902" s="170">
        <v>44805</v>
      </c>
      <c r="B1902" s="116">
        <v>1919.8</v>
      </c>
      <c r="C1902" s="116">
        <v>1911.55</v>
      </c>
      <c r="D1902" s="116">
        <v>1893</v>
      </c>
      <c r="E1902" s="116">
        <v>1905.05</v>
      </c>
      <c r="F1902" s="116">
        <v>1911.55</v>
      </c>
      <c r="G1902">
        <v>452309</v>
      </c>
      <c r="H1902" s="116"/>
      <c r="I1902" s="116"/>
      <c r="L1902" s="170">
        <v>44805</v>
      </c>
      <c r="M1902" s="116">
        <v>1912.95</v>
      </c>
      <c r="N1902" s="116">
        <v>1930.5</v>
      </c>
      <c r="O1902" s="116">
        <v>1892.1</v>
      </c>
      <c r="P1902" s="116">
        <v>1905</v>
      </c>
      <c r="Q1902" s="116">
        <v>1912.95</v>
      </c>
      <c r="R1902">
        <v>2014905</v>
      </c>
    </row>
    <row r="1903" spans="1:18" x14ac:dyDescent="0.25">
      <c r="A1903" s="170">
        <v>44806</v>
      </c>
      <c r="B1903" s="116">
        <v>1958.6</v>
      </c>
      <c r="C1903" s="116">
        <v>1940.05</v>
      </c>
      <c r="D1903" s="116">
        <v>1900.05</v>
      </c>
      <c r="E1903" s="116">
        <v>1902</v>
      </c>
      <c r="F1903" s="116">
        <v>1940.05</v>
      </c>
      <c r="G1903">
        <v>84838</v>
      </c>
      <c r="H1903" s="116"/>
      <c r="I1903" s="116"/>
      <c r="L1903" s="170">
        <v>44806</v>
      </c>
      <c r="M1903" s="116">
        <v>1940.5</v>
      </c>
      <c r="N1903" s="116">
        <v>1958.8</v>
      </c>
      <c r="O1903" s="116">
        <v>1900.25</v>
      </c>
      <c r="P1903" s="116">
        <v>1900.5</v>
      </c>
      <c r="Q1903" s="116">
        <v>1940.5</v>
      </c>
      <c r="R1903">
        <v>3201140</v>
      </c>
    </row>
    <row r="1904" spans="1:18" x14ac:dyDescent="0.25">
      <c r="A1904" s="170">
        <v>44809</v>
      </c>
      <c r="B1904" s="116">
        <v>1972.05</v>
      </c>
      <c r="C1904" s="116">
        <v>1968.25</v>
      </c>
      <c r="D1904" s="116">
        <v>1942.85</v>
      </c>
      <c r="E1904" s="116">
        <v>1945.7</v>
      </c>
      <c r="F1904" s="116">
        <v>1968.25</v>
      </c>
      <c r="G1904">
        <v>84460</v>
      </c>
      <c r="H1904" s="116"/>
      <c r="I1904" s="116"/>
      <c r="L1904" s="170">
        <v>44809</v>
      </c>
      <c r="M1904" s="116">
        <v>1968.35</v>
      </c>
      <c r="N1904" s="116">
        <v>1972.75</v>
      </c>
      <c r="O1904" s="116">
        <v>1942.1</v>
      </c>
      <c r="P1904" s="116">
        <v>1947.95</v>
      </c>
      <c r="Q1904" s="116">
        <v>1968.35</v>
      </c>
      <c r="R1904">
        <v>2474746</v>
      </c>
    </row>
    <row r="1905" spans="1:18" x14ac:dyDescent="0.25">
      <c r="A1905" s="170">
        <v>44810</v>
      </c>
      <c r="B1905" s="116">
        <v>1985.5</v>
      </c>
      <c r="C1905" s="116">
        <v>1961.7</v>
      </c>
      <c r="D1905" s="116">
        <v>1951.6</v>
      </c>
      <c r="E1905" s="116">
        <v>1975</v>
      </c>
      <c r="F1905" s="116">
        <v>1961.7</v>
      </c>
      <c r="G1905">
        <v>67150</v>
      </c>
      <c r="H1905" s="116"/>
      <c r="I1905" s="116"/>
      <c r="L1905" s="170">
        <v>44810</v>
      </c>
      <c r="M1905" s="116">
        <v>1962.3</v>
      </c>
      <c r="N1905" s="116">
        <v>1985.1</v>
      </c>
      <c r="O1905" s="116">
        <v>1951.3</v>
      </c>
      <c r="P1905" s="116">
        <v>1973.8</v>
      </c>
      <c r="Q1905" s="116">
        <v>1962.3</v>
      </c>
      <c r="R1905">
        <v>1172733</v>
      </c>
    </row>
    <row r="1906" spans="1:18" x14ac:dyDescent="0.25">
      <c r="A1906" s="170">
        <v>44811</v>
      </c>
      <c r="B1906" s="116">
        <v>1960.95</v>
      </c>
      <c r="C1906" s="116">
        <v>1958.35</v>
      </c>
      <c r="D1906" s="116">
        <v>1934</v>
      </c>
      <c r="E1906" s="116">
        <v>1950</v>
      </c>
      <c r="F1906" s="116">
        <v>1958.35</v>
      </c>
      <c r="G1906">
        <v>35602</v>
      </c>
      <c r="H1906" s="116"/>
      <c r="I1906" s="116"/>
      <c r="L1906" s="170">
        <v>44811</v>
      </c>
      <c r="M1906" s="116">
        <v>1958.1</v>
      </c>
      <c r="N1906" s="116">
        <v>1961.35</v>
      </c>
      <c r="O1906" s="116">
        <v>1934</v>
      </c>
      <c r="P1906" s="116">
        <v>1941.1</v>
      </c>
      <c r="Q1906" s="116">
        <v>1958.1</v>
      </c>
      <c r="R1906">
        <v>1238549</v>
      </c>
    </row>
    <row r="1907" spans="1:18" x14ac:dyDescent="0.25">
      <c r="A1907" s="170">
        <v>44812</v>
      </c>
      <c r="B1907" s="116">
        <v>1976</v>
      </c>
      <c r="C1907" s="116">
        <v>1974.2</v>
      </c>
      <c r="D1907" s="116">
        <v>1948.1</v>
      </c>
      <c r="E1907" s="116">
        <v>1958.35</v>
      </c>
      <c r="F1907" s="116">
        <v>1974.2</v>
      </c>
      <c r="G1907">
        <v>91107</v>
      </c>
      <c r="H1907" s="116"/>
      <c r="I1907" s="116"/>
      <c r="L1907" s="170">
        <v>44812</v>
      </c>
      <c r="M1907" s="116">
        <v>1974.4</v>
      </c>
      <c r="N1907" s="116">
        <v>1977</v>
      </c>
      <c r="O1907" s="116">
        <v>1947.55</v>
      </c>
      <c r="P1907" s="116">
        <v>1967.9</v>
      </c>
      <c r="Q1907" s="116">
        <v>1974.4</v>
      </c>
      <c r="R1907">
        <v>1632797</v>
      </c>
    </row>
    <row r="1908" spans="1:18" x14ac:dyDescent="0.25">
      <c r="A1908" s="170">
        <v>44813</v>
      </c>
      <c r="B1908" s="116">
        <v>1986.6</v>
      </c>
      <c r="C1908" s="116">
        <v>1949.4</v>
      </c>
      <c r="D1908" s="116">
        <v>1944.25</v>
      </c>
      <c r="E1908" s="116">
        <v>1974</v>
      </c>
      <c r="F1908" s="116">
        <v>1949.4</v>
      </c>
      <c r="G1908">
        <v>75738</v>
      </c>
      <c r="H1908" s="116"/>
      <c r="I1908" s="116"/>
      <c r="L1908" s="170">
        <v>44813</v>
      </c>
      <c r="M1908" s="116">
        <v>1949.75</v>
      </c>
      <c r="N1908" s="116">
        <v>1987.4</v>
      </c>
      <c r="O1908" s="116">
        <v>1944</v>
      </c>
      <c r="P1908" s="116">
        <v>1977.35</v>
      </c>
      <c r="Q1908" s="116">
        <v>1949.75</v>
      </c>
      <c r="R1908">
        <v>980869</v>
      </c>
    </row>
    <row r="1909" spans="1:18" x14ac:dyDescent="0.25">
      <c r="A1909" s="170">
        <v>44816</v>
      </c>
      <c r="B1909" s="116">
        <v>1967</v>
      </c>
      <c r="C1909" s="116">
        <v>1961.65</v>
      </c>
      <c r="D1909" s="116">
        <v>1943.1</v>
      </c>
      <c r="E1909" s="116">
        <v>1943.1</v>
      </c>
      <c r="F1909" s="116">
        <v>1961.65</v>
      </c>
      <c r="G1909">
        <v>71668</v>
      </c>
      <c r="H1909" s="116"/>
      <c r="I1909" s="116"/>
      <c r="L1909" s="170">
        <v>44816</v>
      </c>
      <c r="M1909" s="116">
        <v>1961.9</v>
      </c>
      <c r="N1909" s="116">
        <v>1967</v>
      </c>
      <c r="O1909" s="116">
        <v>1947.9</v>
      </c>
      <c r="P1909" s="116">
        <v>1949.75</v>
      </c>
      <c r="Q1909" s="116">
        <v>1961.9</v>
      </c>
      <c r="R1909">
        <v>791708</v>
      </c>
    </row>
    <row r="1910" spans="1:18" x14ac:dyDescent="0.25">
      <c r="A1910" s="170">
        <v>44817</v>
      </c>
      <c r="B1910" s="116">
        <v>1995</v>
      </c>
      <c r="C1910" s="116">
        <v>1991.45</v>
      </c>
      <c r="D1910" s="116">
        <v>1957.55</v>
      </c>
      <c r="E1910" s="116">
        <v>1961.7</v>
      </c>
      <c r="F1910" s="116">
        <v>1991.45</v>
      </c>
      <c r="G1910">
        <v>119293</v>
      </c>
      <c r="H1910" s="116"/>
      <c r="I1910" s="116"/>
      <c r="L1910" s="170">
        <v>44817</v>
      </c>
      <c r="M1910" s="116">
        <v>1991.35</v>
      </c>
      <c r="N1910" s="116">
        <v>1995</v>
      </c>
      <c r="O1910" s="116">
        <v>1963.1</v>
      </c>
      <c r="P1910" s="116">
        <v>1968.9</v>
      </c>
      <c r="Q1910" s="116">
        <v>1991.35</v>
      </c>
      <c r="R1910">
        <v>1761021</v>
      </c>
    </row>
    <row r="1911" spans="1:18" x14ac:dyDescent="0.25">
      <c r="A1911" s="170">
        <v>44818</v>
      </c>
      <c r="B1911" s="116">
        <v>1973</v>
      </c>
      <c r="C1911" s="116">
        <v>1955.05</v>
      </c>
      <c r="D1911" s="116">
        <v>1950.1</v>
      </c>
      <c r="E1911" s="116">
        <v>1958</v>
      </c>
      <c r="F1911" s="116">
        <v>1955.05</v>
      </c>
      <c r="G1911">
        <v>70038</v>
      </c>
      <c r="H1911" s="116"/>
      <c r="I1911" s="116"/>
      <c r="L1911" s="170">
        <v>44818</v>
      </c>
      <c r="M1911" s="116">
        <v>1953.9</v>
      </c>
      <c r="N1911" s="116">
        <v>1972.95</v>
      </c>
      <c r="O1911" s="116">
        <v>1949.4</v>
      </c>
      <c r="P1911" s="116">
        <v>1964.65</v>
      </c>
      <c r="Q1911" s="116">
        <v>1953.9</v>
      </c>
      <c r="R1911">
        <v>2322752</v>
      </c>
    </row>
    <row r="1912" spans="1:18" x14ac:dyDescent="0.25">
      <c r="A1912" s="170">
        <v>44819</v>
      </c>
      <c r="B1912" s="116">
        <v>1984</v>
      </c>
      <c r="C1912" s="116">
        <v>1957.7</v>
      </c>
      <c r="D1912" s="116">
        <v>1954.05</v>
      </c>
      <c r="E1912" s="116">
        <v>1955.05</v>
      </c>
      <c r="F1912" s="116">
        <v>1957.7</v>
      </c>
      <c r="G1912">
        <v>76862</v>
      </c>
      <c r="H1912" s="116"/>
      <c r="I1912" s="116"/>
      <c r="L1912" s="170">
        <v>44819</v>
      </c>
      <c r="M1912" s="116">
        <v>1957.5</v>
      </c>
      <c r="N1912" s="116">
        <v>1984.7</v>
      </c>
      <c r="O1912" s="116">
        <v>1954.8</v>
      </c>
      <c r="P1912" s="116">
        <v>1959.1</v>
      </c>
      <c r="Q1912" s="116">
        <v>1957.5</v>
      </c>
      <c r="R1912">
        <v>1566565</v>
      </c>
    </row>
    <row r="1913" spans="1:18" x14ac:dyDescent="0.25">
      <c r="A1913" s="170">
        <v>44820</v>
      </c>
      <c r="B1913" s="116">
        <v>1957</v>
      </c>
      <c r="C1913" s="116">
        <v>1919.6</v>
      </c>
      <c r="D1913" s="116">
        <v>1912.35</v>
      </c>
      <c r="E1913" s="116">
        <v>1955</v>
      </c>
      <c r="F1913" s="116">
        <v>1919.6</v>
      </c>
      <c r="G1913">
        <v>72701</v>
      </c>
      <c r="H1913" s="116"/>
      <c r="I1913" s="116"/>
      <c r="L1913" s="170">
        <v>44820</v>
      </c>
      <c r="M1913" s="116">
        <v>1920</v>
      </c>
      <c r="N1913" s="116">
        <v>1956.9</v>
      </c>
      <c r="O1913" s="116">
        <v>1915</v>
      </c>
      <c r="P1913" s="116">
        <v>1947</v>
      </c>
      <c r="Q1913" s="116">
        <v>1920</v>
      </c>
      <c r="R1913">
        <v>3881617</v>
      </c>
    </row>
    <row r="1914" spans="1:18" x14ac:dyDescent="0.25">
      <c r="A1914" s="170">
        <v>44823</v>
      </c>
      <c r="B1914" s="116">
        <v>1931</v>
      </c>
      <c r="C1914" s="116">
        <v>1910.2</v>
      </c>
      <c r="D1914" s="116">
        <v>1905.05</v>
      </c>
      <c r="E1914" s="116">
        <v>1921</v>
      </c>
      <c r="F1914" s="116">
        <v>1910.2</v>
      </c>
      <c r="G1914">
        <v>683904</v>
      </c>
      <c r="H1914" s="116"/>
      <c r="I1914" s="116"/>
      <c r="L1914" s="170">
        <v>44823</v>
      </c>
      <c r="M1914" s="116">
        <v>1910.7</v>
      </c>
      <c r="N1914" s="116">
        <v>1931.95</v>
      </c>
      <c r="O1914" s="116">
        <v>1905</v>
      </c>
      <c r="P1914" s="116">
        <v>1921.1</v>
      </c>
      <c r="Q1914" s="116">
        <v>1910.7</v>
      </c>
      <c r="R1914">
        <v>1755456</v>
      </c>
    </row>
    <row r="1915" spans="1:18" x14ac:dyDescent="0.25">
      <c r="A1915" s="170">
        <v>44824</v>
      </c>
      <c r="B1915" s="116">
        <v>1956.35</v>
      </c>
      <c r="C1915" s="116">
        <v>1932.15</v>
      </c>
      <c r="D1915" s="116">
        <v>1916.55</v>
      </c>
      <c r="E1915" s="116">
        <v>1916.55</v>
      </c>
      <c r="F1915" s="116">
        <v>1932.15</v>
      </c>
      <c r="G1915">
        <v>33471</v>
      </c>
      <c r="H1915" s="116"/>
      <c r="I1915" s="116"/>
      <c r="L1915" s="170">
        <v>44824</v>
      </c>
      <c r="M1915" s="116">
        <v>1932.7</v>
      </c>
      <c r="N1915" s="116">
        <v>1955.8</v>
      </c>
      <c r="O1915" s="116">
        <v>1925</v>
      </c>
      <c r="P1915" s="116">
        <v>1931</v>
      </c>
      <c r="Q1915" s="116">
        <v>1932.7</v>
      </c>
      <c r="R1915">
        <v>1666658</v>
      </c>
    </row>
    <row r="1916" spans="1:18" x14ac:dyDescent="0.25">
      <c r="A1916" s="170">
        <v>44825</v>
      </c>
      <c r="B1916" s="116">
        <v>1946</v>
      </c>
      <c r="C1916" s="116">
        <v>1895.8</v>
      </c>
      <c r="D1916" s="116">
        <v>1892</v>
      </c>
      <c r="E1916" s="116">
        <v>1913.35</v>
      </c>
      <c r="F1916" s="116">
        <v>1895.8</v>
      </c>
      <c r="G1916">
        <v>50689</v>
      </c>
      <c r="H1916" s="116"/>
      <c r="I1916" s="116"/>
      <c r="L1916" s="170">
        <v>44825</v>
      </c>
      <c r="M1916" s="116">
        <v>1895.65</v>
      </c>
      <c r="N1916" s="116">
        <v>1946.3</v>
      </c>
      <c r="O1916" s="116">
        <v>1891.6</v>
      </c>
      <c r="P1916" s="116">
        <v>1921.1</v>
      </c>
      <c r="Q1916" s="116">
        <v>1895.65</v>
      </c>
      <c r="R1916">
        <v>1618385</v>
      </c>
    </row>
    <row r="1917" spans="1:18" x14ac:dyDescent="0.25">
      <c r="A1917" s="170">
        <v>44826</v>
      </c>
      <c r="B1917" s="116">
        <v>1905</v>
      </c>
      <c r="C1917" s="116">
        <v>1887.45</v>
      </c>
      <c r="D1917" s="116">
        <v>1872.5</v>
      </c>
      <c r="E1917" s="116">
        <v>1874</v>
      </c>
      <c r="F1917" s="116">
        <v>1887.45</v>
      </c>
      <c r="G1917">
        <v>74775</v>
      </c>
      <c r="H1917" s="116"/>
      <c r="I1917" s="116"/>
      <c r="L1917" s="170">
        <v>44826</v>
      </c>
      <c r="M1917" s="116">
        <v>1888.2</v>
      </c>
      <c r="N1917" s="116">
        <v>1905.6</v>
      </c>
      <c r="O1917" s="116">
        <v>1873</v>
      </c>
      <c r="P1917" s="116">
        <v>1882</v>
      </c>
      <c r="Q1917" s="116">
        <v>1888.2</v>
      </c>
      <c r="R1917">
        <v>1875115</v>
      </c>
    </row>
    <row r="1918" spans="1:18" x14ac:dyDescent="0.25">
      <c r="A1918" s="170">
        <v>44827</v>
      </c>
      <c r="B1918" s="116">
        <v>1895</v>
      </c>
      <c r="C1918" s="116">
        <v>1857.45</v>
      </c>
      <c r="D1918" s="116">
        <v>1852.25</v>
      </c>
      <c r="E1918" s="116">
        <v>1890</v>
      </c>
      <c r="F1918" s="116">
        <v>1857.45</v>
      </c>
      <c r="G1918">
        <v>85475</v>
      </c>
      <c r="H1918" s="116"/>
      <c r="I1918" s="116"/>
      <c r="L1918" s="170">
        <v>44827</v>
      </c>
      <c r="M1918" s="116">
        <v>1856.85</v>
      </c>
      <c r="N1918" s="116">
        <v>1895.45</v>
      </c>
      <c r="O1918" s="116">
        <v>1852.55</v>
      </c>
      <c r="P1918" s="116">
        <v>1890</v>
      </c>
      <c r="Q1918" s="116">
        <v>1856.85</v>
      </c>
      <c r="R1918">
        <v>1948766</v>
      </c>
    </row>
    <row r="1919" spans="1:18" x14ac:dyDescent="0.25">
      <c r="A1919" s="170">
        <v>44830</v>
      </c>
      <c r="B1919" s="116">
        <v>1876.9</v>
      </c>
      <c r="C1919" s="116">
        <v>1851.3</v>
      </c>
      <c r="D1919" s="116">
        <v>1818</v>
      </c>
      <c r="E1919" s="116">
        <v>1845.1</v>
      </c>
      <c r="F1919" s="116">
        <v>1851.3</v>
      </c>
      <c r="G1919">
        <v>84735</v>
      </c>
      <c r="H1919" s="116"/>
      <c r="I1919" s="116"/>
      <c r="L1919" s="170">
        <v>44830</v>
      </c>
      <c r="M1919" s="116">
        <v>1851.45</v>
      </c>
      <c r="N1919" s="116">
        <v>1876.8</v>
      </c>
      <c r="O1919" s="116">
        <v>1818</v>
      </c>
      <c r="P1919" s="116">
        <v>1849</v>
      </c>
      <c r="Q1919" s="116">
        <v>1851.45</v>
      </c>
      <c r="R1919">
        <v>1529101</v>
      </c>
    </row>
    <row r="1920" spans="1:18" x14ac:dyDescent="0.25">
      <c r="A1920" s="170">
        <v>44831</v>
      </c>
      <c r="B1920" s="116">
        <v>1863.4</v>
      </c>
      <c r="C1920" s="116">
        <v>1840.1</v>
      </c>
      <c r="D1920" s="116">
        <v>1833</v>
      </c>
      <c r="E1920" s="116">
        <v>1849.15</v>
      </c>
      <c r="F1920" s="116">
        <v>1840.1</v>
      </c>
      <c r="G1920">
        <v>28901</v>
      </c>
      <c r="H1920" s="116"/>
      <c r="I1920" s="116"/>
      <c r="L1920" s="170">
        <v>44831</v>
      </c>
      <c r="M1920" s="116">
        <v>1841.2</v>
      </c>
      <c r="N1920" s="116">
        <v>1864</v>
      </c>
      <c r="O1920" s="116">
        <v>1832.5</v>
      </c>
      <c r="P1920" s="116">
        <v>1856</v>
      </c>
      <c r="Q1920" s="116">
        <v>1841.2</v>
      </c>
      <c r="R1920">
        <v>1443698</v>
      </c>
    </row>
    <row r="1921" spans="1:18" x14ac:dyDescent="0.25">
      <c r="A1921" s="170">
        <v>44832</v>
      </c>
      <c r="B1921" s="116">
        <v>1856.4</v>
      </c>
      <c r="C1921" s="116">
        <v>1833.1</v>
      </c>
      <c r="D1921" s="116">
        <v>1828</v>
      </c>
      <c r="E1921" s="116">
        <v>1834.75</v>
      </c>
      <c r="F1921" s="116">
        <v>1833.1</v>
      </c>
      <c r="G1921">
        <v>76327</v>
      </c>
      <c r="H1921" s="116"/>
      <c r="I1921" s="116"/>
      <c r="L1921" s="170">
        <v>44832</v>
      </c>
      <c r="M1921" s="116">
        <v>1835.45</v>
      </c>
      <c r="N1921" s="116">
        <v>1856</v>
      </c>
      <c r="O1921" s="116">
        <v>1825.6</v>
      </c>
      <c r="P1921" s="116">
        <v>1829.7</v>
      </c>
      <c r="Q1921" s="116">
        <v>1835.45</v>
      </c>
      <c r="R1921">
        <v>1853503</v>
      </c>
    </row>
    <row r="1922" spans="1:18" x14ac:dyDescent="0.25">
      <c r="A1922" s="170">
        <v>44833</v>
      </c>
      <c r="B1922" s="116">
        <v>1856.4</v>
      </c>
      <c r="C1922" s="116">
        <v>1814.8</v>
      </c>
      <c r="D1922" s="116">
        <v>1798</v>
      </c>
      <c r="E1922" s="116">
        <v>1839.05</v>
      </c>
      <c r="F1922" s="116">
        <v>1814.8</v>
      </c>
      <c r="G1922">
        <v>41419</v>
      </c>
      <c r="H1922" s="116"/>
      <c r="I1922" s="116"/>
      <c r="L1922" s="170">
        <v>44833</v>
      </c>
      <c r="M1922" s="116">
        <v>1815.5</v>
      </c>
      <c r="N1922" s="116">
        <v>1857.4</v>
      </c>
      <c r="O1922" s="116">
        <v>1797.4</v>
      </c>
      <c r="P1922" s="116">
        <v>1844.65</v>
      </c>
      <c r="Q1922" s="116">
        <v>1815.5</v>
      </c>
      <c r="R1922">
        <v>2377718</v>
      </c>
    </row>
    <row r="1923" spans="1:18" x14ac:dyDescent="0.25">
      <c r="A1923" s="170">
        <v>44834</v>
      </c>
      <c r="B1923" s="116">
        <v>1882.3</v>
      </c>
      <c r="C1923" s="116">
        <v>1848.7</v>
      </c>
      <c r="D1923" s="116">
        <v>1816.5</v>
      </c>
      <c r="E1923" s="116">
        <v>1828.95</v>
      </c>
      <c r="F1923" s="116">
        <v>1848.7</v>
      </c>
      <c r="G1923">
        <v>45673</v>
      </c>
      <c r="H1923" s="116"/>
      <c r="I1923" s="116"/>
      <c r="L1923" s="170">
        <v>44834</v>
      </c>
      <c r="M1923" s="116">
        <v>1847.7</v>
      </c>
      <c r="N1923" s="116">
        <v>1882.95</v>
      </c>
      <c r="O1923" s="116">
        <v>1816.05</v>
      </c>
      <c r="P1923" s="116">
        <v>1823.95</v>
      </c>
      <c r="Q1923" s="116">
        <v>1847.7</v>
      </c>
      <c r="R1923">
        <v>2339518</v>
      </c>
    </row>
    <row r="1924" spans="1:18" x14ac:dyDescent="0.25">
      <c r="A1924" s="170">
        <v>44837</v>
      </c>
      <c r="B1924" s="116">
        <v>1850</v>
      </c>
      <c r="C1924" s="116">
        <v>1819.3</v>
      </c>
      <c r="D1924" s="116">
        <v>1814</v>
      </c>
      <c r="E1924" s="116">
        <v>1848.7</v>
      </c>
      <c r="F1924" s="116">
        <v>1819.3</v>
      </c>
      <c r="G1924">
        <v>65973</v>
      </c>
      <c r="H1924" s="116"/>
      <c r="I1924" s="116"/>
      <c r="L1924" s="170">
        <v>44837</v>
      </c>
      <c r="M1924" s="116">
        <v>1819.3</v>
      </c>
      <c r="N1924" s="116">
        <v>1852</v>
      </c>
      <c r="O1924" s="116">
        <v>1814</v>
      </c>
      <c r="P1924" s="116">
        <v>1852</v>
      </c>
      <c r="Q1924" s="116">
        <v>1819.3</v>
      </c>
      <c r="R1924">
        <v>1850414</v>
      </c>
    </row>
    <row r="1925" spans="1:18" x14ac:dyDescent="0.25">
      <c r="A1925" s="170">
        <v>44838</v>
      </c>
      <c r="B1925" s="116">
        <v>1880</v>
      </c>
      <c r="C1925" s="116">
        <v>1871.45</v>
      </c>
      <c r="D1925" s="116">
        <v>1841.2</v>
      </c>
      <c r="E1925" s="116">
        <v>1841.2</v>
      </c>
      <c r="F1925" s="116">
        <v>1871.45</v>
      </c>
      <c r="G1925">
        <v>37772</v>
      </c>
      <c r="H1925" s="116"/>
      <c r="I1925" s="116"/>
      <c r="L1925" s="170">
        <v>44838</v>
      </c>
      <c r="M1925" s="116">
        <v>1871.55</v>
      </c>
      <c r="N1925" s="116">
        <v>1880.95</v>
      </c>
      <c r="O1925" s="116">
        <v>1835.3</v>
      </c>
      <c r="P1925" s="116">
        <v>1835.3</v>
      </c>
      <c r="Q1925" s="116">
        <v>1871.55</v>
      </c>
      <c r="R1925">
        <v>1637532</v>
      </c>
    </row>
    <row r="1926" spans="1:18" x14ac:dyDescent="0.25">
      <c r="A1926" s="170">
        <v>44840</v>
      </c>
      <c r="B1926" s="116">
        <v>1918.95</v>
      </c>
      <c r="C1926" s="116">
        <v>1913.4</v>
      </c>
      <c r="D1926" s="116">
        <v>1881.2</v>
      </c>
      <c r="E1926" s="116">
        <v>1881.2</v>
      </c>
      <c r="F1926" s="116">
        <v>1913.4</v>
      </c>
      <c r="G1926">
        <v>43143</v>
      </c>
      <c r="H1926" s="116"/>
      <c r="I1926" s="116"/>
      <c r="L1926" s="170">
        <v>44840</v>
      </c>
      <c r="M1926" s="116">
        <v>1912.95</v>
      </c>
      <c r="N1926" s="116">
        <v>1919</v>
      </c>
      <c r="O1926" s="116">
        <v>1878.1</v>
      </c>
      <c r="P1926" s="116">
        <v>1882</v>
      </c>
      <c r="Q1926" s="116">
        <v>1912.95</v>
      </c>
      <c r="R1926">
        <v>2771898</v>
      </c>
    </row>
    <row r="1927" spans="1:18" x14ac:dyDescent="0.25">
      <c r="A1927" s="170">
        <v>44841</v>
      </c>
      <c r="B1927" s="116">
        <v>1928.3</v>
      </c>
      <c r="C1927" s="116">
        <v>1924.4</v>
      </c>
      <c r="D1927" s="116">
        <v>1902.65</v>
      </c>
      <c r="E1927" s="116">
        <v>1906</v>
      </c>
      <c r="F1927" s="116">
        <v>1924.4</v>
      </c>
      <c r="G1927">
        <v>80329</v>
      </c>
      <c r="H1927" s="116"/>
      <c r="I1927" s="116"/>
      <c r="L1927" s="170">
        <v>44841</v>
      </c>
      <c r="M1927" s="116">
        <v>1924.55</v>
      </c>
      <c r="N1927" s="116">
        <v>1928.95</v>
      </c>
      <c r="O1927" s="116">
        <v>1903.05</v>
      </c>
      <c r="P1927" s="116">
        <v>1905</v>
      </c>
      <c r="Q1927" s="116">
        <v>1924.55</v>
      </c>
      <c r="R1927">
        <v>1469264</v>
      </c>
    </row>
    <row r="1928" spans="1:18" x14ac:dyDescent="0.25">
      <c r="A1928" s="170">
        <v>44844</v>
      </c>
      <c r="B1928" s="116">
        <v>1916.3</v>
      </c>
      <c r="C1928" s="116">
        <v>1908.7</v>
      </c>
      <c r="D1928" s="116">
        <v>1884</v>
      </c>
      <c r="E1928" s="116">
        <v>1910</v>
      </c>
      <c r="F1928" s="116">
        <v>1908.7</v>
      </c>
      <c r="G1928">
        <v>37364</v>
      </c>
      <c r="H1928" s="116"/>
      <c r="I1928" s="116"/>
      <c r="L1928" s="170">
        <v>44844</v>
      </c>
      <c r="M1928" s="116">
        <v>1909.65</v>
      </c>
      <c r="N1928" s="116">
        <v>1917</v>
      </c>
      <c r="O1928" s="116">
        <v>1883.5</v>
      </c>
      <c r="P1928" s="116">
        <v>1905</v>
      </c>
      <c r="Q1928" s="116">
        <v>1909.65</v>
      </c>
      <c r="R1928">
        <v>1656954</v>
      </c>
    </row>
    <row r="1929" spans="1:18" x14ac:dyDescent="0.25">
      <c r="A1929" s="170">
        <v>44845</v>
      </c>
      <c r="B1929" s="116">
        <v>1919.1</v>
      </c>
      <c r="C1929" s="116">
        <v>1879.55</v>
      </c>
      <c r="D1929" s="116">
        <v>1871.5</v>
      </c>
      <c r="E1929" s="116">
        <v>1915</v>
      </c>
      <c r="F1929" s="116">
        <v>1879.55</v>
      </c>
      <c r="G1929">
        <v>941201</v>
      </c>
      <c r="H1929" s="116"/>
      <c r="I1929" s="116"/>
      <c r="L1929" s="170">
        <v>44845</v>
      </c>
      <c r="M1929" s="116">
        <v>1878.95</v>
      </c>
      <c r="N1929" s="116">
        <v>1923.8</v>
      </c>
      <c r="O1929" s="116">
        <v>1871.25</v>
      </c>
      <c r="P1929" s="116">
        <v>1923.8</v>
      </c>
      <c r="Q1929" s="116">
        <v>1878.95</v>
      </c>
      <c r="R1929">
        <v>1047963</v>
      </c>
    </row>
    <row r="1930" spans="1:18" x14ac:dyDescent="0.25">
      <c r="A1930" s="170">
        <v>44846</v>
      </c>
      <c r="B1930" s="116">
        <v>1915.2</v>
      </c>
      <c r="C1930" s="116">
        <v>1911.45</v>
      </c>
      <c r="D1930" s="116">
        <v>1858</v>
      </c>
      <c r="E1930" s="116">
        <v>1871.65</v>
      </c>
      <c r="F1930" s="116">
        <v>1911.45</v>
      </c>
      <c r="G1930">
        <v>57149</v>
      </c>
      <c r="H1930" s="116"/>
      <c r="I1930" s="116"/>
      <c r="L1930" s="170">
        <v>44846</v>
      </c>
      <c r="M1930" s="116">
        <v>1911.25</v>
      </c>
      <c r="N1930" s="116">
        <v>1916</v>
      </c>
      <c r="O1930" s="116">
        <v>1858.05</v>
      </c>
      <c r="P1930" s="116">
        <v>1880</v>
      </c>
      <c r="Q1930" s="116">
        <v>1911.25</v>
      </c>
      <c r="R1930">
        <v>1907748</v>
      </c>
    </row>
    <row r="1931" spans="1:18" x14ac:dyDescent="0.25">
      <c r="A1931" s="170">
        <v>44847</v>
      </c>
      <c r="B1931" s="116">
        <v>1912</v>
      </c>
      <c r="C1931" s="116">
        <v>1876</v>
      </c>
      <c r="D1931" s="116">
        <v>1868.15</v>
      </c>
      <c r="E1931" s="116">
        <v>1903.9</v>
      </c>
      <c r="F1931" s="116">
        <v>1876</v>
      </c>
      <c r="G1931">
        <v>36136</v>
      </c>
      <c r="H1931" s="116"/>
      <c r="I1931" s="116"/>
      <c r="L1931" s="170">
        <v>44847</v>
      </c>
      <c r="M1931" s="116">
        <v>1876.15</v>
      </c>
      <c r="N1931" s="116">
        <v>1912</v>
      </c>
      <c r="O1931" s="116">
        <v>1868.25</v>
      </c>
      <c r="P1931" s="116">
        <v>1901</v>
      </c>
      <c r="Q1931" s="116">
        <v>1876.15</v>
      </c>
      <c r="R1931">
        <v>1303645</v>
      </c>
    </row>
    <row r="1932" spans="1:18" x14ac:dyDescent="0.25">
      <c r="A1932" s="170">
        <v>44848</v>
      </c>
      <c r="B1932" s="116">
        <v>1936.55</v>
      </c>
      <c r="C1932" s="116">
        <v>1911.55</v>
      </c>
      <c r="D1932" s="116">
        <v>1890.05</v>
      </c>
      <c r="E1932" s="116">
        <v>1890.05</v>
      </c>
      <c r="F1932" s="116">
        <v>1911.55</v>
      </c>
      <c r="G1932">
        <v>48858</v>
      </c>
      <c r="H1932" s="116"/>
      <c r="I1932" s="116"/>
      <c r="L1932" s="170">
        <v>44848</v>
      </c>
      <c r="M1932" s="116">
        <v>1911.6</v>
      </c>
      <c r="N1932" s="116">
        <v>1936.75</v>
      </c>
      <c r="O1932" s="116">
        <v>1898.45</v>
      </c>
      <c r="P1932" s="116">
        <v>1900</v>
      </c>
      <c r="Q1932" s="116">
        <v>1911.6</v>
      </c>
      <c r="R1932">
        <v>1819114</v>
      </c>
    </row>
    <row r="1933" spans="1:18" x14ac:dyDescent="0.25">
      <c r="A1933" s="170">
        <v>44851</v>
      </c>
      <c r="B1933" s="116">
        <v>1914</v>
      </c>
      <c r="C1933" s="116">
        <v>1883.8</v>
      </c>
      <c r="D1933" s="116">
        <v>1879</v>
      </c>
      <c r="E1933" s="116">
        <v>1900</v>
      </c>
      <c r="F1933" s="116">
        <v>1883.8</v>
      </c>
      <c r="G1933">
        <v>949940</v>
      </c>
      <c r="H1933" s="116"/>
      <c r="I1933" s="116"/>
      <c r="L1933" s="170">
        <v>44851</v>
      </c>
      <c r="M1933" s="116">
        <v>1883.2</v>
      </c>
      <c r="N1933" s="116">
        <v>1914</v>
      </c>
      <c r="O1933" s="116">
        <v>1878.4</v>
      </c>
      <c r="P1933" s="116">
        <v>1902.9</v>
      </c>
      <c r="Q1933" s="116">
        <v>1883.2</v>
      </c>
      <c r="R1933">
        <v>2588147</v>
      </c>
    </row>
    <row r="1934" spans="1:18" x14ac:dyDescent="0.25">
      <c r="A1934" s="170">
        <v>44852</v>
      </c>
      <c r="B1934" s="116">
        <v>1931</v>
      </c>
      <c r="C1934" s="116">
        <v>1917.4</v>
      </c>
      <c r="D1934" s="116">
        <v>1888.55</v>
      </c>
      <c r="E1934" s="116">
        <v>1888.55</v>
      </c>
      <c r="F1934" s="116">
        <v>1917.4</v>
      </c>
      <c r="G1934">
        <v>64666</v>
      </c>
      <c r="H1934" s="116"/>
      <c r="I1934" s="116"/>
      <c r="L1934" s="170">
        <v>44852</v>
      </c>
      <c r="M1934" s="116">
        <v>1918.1</v>
      </c>
      <c r="N1934" s="116">
        <v>1931.2</v>
      </c>
      <c r="O1934" s="116">
        <v>1893.1</v>
      </c>
      <c r="P1934" s="116">
        <v>1893.1</v>
      </c>
      <c r="Q1934" s="116">
        <v>1918.1</v>
      </c>
      <c r="R1934">
        <v>1401849</v>
      </c>
    </row>
    <row r="1935" spans="1:18" x14ac:dyDescent="0.25">
      <c r="A1935" s="170">
        <v>44853</v>
      </c>
      <c r="B1935" s="116">
        <v>1946.7</v>
      </c>
      <c r="C1935" s="116">
        <v>1904.9</v>
      </c>
      <c r="D1935" s="116">
        <v>1902</v>
      </c>
      <c r="E1935" s="116">
        <v>1918</v>
      </c>
      <c r="F1935" s="116">
        <v>1904.9</v>
      </c>
      <c r="G1935">
        <v>37826</v>
      </c>
      <c r="H1935" s="116"/>
      <c r="I1935" s="116"/>
      <c r="L1935" s="170">
        <v>44853</v>
      </c>
      <c r="M1935" s="116">
        <v>1904.9</v>
      </c>
      <c r="N1935" s="116">
        <v>1947</v>
      </c>
      <c r="O1935" s="116">
        <v>1901.65</v>
      </c>
      <c r="P1935" s="116">
        <v>1920</v>
      </c>
      <c r="Q1935" s="116">
        <v>1904.9</v>
      </c>
      <c r="R1935">
        <v>1636141</v>
      </c>
    </row>
    <row r="1936" spans="1:18" x14ac:dyDescent="0.25">
      <c r="A1936" s="170">
        <v>44854</v>
      </c>
      <c r="B1936" s="116">
        <v>1917.05</v>
      </c>
      <c r="C1936" s="116">
        <v>1904.25</v>
      </c>
      <c r="D1936" s="116">
        <v>1887</v>
      </c>
      <c r="E1936" s="116">
        <v>1895.1</v>
      </c>
      <c r="F1936" s="116">
        <v>1904.25</v>
      </c>
      <c r="G1936">
        <v>25087</v>
      </c>
      <c r="H1936" s="116"/>
      <c r="I1936" s="116"/>
      <c r="L1936" s="170">
        <v>44854</v>
      </c>
      <c r="M1936" s="116">
        <v>1904.15</v>
      </c>
      <c r="N1936" s="116">
        <v>1917.8</v>
      </c>
      <c r="O1936" s="116">
        <v>1886.3</v>
      </c>
      <c r="P1936" s="116">
        <v>1898.65</v>
      </c>
      <c r="Q1936" s="116">
        <v>1904.15</v>
      </c>
      <c r="R1936">
        <v>1374019</v>
      </c>
    </row>
    <row r="1937" spans="1:18" x14ac:dyDescent="0.25">
      <c r="A1937" s="170">
        <v>44855</v>
      </c>
      <c r="B1937" s="116">
        <v>1925</v>
      </c>
      <c r="C1937" s="116">
        <v>1875.55</v>
      </c>
      <c r="D1937" s="116">
        <v>1866.95</v>
      </c>
      <c r="E1937" s="116">
        <v>1908.45</v>
      </c>
      <c r="F1937" s="116">
        <v>1875.55</v>
      </c>
      <c r="G1937">
        <v>39941</v>
      </c>
      <c r="H1937" s="116"/>
      <c r="I1937" s="116"/>
      <c r="L1937" s="170">
        <v>44855</v>
      </c>
      <c r="M1937" s="116">
        <v>1876.75</v>
      </c>
      <c r="N1937" s="116">
        <v>1925</v>
      </c>
      <c r="O1937" s="116">
        <v>1867.1</v>
      </c>
      <c r="P1937" s="116">
        <v>1913.7</v>
      </c>
      <c r="Q1937" s="116">
        <v>1876.75</v>
      </c>
      <c r="R1937">
        <v>2225676</v>
      </c>
    </row>
    <row r="1938" spans="1:18" x14ac:dyDescent="0.25">
      <c r="A1938" s="170">
        <v>44858</v>
      </c>
      <c r="B1938" s="116">
        <v>1920</v>
      </c>
      <c r="C1938" s="116">
        <v>1910.1</v>
      </c>
      <c r="D1938" s="116">
        <v>1900</v>
      </c>
      <c r="E1938" s="116">
        <v>1909</v>
      </c>
      <c r="F1938" s="116">
        <v>1910.1</v>
      </c>
      <c r="G1938">
        <v>15037</v>
      </c>
      <c r="H1938" s="116"/>
      <c r="I1938" s="116"/>
      <c r="L1938" s="170">
        <v>44858</v>
      </c>
      <c r="M1938" s="116">
        <v>1909.75</v>
      </c>
      <c r="N1938" s="116">
        <v>1919.9</v>
      </c>
      <c r="O1938" s="116">
        <v>1900</v>
      </c>
      <c r="P1938" s="116">
        <v>1906</v>
      </c>
      <c r="Q1938" s="116">
        <v>1909.75</v>
      </c>
      <c r="R1938">
        <v>269400</v>
      </c>
    </row>
    <row r="1939" spans="1:18" x14ac:dyDescent="0.25">
      <c r="A1939" s="170">
        <v>44859</v>
      </c>
      <c r="B1939" s="116">
        <v>1954.85</v>
      </c>
      <c r="C1939" s="116">
        <v>1947.9</v>
      </c>
      <c r="D1939" s="116">
        <v>1892.6</v>
      </c>
      <c r="E1939" s="116">
        <v>1911.05</v>
      </c>
      <c r="F1939" s="116">
        <v>1947.9</v>
      </c>
      <c r="G1939">
        <v>90248</v>
      </c>
      <c r="H1939" s="116"/>
      <c r="I1939" s="116"/>
      <c r="L1939" s="170">
        <v>44859</v>
      </c>
      <c r="M1939" s="116">
        <v>1949.1</v>
      </c>
      <c r="N1939" s="116">
        <v>1954.65</v>
      </c>
      <c r="O1939" s="116">
        <v>1891.55</v>
      </c>
      <c r="P1939" s="116">
        <v>1915</v>
      </c>
      <c r="Q1939" s="116">
        <v>1949.1</v>
      </c>
      <c r="R1939">
        <v>2136147</v>
      </c>
    </row>
    <row r="1940" spans="1:18" x14ac:dyDescent="0.25">
      <c r="A1940" s="170">
        <v>44861</v>
      </c>
      <c r="B1940" s="116">
        <v>1971.05</v>
      </c>
      <c r="C1940" s="116">
        <v>1964.3</v>
      </c>
      <c r="D1940" s="116">
        <v>1947.7</v>
      </c>
      <c r="E1940" s="116">
        <v>1947.9</v>
      </c>
      <c r="F1940" s="116">
        <v>1964.3</v>
      </c>
      <c r="G1940">
        <v>152981</v>
      </c>
      <c r="H1940" s="116"/>
      <c r="I1940" s="116"/>
      <c r="L1940" s="170">
        <v>44861</v>
      </c>
      <c r="M1940" s="116">
        <v>1964.05</v>
      </c>
      <c r="N1940" s="116">
        <v>1971.85</v>
      </c>
      <c r="O1940" s="116">
        <v>1949.9</v>
      </c>
      <c r="P1940" s="116">
        <v>1952.1</v>
      </c>
      <c r="Q1940" s="116">
        <v>1964.05</v>
      </c>
      <c r="R1940">
        <v>2245395</v>
      </c>
    </row>
    <row r="1941" spans="1:18" x14ac:dyDescent="0.25">
      <c r="A1941" s="170">
        <v>44862</v>
      </c>
      <c r="B1941" s="116">
        <v>1985.55</v>
      </c>
      <c r="C1941" s="116">
        <v>1974.65</v>
      </c>
      <c r="D1941" s="116">
        <v>1963.15</v>
      </c>
      <c r="E1941" s="116">
        <v>1970</v>
      </c>
      <c r="F1941" s="116">
        <v>1974.65</v>
      </c>
      <c r="G1941">
        <v>82548</v>
      </c>
      <c r="H1941" s="116"/>
      <c r="I1941" s="116"/>
      <c r="L1941" s="170">
        <v>44862</v>
      </c>
      <c r="M1941" s="116">
        <v>1975.05</v>
      </c>
      <c r="N1941" s="116">
        <v>1986</v>
      </c>
      <c r="O1941" s="116">
        <v>1963.8</v>
      </c>
      <c r="P1941" s="116">
        <v>1972</v>
      </c>
      <c r="Q1941" s="116">
        <v>1975.05</v>
      </c>
      <c r="R1941">
        <v>2013794</v>
      </c>
    </row>
    <row r="1942" spans="1:18" x14ac:dyDescent="0.25">
      <c r="A1942" s="170">
        <v>44865</v>
      </c>
      <c r="B1942" s="116">
        <v>2033.8</v>
      </c>
      <c r="C1942" s="116">
        <v>2023.95</v>
      </c>
      <c r="D1942" s="116">
        <v>1976</v>
      </c>
      <c r="E1942" s="116">
        <v>1976</v>
      </c>
      <c r="F1942" s="116">
        <v>2023.95</v>
      </c>
      <c r="G1942">
        <v>146029</v>
      </c>
      <c r="H1942" s="116"/>
      <c r="I1942" s="116"/>
      <c r="L1942" s="170">
        <v>44865</v>
      </c>
      <c r="M1942" s="116">
        <v>2023.1</v>
      </c>
      <c r="N1942" s="116">
        <v>2034.65</v>
      </c>
      <c r="O1942" s="116">
        <v>1978.2</v>
      </c>
      <c r="P1942" s="116">
        <v>1986</v>
      </c>
      <c r="Q1942" s="116">
        <v>2023.1</v>
      </c>
      <c r="R1942">
        <v>3176507</v>
      </c>
    </row>
    <row r="1943" spans="1:18" x14ac:dyDescent="0.25">
      <c r="A1943" s="170">
        <v>44866</v>
      </c>
      <c r="B1943" s="116">
        <v>2055</v>
      </c>
      <c r="C1943" s="116">
        <v>2024.85</v>
      </c>
      <c r="D1943" s="116">
        <v>1990</v>
      </c>
      <c r="E1943" s="116">
        <v>2030</v>
      </c>
      <c r="F1943" s="116">
        <v>2024.85</v>
      </c>
      <c r="G1943">
        <v>187252</v>
      </c>
      <c r="H1943" s="116"/>
      <c r="I1943" s="116"/>
      <c r="L1943" s="170">
        <v>44866</v>
      </c>
      <c r="M1943" s="116">
        <v>2024.45</v>
      </c>
      <c r="N1943" s="116">
        <v>2056</v>
      </c>
      <c r="O1943" s="116">
        <v>1990.05</v>
      </c>
      <c r="P1943" s="116">
        <v>2032</v>
      </c>
      <c r="Q1943" s="116">
        <v>2024.45</v>
      </c>
      <c r="R1943">
        <v>4464211</v>
      </c>
    </row>
    <row r="1944" spans="1:18" x14ac:dyDescent="0.25">
      <c r="A1944" s="170">
        <v>44867</v>
      </c>
      <c r="B1944" s="116">
        <v>2041.2</v>
      </c>
      <c r="C1944" s="116">
        <v>2012.6</v>
      </c>
      <c r="D1944" s="116">
        <v>2000</v>
      </c>
      <c r="E1944" s="116">
        <v>2032</v>
      </c>
      <c r="F1944" s="116">
        <v>2012.6</v>
      </c>
      <c r="G1944">
        <v>77309</v>
      </c>
      <c r="H1944" s="116"/>
      <c r="I1944" s="116"/>
      <c r="L1944" s="170">
        <v>44867</v>
      </c>
      <c r="M1944" s="116">
        <v>2013.3</v>
      </c>
      <c r="N1944" s="116">
        <v>2042</v>
      </c>
      <c r="O1944" s="116">
        <v>2000</v>
      </c>
      <c r="P1944" s="116">
        <v>2036.5</v>
      </c>
      <c r="Q1944" s="116">
        <v>2013.3</v>
      </c>
      <c r="R1944">
        <v>1889651</v>
      </c>
    </row>
    <row r="1945" spans="1:18" x14ac:dyDescent="0.25">
      <c r="A1945" s="170">
        <v>44868</v>
      </c>
      <c r="B1945" s="116">
        <v>2021.6</v>
      </c>
      <c r="C1945" s="116">
        <v>2006.9</v>
      </c>
      <c r="D1945" s="116">
        <v>1994</v>
      </c>
      <c r="E1945" s="116">
        <v>2009.7</v>
      </c>
      <c r="F1945" s="116">
        <v>2006.9</v>
      </c>
      <c r="G1945">
        <v>1125246</v>
      </c>
      <c r="H1945" s="116"/>
      <c r="I1945" s="116"/>
      <c r="L1945" s="170">
        <v>44868</v>
      </c>
      <c r="M1945" s="116">
        <v>2008.7</v>
      </c>
      <c r="N1945" s="116">
        <v>2022.5</v>
      </c>
      <c r="O1945" s="116">
        <v>1993</v>
      </c>
      <c r="P1945" s="116">
        <v>2006</v>
      </c>
      <c r="Q1945" s="116">
        <v>2008.7</v>
      </c>
      <c r="R1945">
        <v>1052241</v>
      </c>
    </row>
    <row r="1946" spans="1:18" x14ac:dyDescent="0.25">
      <c r="A1946" s="170">
        <v>44869</v>
      </c>
      <c r="B1946" s="116">
        <v>2028.75</v>
      </c>
      <c r="C1946" s="116">
        <v>2014.9</v>
      </c>
      <c r="D1946" s="116">
        <v>1998.75</v>
      </c>
      <c r="E1946" s="116">
        <v>1998.75</v>
      </c>
      <c r="F1946" s="116">
        <v>2014.9</v>
      </c>
      <c r="G1946">
        <v>46855</v>
      </c>
      <c r="H1946" s="116"/>
      <c r="I1946" s="116"/>
      <c r="L1946" s="170">
        <v>44869</v>
      </c>
      <c r="M1946" s="116">
        <v>2015.1</v>
      </c>
      <c r="N1946" s="116">
        <v>2029.35</v>
      </c>
      <c r="O1946" s="116">
        <v>2004.75</v>
      </c>
      <c r="P1946" s="116">
        <v>2010</v>
      </c>
      <c r="Q1946" s="116">
        <v>2015.1</v>
      </c>
      <c r="R1946">
        <v>2312753</v>
      </c>
    </row>
    <row r="1947" spans="1:18" x14ac:dyDescent="0.25">
      <c r="A1947" s="170">
        <v>44872</v>
      </c>
      <c r="B1947" s="116">
        <v>2031.85</v>
      </c>
      <c r="C1947" s="116">
        <v>2018.9</v>
      </c>
      <c r="D1947" s="116">
        <v>1993</v>
      </c>
      <c r="E1947" s="116">
        <v>2015.5</v>
      </c>
      <c r="F1947" s="116">
        <v>2018.9</v>
      </c>
      <c r="G1947">
        <v>29230</v>
      </c>
      <c r="H1947" s="116"/>
      <c r="I1947" s="116"/>
      <c r="L1947" s="170">
        <v>44872</v>
      </c>
      <c r="M1947" s="116">
        <v>2017.65</v>
      </c>
      <c r="N1947" s="116">
        <v>2032</v>
      </c>
      <c r="O1947" s="116">
        <v>1993</v>
      </c>
      <c r="P1947" s="116">
        <v>2021.4</v>
      </c>
      <c r="Q1947" s="116">
        <v>2017.65</v>
      </c>
      <c r="R1947">
        <v>1395070</v>
      </c>
    </row>
    <row r="1948" spans="1:18" x14ac:dyDescent="0.25">
      <c r="A1948" s="170">
        <v>44874</v>
      </c>
      <c r="B1948" s="116">
        <v>2036.95</v>
      </c>
      <c r="C1948" s="116">
        <v>2003.85</v>
      </c>
      <c r="D1948" s="116">
        <v>1996.3</v>
      </c>
      <c r="E1948" s="116">
        <v>2018.9</v>
      </c>
      <c r="F1948" s="116">
        <v>2003.85</v>
      </c>
      <c r="G1948">
        <v>52330</v>
      </c>
      <c r="H1948" s="116"/>
      <c r="I1948" s="116"/>
      <c r="L1948" s="170">
        <v>44874</v>
      </c>
      <c r="M1948" s="116">
        <v>2003.5</v>
      </c>
      <c r="N1948" s="116">
        <v>2036.95</v>
      </c>
      <c r="O1948" s="116">
        <v>1996.25</v>
      </c>
      <c r="P1948" s="116">
        <v>2025.05</v>
      </c>
      <c r="Q1948" s="116">
        <v>2003.5</v>
      </c>
      <c r="R1948">
        <v>1301233</v>
      </c>
    </row>
    <row r="1949" spans="1:18" x14ac:dyDescent="0.25">
      <c r="A1949" s="170">
        <v>44875</v>
      </c>
      <c r="B1949" s="116">
        <v>2002.65</v>
      </c>
      <c r="C1949" s="116">
        <v>1977.65</v>
      </c>
      <c r="D1949" s="116">
        <v>1970.15</v>
      </c>
      <c r="E1949" s="116">
        <v>1982.1</v>
      </c>
      <c r="F1949" s="116">
        <v>1977.65</v>
      </c>
      <c r="G1949">
        <v>36889</v>
      </c>
      <c r="H1949" s="116"/>
      <c r="I1949" s="116"/>
      <c r="L1949" s="170">
        <v>44875</v>
      </c>
      <c r="M1949" s="116">
        <v>1977.65</v>
      </c>
      <c r="N1949" s="116">
        <v>2001.85</v>
      </c>
      <c r="O1949" s="116">
        <v>1970.2</v>
      </c>
      <c r="P1949" s="116">
        <v>1995</v>
      </c>
      <c r="Q1949" s="116">
        <v>1977.65</v>
      </c>
      <c r="R1949">
        <v>1261210</v>
      </c>
    </row>
    <row r="1950" spans="1:18" x14ac:dyDescent="0.25">
      <c r="A1950" s="170">
        <v>44876</v>
      </c>
      <c r="B1950" s="116">
        <v>2018.7</v>
      </c>
      <c r="C1950" s="116">
        <v>2010.95</v>
      </c>
      <c r="D1950" s="116">
        <v>1992.4</v>
      </c>
      <c r="E1950" s="116">
        <v>1995.05</v>
      </c>
      <c r="F1950" s="116">
        <v>2010.95</v>
      </c>
      <c r="G1950">
        <v>53444</v>
      </c>
      <c r="H1950" s="116"/>
      <c r="I1950" s="116"/>
      <c r="L1950" s="170">
        <v>44876</v>
      </c>
      <c r="M1950" s="116">
        <v>2011.1</v>
      </c>
      <c r="N1950" s="116">
        <v>2018.8</v>
      </c>
      <c r="O1950" s="116">
        <v>1991.95</v>
      </c>
      <c r="P1950" s="116">
        <v>2003.6</v>
      </c>
      <c r="Q1950" s="116">
        <v>2011.1</v>
      </c>
      <c r="R1950">
        <v>1203125</v>
      </c>
    </row>
    <row r="1951" spans="1:18" x14ac:dyDescent="0.25">
      <c r="A1951" s="170">
        <v>44879</v>
      </c>
      <c r="B1951" s="116">
        <v>2021</v>
      </c>
      <c r="C1951" s="116">
        <v>1999.9</v>
      </c>
      <c r="D1951" s="116">
        <v>1996</v>
      </c>
      <c r="E1951" s="116">
        <v>2010.95</v>
      </c>
      <c r="F1951" s="116">
        <v>1999.9</v>
      </c>
      <c r="G1951">
        <v>23050</v>
      </c>
      <c r="H1951" s="116"/>
      <c r="I1951" s="116"/>
      <c r="L1951" s="170">
        <v>44879</v>
      </c>
      <c r="M1951" s="116">
        <v>1999.8</v>
      </c>
      <c r="N1951" s="116">
        <v>2021.9</v>
      </c>
      <c r="O1951" s="116">
        <v>1995.25</v>
      </c>
      <c r="P1951" s="116">
        <v>2013.05</v>
      </c>
      <c r="Q1951" s="116">
        <v>1999.8</v>
      </c>
      <c r="R1951">
        <v>1175155</v>
      </c>
    </row>
    <row r="1952" spans="1:18" x14ac:dyDescent="0.25">
      <c r="A1952" s="170">
        <v>44880</v>
      </c>
      <c r="B1952" s="116">
        <v>2016.5</v>
      </c>
      <c r="C1952" s="116">
        <v>1995.85</v>
      </c>
      <c r="D1952" s="116">
        <v>1978.35</v>
      </c>
      <c r="E1952" s="116">
        <v>1997.3</v>
      </c>
      <c r="F1952" s="116">
        <v>1995.85</v>
      </c>
      <c r="G1952">
        <v>93591</v>
      </c>
      <c r="H1952" s="116"/>
      <c r="I1952" s="116"/>
      <c r="L1952" s="170">
        <v>44880</v>
      </c>
      <c r="M1952" s="116">
        <v>1996.55</v>
      </c>
      <c r="N1952" s="116">
        <v>2017</v>
      </c>
      <c r="O1952" s="116">
        <v>1978.1</v>
      </c>
      <c r="P1952" s="116">
        <v>2003</v>
      </c>
      <c r="Q1952" s="116">
        <v>1996.55</v>
      </c>
      <c r="R1952">
        <v>1450841</v>
      </c>
    </row>
    <row r="1953" spans="1:18" x14ac:dyDescent="0.25">
      <c r="A1953" s="170">
        <v>44881</v>
      </c>
      <c r="B1953" s="116">
        <v>2009.4</v>
      </c>
      <c r="C1953" s="116">
        <v>2003.35</v>
      </c>
      <c r="D1953" s="116">
        <v>1985.1</v>
      </c>
      <c r="E1953" s="116">
        <v>1993.2</v>
      </c>
      <c r="F1953" s="116">
        <v>2003.35</v>
      </c>
      <c r="G1953">
        <v>34678</v>
      </c>
      <c r="H1953" s="116"/>
      <c r="I1953" s="116"/>
      <c r="L1953" s="170">
        <v>44881</v>
      </c>
      <c r="M1953" s="116">
        <v>2003.6</v>
      </c>
      <c r="N1953" s="116">
        <v>2009.85</v>
      </c>
      <c r="O1953" s="116">
        <v>1985.05</v>
      </c>
      <c r="P1953" s="116">
        <v>1986</v>
      </c>
      <c r="Q1953" s="116">
        <v>2003.6</v>
      </c>
      <c r="R1953">
        <v>1195832</v>
      </c>
    </row>
    <row r="1954" spans="1:18" x14ac:dyDescent="0.25">
      <c r="A1954" s="170">
        <v>44882</v>
      </c>
      <c r="B1954" s="116">
        <v>2058.4</v>
      </c>
      <c r="C1954" s="116">
        <v>2028.3</v>
      </c>
      <c r="D1954" s="116">
        <v>2000.4</v>
      </c>
      <c r="E1954" s="116">
        <v>2004</v>
      </c>
      <c r="F1954" s="116">
        <v>2028.3</v>
      </c>
      <c r="G1954">
        <v>100913</v>
      </c>
      <c r="H1954" s="116"/>
      <c r="I1954" s="116"/>
      <c r="L1954" s="170">
        <v>44882</v>
      </c>
      <c r="M1954" s="116">
        <v>2029.55</v>
      </c>
      <c r="N1954" s="116">
        <v>2059</v>
      </c>
      <c r="O1954" s="116">
        <v>2001.1</v>
      </c>
      <c r="P1954" s="116">
        <v>2002</v>
      </c>
      <c r="Q1954" s="116">
        <v>2029.55</v>
      </c>
      <c r="R1954">
        <v>3786182</v>
      </c>
    </row>
    <row r="1955" spans="1:18" x14ac:dyDescent="0.25">
      <c r="A1955" s="170">
        <v>44883</v>
      </c>
      <c r="B1955" s="116">
        <v>2050</v>
      </c>
      <c r="C1955" s="116">
        <v>2024.4</v>
      </c>
      <c r="D1955" s="116">
        <v>2006.2</v>
      </c>
      <c r="E1955" s="116">
        <v>2034.4</v>
      </c>
      <c r="F1955" s="116">
        <v>2024.4</v>
      </c>
      <c r="G1955">
        <v>40314</v>
      </c>
      <c r="H1955" s="116"/>
      <c r="I1955" s="116"/>
      <c r="L1955" s="170">
        <v>44883</v>
      </c>
      <c r="M1955" s="116">
        <v>2024.45</v>
      </c>
      <c r="N1955" s="116">
        <v>2050.9499999999998</v>
      </c>
      <c r="O1955" s="116">
        <v>2006.85</v>
      </c>
      <c r="P1955" s="116">
        <v>2039</v>
      </c>
      <c r="Q1955" s="116">
        <v>2024.45</v>
      </c>
      <c r="R1955">
        <v>1248459</v>
      </c>
    </row>
    <row r="1956" spans="1:18" x14ac:dyDescent="0.25">
      <c r="A1956" s="170">
        <v>44886</v>
      </c>
      <c r="B1956" s="116">
        <v>2032.85</v>
      </c>
      <c r="C1956" s="116">
        <v>2010.85</v>
      </c>
      <c r="D1956" s="116">
        <v>2006.7</v>
      </c>
      <c r="E1956" s="116">
        <v>2024.35</v>
      </c>
      <c r="F1956" s="116">
        <v>2010.85</v>
      </c>
      <c r="G1956">
        <v>29246</v>
      </c>
      <c r="H1956" s="116"/>
      <c r="I1956" s="116"/>
      <c r="L1956" s="170">
        <v>44886</v>
      </c>
      <c r="M1956" s="116">
        <v>2011.45</v>
      </c>
      <c r="N1956" s="116">
        <v>2033</v>
      </c>
      <c r="O1956" s="116">
        <v>2007</v>
      </c>
      <c r="P1956" s="116">
        <v>2019</v>
      </c>
      <c r="Q1956" s="116">
        <v>2011.45</v>
      </c>
      <c r="R1956">
        <v>714687</v>
      </c>
    </row>
    <row r="1957" spans="1:18" x14ac:dyDescent="0.25">
      <c r="A1957" s="170">
        <v>44887</v>
      </c>
      <c r="B1957" s="116">
        <v>2032.55</v>
      </c>
      <c r="C1957" s="116">
        <v>2030.2</v>
      </c>
      <c r="D1957" s="116">
        <v>2015.05</v>
      </c>
      <c r="E1957" s="116">
        <v>2015.05</v>
      </c>
      <c r="F1957" s="116">
        <v>2030.2</v>
      </c>
      <c r="G1957">
        <v>34266</v>
      </c>
      <c r="H1957" s="116"/>
      <c r="I1957" s="116"/>
      <c r="L1957" s="170">
        <v>44887</v>
      </c>
      <c r="M1957" s="116">
        <v>2029.8</v>
      </c>
      <c r="N1957" s="116">
        <v>2033.15</v>
      </c>
      <c r="O1957" s="116">
        <v>2019.6</v>
      </c>
      <c r="P1957" s="116">
        <v>2021.55</v>
      </c>
      <c r="Q1957" s="116">
        <v>2029.8</v>
      </c>
      <c r="R1957">
        <v>1337869</v>
      </c>
    </row>
    <row r="1958" spans="1:18" x14ac:dyDescent="0.25">
      <c r="A1958" s="170">
        <v>44888</v>
      </c>
      <c r="B1958" s="116">
        <v>2043.05</v>
      </c>
      <c r="C1958" s="116">
        <v>2024.4</v>
      </c>
      <c r="D1958" s="116">
        <v>2017.3</v>
      </c>
      <c r="E1958" s="116">
        <v>2040</v>
      </c>
      <c r="F1958" s="116">
        <v>2024.4</v>
      </c>
      <c r="G1958">
        <v>33910</v>
      </c>
      <c r="H1958" s="116"/>
      <c r="I1958" s="116"/>
      <c r="L1958" s="170">
        <v>44888</v>
      </c>
      <c r="M1958" s="116">
        <v>2025</v>
      </c>
      <c r="N1958" s="116">
        <v>2044</v>
      </c>
      <c r="O1958" s="116">
        <v>2018</v>
      </c>
      <c r="P1958" s="116">
        <v>2038.95</v>
      </c>
      <c r="Q1958" s="116">
        <v>2025</v>
      </c>
      <c r="R1958">
        <v>1046988</v>
      </c>
    </row>
    <row r="1959" spans="1:18" x14ac:dyDescent="0.25">
      <c r="A1959" s="170">
        <v>44889</v>
      </c>
      <c r="B1959" s="116">
        <v>2060</v>
      </c>
      <c r="C1959" s="116">
        <v>2054.1999999999998</v>
      </c>
      <c r="D1959" s="116">
        <v>2029.25</v>
      </c>
      <c r="E1959" s="116">
        <v>2030</v>
      </c>
      <c r="F1959" s="116">
        <v>2054.1999999999998</v>
      </c>
      <c r="G1959">
        <v>46868</v>
      </c>
      <c r="H1959" s="116"/>
      <c r="I1959" s="116"/>
      <c r="L1959" s="170">
        <v>44889</v>
      </c>
      <c r="M1959" s="116">
        <v>2052.1999999999998</v>
      </c>
      <c r="N1959" s="116">
        <v>2060</v>
      </c>
      <c r="O1959" s="116">
        <v>2028.4</v>
      </c>
      <c r="P1959" s="116">
        <v>2030.5</v>
      </c>
      <c r="Q1959" s="116">
        <v>2052.1999999999998</v>
      </c>
      <c r="R1959">
        <v>1611889</v>
      </c>
    </row>
    <row r="1960" spans="1:18" x14ac:dyDescent="0.25">
      <c r="A1960" s="170">
        <v>44890</v>
      </c>
      <c r="B1960" s="116">
        <v>2095</v>
      </c>
      <c r="C1960" s="116">
        <v>2062.3000000000002</v>
      </c>
      <c r="D1960" s="116">
        <v>2055</v>
      </c>
      <c r="E1960" s="116">
        <v>2055</v>
      </c>
      <c r="F1960" s="116">
        <v>2062.3000000000002</v>
      </c>
      <c r="G1960">
        <v>102466</v>
      </c>
      <c r="H1960" s="116"/>
      <c r="I1960" s="116"/>
      <c r="L1960" s="170">
        <v>44890</v>
      </c>
      <c r="M1960" s="116">
        <v>2062.75</v>
      </c>
      <c r="N1960" s="116">
        <v>2095.8000000000002</v>
      </c>
      <c r="O1960" s="116">
        <v>2058.4499999999998</v>
      </c>
      <c r="P1960" s="116">
        <v>2061</v>
      </c>
      <c r="Q1960" s="116">
        <v>2062.75</v>
      </c>
      <c r="R1960">
        <v>2652761</v>
      </c>
    </row>
    <row r="1961" spans="1:18" x14ac:dyDescent="0.25">
      <c r="A1961" s="170">
        <v>44893</v>
      </c>
      <c r="B1961" s="116">
        <v>2071.4</v>
      </c>
      <c r="C1961" s="116">
        <v>2064.1</v>
      </c>
      <c r="D1961" s="116">
        <v>2053.0500000000002</v>
      </c>
      <c r="E1961" s="116">
        <v>2062.3000000000002</v>
      </c>
      <c r="F1961" s="116">
        <v>2064.1</v>
      </c>
      <c r="G1961">
        <v>40102</v>
      </c>
      <c r="H1961" s="116"/>
      <c r="I1961" s="116"/>
      <c r="L1961" s="170">
        <v>44893</v>
      </c>
      <c r="M1961" s="116">
        <v>2064.4499999999998</v>
      </c>
      <c r="N1961" s="116">
        <v>2072</v>
      </c>
      <c r="O1961" s="116">
        <v>2052</v>
      </c>
      <c r="P1961" s="116">
        <v>2064.35</v>
      </c>
      <c r="Q1961" s="116">
        <v>2064.4499999999998</v>
      </c>
      <c r="R1961">
        <v>1105372</v>
      </c>
    </row>
    <row r="1962" spans="1:18" x14ac:dyDescent="0.25">
      <c r="A1962" s="170">
        <v>44894</v>
      </c>
      <c r="B1962" s="116">
        <v>2071</v>
      </c>
      <c r="C1962" s="116">
        <v>2049.65</v>
      </c>
      <c r="D1962" s="116">
        <v>2040</v>
      </c>
      <c r="E1962" s="116">
        <v>2064.25</v>
      </c>
      <c r="F1962" s="116">
        <v>2049.65</v>
      </c>
      <c r="G1962">
        <v>26760</v>
      </c>
      <c r="H1962" s="116"/>
      <c r="I1962" s="116"/>
      <c r="L1962" s="170">
        <v>44894</v>
      </c>
      <c r="M1962" s="116">
        <v>2050.5500000000002</v>
      </c>
      <c r="N1962" s="116">
        <v>2072</v>
      </c>
      <c r="O1962" s="116">
        <v>2038.6</v>
      </c>
      <c r="P1962" s="116">
        <v>2070</v>
      </c>
      <c r="Q1962" s="116">
        <v>2050.5500000000002</v>
      </c>
      <c r="R1962">
        <v>1413764</v>
      </c>
    </row>
    <row r="1963" spans="1:18" x14ac:dyDescent="0.25">
      <c r="A1963" s="170">
        <v>44895</v>
      </c>
      <c r="B1963" s="116">
        <v>2085</v>
      </c>
      <c r="C1963" s="116">
        <v>2077.3000000000002</v>
      </c>
      <c r="D1963" s="116">
        <v>2045.5</v>
      </c>
      <c r="E1963" s="116">
        <v>2058.9499999999998</v>
      </c>
      <c r="F1963" s="116">
        <v>2077.3000000000002</v>
      </c>
      <c r="G1963">
        <v>56497</v>
      </c>
      <c r="H1963" s="116"/>
      <c r="I1963" s="116"/>
      <c r="L1963" s="170">
        <v>44895</v>
      </c>
      <c r="M1963" s="116">
        <v>2074.85</v>
      </c>
      <c r="N1963" s="116">
        <v>2086</v>
      </c>
      <c r="O1963" s="116">
        <v>2045</v>
      </c>
      <c r="P1963" s="116">
        <v>2053</v>
      </c>
      <c r="Q1963" s="116">
        <v>2074.85</v>
      </c>
      <c r="R1963">
        <v>2104550</v>
      </c>
    </row>
    <row r="1964" spans="1:18" x14ac:dyDescent="0.25">
      <c r="A1964" s="170">
        <v>44896</v>
      </c>
      <c r="B1964" s="116">
        <v>2109.5500000000002</v>
      </c>
      <c r="C1964" s="116">
        <v>2103.6</v>
      </c>
      <c r="D1964" s="116">
        <v>2080</v>
      </c>
      <c r="E1964" s="116">
        <v>2081.1999999999998</v>
      </c>
      <c r="F1964" s="116">
        <v>2103.6</v>
      </c>
      <c r="G1964">
        <v>125157</v>
      </c>
      <c r="H1964" s="116"/>
      <c r="I1964" s="116"/>
      <c r="L1964" s="170">
        <v>44896</v>
      </c>
      <c r="M1964" s="116">
        <v>2104.25</v>
      </c>
      <c r="N1964" s="116">
        <v>2110</v>
      </c>
      <c r="O1964" s="116">
        <v>2079.4499999999998</v>
      </c>
      <c r="P1964" s="116">
        <v>2085.25</v>
      </c>
      <c r="Q1964" s="116">
        <v>2104.25</v>
      </c>
      <c r="R1964">
        <v>2614357</v>
      </c>
    </row>
    <row r="1965" spans="1:18" x14ac:dyDescent="0.25">
      <c r="A1965" s="170">
        <v>44897</v>
      </c>
      <c r="B1965" s="116">
        <v>2097.9</v>
      </c>
      <c r="C1965" s="116">
        <v>2084.4499999999998</v>
      </c>
      <c r="D1965" s="116">
        <v>2069.8000000000002</v>
      </c>
      <c r="E1965" s="116">
        <v>2090.0500000000002</v>
      </c>
      <c r="F1965" s="116">
        <v>2084.4499999999998</v>
      </c>
      <c r="G1965">
        <v>38769</v>
      </c>
      <c r="H1965" s="116"/>
      <c r="I1965" s="116"/>
      <c r="L1965" s="170">
        <v>44897</v>
      </c>
      <c r="M1965" s="116">
        <v>2085.5</v>
      </c>
      <c r="N1965" s="116">
        <v>2098.9</v>
      </c>
      <c r="O1965" s="116">
        <v>2069.15</v>
      </c>
      <c r="P1965" s="116">
        <v>2096.1</v>
      </c>
      <c r="Q1965" s="116">
        <v>2085.5</v>
      </c>
      <c r="R1965">
        <v>1957264</v>
      </c>
    </row>
    <row r="1966" spans="1:18" x14ac:dyDescent="0.25">
      <c r="A1966" s="170">
        <v>44900</v>
      </c>
      <c r="B1966" s="116">
        <v>2096.4499999999998</v>
      </c>
      <c r="C1966" s="116">
        <v>2085.4499999999998</v>
      </c>
      <c r="D1966" s="116">
        <v>2068.8000000000002</v>
      </c>
      <c r="E1966" s="116">
        <v>2089.0500000000002</v>
      </c>
      <c r="F1966" s="116">
        <v>2085.4499999999998</v>
      </c>
      <c r="G1966">
        <v>40352</v>
      </c>
      <c r="H1966" s="116"/>
      <c r="I1966" s="116"/>
      <c r="L1966" s="170">
        <v>44900</v>
      </c>
      <c r="M1966" s="116">
        <v>2085.6</v>
      </c>
      <c r="N1966" s="116">
        <v>2096.8000000000002</v>
      </c>
      <c r="O1966" s="116">
        <v>2068.85</v>
      </c>
      <c r="P1966" s="116">
        <v>2095.9499999999998</v>
      </c>
      <c r="Q1966" s="116">
        <v>2085.6</v>
      </c>
      <c r="R1966">
        <v>1767537</v>
      </c>
    </row>
    <row r="1967" spans="1:18" x14ac:dyDescent="0.25">
      <c r="A1967" s="170">
        <v>44901</v>
      </c>
      <c r="B1967" s="116">
        <v>2100</v>
      </c>
      <c r="C1967" s="116">
        <v>2093.85</v>
      </c>
      <c r="D1967" s="116">
        <v>2067.1999999999998</v>
      </c>
      <c r="E1967" s="116">
        <v>2076.0500000000002</v>
      </c>
      <c r="F1967" s="116">
        <v>2093.85</v>
      </c>
      <c r="G1967">
        <v>40983</v>
      </c>
      <c r="H1967" s="116"/>
      <c r="I1967" s="116"/>
      <c r="L1967" s="170">
        <v>44901</v>
      </c>
      <c r="M1967" s="116">
        <v>2093.5</v>
      </c>
      <c r="N1967" s="116">
        <v>2100</v>
      </c>
      <c r="O1967" s="116">
        <v>2067</v>
      </c>
      <c r="P1967" s="116">
        <v>2081</v>
      </c>
      <c r="Q1967" s="116">
        <v>2093.5</v>
      </c>
      <c r="R1967">
        <v>1530731</v>
      </c>
    </row>
    <row r="1968" spans="1:18" x14ac:dyDescent="0.25">
      <c r="A1968" s="170">
        <v>44902</v>
      </c>
      <c r="B1968" s="116">
        <v>2143.4499999999998</v>
      </c>
      <c r="C1968" s="116">
        <v>2123.5</v>
      </c>
      <c r="D1968" s="116">
        <v>2084.0500000000002</v>
      </c>
      <c r="E1968" s="116">
        <v>2084.0500000000002</v>
      </c>
      <c r="F1968" s="116">
        <v>2123.5</v>
      </c>
      <c r="G1968">
        <v>137009</v>
      </c>
      <c r="H1968" s="116"/>
      <c r="I1968" s="116"/>
      <c r="L1968" s="170">
        <v>44902</v>
      </c>
      <c r="M1968" s="116">
        <v>2124</v>
      </c>
      <c r="N1968" s="116">
        <v>2144</v>
      </c>
      <c r="O1968" s="116">
        <v>2096.3000000000002</v>
      </c>
      <c r="P1968" s="116">
        <v>2096.3000000000002</v>
      </c>
      <c r="Q1968" s="116">
        <v>2124</v>
      </c>
      <c r="R1968">
        <v>3438327</v>
      </c>
    </row>
    <row r="1969" spans="1:18" x14ac:dyDescent="0.25">
      <c r="A1969" s="170">
        <v>44903</v>
      </c>
      <c r="B1969" s="116">
        <v>2173.9499999999998</v>
      </c>
      <c r="C1969" s="116">
        <v>2167.3000000000002</v>
      </c>
      <c r="D1969" s="116">
        <v>2122</v>
      </c>
      <c r="E1969" s="116">
        <v>2130</v>
      </c>
      <c r="F1969" s="116">
        <v>2167.3000000000002</v>
      </c>
      <c r="G1969">
        <v>75774</v>
      </c>
      <c r="H1969" s="116"/>
      <c r="I1969" s="116"/>
      <c r="L1969" s="170">
        <v>44903</v>
      </c>
      <c r="M1969" s="116">
        <v>2167.6999999999998</v>
      </c>
      <c r="N1969" s="116">
        <v>2175</v>
      </c>
      <c r="O1969" s="116">
        <v>2120</v>
      </c>
      <c r="P1969" s="116">
        <v>2120</v>
      </c>
      <c r="Q1969" s="116">
        <v>2167.6999999999998</v>
      </c>
      <c r="R1969">
        <v>3743754</v>
      </c>
    </row>
    <row r="1970" spans="1:18" x14ac:dyDescent="0.25">
      <c r="A1970" s="170">
        <v>44904</v>
      </c>
      <c r="B1970" s="116">
        <v>2193.4499999999998</v>
      </c>
      <c r="C1970" s="116">
        <v>2154.3000000000002</v>
      </c>
      <c r="D1970" s="116">
        <v>2137.35</v>
      </c>
      <c r="E1970" s="116">
        <v>2167</v>
      </c>
      <c r="F1970" s="116">
        <v>2154.3000000000002</v>
      </c>
      <c r="G1970">
        <v>64794</v>
      </c>
      <c r="H1970" s="116"/>
      <c r="I1970" s="116"/>
      <c r="L1970" s="170">
        <v>44904</v>
      </c>
      <c r="M1970" s="116">
        <v>2154.0500000000002</v>
      </c>
      <c r="N1970" s="116">
        <v>2194.35</v>
      </c>
      <c r="O1970" s="116">
        <v>2137.5</v>
      </c>
      <c r="P1970" s="116">
        <v>2168</v>
      </c>
      <c r="Q1970" s="116">
        <v>2154.0500000000002</v>
      </c>
      <c r="R1970">
        <v>2573609</v>
      </c>
    </row>
    <row r="1971" spans="1:18" x14ac:dyDescent="0.25">
      <c r="A1971" s="170">
        <v>44907</v>
      </c>
      <c r="B1971" s="116">
        <v>2168.8000000000002</v>
      </c>
      <c r="C1971" s="116">
        <v>2161.9499999999998</v>
      </c>
      <c r="D1971" s="116">
        <v>2134.4499999999998</v>
      </c>
      <c r="E1971" s="116">
        <v>2150</v>
      </c>
      <c r="F1971" s="116">
        <v>2161.9499999999998</v>
      </c>
      <c r="G1971">
        <v>79449</v>
      </c>
      <c r="H1971" s="116"/>
      <c r="I1971" s="116"/>
      <c r="L1971" s="170">
        <v>44907</v>
      </c>
      <c r="M1971" s="116">
        <v>2163.6999999999998</v>
      </c>
      <c r="N1971" s="116">
        <v>2169</v>
      </c>
      <c r="O1971" s="116">
        <v>2134.5500000000002</v>
      </c>
      <c r="P1971" s="116">
        <v>2148.9</v>
      </c>
      <c r="Q1971" s="116">
        <v>2163.6999999999998</v>
      </c>
      <c r="R1971">
        <v>1536090</v>
      </c>
    </row>
    <row r="1972" spans="1:18" x14ac:dyDescent="0.25">
      <c r="A1972" s="170">
        <v>44908</v>
      </c>
      <c r="B1972" s="116">
        <v>2176</v>
      </c>
      <c r="C1972" s="116">
        <v>2171.6</v>
      </c>
      <c r="D1972" s="116">
        <v>2152.9</v>
      </c>
      <c r="E1972" s="116">
        <v>2172</v>
      </c>
      <c r="F1972" s="116">
        <v>2171.6</v>
      </c>
      <c r="G1972">
        <v>30358</v>
      </c>
      <c r="H1972" s="116"/>
      <c r="I1972" s="116"/>
      <c r="L1972" s="170">
        <v>44908</v>
      </c>
      <c r="M1972" s="116">
        <v>2172.9</v>
      </c>
      <c r="N1972" s="116">
        <v>2175.6999999999998</v>
      </c>
      <c r="O1972" s="116">
        <v>2152.5</v>
      </c>
      <c r="P1972" s="116">
        <v>2170</v>
      </c>
      <c r="Q1972" s="116">
        <v>2172.9</v>
      </c>
      <c r="R1972">
        <v>1233124</v>
      </c>
    </row>
    <row r="1973" spans="1:18" x14ac:dyDescent="0.25">
      <c r="A1973" s="170">
        <v>44909</v>
      </c>
      <c r="B1973" s="116">
        <v>2209.8000000000002</v>
      </c>
      <c r="C1973" s="116">
        <v>2194.6999999999998</v>
      </c>
      <c r="D1973" s="116">
        <v>2174.1</v>
      </c>
      <c r="E1973" s="116">
        <v>2174.1</v>
      </c>
      <c r="F1973" s="116">
        <v>2194.6999999999998</v>
      </c>
      <c r="G1973">
        <v>234700</v>
      </c>
      <c r="H1973" s="116"/>
      <c r="I1973" s="116"/>
      <c r="L1973" s="170">
        <v>44909</v>
      </c>
      <c r="M1973" s="116">
        <v>2195.4499999999998</v>
      </c>
      <c r="N1973" s="116">
        <v>2210</v>
      </c>
      <c r="O1973" s="116">
        <v>2175.0500000000002</v>
      </c>
      <c r="P1973" s="116">
        <v>2176.9499999999998</v>
      </c>
      <c r="Q1973" s="116">
        <v>2195.4499999999998</v>
      </c>
      <c r="R1973">
        <v>1516631</v>
      </c>
    </row>
    <row r="1974" spans="1:18" x14ac:dyDescent="0.25">
      <c r="A1974" s="170">
        <v>44910</v>
      </c>
      <c r="B1974" s="116">
        <v>2208</v>
      </c>
      <c r="C1974" s="116">
        <v>2176.75</v>
      </c>
      <c r="D1974" s="116">
        <v>2174</v>
      </c>
      <c r="E1974" s="116">
        <v>2195</v>
      </c>
      <c r="F1974" s="116">
        <v>2176.75</v>
      </c>
      <c r="G1974">
        <v>28212</v>
      </c>
      <c r="H1974" s="116"/>
      <c r="I1974" s="116"/>
      <c r="L1974" s="170">
        <v>44910</v>
      </c>
      <c r="M1974" s="116">
        <v>2177.5500000000002</v>
      </c>
      <c r="N1974" s="116">
        <v>2209</v>
      </c>
      <c r="O1974" s="116">
        <v>2173.6</v>
      </c>
      <c r="P1974" s="116">
        <v>2196.6999999999998</v>
      </c>
      <c r="Q1974" s="116">
        <v>2177.5500000000002</v>
      </c>
      <c r="R1974">
        <v>1323412</v>
      </c>
    </row>
    <row r="1975" spans="1:18" x14ac:dyDescent="0.25">
      <c r="A1975" s="170">
        <v>44911</v>
      </c>
      <c r="B1975" s="116">
        <v>2210.5</v>
      </c>
      <c r="C1975" s="116">
        <v>2173.8000000000002</v>
      </c>
      <c r="D1975" s="116">
        <v>2160</v>
      </c>
      <c r="E1975" s="116">
        <v>2160</v>
      </c>
      <c r="F1975" s="116">
        <v>2173.8000000000002</v>
      </c>
      <c r="G1975">
        <v>40385</v>
      </c>
      <c r="H1975" s="116"/>
      <c r="I1975" s="116"/>
      <c r="L1975" s="170">
        <v>44911</v>
      </c>
      <c r="M1975" s="116">
        <v>2175</v>
      </c>
      <c r="N1975" s="116">
        <v>2211.6</v>
      </c>
      <c r="O1975" s="116">
        <v>2161</v>
      </c>
      <c r="P1975" s="116">
        <v>2161</v>
      </c>
      <c r="Q1975" s="116">
        <v>2175</v>
      </c>
      <c r="R1975">
        <v>2822390</v>
      </c>
    </row>
    <row r="1976" spans="1:18" x14ac:dyDescent="0.25">
      <c r="A1976" s="170">
        <v>44914</v>
      </c>
      <c r="B1976" s="116">
        <v>2186</v>
      </c>
      <c r="C1976" s="116">
        <v>2184.1</v>
      </c>
      <c r="D1976" s="116">
        <v>2155.6999999999998</v>
      </c>
      <c r="E1976" s="116">
        <v>2173.8000000000002</v>
      </c>
      <c r="F1976" s="116">
        <v>2184.1</v>
      </c>
      <c r="G1976">
        <v>33684</v>
      </c>
      <c r="H1976" s="116"/>
      <c r="I1976" s="116"/>
      <c r="L1976" s="170">
        <v>44914</v>
      </c>
      <c r="M1976" s="116">
        <v>2184</v>
      </c>
      <c r="N1976" s="116">
        <v>2187.4499999999998</v>
      </c>
      <c r="O1976" s="116">
        <v>2155.0500000000002</v>
      </c>
      <c r="P1976" s="116">
        <v>2171</v>
      </c>
      <c r="Q1976" s="116">
        <v>2184</v>
      </c>
      <c r="R1976">
        <v>1592779</v>
      </c>
    </row>
    <row r="1977" spans="1:18" x14ac:dyDescent="0.25">
      <c r="A1977" s="170">
        <v>44915</v>
      </c>
      <c r="B1977" s="116">
        <v>2189.9499999999998</v>
      </c>
      <c r="C1977" s="116">
        <v>2163.0500000000002</v>
      </c>
      <c r="D1977" s="116">
        <v>2138.1</v>
      </c>
      <c r="E1977" s="116">
        <v>2189.9499999999998</v>
      </c>
      <c r="F1977" s="116">
        <v>2163.0500000000002</v>
      </c>
      <c r="G1977">
        <v>42679</v>
      </c>
      <c r="H1977" s="116"/>
      <c r="I1977" s="116"/>
      <c r="L1977" s="170">
        <v>44915</v>
      </c>
      <c r="M1977" s="116">
        <v>2163.25</v>
      </c>
      <c r="N1977" s="116">
        <v>2179.9</v>
      </c>
      <c r="O1977" s="116">
        <v>2138</v>
      </c>
      <c r="P1977" s="116">
        <v>2179.9</v>
      </c>
      <c r="Q1977" s="116">
        <v>2163.25</v>
      </c>
      <c r="R1977">
        <v>1747181</v>
      </c>
    </row>
    <row r="1978" spans="1:18" x14ac:dyDescent="0.25">
      <c r="A1978" s="170">
        <v>44916</v>
      </c>
      <c r="B1978" s="116">
        <v>2174.0500000000002</v>
      </c>
      <c r="C1978" s="116">
        <v>2145.9499999999998</v>
      </c>
      <c r="D1978" s="116">
        <v>2142.5</v>
      </c>
      <c r="E1978" s="116">
        <v>2158.9499999999998</v>
      </c>
      <c r="F1978" s="116">
        <v>2145.9499999999998</v>
      </c>
      <c r="G1978">
        <v>45443</v>
      </c>
      <c r="H1978" s="116"/>
      <c r="I1978" s="116"/>
      <c r="L1978" s="170">
        <v>44916</v>
      </c>
      <c r="M1978" s="116">
        <v>2146.3000000000002</v>
      </c>
      <c r="N1978" s="116">
        <v>2174.9499999999998</v>
      </c>
      <c r="O1978" s="116">
        <v>2142.85</v>
      </c>
      <c r="P1978" s="116">
        <v>2153.1</v>
      </c>
      <c r="Q1978" s="116">
        <v>2146.3000000000002</v>
      </c>
      <c r="R1978">
        <v>1979681</v>
      </c>
    </row>
    <row r="1979" spans="1:18" x14ac:dyDescent="0.25">
      <c r="A1979" s="170">
        <v>44917</v>
      </c>
      <c r="B1979" s="116">
        <v>2147.15</v>
      </c>
      <c r="C1979" s="116">
        <v>2109.4</v>
      </c>
      <c r="D1979" s="116">
        <v>2096.5</v>
      </c>
      <c r="E1979" s="116">
        <v>2145</v>
      </c>
      <c r="F1979" s="116">
        <v>2109.4</v>
      </c>
      <c r="G1979">
        <v>45758</v>
      </c>
      <c r="H1979" s="116"/>
      <c r="I1979" s="116"/>
      <c r="L1979" s="170">
        <v>44917</v>
      </c>
      <c r="M1979" s="116">
        <v>2109.9499999999998</v>
      </c>
      <c r="N1979" s="116">
        <v>2148.35</v>
      </c>
      <c r="O1979" s="116">
        <v>2096.9</v>
      </c>
      <c r="P1979" s="116">
        <v>2144</v>
      </c>
      <c r="Q1979" s="116">
        <v>2109.9499999999998</v>
      </c>
      <c r="R1979">
        <v>1993744</v>
      </c>
    </row>
    <row r="1980" spans="1:18" x14ac:dyDescent="0.25">
      <c r="A1980" s="170">
        <v>44918</v>
      </c>
      <c r="B1980" s="116">
        <v>2103.9499999999998</v>
      </c>
      <c r="C1980" s="116">
        <v>2062.0500000000002</v>
      </c>
      <c r="D1980" s="116">
        <v>2050.25</v>
      </c>
      <c r="E1980" s="116">
        <v>2092</v>
      </c>
      <c r="F1980" s="116">
        <v>2062.0500000000002</v>
      </c>
      <c r="G1980">
        <v>67451</v>
      </c>
      <c r="H1980" s="116"/>
      <c r="I1980" s="116"/>
      <c r="L1980" s="170">
        <v>44918</v>
      </c>
      <c r="M1980" s="116">
        <v>2062.75</v>
      </c>
      <c r="N1980" s="116">
        <v>2104.15</v>
      </c>
      <c r="O1980" s="116">
        <v>2050.1</v>
      </c>
      <c r="P1980" s="116">
        <v>2094.5</v>
      </c>
      <c r="Q1980" s="116">
        <v>2062.75</v>
      </c>
      <c r="R1980">
        <v>2026125</v>
      </c>
    </row>
    <row r="1981" spans="1:18" x14ac:dyDescent="0.25">
      <c r="A1981" s="170">
        <v>44921</v>
      </c>
      <c r="B1981" s="116">
        <v>2108</v>
      </c>
      <c r="C1981" s="116">
        <v>2087.9</v>
      </c>
      <c r="D1981" s="116">
        <v>2052.1</v>
      </c>
      <c r="E1981" s="116">
        <v>2052.1</v>
      </c>
      <c r="F1981" s="116">
        <v>2087.9</v>
      </c>
      <c r="G1981">
        <v>33027</v>
      </c>
      <c r="H1981" s="116"/>
      <c r="I1981" s="116"/>
      <c r="L1981" s="170">
        <v>44921</v>
      </c>
      <c r="M1981" s="116">
        <v>2091.0500000000002</v>
      </c>
      <c r="N1981" s="116">
        <v>2108</v>
      </c>
      <c r="O1981" s="116">
        <v>2051</v>
      </c>
      <c r="P1981" s="116">
        <v>2052.75</v>
      </c>
      <c r="Q1981" s="116">
        <v>2091.0500000000002</v>
      </c>
      <c r="R1981">
        <v>1154610</v>
      </c>
    </row>
    <row r="1982" spans="1:18" x14ac:dyDescent="0.25">
      <c r="A1982" s="170">
        <v>44922</v>
      </c>
      <c r="B1982" s="116">
        <v>2128.35</v>
      </c>
      <c r="C1982" s="116">
        <v>2123.75</v>
      </c>
      <c r="D1982" s="116">
        <v>2086</v>
      </c>
      <c r="E1982" s="116">
        <v>2091.0500000000002</v>
      </c>
      <c r="F1982" s="116">
        <v>2123.75</v>
      </c>
      <c r="G1982">
        <v>34544</v>
      </c>
      <c r="H1982" s="116"/>
      <c r="I1982" s="116"/>
      <c r="L1982" s="170">
        <v>44922</v>
      </c>
      <c r="M1982" s="116">
        <v>2124.1</v>
      </c>
      <c r="N1982" s="116">
        <v>2128</v>
      </c>
      <c r="O1982" s="116">
        <v>2085</v>
      </c>
      <c r="P1982" s="116">
        <v>2101.5500000000002</v>
      </c>
      <c r="Q1982" s="116">
        <v>2124.1</v>
      </c>
      <c r="R1982">
        <v>1059351</v>
      </c>
    </row>
    <row r="1983" spans="1:18" x14ac:dyDescent="0.25">
      <c r="A1983" s="170">
        <v>44923</v>
      </c>
      <c r="B1983" s="116">
        <v>2136</v>
      </c>
      <c r="C1983" s="116">
        <v>2120.8000000000002</v>
      </c>
      <c r="D1983" s="116">
        <v>2115.1</v>
      </c>
      <c r="E1983" s="116">
        <v>2130</v>
      </c>
      <c r="F1983" s="116">
        <v>2120.8000000000002</v>
      </c>
      <c r="G1983">
        <v>56989</v>
      </c>
      <c r="H1983" s="116"/>
      <c r="I1983" s="116"/>
      <c r="L1983" s="170">
        <v>44923</v>
      </c>
      <c r="M1983" s="116">
        <v>2121.1</v>
      </c>
      <c r="N1983" s="116">
        <v>2136</v>
      </c>
      <c r="O1983" s="116">
        <v>2113.65</v>
      </c>
      <c r="P1983" s="116">
        <v>2129</v>
      </c>
      <c r="Q1983" s="116">
        <v>2121.1</v>
      </c>
      <c r="R1983">
        <v>1153883</v>
      </c>
    </row>
    <row r="1984" spans="1:18" x14ac:dyDescent="0.25">
      <c r="A1984" s="170">
        <v>44924</v>
      </c>
      <c r="B1984" s="116">
        <v>2120</v>
      </c>
      <c r="C1984" s="116">
        <v>2110.6</v>
      </c>
      <c r="D1984" s="116">
        <v>2094.4499999999998</v>
      </c>
      <c r="E1984" s="116">
        <v>2101.1</v>
      </c>
      <c r="F1984" s="116">
        <v>2110.6</v>
      </c>
      <c r="G1984">
        <v>15991</v>
      </c>
      <c r="H1984" s="116"/>
      <c r="I1984" s="116"/>
      <c r="L1984" s="170">
        <v>44924</v>
      </c>
      <c r="M1984" s="116">
        <v>2110.9</v>
      </c>
      <c r="N1984" s="116">
        <v>2120.5500000000002</v>
      </c>
      <c r="O1984" s="116">
        <v>2094.15</v>
      </c>
      <c r="P1984" s="116">
        <v>2109.65</v>
      </c>
      <c r="Q1984" s="116">
        <v>2110.9</v>
      </c>
      <c r="R1984">
        <v>1517150</v>
      </c>
    </row>
    <row r="1985" spans="1:18" x14ac:dyDescent="0.25">
      <c r="A1985" s="170">
        <v>44925</v>
      </c>
      <c r="B1985" s="116">
        <v>2132.6</v>
      </c>
      <c r="C1985" s="116">
        <v>2086.3000000000002</v>
      </c>
      <c r="D1985" s="116">
        <v>2081.5</v>
      </c>
      <c r="E1985" s="116">
        <v>2115</v>
      </c>
      <c r="F1985" s="116">
        <v>2086.3000000000002</v>
      </c>
      <c r="G1985">
        <v>27294</v>
      </c>
      <c r="H1985" s="116"/>
      <c r="I1985" s="116"/>
      <c r="L1985" s="170">
        <v>44925</v>
      </c>
      <c r="M1985" s="116">
        <v>2085.8000000000002</v>
      </c>
      <c r="N1985" s="116">
        <v>2133</v>
      </c>
      <c r="O1985" s="116">
        <v>2081.1</v>
      </c>
      <c r="P1985" s="116">
        <v>2115</v>
      </c>
      <c r="Q1985" s="116">
        <v>2085.8000000000002</v>
      </c>
      <c r="R1985">
        <v>1189427</v>
      </c>
    </row>
    <row r="1986" spans="1:18" x14ac:dyDescent="0.25">
      <c r="A1986" s="170">
        <v>44928</v>
      </c>
      <c r="B1986" s="116">
        <v>2097.4</v>
      </c>
      <c r="C1986" s="116">
        <v>2088.8000000000002</v>
      </c>
      <c r="D1986" s="116">
        <v>2075.1999999999998</v>
      </c>
      <c r="E1986" s="116">
        <v>2088</v>
      </c>
      <c r="F1986" s="116">
        <v>2088.8000000000002</v>
      </c>
      <c r="G1986">
        <v>29846</v>
      </c>
      <c r="H1986" s="116"/>
      <c r="I1986" s="116"/>
      <c r="L1986" s="170">
        <v>44928</v>
      </c>
      <c r="M1986" s="116">
        <v>2089.4499999999998</v>
      </c>
      <c r="N1986" s="116">
        <v>2097.6</v>
      </c>
      <c r="O1986" s="116">
        <v>2075.0500000000002</v>
      </c>
      <c r="P1986" s="116">
        <v>2092.9</v>
      </c>
      <c r="Q1986" s="116">
        <v>2089.4499999999998</v>
      </c>
      <c r="R1986">
        <v>807344</v>
      </c>
    </row>
    <row r="1987" spans="1:18" x14ac:dyDescent="0.25">
      <c r="A1987" s="170">
        <v>44929</v>
      </c>
      <c r="B1987" s="116">
        <v>2096</v>
      </c>
      <c r="C1987" s="116">
        <v>2088.8000000000002</v>
      </c>
      <c r="D1987" s="116">
        <v>2068</v>
      </c>
      <c r="E1987" s="116">
        <v>2090</v>
      </c>
      <c r="F1987" s="116">
        <v>2088.8000000000002</v>
      </c>
      <c r="G1987">
        <v>21218</v>
      </c>
      <c r="H1987" s="116"/>
      <c r="I1987" s="116"/>
      <c r="L1987" s="170">
        <v>44929</v>
      </c>
      <c r="M1987" s="116">
        <v>2088.9499999999998</v>
      </c>
      <c r="N1987" s="116">
        <v>2096.8000000000002</v>
      </c>
      <c r="O1987" s="116">
        <v>2067.9499999999998</v>
      </c>
      <c r="P1987" s="116">
        <v>2088</v>
      </c>
      <c r="Q1987" s="116">
        <v>2088.9499999999998</v>
      </c>
      <c r="R1987">
        <v>1260225</v>
      </c>
    </row>
    <row r="1988" spans="1:18" x14ac:dyDescent="0.25">
      <c r="A1988" s="170">
        <v>44930</v>
      </c>
      <c r="B1988" s="116">
        <v>2101.4</v>
      </c>
      <c r="C1988" s="116">
        <v>2070.1</v>
      </c>
      <c r="D1988" s="116">
        <v>2058.1</v>
      </c>
      <c r="E1988" s="116">
        <v>2088</v>
      </c>
      <c r="F1988" s="116">
        <v>2070.1</v>
      </c>
      <c r="G1988">
        <v>21777</v>
      </c>
      <c r="H1988" s="116"/>
      <c r="I1988" s="116"/>
      <c r="L1988" s="170">
        <v>44930</v>
      </c>
      <c r="M1988" s="116">
        <v>2070.5500000000002</v>
      </c>
      <c r="N1988" s="116">
        <v>2101.4499999999998</v>
      </c>
      <c r="O1988" s="116">
        <v>2058</v>
      </c>
      <c r="P1988" s="116">
        <v>2090.9499999999998</v>
      </c>
      <c r="Q1988" s="116">
        <v>2070.5500000000002</v>
      </c>
      <c r="R1988">
        <v>1015547</v>
      </c>
    </row>
    <row r="1989" spans="1:18" x14ac:dyDescent="0.25">
      <c r="A1989" s="170">
        <v>44931</v>
      </c>
      <c r="B1989" s="116">
        <v>2098</v>
      </c>
      <c r="C1989" s="116">
        <v>2085.15</v>
      </c>
      <c r="D1989" s="116">
        <v>2068.65</v>
      </c>
      <c r="E1989" s="116">
        <v>2070.5</v>
      </c>
      <c r="F1989" s="116">
        <v>2085.15</v>
      </c>
      <c r="G1989">
        <v>35591</v>
      </c>
      <c r="H1989" s="116"/>
      <c r="I1989" s="116"/>
      <c r="L1989" s="170">
        <v>44931</v>
      </c>
      <c r="M1989" s="116">
        <v>2087.35</v>
      </c>
      <c r="N1989" s="116">
        <v>2099.1999999999998</v>
      </c>
      <c r="O1989" s="116">
        <v>2068.5</v>
      </c>
      <c r="P1989" s="116">
        <v>2080</v>
      </c>
      <c r="Q1989" s="116">
        <v>2087.35</v>
      </c>
      <c r="R1989">
        <v>1881403</v>
      </c>
    </row>
    <row r="1990" spans="1:18" x14ac:dyDescent="0.25">
      <c r="A1990" s="170">
        <v>44932</v>
      </c>
      <c r="B1990" s="116">
        <v>2122.0500000000002</v>
      </c>
      <c r="C1990" s="116">
        <v>2086.25</v>
      </c>
      <c r="D1990" s="116">
        <v>2072.3000000000002</v>
      </c>
      <c r="E1990" s="116">
        <v>2086.15</v>
      </c>
      <c r="F1990" s="116">
        <v>2086.25</v>
      </c>
      <c r="G1990">
        <v>119307</v>
      </c>
      <c r="H1990" s="116"/>
      <c r="I1990" s="116"/>
      <c r="L1990" s="170">
        <v>44932</v>
      </c>
      <c r="M1990" s="116">
        <v>2086.5500000000002</v>
      </c>
      <c r="N1990" s="116">
        <v>2121.6999999999998</v>
      </c>
      <c r="O1990" s="116">
        <v>2071.85</v>
      </c>
      <c r="P1990" s="116">
        <v>2090.1999999999998</v>
      </c>
      <c r="Q1990" s="116">
        <v>2086.5500000000002</v>
      </c>
      <c r="R1990">
        <v>1877917</v>
      </c>
    </row>
    <row r="1991" spans="1:18" x14ac:dyDescent="0.25">
      <c r="A1991" s="170">
        <v>44935</v>
      </c>
      <c r="B1991" s="116">
        <v>2126.6999999999998</v>
      </c>
      <c r="C1991" s="116">
        <v>2119.85</v>
      </c>
      <c r="D1991" s="116">
        <v>2096.4</v>
      </c>
      <c r="E1991" s="116">
        <v>2096.4</v>
      </c>
      <c r="F1991" s="116">
        <v>2119.85</v>
      </c>
      <c r="G1991">
        <v>45828</v>
      </c>
      <c r="H1991" s="116"/>
      <c r="I1991" s="116"/>
      <c r="L1991" s="170">
        <v>44935</v>
      </c>
      <c r="M1991" s="116">
        <v>2121.6999999999998</v>
      </c>
      <c r="N1991" s="116">
        <v>2127.3000000000002</v>
      </c>
      <c r="O1991" s="116">
        <v>2100.75</v>
      </c>
      <c r="P1991" s="116">
        <v>2108</v>
      </c>
      <c r="Q1991" s="116">
        <v>2121.6999999999998</v>
      </c>
      <c r="R1991">
        <v>1844365</v>
      </c>
    </row>
    <row r="1992" spans="1:18" x14ac:dyDescent="0.25">
      <c r="A1992" s="170">
        <v>44936</v>
      </c>
      <c r="B1992" s="116">
        <v>2132</v>
      </c>
      <c r="C1992" s="116">
        <v>2106.4499999999998</v>
      </c>
      <c r="D1992" s="116">
        <v>2097.25</v>
      </c>
      <c r="E1992" s="116">
        <v>2122.1999999999998</v>
      </c>
      <c r="F1992" s="116">
        <v>2106.4499999999998</v>
      </c>
      <c r="G1992">
        <v>37141</v>
      </c>
      <c r="H1992" s="116"/>
      <c r="I1992" s="116"/>
      <c r="L1992" s="170">
        <v>44936</v>
      </c>
      <c r="M1992" s="116">
        <v>2106.65</v>
      </c>
      <c r="N1992" s="116">
        <v>2131.9</v>
      </c>
      <c r="O1992" s="116">
        <v>2097.1999999999998</v>
      </c>
      <c r="P1992" s="116">
        <v>2131.9</v>
      </c>
      <c r="Q1992" s="116">
        <v>2106.65</v>
      </c>
      <c r="R1992">
        <v>1425414</v>
      </c>
    </row>
    <row r="1993" spans="1:18" x14ac:dyDescent="0.25">
      <c r="A1993" s="170">
        <v>44937</v>
      </c>
      <c r="B1993" s="116">
        <v>2139.75</v>
      </c>
      <c r="C1993" s="116">
        <v>2124.85</v>
      </c>
      <c r="D1993" s="116">
        <v>2098.85</v>
      </c>
      <c r="E1993" s="116">
        <v>2107</v>
      </c>
      <c r="F1993" s="116">
        <v>2124.85</v>
      </c>
      <c r="G1993">
        <v>16916</v>
      </c>
      <c r="H1993" s="116"/>
      <c r="I1993" s="116"/>
      <c r="L1993" s="170">
        <v>44937</v>
      </c>
      <c r="M1993" s="116">
        <v>2125.35</v>
      </c>
      <c r="N1993" s="116">
        <v>2140</v>
      </c>
      <c r="O1993" s="116">
        <v>2097.1</v>
      </c>
      <c r="P1993" s="116">
        <v>2106.1</v>
      </c>
      <c r="Q1993" s="116">
        <v>2125.35</v>
      </c>
      <c r="R1993">
        <v>1455621</v>
      </c>
    </row>
    <row r="1994" spans="1:18" x14ac:dyDescent="0.25">
      <c r="A1994" s="170">
        <v>44938</v>
      </c>
      <c r="B1994" s="116">
        <v>2165</v>
      </c>
      <c r="C1994" s="116">
        <v>2160.1999999999998</v>
      </c>
      <c r="D1994" s="116">
        <v>2113.5500000000002</v>
      </c>
      <c r="E1994" s="116">
        <v>2113.5500000000002</v>
      </c>
      <c r="F1994" s="116">
        <v>2160.1999999999998</v>
      </c>
      <c r="G1994">
        <v>81416</v>
      </c>
      <c r="H1994" s="116"/>
      <c r="I1994" s="116"/>
      <c r="L1994" s="170">
        <v>44938</v>
      </c>
      <c r="M1994" s="116">
        <v>2159.75</v>
      </c>
      <c r="N1994" s="116">
        <v>2164.65</v>
      </c>
      <c r="O1994" s="116">
        <v>2118.1</v>
      </c>
      <c r="P1994" s="116">
        <v>2118.1</v>
      </c>
      <c r="Q1994" s="116">
        <v>2159.75</v>
      </c>
      <c r="R1994">
        <v>2726901</v>
      </c>
    </row>
    <row r="1995" spans="1:18" x14ac:dyDescent="0.25">
      <c r="A1995" s="170">
        <v>44939</v>
      </c>
      <c r="B1995" s="116">
        <v>2164.25</v>
      </c>
      <c r="C1995" s="116">
        <v>2153.75</v>
      </c>
      <c r="D1995" s="116">
        <v>2117</v>
      </c>
      <c r="E1995" s="116">
        <v>2162</v>
      </c>
      <c r="F1995" s="116">
        <v>2153.75</v>
      </c>
      <c r="G1995">
        <v>43200</v>
      </c>
      <c r="H1995" s="116"/>
      <c r="I1995" s="116"/>
      <c r="L1995" s="170">
        <v>44939</v>
      </c>
      <c r="M1995" s="116">
        <v>2153.4</v>
      </c>
      <c r="N1995" s="116">
        <v>2164.85</v>
      </c>
      <c r="O1995" s="116">
        <v>2117.1999999999998</v>
      </c>
      <c r="P1995" s="116">
        <v>2161.9</v>
      </c>
      <c r="Q1995" s="116">
        <v>2153.4</v>
      </c>
      <c r="R1995">
        <v>2180210</v>
      </c>
    </row>
    <row r="1996" spans="1:18" x14ac:dyDescent="0.25">
      <c r="A1996" s="170">
        <v>44942</v>
      </c>
      <c r="B1996" s="116">
        <v>2160.4499999999998</v>
      </c>
      <c r="C1996" s="116">
        <v>2138.1999999999998</v>
      </c>
      <c r="D1996" s="116">
        <v>2132</v>
      </c>
      <c r="E1996" s="116">
        <v>2152.9499999999998</v>
      </c>
      <c r="F1996" s="116">
        <v>2138.1999999999998</v>
      </c>
      <c r="G1996">
        <v>28706</v>
      </c>
      <c r="H1996" s="116"/>
      <c r="I1996" s="116"/>
      <c r="L1996" s="170">
        <v>44942</v>
      </c>
      <c r="M1996" s="116">
        <v>2137.1999999999998</v>
      </c>
      <c r="N1996" s="116">
        <v>2161</v>
      </c>
      <c r="O1996" s="116">
        <v>2132.3000000000002</v>
      </c>
      <c r="P1996" s="116">
        <v>2147</v>
      </c>
      <c r="Q1996" s="116">
        <v>2137.1999999999998</v>
      </c>
      <c r="R1996">
        <v>1009649</v>
      </c>
    </row>
    <row r="1997" spans="1:18" x14ac:dyDescent="0.25">
      <c r="A1997" s="170">
        <v>44943</v>
      </c>
      <c r="B1997" s="116">
        <v>2217</v>
      </c>
      <c r="C1997" s="116">
        <v>2213.15</v>
      </c>
      <c r="D1997" s="116">
        <v>2126.75</v>
      </c>
      <c r="E1997" s="116">
        <v>2126.75</v>
      </c>
      <c r="F1997" s="116">
        <v>2213.15</v>
      </c>
      <c r="G1997">
        <v>133009</v>
      </c>
      <c r="H1997" s="116"/>
      <c r="I1997" s="116"/>
      <c r="L1997" s="170">
        <v>44943</v>
      </c>
      <c r="M1997" s="116">
        <v>2213.1</v>
      </c>
      <c r="N1997" s="116">
        <v>2217.8000000000002</v>
      </c>
      <c r="O1997" s="116">
        <v>2136.4</v>
      </c>
      <c r="P1997" s="116">
        <v>2139.9</v>
      </c>
      <c r="Q1997" s="116">
        <v>2213.1</v>
      </c>
      <c r="R1997">
        <v>4645453</v>
      </c>
    </row>
    <row r="1998" spans="1:18" x14ac:dyDescent="0.25">
      <c r="A1998" s="170">
        <v>44944</v>
      </c>
      <c r="B1998" s="116">
        <v>2273.9499999999998</v>
      </c>
      <c r="C1998" s="116">
        <v>2266.4499999999998</v>
      </c>
      <c r="D1998" s="116">
        <v>2200.1999999999998</v>
      </c>
      <c r="E1998" s="116">
        <v>2220</v>
      </c>
      <c r="F1998" s="116">
        <v>2266.4499999999998</v>
      </c>
      <c r="G1998">
        <v>194489</v>
      </c>
      <c r="H1998" s="116"/>
      <c r="I1998" s="116"/>
      <c r="L1998" s="170">
        <v>44944</v>
      </c>
      <c r="M1998" s="116">
        <v>2266.5</v>
      </c>
      <c r="N1998" s="116">
        <v>2274.8000000000002</v>
      </c>
      <c r="O1998" s="116">
        <v>2200</v>
      </c>
      <c r="P1998" s="116">
        <v>2221</v>
      </c>
      <c r="Q1998" s="116">
        <v>2266.5</v>
      </c>
      <c r="R1998">
        <v>4090049</v>
      </c>
    </row>
    <row r="1999" spans="1:18" x14ac:dyDescent="0.25">
      <c r="A1999" s="170">
        <v>44945</v>
      </c>
      <c r="B1999" s="116">
        <v>2283.5</v>
      </c>
      <c r="C1999" s="116">
        <v>2272.6</v>
      </c>
      <c r="D1999" s="116">
        <v>2242</v>
      </c>
      <c r="E1999" s="116">
        <v>2260</v>
      </c>
      <c r="F1999" s="116">
        <v>2272.6</v>
      </c>
      <c r="G1999">
        <v>78457</v>
      </c>
      <c r="H1999" s="116"/>
      <c r="I1999" s="116"/>
      <c r="L1999" s="170">
        <v>44945</v>
      </c>
      <c r="M1999" s="116">
        <v>2273.1</v>
      </c>
      <c r="N1999" s="116">
        <v>2283.8000000000002</v>
      </c>
      <c r="O1999" s="116">
        <v>2241</v>
      </c>
      <c r="P1999" s="116">
        <v>2259.85</v>
      </c>
      <c r="Q1999" s="116">
        <v>2273.1</v>
      </c>
      <c r="R1999">
        <v>2176835</v>
      </c>
    </row>
    <row r="2000" spans="1:18" x14ac:dyDescent="0.25">
      <c r="A2000" s="170">
        <v>44946</v>
      </c>
      <c r="B2000" s="116">
        <v>2297.3000000000002</v>
      </c>
      <c r="C2000" s="116">
        <v>2246.4499999999998</v>
      </c>
      <c r="D2000" s="116">
        <v>2236.1999999999998</v>
      </c>
      <c r="E2000" s="116">
        <v>2275.1999999999998</v>
      </c>
      <c r="F2000" s="116">
        <v>2246.4499999999998</v>
      </c>
      <c r="G2000">
        <v>75374</v>
      </c>
      <c r="H2000" s="116"/>
      <c r="I2000" s="116"/>
      <c r="L2000" s="170">
        <v>44946</v>
      </c>
      <c r="M2000" s="116">
        <v>2249.9499999999998</v>
      </c>
      <c r="N2000" s="116">
        <v>2297.65</v>
      </c>
      <c r="O2000" s="116">
        <v>2238.4499999999998</v>
      </c>
      <c r="P2000" s="116">
        <v>2282.4499999999998</v>
      </c>
      <c r="Q2000" s="116">
        <v>2249.9499999999998</v>
      </c>
      <c r="R2000">
        <v>1962410</v>
      </c>
    </row>
    <row r="2001" spans="1:18" x14ac:dyDescent="0.25">
      <c r="A2001" s="170">
        <v>44949</v>
      </c>
      <c r="B2001" s="116">
        <v>2272.5</v>
      </c>
      <c r="C2001" s="116">
        <v>2233.35</v>
      </c>
      <c r="D2001" s="116">
        <v>2227</v>
      </c>
      <c r="E2001" s="116">
        <v>2250</v>
      </c>
      <c r="F2001" s="116">
        <v>2233.35</v>
      </c>
      <c r="G2001">
        <v>29728</v>
      </c>
      <c r="H2001" s="116"/>
      <c r="I2001" s="116"/>
      <c r="L2001" s="170">
        <v>44949</v>
      </c>
      <c r="M2001" s="116">
        <v>2233.5</v>
      </c>
      <c r="N2001" s="116">
        <v>2273.3000000000002</v>
      </c>
      <c r="O2001" s="116">
        <v>2227</v>
      </c>
      <c r="P2001" s="116">
        <v>2255</v>
      </c>
      <c r="Q2001" s="116">
        <v>2233.5</v>
      </c>
      <c r="R2001">
        <v>1466706</v>
      </c>
    </row>
    <row r="2002" spans="1:18" x14ac:dyDescent="0.25">
      <c r="A2002" s="170">
        <v>44950</v>
      </c>
      <c r="B2002" s="116">
        <v>2249.5500000000002</v>
      </c>
      <c r="C2002" s="116">
        <v>2207.0500000000002</v>
      </c>
      <c r="D2002" s="116">
        <v>2202</v>
      </c>
      <c r="E2002" s="116">
        <v>2248.9499999999998</v>
      </c>
      <c r="F2002" s="116">
        <v>2207.0500000000002</v>
      </c>
      <c r="G2002">
        <v>28408</v>
      </c>
      <c r="H2002" s="116"/>
      <c r="I2002" s="116"/>
      <c r="L2002" s="170">
        <v>44950</v>
      </c>
      <c r="M2002" s="116">
        <v>2207.5</v>
      </c>
      <c r="N2002" s="116">
        <v>2252.3000000000002</v>
      </c>
      <c r="O2002" s="116">
        <v>2200</v>
      </c>
      <c r="P2002" s="116">
        <v>2244.6999999999998</v>
      </c>
      <c r="Q2002" s="116">
        <v>2207.5</v>
      </c>
      <c r="R2002">
        <v>1036962</v>
      </c>
    </row>
    <row r="2003" spans="1:18" x14ac:dyDescent="0.25">
      <c r="A2003" s="170">
        <v>44951</v>
      </c>
      <c r="B2003" s="116">
        <v>2204.65</v>
      </c>
      <c r="C2003" s="116">
        <v>2174.9499999999998</v>
      </c>
      <c r="D2003" s="116">
        <v>2155.35</v>
      </c>
      <c r="E2003" s="116">
        <v>2195.0500000000002</v>
      </c>
      <c r="F2003" s="116">
        <v>2174.9499999999998</v>
      </c>
      <c r="G2003">
        <v>61425</v>
      </c>
      <c r="H2003" s="116"/>
      <c r="I2003" s="116"/>
      <c r="L2003" s="170">
        <v>44951</v>
      </c>
      <c r="M2003" s="116">
        <v>2174.6999999999998</v>
      </c>
      <c r="N2003" s="116">
        <v>2205</v>
      </c>
      <c r="O2003" s="116">
        <v>2155</v>
      </c>
      <c r="P2003" s="116">
        <v>2201</v>
      </c>
      <c r="Q2003" s="116">
        <v>2174.6999999999998</v>
      </c>
      <c r="R2003">
        <v>2134447</v>
      </c>
    </row>
    <row r="2004" spans="1:18" x14ac:dyDescent="0.25">
      <c r="A2004" s="170">
        <v>44953</v>
      </c>
      <c r="B2004" s="116">
        <v>2194</v>
      </c>
      <c r="C2004" s="116">
        <v>2160.1999999999998</v>
      </c>
      <c r="D2004" s="116">
        <v>2128</v>
      </c>
      <c r="E2004" s="116">
        <v>2170</v>
      </c>
      <c r="F2004" s="116">
        <v>2160.1999999999998</v>
      </c>
      <c r="G2004">
        <v>60964</v>
      </c>
      <c r="H2004" s="116"/>
      <c r="I2004" s="116"/>
      <c r="L2004" s="170">
        <v>44953</v>
      </c>
      <c r="M2004" s="116">
        <v>2159.85</v>
      </c>
      <c r="N2004" s="116">
        <v>2195</v>
      </c>
      <c r="O2004" s="116">
        <v>2127.1</v>
      </c>
      <c r="P2004" s="116">
        <v>2174.6999999999998</v>
      </c>
      <c r="Q2004" s="116">
        <v>2159.85</v>
      </c>
      <c r="R2004">
        <v>1647900</v>
      </c>
    </row>
    <row r="2005" spans="1:18" x14ac:dyDescent="0.25">
      <c r="A2005" s="170">
        <v>44956</v>
      </c>
      <c r="B2005" s="116">
        <v>2173.1</v>
      </c>
      <c r="C2005" s="116">
        <v>2114.6</v>
      </c>
      <c r="D2005" s="116">
        <v>2083.6999999999998</v>
      </c>
      <c r="E2005" s="116">
        <v>2131.4499999999998</v>
      </c>
      <c r="F2005" s="116">
        <v>2114.6</v>
      </c>
      <c r="G2005">
        <v>63512</v>
      </c>
      <c r="H2005" s="116"/>
      <c r="I2005" s="116"/>
      <c r="L2005" s="170">
        <v>44956</v>
      </c>
      <c r="M2005" s="116">
        <v>2112.9</v>
      </c>
      <c r="N2005" s="116">
        <v>2173.25</v>
      </c>
      <c r="O2005" s="116">
        <v>2083.8000000000002</v>
      </c>
      <c r="P2005" s="116">
        <v>2129.4</v>
      </c>
      <c r="Q2005" s="116">
        <v>2112.9</v>
      </c>
      <c r="R2005">
        <v>3441304</v>
      </c>
    </row>
    <row r="2006" spans="1:18" x14ac:dyDescent="0.25">
      <c r="A2006" s="170">
        <v>44957</v>
      </c>
      <c r="B2006" s="116">
        <v>2139</v>
      </c>
      <c r="C2006" s="116">
        <v>2125.1</v>
      </c>
      <c r="D2006" s="116">
        <v>2073.85</v>
      </c>
      <c r="E2006" s="116">
        <v>2139</v>
      </c>
      <c r="F2006" s="116">
        <v>2125.1</v>
      </c>
      <c r="G2006">
        <v>85128</v>
      </c>
      <c r="H2006" s="116"/>
      <c r="I2006" s="116"/>
      <c r="L2006" s="170">
        <v>44957</v>
      </c>
      <c r="M2006" s="116">
        <v>2124.4</v>
      </c>
      <c r="N2006" s="116">
        <v>2132.75</v>
      </c>
      <c r="O2006" s="116">
        <v>2072.65</v>
      </c>
      <c r="P2006" s="116">
        <v>2119.9499999999998</v>
      </c>
      <c r="Q2006" s="116">
        <v>2124.4</v>
      </c>
      <c r="R2006">
        <v>4516463</v>
      </c>
    </row>
    <row r="2007" spans="1:18" x14ac:dyDescent="0.25">
      <c r="A2007" s="170">
        <v>44958</v>
      </c>
      <c r="B2007" s="116">
        <v>2215</v>
      </c>
      <c r="C2007" s="116">
        <v>2144.5500000000002</v>
      </c>
      <c r="D2007" s="116">
        <v>2081.9499999999998</v>
      </c>
      <c r="E2007" s="116">
        <v>2141.5500000000002</v>
      </c>
      <c r="F2007" s="116">
        <v>2144.5500000000002</v>
      </c>
      <c r="G2007">
        <v>455974</v>
      </c>
      <c r="H2007" s="116"/>
      <c r="I2007" s="116"/>
      <c r="L2007" s="170">
        <v>44958</v>
      </c>
      <c r="M2007" s="116">
        <v>2145.5500000000002</v>
      </c>
      <c r="N2007" s="116">
        <v>2215.9499999999998</v>
      </c>
      <c r="O2007" s="116">
        <v>2080.3000000000002</v>
      </c>
      <c r="P2007" s="116">
        <v>2133</v>
      </c>
      <c r="Q2007" s="116">
        <v>2145.5500000000002</v>
      </c>
      <c r="R2007">
        <v>6868872</v>
      </c>
    </row>
    <row r="2008" spans="1:18" x14ac:dyDescent="0.25">
      <c r="A2008" s="170">
        <v>44959</v>
      </c>
      <c r="B2008" s="116">
        <v>2166</v>
      </c>
      <c r="C2008" s="116">
        <v>2145.6</v>
      </c>
      <c r="D2008" s="116">
        <v>2108.4499999999998</v>
      </c>
      <c r="E2008" s="116">
        <v>2140</v>
      </c>
      <c r="F2008" s="116">
        <v>2145.6</v>
      </c>
      <c r="G2008">
        <v>165366</v>
      </c>
      <c r="H2008" s="116"/>
      <c r="I2008" s="116"/>
      <c r="L2008" s="170">
        <v>44959</v>
      </c>
      <c r="M2008" s="116">
        <v>2144.9</v>
      </c>
      <c r="N2008" s="116">
        <v>2166.9499999999998</v>
      </c>
      <c r="O2008" s="116">
        <v>2107.85</v>
      </c>
      <c r="P2008" s="116">
        <v>2135.6</v>
      </c>
      <c r="Q2008" s="116">
        <v>2144.9</v>
      </c>
      <c r="R2008">
        <v>3488506</v>
      </c>
    </row>
    <row r="2009" spans="1:18" x14ac:dyDescent="0.25">
      <c r="A2009" s="170">
        <v>44960</v>
      </c>
      <c r="B2009" s="116">
        <v>2186.15</v>
      </c>
      <c r="C2009" s="116">
        <v>2166.8000000000002</v>
      </c>
      <c r="D2009" s="116">
        <v>2131.25</v>
      </c>
      <c r="E2009" s="116">
        <v>2160.0500000000002</v>
      </c>
      <c r="F2009" s="116">
        <v>2166.8000000000002</v>
      </c>
      <c r="G2009">
        <v>64935</v>
      </c>
      <c r="H2009" s="116"/>
      <c r="I2009" s="116"/>
      <c r="L2009" s="170">
        <v>44960</v>
      </c>
      <c r="M2009" s="116">
        <v>2166.5500000000002</v>
      </c>
      <c r="N2009" s="116">
        <v>2181.85</v>
      </c>
      <c r="O2009" s="116">
        <v>2131.0500000000002</v>
      </c>
      <c r="P2009" s="116">
        <v>2176.9499999999998</v>
      </c>
      <c r="Q2009" s="116">
        <v>2166.5500000000002</v>
      </c>
      <c r="R2009">
        <v>2045634</v>
      </c>
    </row>
    <row r="2010" spans="1:18" x14ac:dyDescent="0.25">
      <c r="A2010" s="170">
        <v>44963</v>
      </c>
      <c r="B2010" s="116">
        <v>2180.75</v>
      </c>
      <c r="C2010" s="116">
        <v>2154.85</v>
      </c>
      <c r="D2010" s="116">
        <v>2142.0500000000002</v>
      </c>
      <c r="E2010" s="116">
        <v>2173.85</v>
      </c>
      <c r="F2010" s="116">
        <v>2154.85</v>
      </c>
      <c r="G2010">
        <v>41794</v>
      </c>
      <c r="H2010" s="116"/>
      <c r="I2010" s="116"/>
      <c r="L2010" s="170">
        <v>44963</v>
      </c>
      <c r="M2010" s="116">
        <v>2156.1</v>
      </c>
      <c r="N2010" s="116">
        <v>2181.6</v>
      </c>
      <c r="O2010" s="116">
        <v>2142.3000000000002</v>
      </c>
      <c r="P2010" s="116">
        <v>2164.25</v>
      </c>
      <c r="Q2010" s="116">
        <v>2156.1</v>
      </c>
      <c r="R2010">
        <v>1332484</v>
      </c>
    </row>
    <row r="2011" spans="1:18" x14ac:dyDescent="0.25">
      <c r="A2011" s="170">
        <v>44964</v>
      </c>
      <c r="B2011" s="116">
        <v>2171.25</v>
      </c>
      <c r="C2011" s="116">
        <v>2165.9</v>
      </c>
      <c r="D2011" s="116">
        <v>2150.5</v>
      </c>
      <c r="E2011" s="116">
        <v>2169.9499999999998</v>
      </c>
      <c r="F2011" s="116">
        <v>2165.9</v>
      </c>
      <c r="G2011">
        <v>36939</v>
      </c>
      <c r="H2011" s="116"/>
      <c r="I2011" s="116"/>
      <c r="L2011" s="170">
        <v>44964</v>
      </c>
      <c r="M2011" s="116">
        <v>2165.3000000000002</v>
      </c>
      <c r="N2011" s="116">
        <v>2172</v>
      </c>
      <c r="O2011" s="116">
        <v>2150.0500000000002</v>
      </c>
      <c r="P2011" s="116">
        <v>2162.25</v>
      </c>
      <c r="Q2011" s="116">
        <v>2165.3000000000002</v>
      </c>
      <c r="R2011">
        <v>1089248</v>
      </c>
    </row>
    <row r="2012" spans="1:18" x14ac:dyDescent="0.25">
      <c r="A2012" s="170">
        <v>44965</v>
      </c>
      <c r="B2012" s="116">
        <v>2175</v>
      </c>
      <c r="C2012" s="116">
        <v>2130.75</v>
      </c>
      <c r="D2012" s="116">
        <v>2126.9</v>
      </c>
      <c r="E2012" s="116">
        <v>2157</v>
      </c>
      <c r="F2012" s="116">
        <v>2130.75</v>
      </c>
      <c r="G2012">
        <v>49618</v>
      </c>
      <c r="H2012" s="116"/>
      <c r="I2012" s="116"/>
      <c r="L2012" s="170">
        <v>44965</v>
      </c>
      <c r="M2012" s="116">
        <v>2130.85</v>
      </c>
      <c r="N2012" s="116">
        <v>2175.25</v>
      </c>
      <c r="O2012" s="116">
        <v>2125.5500000000002</v>
      </c>
      <c r="P2012" s="116">
        <v>2160.5500000000002</v>
      </c>
      <c r="Q2012" s="116">
        <v>2130.85</v>
      </c>
      <c r="R2012">
        <v>1452145</v>
      </c>
    </row>
    <row r="2013" spans="1:18" x14ac:dyDescent="0.25">
      <c r="A2013" s="170">
        <v>44966</v>
      </c>
      <c r="B2013" s="116">
        <v>2151.6</v>
      </c>
      <c r="C2013" s="116">
        <v>2146.6</v>
      </c>
      <c r="D2013" s="116">
        <v>2137</v>
      </c>
      <c r="E2013" s="116">
        <v>2150</v>
      </c>
      <c r="F2013" s="116">
        <v>2146.6</v>
      </c>
      <c r="G2013">
        <v>32046</v>
      </c>
      <c r="H2013" s="116"/>
      <c r="I2013" s="116"/>
      <c r="L2013" s="170">
        <v>44966</v>
      </c>
      <c r="M2013" s="116">
        <v>2147.4</v>
      </c>
      <c r="N2013" s="116">
        <v>2151.9499999999998</v>
      </c>
      <c r="O2013" s="116">
        <v>2135.6999999999998</v>
      </c>
      <c r="P2013" s="116">
        <v>2150</v>
      </c>
      <c r="Q2013" s="116">
        <v>2147.4</v>
      </c>
      <c r="R2013">
        <v>1563181</v>
      </c>
    </row>
    <row r="2014" spans="1:18" x14ac:dyDescent="0.25">
      <c r="A2014" s="170">
        <v>44967</v>
      </c>
      <c r="B2014" s="116">
        <v>2168.9</v>
      </c>
      <c r="C2014" s="116">
        <v>2162.9499999999998</v>
      </c>
      <c r="D2014" s="116">
        <v>2137.8000000000002</v>
      </c>
      <c r="E2014" s="116">
        <v>2144.8000000000002</v>
      </c>
      <c r="F2014" s="116">
        <v>2162.9499999999998</v>
      </c>
      <c r="G2014">
        <v>32419</v>
      </c>
      <c r="H2014" s="116"/>
      <c r="I2014" s="116"/>
      <c r="L2014" s="170">
        <v>44967</v>
      </c>
      <c r="M2014" s="116">
        <v>2163.85</v>
      </c>
      <c r="N2014" s="116">
        <v>2169.9499999999998</v>
      </c>
      <c r="O2014" s="116">
        <v>2137.5500000000002</v>
      </c>
      <c r="P2014" s="116">
        <v>2140.1999999999998</v>
      </c>
      <c r="Q2014" s="116">
        <v>2163.85</v>
      </c>
      <c r="R2014">
        <v>1454665</v>
      </c>
    </row>
    <row r="2015" spans="1:18" x14ac:dyDescent="0.25">
      <c r="A2015" s="170">
        <v>44970</v>
      </c>
      <c r="B2015" s="116">
        <v>2210.5</v>
      </c>
      <c r="C2015" s="116">
        <v>2203.6999999999998</v>
      </c>
      <c r="D2015" s="116">
        <v>2160.1999999999998</v>
      </c>
      <c r="E2015" s="116">
        <v>2165.4</v>
      </c>
      <c r="F2015" s="116">
        <v>2203.6999999999998</v>
      </c>
      <c r="G2015">
        <v>103917</v>
      </c>
      <c r="H2015" s="116"/>
      <c r="I2015" s="116"/>
      <c r="L2015" s="170">
        <v>44970</v>
      </c>
      <c r="M2015" s="116">
        <v>2203.3000000000002</v>
      </c>
      <c r="N2015" s="116">
        <v>2210.4</v>
      </c>
      <c r="O2015" s="116">
        <v>2160.1999999999998</v>
      </c>
      <c r="P2015" s="116">
        <v>2173</v>
      </c>
      <c r="Q2015" s="116">
        <v>2203.3000000000002</v>
      </c>
      <c r="R2015">
        <v>2978938</v>
      </c>
    </row>
    <row r="2016" spans="1:18" x14ac:dyDescent="0.25">
      <c r="A2016" s="170">
        <v>44971</v>
      </c>
      <c r="B2016" s="116">
        <v>2215.5</v>
      </c>
      <c r="C2016" s="116">
        <v>2189.1</v>
      </c>
      <c r="D2016" s="116">
        <v>2181.35</v>
      </c>
      <c r="E2016" s="116">
        <v>2207.5</v>
      </c>
      <c r="F2016" s="116">
        <v>2189.1</v>
      </c>
      <c r="G2016">
        <v>131965</v>
      </c>
      <c r="H2016" s="116"/>
      <c r="I2016" s="116"/>
      <c r="L2016" s="170">
        <v>44971</v>
      </c>
      <c r="M2016" s="116">
        <v>2191.65</v>
      </c>
      <c r="N2016" s="116">
        <v>2216</v>
      </c>
      <c r="O2016" s="116">
        <v>2182.15</v>
      </c>
      <c r="P2016" s="116">
        <v>2215</v>
      </c>
      <c r="Q2016" s="116">
        <v>2191.65</v>
      </c>
      <c r="R2016">
        <v>1874906</v>
      </c>
    </row>
    <row r="2017" spans="1:18" x14ac:dyDescent="0.25">
      <c r="A2017" s="170">
        <v>44972</v>
      </c>
      <c r="B2017" s="116">
        <v>2186.9</v>
      </c>
      <c r="C2017" s="116">
        <v>2175.1999999999998</v>
      </c>
      <c r="D2017" s="116">
        <v>2157.3000000000002</v>
      </c>
      <c r="E2017" s="116">
        <v>2185</v>
      </c>
      <c r="F2017" s="116">
        <v>2175.1999999999998</v>
      </c>
      <c r="G2017">
        <v>46272</v>
      </c>
      <c r="H2017" s="116"/>
      <c r="I2017" s="116"/>
      <c r="L2017" s="170">
        <v>44972</v>
      </c>
      <c r="M2017" s="116">
        <v>2175.0500000000002</v>
      </c>
      <c r="N2017" s="116">
        <v>2187.85</v>
      </c>
      <c r="O2017" s="116">
        <v>2157.25</v>
      </c>
      <c r="P2017" s="116">
        <v>2186</v>
      </c>
      <c r="Q2017" s="116">
        <v>2175.0500000000002</v>
      </c>
      <c r="R2017">
        <v>1946344</v>
      </c>
    </row>
    <row r="2018" spans="1:18" x14ac:dyDescent="0.25">
      <c r="A2018" s="170">
        <v>44973</v>
      </c>
      <c r="B2018" s="116">
        <v>2201.9</v>
      </c>
      <c r="C2018" s="116">
        <v>2179.15</v>
      </c>
      <c r="D2018" s="116">
        <v>2171.9</v>
      </c>
      <c r="E2018" s="116">
        <v>2192.4499999999998</v>
      </c>
      <c r="F2018" s="116">
        <v>2179.15</v>
      </c>
      <c r="G2018">
        <v>234764</v>
      </c>
      <c r="H2018" s="116"/>
      <c r="I2018" s="116"/>
      <c r="L2018" s="170">
        <v>44973</v>
      </c>
      <c r="M2018" s="116">
        <v>2178.3000000000002</v>
      </c>
      <c r="N2018" s="116">
        <v>2202.3000000000002</v>
      </c>
      <c r="O2018" s="116">
        <v>2171.6999999999998</v>
      </c>
      <c r="P2018" s="116">
        <v>2186.8000000000002</v>
      </c>
      <c r="Q2018" s="116">
        <v>2178.3000000000002</v>
      </c>
      <c r="R2018">
        <v>2464602</v>
      </c>
    </row>
    <row r="2019" spans="1:18" x14ac:dyDescent="0.25">
      <c r="A2019" s="170">
        <v>44974</v>
      </c>
      <c r="B2019" s="116">
        <v>2249</v>
      </c>
      <c r="C2019" s="116">
        <v>2226.6999999999998</v>
      </c>
      <c r="D2019" s="116">
        <v>2159</v>
      </c>
      <c r="E2019" s="116">
        <v>2175</v>
      </c>
      <c r="F2019" s="116">
        <v>2226.6999999999998</v>
      </c>
      <c r="G2019">
        <v>183142</v>
      </c>
      <c r="H2019" s="116"/>
      <c r="I2019" s="116"/>
      <c r="L2019" s="170">
        <v>44974</v>
      </c>
      <c r="M2019" s="116">
        <v>2226.35</v>
      </c>
      <c r="N2019" s="116">
        <v>2249</v>
      </c>
      <c r="O2019" s="116">
        <v>2160</v>
      </c>
      <c r="P2019" s="116">
        <v>2169.8000000000002</v>
      </c>
      <c r="Q2019" s="116">
        <v>2226.35</v>
      </c>
      <c r="R2019">
        <v>3753179</v>
      </c>
    </row>
    <row r="2020" spans="1:18" x14ac:dyDescent="0.25">
      <c r="A2020" s="170">
        <v>44977</v>
      </c>
      <c r="B2020" s="116">
        <v>2251.75</v>
      </c>
      <c r="C2020" s="116">
        <v>2225.15</v>
      </c>
      <c r="D2020" s="116">
        <v>2214.9</v>
      </c>
      <c r="E2020" s="116">
        <v>2246.9</v>
      </c>
      <c r="F2020" s="116">
        <v>2225.15</v>
      </c>
      <c r="G2020">
        <v>63302</v>
      </c>
      <c r="H2020" s="116"/>
      <c r="I2020" s="116"/>
      <c r="L2020" s="170">
        <v>44977</v>
      </c>
      <c r="M2020" s="116">
        <v>2225.5</v>
      </c>
      <c r="N2020" s="116">
        <v>2252</v>
      </c>
      <c r="O2020" s="116">
        <v>2215</v>
      </c>
      <c r="P2020" s="116">
        <v>2233.6999999999998</v>
      </c>
      <c r="Q2020" s="116">
        <v>2225.5</v>
      </c>
      <c r="R2020">
        <v>1779752</v>
      </c>
    </row>
    <row r="2021" spans="1:18" x14ac:dyDescent="0.25">
      <c r="A2021" s="170">
        <v>44978</v>
      </c>
      <c r="B2021" s="116">
        <v>2261.6</v>
      </c>
      <c r="C2021" s="116">
        <v>2228.4</v>
      </c>
      <c r="D2021" s="116">
        <v>2223.6999999999998</v>
      </c>
      <c r="E2021" s="116">
        <v>2227</v>
      </c>
      <c r="F2021" s="116">
        <v>2228.4</v>
      </c>
      <c r="G2021">
        <v>111274</v>
      </c>
      <c r="H2021" s="116"/>
      <c r="I2021" s="116"/>
      <c r="L2021" s="170">
        <v>44978</v>
      </c>
      <c r="M2021" s="116">
        <v>2229.4499999999998</v>
      </c>
      <c r="N2021" s="116">
        <v>2262</v>
      </c>
      <c r="O2021" s="116">
        <v>2222.6999999999998</v>
      </c>
      <c r="P2021" s="116">
        <v>2239</v>
      </c>
      <c r="Q2021" s="116">
        <v>2229.4499999999998</v>
      </c>
      <c r="R2021">
        <v>1882604</v>
      </c>
    </row>
    <row r="2022" spans="1:18" x14ac:dyDescent="0.25">
      <c r="A2022" s="170">
        <v>44979</v>
      </c>
      <c r="B2022" s="116">
        <v>2241</v>
      </c>
      <c r="C2022" s="116">
        <v>2190.4</v>
      </c>
      <c r="D2022" s="116">
        <v>2183</v>
      </c>
      <c r="E2022" s="116">
        <v>2228</v>
      </c>
      <c r="F2022" s="116">
        <v>2190.4</v>
      </c>
      <c r="G2022">
        <v>69526</v>
      </c>
      <c r="H2022" s="116"/>
      <c r="I2022" s="116"/>
      <c r="L2022" s="170">
        <v>44979</v>
      </c>
      <c r="M2022" s="116">
        <v>2194.75</v>
      </c>
      <c r="N2022" s="116">
        <v>2241</v>
      </c>
      <c r="O2022" s="116">
        <v>2182.0500000000002</v>
      </c>
      <c r="P2022" s="116">
        <v>2229</v>
      </c>
      <c r="Q2022" s="116">
        <v>2194.75</v>
      </c>
      <c r="R2022">
        <v>2103097</v>
      </c>
    </row>
    <row r="2023" spans="1:18" x14ac:dyDescent="0.25">
      <c r="A2023" s="170">
        <v>44980</v>
      </c>
      <c r="B2023" s="116">
        <v>2208</v>
      </c>
      <c r="C2023" s="116">
        <v>2159.8000000000002</v>
      </c>
      <c r="D2023" s="116">
        <v>2155</v>
      </c>
      <c r="E2023" s="116">
        <v>2200</v>
      </c>
      <c r="F2023" s="116">
        <v>2159.8000000000002</v>
      </c>
      <c r="G2023">
        <v>41057</v>
      </c>
      <c r="H2023" s="116"/>
      <c r="I2023" s="116"/>
      <c r="L2023" s="170">
        <v>44980</v>
      </c>
      <c r="M2023" s="116">
        <v>2159.15</v>
      </c>
      <c r="N2023" s="116">
        <v>2208.1999999999998</v>
      </c>
      <c r="O2023" s="116">
        <v>2153.5</v>
      </c>
      <c r="P2023" s="116">
        <v>2204</v>
      </c>
      <c r="Q2023" s="116">
        <v>2159.15</v>
      </c>
      <c r="R2023">
        <v>2000556</v>
      </c>
    </row>
    <row r="2024" spans="1:18" x14ac:dyDescent="0.25">
      <c r="A2024" s="170">
        <v>44981</v>
      </c>
      <c r="B2024" s="116">
        <v>2172.6999999999998</v>
      </c>
      <c r="C2024" s="116">
        <v>2133.85</v>
      </c>
      <c r="D2024" s="116">
        <v>2118.9499999999998</v>
      </c>
      <c r="E2024" s="116">
        <v>2158.6999999999998</v>
      </c>
      <c r="F2024" s="116">
        <v>2133.85</v>
      </c>
      <c r="G2024">
        <v>42251</v>
      </c>
      <c r="H2024" s="116"/>
      <c r="I2024" s="116"/>
      <c r="L2024" s="170">
        <v>44981</v>
      </c>
      <c r="M2024" s="116">
        <v>2134.0500000000002</v>
      </c>
      <c r="N2024" s="116">
        <v>2172.3000000000002</v>
      </c>
      <c r="O2024" s="116">
        <v>2118.75</v>
      </c>
      <c r="P2024" s="116">
        <v>2160</v>
      </c>
      <c r="Q2024" s="116">
        <v>2134.0500000000002</v>
      </c>
      <c r="R2024">
        <v>1479060</v>
      </c>
    </row>
    <row r="2025" spans="1:18" x14ac:dyDescent="0.25">
      <c r="A2025" s="170">
        <v>44984</v>
      </c>
      <c r="B2025" s="116">
        <v>2139</v>
      </c>
      <c r="C2025" s="116">
        <v>2113.35</v>
      </c>
      <c r="D2025" s="116">
        <v>2083.0500000000002</v>
      </c>
      <c r="E2025" s="116">
        <v>2133.85</v>
      </c>
      <c r="F2025" s="116">
        <v>2113.35</v>
      </c>
      <c r="G2025">
        <v>79898</v>
      </c>
      <c r="H2025" s="116"/>
      <c r="I2025" s="116"/>
      <c r="L2025" s="170">
        <v>44984</v>
      </c>
      <c r="M2025" s="116">
        <v>2113.6999999999998</v>
      </c>
      <c r="N2025" s="116">
        <v>2139.9</v>
      </c>
      <c r="O2025" s="116">
        <v>2082.1</v>
      </c>
      <c r="P2025" s="116">
        <v>2134.0500000000002</v>
      </c>
      <c r="Q2025" s="116">
        <v>2113.6999999999998</v>
      </c>
      <c r="R2025">
        <v>1398112</v>
      </c>
    </row>
    <row r="2026" spans="1:18" x14ac:dyDescent="0.25">
      <c r="A2026" s="170">
        <v>44985</v>
      </c>
      <c r="B2026" s="116">
        <v>2138</v>
      </c>
      <c r="C2026" s="116">
        <v>2105.9499999999998</v>
      </c>
      <c r="D2026" s="116">
        <v>2086</v>
      </c>
      <c r="E2026" s="116">
        <v>2119.65</v>
      </c>
      <c r="F2026" s="116">
        <v>2105.9499999999998</v>
      </c>
      <c r="G2026">
        <v>64746</v>
      </c>
      <c r="H2026" s="116"/>
      <c r="I2026" s="116"/>
      <c r="L2026" s="170">
        <v>44985</v>
      </c>
      <c r="M2026" s="116">
        <v>2109.15</v>
      </c>
      <c r="N2026" s="116">
        <v>2138.3000000000002</v>
      </c>
      <c r="O2026" s="116">
        <v>2085</v>
      </c>
      <c r="P2026" s="116">
        <v>2115</v>
      </c>
      <c r="Q2026" s="116">
        <v>2109.15</v>
      </c>
      <c r="R2026">
        <v>2108587</v>
      </c>
    </row>
    <row r="2027" spans="1:18" x14ac:dyDescent="0.25">
      <c r="A2027" s="170">
        <v>44986</v>
      </c>
      <c r="B2027" s="116">
        <v>2129.9</v>
      </c>
      <c r="C2027" s="116">
        <v>2114.9499999999998</v>
      </c>
      <c r="D2027" s="116">
        <v>2104</v>
      </c>
      <c r="E2027" s="116">
        <v>2104</v>
      </c>
      <c r="F2027" s="116">
        <v>2114.9499999999998</v>
      </c>
      <c r="G2027">
        <v>46999</v>
      </c>
      <c r="H2027" s="116"/>
      <c r="I2027" s="116"/>
      <c r="L2027" s="170">
        <v>44986</v>
      </c>
      <c r="M2027" s="116">
        <v>2115.3000000000002</v>
      </c>
      <c r="N2027" s="116">
        <v>2130</v>
      </c>
      <c r="O2027" s="116">
        <v>2100</v>
      </c>
      <c r="P2027" s="116">
        <v>2100</v>
      </c>
      <c r="Q2027" s="116">
        <v>2115.3000000000002</v>
      </c>
      <c r="R2027">
        <v>1389077</v>
      </c>
    </row>
    <row r="2028" spans="1:18" x14ac:dyDescent="0.25">
      <c r="A2028" s="170">
        <v>44987</v>
      </c>
      <c r="B2028" s="116">
        <v>2148.8000000000002</v>
      </c>
      <c r="C2028" s="116">
        <v>2121.35</v>
      </c>
      <c r="D2028" s="116">
        <v>2107</v>
      </c>
      <c r="E2028" s="116">
        <v>2125.0500000000002</v>
      </c>
      <c r="F2028" s="116">
        <v>2121.35</v>
      </c>
      <c r="G2028">
        <v>110522</v>
      </c>
      <c r="H2028" s="116"/>
      <c r="I2028" s="116"/>
      <c r="L2028" s="170">
        <v>44987</v>
      </c>
      <c r="M2028" s="116">
        <v>2121.6</v>
      </c>
      <c r="N2028" s="116">
        <v>2149</v>
      </c>
      <c r="O2028" s="116">
        <v>2107.5500000000002</v>
      </c>
      <c r="P2028" s="116">
        <v>2129.9499999999998</v>
      </c>
      <c r="Q2028" s="116">
        <v>2121.6</v>
      </c>
      <c r="R2028">
        <v>1727640</v>
      </c>
    </row>
    <row r="2029" spans="1:18" x14ac:dyDescent="0.25">
      <c r="A2029" s="170">
        <v>44988</v>
      </c>
      <c r="B2029" s="116">
        <v>2159</v>
      </c>
      <c r="C2029" s="116">
        <v>2151.4</v>
      </c>
      <c r="D2029" s="116">
        <v>2131.1999999999998</v>
      </c>
      <c r="E2029" s="116">
        <v>2131.1999999999998</v>
      </c>
      <c r="F2029" s="116">
        <v>2151.4</v>
      </c>
      <c r="G2029">
        <v>134708</v>
      </c>
      <c r="H2029" s="116"/>
      <c r="I2029" s="116"/>
      <c r="L2029" s="170">
        <v>44988</v>
      </c>
      <c r="M2029" s="116">
        <v>2152.0500000000002</v>
      </c>
      <c r="N2029" s="116">
        <v>2159.9</v>
      </c>
      <c r="O2029" s="116">
        <v>2132.25</v>
      </c>
      <c r="P2029" s="116">
        <v>2140</v>
      </c>
      <c r="Q2029" s="116">
        <v>2152.0500000000002</v>
      </c>
      <c r="R2029">
        <v>1821066</v>
      </c>
    </row>
    <row r="2030" spans="1:18" x14ac:dyDescent="0.25">
      <c r="A2030" s="170">
        <v>44991</v>
      </c>
      <c r="B2030" s="116">
        <v>2184.4</v>
      </c>
      <c r="C2030" s="116">
        <v>2140.6</v>
      </c>
      <c r="D2030" s="116">
        <v>2138.9499999999998</v>
      </c>
      <c r="E2030" s="116">
        <v>2152.0500000000002</v>
      </c>
      <c r="F2030" s="116">
        <v>2140.6</v>
      </c>
      <c r="G2030">
        <v>36839</v>
      </c>
      <c r="H2030" s="116"/>
      <c r="I2030" s="116"/>
      <c r="L2030" s="170">
        <v>44991</v>
      </c>
      <c r="M2030" s="116">
        <v>2141.15</v>
      </c>
      <c r="N2030" s="116">
        <v>2184.85</v>
      </c>
      <c r="O2030" s="116">
        <v>2139.8000000000002</v>
      </c>
      <c r="P2030" s="116">
        <v>2158.25</v>
      </c>
      <c r="Q2030" s="116">
        <v>2141.15</v>
      </c>
      <c r="R2030">
        <v>1821012</v>
      </c>
    </row>
    <row r="2031" spans="1:18" x14ac:dyDescent="0.25">
      <c r="A2031" s="170">
        <v>44993</v>
      </c>
      <c r="B2031" s="116">
        <v>2189.1</v>
      </c>
      <c r="C2031" s="116">
        <v>2169.9499999999998</v>
      </c>
      <c r="D2031" s="116">
        <v>2140.85</v>
      </c>
      <c r="E2031" s="116">
        <v>2143.0500000000002</v>
      </c>
      <c r="F2031" s="116">
        <v>2169.9499999999998</v>
      </c>
      <c r="G2031">
        <v>171890</v>
      </c>
      <c r="H2031" s="116"/>
      <c r="I2031" s="116"/>
      <c r="L2031" s="170">
        <v>44993</v>
      </c>
      <c r="M2031" s="116">
        <v>2170.8000000000002</v>
      </c>
      <c r="N2031" s="116">
        <v>2189.6</v>
      </c>
      <c r="O2031" s="116">
        <v>2140.6</v>
      </c>
      <c r="P2031" s="116">
        <v>2152</v>
      </c>
      <c r="Q2031" s="116">
        <v>2170.8000000000002</v>
      </c>
      <c r="R2031">
        <v>2965342</v>
      </c>
    </row>
    <row r="2032" spans="1:18" x14ac:dyDescent="0.25">
      <c r="A2032" s="170">
        <v>44994</v>
      </c>
      <c r="B2032" s="116">
        <v>2199</v>
      </c>
      <c r="C2032" s="116">
        <v>2193.35</v>
      </c>
      <c r="D2032" s="116">
        <v>2172</v>
      </c>
      <c r="E2032" s="116">
        <v>2178.5500000000002</v>
      </c>
      <c r="F2032" s="116">
        <v>2193.35</v>
      </c>
      <c r="G2032">
        <v>150161</v>
      </c>
      <c r="H2032" s="116"/>
      <c r="I2032" s="116"/>
      <c r="L2032" s="170">
        <v>44994</v>
      </c>
      <c r="M2032" s="116">
        <v>2193.1999999999998</v>
      </c>
      <c r="N2032" s="116">
        <v>2199</v>
      </c>
      <c r="O2032" s="116">
        <v>2171.5</v>
      </c>
      <c r="P2032" s="116">
        <v>2174.9499999999998</v>
      </c>
      <c r="Q2032" s="116">
        <v>2193.1999999999998</v>
      </c>
      <c r="R2032">
        <v>1873933</v>
      </c>
    </row>
    <row r="2033" spans="1:18" x14ac:dyDescent="0.25">
      <c r="A2033" s="170">
        <v>44995</v>
      </c>
      <c r="B2033" s="116">
        <v>2175.1999999999998</v>
      </c>
      <c r="C2033" s="116">
        <v>2157.6999999999998</v>
      </c>
      <c r="D2033" s="116">
        <v>2133.8000000000002</v>
      </c>
      <c r="E2033" s="116">
        <v>2166</v>
      </c>
      <c r="F2033" s="116">
        <v>2157.6999999999998</v>
      </c>
      <c r="G2033">
        <v>84480</v>
      </c>
      <c r="H2033" s="116"/>
      <c r="I2033" s="116"/>
      <c r="L2033" s="170">
        <v>44995</v>
      </c>
      <c r="M2033" s="116">
        <v>2157.85</v>
      </c>
      <c r="N2033" s="116">
        <v>2182</v>
      </c>
      <c r="O2033" s="116">
        <v>2133</v>
      </c>
      <c r="P2033" s="116">
        <v>2171.5</v>
      </c>
      <c r="Q2033" s="116">
        <v>2157.85</v>
      </c>
      <c r="R2033">
        <v>1900535</v>
      </c>
    </row>
    <row r="2034" spans="1:18" x14ac:dyDescent="0.25">
      <c r="A2034" s="170">
        <v>44998</v>
      </c>
      <c r="B2034" s="116">
        <v>2178.6</v>
      </c>
      <c r="C2034" s="116">
        <v>2136.1999999999998</v>
      </c>
      <c r="D2034" s="116">
        <v>2108</v>
      </c>
      <c r="E2034" s="116">
        <v>2157.5</v>
      </c>
      <c r="F2034" s="116">
        <v>2136.1999999999998</v>
      </c>
      <c r="G2034">
        <v>38570</v>
      </c>
      <c r="H2034" s="116"/>
      <c r="I2034" s="116"/>
      <c r="L2034" s="170">
        <v>44998</v>
      </c>
      <c r="M2034" s="116">
        <v>2133.85</v>
      </c>
      <c r="N2034" s="116">
        <v>2178.9499999999998</v>
      </c>
      <c r="O2034" s="116">
        <v>2107</v>
      </c>
      <c r="P2034" s="116">
        <v>2164.0500000000002</v>
      </c>
      <c r="Q2034" s="116">
        <v>2133.85</v>
      </c>
      <c r="R2034">
        <v>2334468</v>
      </c>
    </row>
    <row r="2035" spans="1:18" x14ac:dyDescent="0.25">
      <c r="A2035" s="170">
        <v>44999</v>
      </c>
      <c r="B2035" s="116">
        <v>2170.35</v>
      </c>
      <c r="C2035" s="116">
        <v>2144.25</v>
      </c>
      <c r="D2035" s="116">
        <v>2134.1</v>
      </c>
      <c r="E2035" s="116">
        <v>2138.0500000000002</v>
      </c>
      <c r="F2035" s="116">
        <v>2144.25</v>
      </c>
      <c r="G2035">
        <v>73890</v>
      </c>
      <c r="H2035" s="116"/>
      <c r="I2035" s="116"/>
      <c r="L2035" s="170">
        <v>44999</v>
      </c>
      <c r="M2035" s="116">
        <v>2144.1999999999998</v>
      </c>
      <c r="N2035" s="116">
        <v>2171</v>
      </c>
      <c r="O2035" s="116">
        <v>2134.4</v>
      </c>
      <c r="P2035" s="116">
        <v>2144.35</v>
      </c>
      <c r="Q2035" s="116">
        <v>2144.1999999999998</v>
      </c>
      <c r="R2035">
        <v>2871343</v>
      </c>
    </row>
    <row r="2036" spans="1:18" x14ac:dyDescent="0.25">
      <c r="A2036" s="170">
        <v>45000</v>
      </c>
      <c r="B2036" s="116">
        <v>2212</v>
      </c>
      <c r="C2036" s="116">
        <v>2175.75</v>
      </c>
      <c r="D2036" s="116">
        <v>2153.15</v>
      </c>
      <c r="E2036" s="116">
        <v>2153.15</v>
      </c>
      <c r="F2036" s="116">
        <v>2175.75</v>
      </c>
      <c r="G2036">
        <v>98134</v>
      </c>
      <c r="H2036" s="116"/>
      <c r="I2036" s="116"/>
      <c r="L2036" s="170">
        <v>45000</v>
      </c>
      <c r="M2036" s="116">
        <v>2176.65</v>
      </c>
      <c r="N2036" s="116">
        <v>2212.4499999999998</v>
      </c>
      <c r="O2036" s="116">
        <v>2160</v>
      </c>
      <c r="P2036" s="116">
        <v>2164.1999999999998</v>
      </c>
      <c r="Q2036" s="116">
        <v>2176.65</v>
      </c>
      <c r="R2036">
        <v>3044201</v>
      </c>
    </row>
    <row r="2037" spans="1:18" x14ac:dyDescent="0.25">
      <c r="A2037" s="170">
        <v>45001</v>
      </c>
      <c r="B2037" s="116">
        <v>2185.65</v>
      </c>
      <c r="C2037" s="116">
        <v>2174.0500000000002</v>
      </c>
      <c r="D2037" s="116">
        <v>2132.3000000000002</v>
      </c>
      <c r="E2037" s="116">
        <v>2176</v>
      </c>
      <c r="F2037" s="116">
        <v>2174.0500000000002</v>
      </c>
      <c r="G2037">
        <v>182264</v>
      </c>
      <c r="H2037" s="116"/>
      <c r="I2037" s="116"/>
      <c r="L2037" s="170">
        <v>45001</v>
      </c>
      <c r="M2037" s="116">
        <v>2173.6</v>
      </c>
      <c r="N2037" s="116">
        <v>2187</v>
      </c>
      <c r="O2037" s="116">
        <v>2132</v>
      </c>
      <c r="P2037" s="116">
        <v>2184.9</v>
      </c>
      <c r="Q2037" s="116">
        <v>2173.6</v>
      </c>
      <c r="R2037">
        <v>2946792</v>
      </c>
    </row>
    <row r="2038" spans="1:18" x14ac:dyDescent="0.25">
      <c r="A2038" s="170">
        <v>45002</v>
      </c>
      <c r="B2038" s="116">
        <v>2228.3000000000002</v>
      </c>
      <c r="C2038" s="116">
        <v>2196.5500000000002</v>
      </c>
      <c r="D2038" s="116">
        <v>2187.4499999999998</v>
      </c>
      <c r="E2038" s="116">
        <v>2192.9499999999998</v>
      </c>
      <c r="F2038" s="116">
        <v>2196.5500000000002</v>
      </c>
      <c r="G2038">
        <v>108864</v>
      </c>
      <c r="H2038" s="116"/>
      <c r="I2038" s="116"/>
      <c r="L2038" s="170">
        <v>45002</v>
      </c>
      <c r="M2038" s="116">
        <v>2195.75</v>
      </c>
      <c r="N2038" s="116">
        <v>2228.9</v>
      </c>
      <c r="O2038" s="116">
        <v>2186.6999999999998</v>
      </c>
      <c r="P2038" s="116">
        <v>2186.6999999999998</v>
      </c>
      <c r="Q2038" s="116">
        <v>2195.75</v>
      </c>
      <c r="R2038">
        <v>3286473</v>
      </c>
    </row>
    <row r="2039" spans="1:18" x14ac:dyDescent="0.25">
      <c r="A2039" s="170">
        <v>45005</v>
      </c>
      <c r="B2039" s="116">
        <v>2205.1</v>
      </c>
      <c r="C2039" s="116">
        <v>2178.1999999999998</v>
      </c>
      <c r="D2039" s="116">
        <v>2152.25</v>
      </c>
      <c r="E2039" s="116">
        <v>2176.0500000000002</v>
      </c>
      <c r="F2039" s="116">
        <v>2178.1999999999998</v>
      </c>
      <c r="G2039">
        <v>38310</v>
      </c>
      <c r="H2039" s="116"/>
      <c r="I2039" s="116"/>
      <c r="L2039" s="170">
        <v>45005</v>
      </c>
      <c r="M2039" s="116">
        <v>2177.5500000000002</v>
      </c>
      <c r="N2039" s="116">
        <v>2205</v>
      </c>
      <c r="O2039" s="116">
        <v>2152</v>
      </c>
      <c r="P2039" s="116">
        <v>2191.1</v>
      </c>
      <c r="Q2039" s="116">
        <v>2177.5500000000002</v>
      </c>
      <c r="R2039">
        <v>1996773</v>
      </c>
    </row>
    <row r="2040" spans="1:18" x14ac:dyDescent="0.25">
      <c r="A2040" s="170">
        <v>45006</v>
      </c>
      <c r="B2040" s="116">
        <v>2226</v>
      </c>
      <c r="C2040" s="116">
        <v>2208.35</v>
      </c>
      <c r="D2040" s="116">
        <v>2181.0500000000002</v>
      </c>
      <c r="E2040" s="116">
        <v>2187.15</v>
      </c>
      <c r="F2040" s="116">
        <v>2208.35</v>
      </c>
      <c r="G2040">
        <v>106748</v>
      </c>
      <c r="H2040" s="116"/>
      <c r="I2040" s="116"/>
      <c r="L2040" s="170">
        <v>45006</v>
      </c>
      <c r="M2040" s="116">
        <v>2208.4499999999998</v>
      </c>
      <c r="N2040" s="116">
        <v>2227</v>
      </c>
      <c r="O2040" s="116">
        <v>2182</v>
      </c>
      <c r="P2040" s="116">
        <v>2182.6999999999998</v>
      </c>
      <c r="Q2040" s="116">
        <v>2208.4499999999998</v>
      </c>
      <c r="R2040">
        <v>3178680</v>
      </c>
    </row>
    <row r="2041" spans="1:18" x14ac:dyDescent="0.25">
      <c r="A2041" s="170">
        <v>45007</v>
      </c>
      <c r="B2041" s="116">
        <v>2246</v>
      </c>
      <c r="C2041" s="116">
        <v>2213.6</v>
      </c>
      <c r="D2041" s="116">
        <v>2209</v>
      </c>
      <c r="E2041" s="116">
        <v>2213.0500000000002</v>
      </c>
      <c r="F2041" s="116">
        <v>2213.6</v>
      </c>
      <c r="G2041">
        <v>41505</v>
      </c>
      <c r="H2041" s="116"/>
      <c r="I2041" s="116"/>
      <c r="L2041" s="170">
        <v>45007</v>
      </c>
      <c r="M2041" s="116">
        <v>2213.9499999999998</v>
      </c>
      <c r="N2041" s="116">
        <v>2246.25</v>
      </c>
      <c r="O2041" s="116">
        <v>2207.9</v>
      </c>
      <c r="P2041" s="116">
        <v>2219.5</v>
      </c>
      <c r="Q2041" s="116">
        <v>2213.9499999999998</v>
      </c>
      <c r="R2041">
        <v>1956033</v>
      </c>
    </row>
    <row r="2042" spans="1:18" x14ac:dyDescent="0.25">
      <c r="A2042" s="170">
        <v>45008</v>
      </c>
      <c r="B2042" s="116">
        <v>2241.1</v>
      </c>
      <c r="C2042" s="116">
        <v>2206.1</v>
      </c>
      <c r="D2042" s="116">
        <v>2201</v>
      </c>
      <c r="E2042" s="116">
        <v>2214.5</v>
      </c>
      <c r="F2042" s="116">
        <v>2206.1</v>
      </c>
      <c r="G2042">
        <v>79072</v>
      </c>
      <c r="H2042" s="116"/>
      <c r="I2042" s="116"/>
      <c r="L2042" s="170">
        <v>45008</v>
      </c>
      <c r="M2042" s="116">
        <v>2206.65</v>
      </c>
      <c r="N2042" s="116">
        <v>2242</v>
      </c>
      <c r="O2042" s="116">
        <v>2200.5500000000002</v>
      </c>
      <c r="P2042" s="116">
        <v>2214</v>
      </c>
      <c r="Q2042" s="116">
        <v>2206.65</v>
      </c>
      <c r="R2042">
        <v>2455799</v>
      </c>
    </row>
    <row r="2043" spans="1:18" x14ac:dyDescent="0.25">
      <c r="A2043" s="170">
        <v>45009</v>
      </c>
      <c r="B2043" s="116">
        <v>2219.9499999999998</v>
      </c>
      <c r="C2043" s="116">
        <v>2163.1</v>
      </c>
      <c r="D2043" s="116">
        <v>2152.85</v>
      </c>
      <c r="E2043" s="116">
        <v>2217.9</v>
      </c>
      <c r="F2043" s="116">
        <v>2163.1</v>
      </c>
      <c r="G2043">
        <v>34786</v>
      </c>
      <c r="H2043" s="116"/>
      <c r="I2043" s="116"/>
      <c r="L2043" s="170">
        <v>45009</v>
      </c>
      <c r="M2043" s="116">
        <v>2166.15</v>
      </c>
      <c r="N2043" s="116">
        <v>2219.35</v>
      </c>
      <c r="O2043" s="116">
        <v>2153.0500000000002</v>
      </c>
      <c r="P2043" s="116">
        <v>2206</v>
      </c>
      <c r="Q2043" s="116">
        <v>2166.15</v>
      </c>
      <c r="R2043">
        <v>1449544</v>
      </c>
    </row>
    <row r="2044" spans="1:18" x14ac:dyDescent="0.25">
      <c r="A2044" s="170">
        <v>45012</v>
      </c>
      <c r="B2044" s="116">
        <v>2190</v>
      </c>
      <c r="C2044" s="116">
        <v>2153.65</v>
      </c>
      <c r="D2044" s="116">
        <v>2150.4499999999998</v>
      </c>
      <c r="E2044" s="116">
        <v>2171.0500000000002</v>
      </c>
      <c r="F2044" s="116">
        <v>2153.65</v>
      </c>
      <c r="G2044">
        <v>81585</v>
      </c>
      <c r="H2044" s="116"/>
      <c r="I2044" s="116"/>
      <c r="L2044" s="170">
        <v>45012</v>
      </c>
      <c r="M2044" s="116">
        <v>2154</v>
      </c>
      <c r="N2044" s="116">
        <v>2190</v>
      </c>
      <c r="O2044" s="116">
        <v>2150</v>
      </c>
      <c r="P2044" s="116">
        <v>2175.0500000000002</v>
      </c>
      <c r="Q2044" s="116">
        <v>2154</v>
      </c>
      <c r="R2044">
        <v>1540581</v>
      </c>
    </row>
    <row r="2045" spans="1:18" x14ac:dyDescent="0.25">
      <c r="A2045" s="170">
        <v>45013</v>
      </c>
      <c r="B2045" s="116">
        <v>2169.6999999999998</v>
      </c>
      <c r="C2045" s="116">
        <v>2133.15</v>
      </c>
      <c r="D2045" s="116">
        <v>2122.1999999999998</v>
      </c>
      <c r="E2045" s="116">
        <v>2162.1999999999998</v>
      </c>
      <c r="F2045" s="116">
        <v>2133.15</v>
      </c>
      <c r="G2045">
        <v>116320</v>
      </c>
      <c r="H2045" s="116"/>
      <c r="I2045" s="116"/>
      <c r="L2045" s="170">
        <v>45013</v>
      </c>
      <c r="M2045" s="116">
        <v>2133.6</v>
      </c>
      <c r="N2045" s="116">
        <v>2169.8000000000002</v>
      </c>
      <c r="O2045" s="116">
        <v>2122.4499999999998</v>
      </c>
      <c r="P2045" s="116">
        <v>2167.75</v>
      </c>
      <c r="Q2045" s="116">
        <v>2133.6</v>
      </c>
      <c r="R2045">
        <v>1627243</v>
      </c>
    </row>
    <row r="2046" spans="1:18" x14ac:dyDescent="0.25">
      <c r="A2046" s="170">
        <v>45014</v>
      </c>
      <c r="B2046" s="116">
        <v>2159.1</v>
      </c>
      <c r="C2046" s="116">
        <v>2147</v>
      </c>
      <c r="D2046" s="116">
        <v>2122.9499999999998</v>
      </c>
      <c r="E2046" s="116">
        <v>2134</v>
      </c>
      <c r="F2046" s="116">
        <v>2147</v>
      </c>
      <c r="G2046">
        <v>124598</v>
      </c>
      <c r="H2046" s="116"/>
      <c r="I2046" s="116"/>
      <c r="L2046" s="170">
        <v>45014</v>
      </c>
      <c r="M2046" s="116">
        <v>2147.4499999999998</v>
      </c>
      <c r="N2046" s="116">
        <v>2159.3000000000002</v>
      </c>
      <c r="O2046" s="116">
        <v>2121</v>
      </c>
      <c r="P2046" s="116">
        <v>2137.65</v>
      </c>
      <c r="Q2046" s="116">
        <v>2147.4499999999998</v>
      </c>
      <c r="R2046">
        <v>2372385</v>
      </c>
    </row>
    <row r="2047" spans="1:18" x14ac:dyDescent="0.25">
      <c r="A2047" s="170">
        <v>45016</v>
      </c>
      <c r="B2047" s="116">
        <v>2176.3000000000002</v>
      </c>
      <c r="C2047" s="116">
        <v>2164.75</v>
      </c>
      <c r="D2047" s="116">
        <v>2151</v>
      </c>
      <c r="E2047" s="116">
        <v>2151.15</v>
      </c>
      <c r="F2047" s="116">
        <v>2164.75</v>
      </c>
      <c r="G2047">
        <v>43411</v>
      </c>
      <c r="H2047" s="116"/>
      <c r="I2047" s="116"/>
      <c r="L2047" s="170">
        <v>45016</v>
      </c>
      <c r="M2047" s="116">
        <v>2164.1999999999998</v>
      </c>
      <c r="N2047" s="116">
        <v>2176.9499999999998</v>
      </c>
      <c r="O2047" s="116">
        <v>2150.5500000000002</v>
      </c>
      <c r="P2047" s="116">
        <v>2156.5</v>
      </c>
      <c r="Q2047" s="116">
        <v>2164.1999999999998</v>
      </c>
      <c r="R2047">
        <v>1489542</v>
      </c>
    </row>
    <row r="2048" spans="1:18" x14ac:dyDescent="0.25">
      <c r="A2048" s="170">
        <v>45019</v>
      </c>
      <c r="B2048" s="116">
        <v>2183.5</v>
      </c>
      <c r="C2048" s="116">
        <v>2170.9499999999998</v>
      </c>
      <c r="D2048" s="116">
        <v>2155.5500000000002</v>
      </c>
      <c r="E2048" s="116">
        <v>2170.15</v>
      </c>
      <c r="F2048" s="116">
        <v>2170.9499999999998</v>
      </c>
      <c r="G2048">
        <v>28819</v>
      </c>
      <c r="H2048" s="116"/>
      <c r="I2048" s="116"/>
      <c r="L2048" s="170">
        <v>45019</v>
      </c>
      <c r="M2048" s="116">
        <v>2170.15</v>
      </c>
      <c r="N2048" s="116">
        <v>2183.5</v>
      </c>
      <c r="O2048" s="116">
        <v>2155</v>
      </c>
      <c r="P2048" s="116">
        <v>2180</v>
      </c>
      <c r="Q2048" s="116">
        <v>2170.15</v>
      </c>
      <c r="R2048">
        <v>1231654</v>
      </c>
    </row>
    <row r="2049" spans="1:18" x14ac:dyDescent="0.25">
      <c r="A2049" s="170">
        <v>45021</v>
      </c>
      <c r="B2049" s="116">
        <v>2262</v>
      </c>
      <c r="C2049" s="116">
        <v>2257</v>
      </c>
      <c r="D2049" s="116">
        <v>2161.1</v>
      </c>
      <c r="E2049" s="116">
        <v>2161.1</v>
      </c>
      <c r="F2049" s="116">
        <v>2257</v>
      </c>
      <c r="G2049">
        <v>126001</v>
      </c>
      <c r="H2049" s="116"/>
      <c r="I2049" s="116"/>
      <c r="L2049" s="170">
        <v>45021</v>
      </c>
      <c r="M2049" s="116">
        <v>2257.75</v>
      </c>
      <c r="N2049" s="116">
        <v>2262.5</v>
      </c>
      <c r="O2049" s="116">
        <v>2165</v>
      </c>
      <c r="P2049" s="116">
        <v>2170</v>
      </c>
      <c r="Q2049" s="116">
        <v>2257.75</v>
      </c>
      <c r="R2049">
        <v>2763363</v>
      </c>
    </row>
    <row r="2050" spans="1:18" x14ac:dyDescent="0.25">
      <c r="A2050" s="170">
        <v>45022</v>
      </c>
      <c r="B2050" s="116">
        <v>2291.25</v>
      </c>
      <c r="C2050" s="116">
        <v>2274.75</v>
      </c>
      <c r="D2050" s="116">
        <v>2253.25</v>
      </c>
      <c r="E2050" s="116">
        <v>2257</v>
      </c>
      <c r="F2050" s="116">
        <v>2274.75</v>
      </c>
      <c r="G2050">
        <v>71752</v>
      </c>
      <c r="H2050" s="116"/>
      <c r="I2050" s="116"/>
      <c r="L2050" s="170">
        <v>45022</v>
      </c>
      <c r="M2050" s="116">
        <v>2274.25</v>
      </c>
      <c r="N2050" s="116">
        <v>2291.65</v>
      </c>
      <c r="O2050" s="116">
        <v>2254.4499999999998</v>
      </c>
      <c r="P2050" s="116">
        <v>2257.75</v>
      </c>
      <c r="Q2050" s="116">
        <v>2274.25</v>
      </c>
      <c r="R2050">
        <v>2389899</v>
      </c>
    </row>
    <row r="2051" spans="1:18" x14ac:dyDescent="0.25">
      <c r="A2051" s="170">
        <v>45026</v>
      </c>
      <c r="B2051" s="116">
        <v>2319.65</v>
      </c>
      <c r="C2051" s="116">
        <v>2309.15</v>
      </c>
      <c r="D2051" s="116">
        <v>2275.75</v>
      </c>
      <c r="E2051" s="116">
        <v>2275.75</v>
      </c>
      <c r="F2051" s="116">
        <v>2309.15</v>
      </c>
      <c r="G2051">
        <v>135147</v>
      </c>
      <c r="H2051" s="116"/>
      <c r="I2051" s="116"/>
      <c r="L2051" s="170">
        <v>45026</v>
      </c>
      <c r="M2051" s="116">
        <v>2309.6999999999998</v>
      </c>
      <c r="N2051" s="116">
        <v>2319.9</v>
      </c>
      <c r="O2051" s="116">
        <v>2278.0500000000002</v>
      </c>
      <c r="P2051" s="116">
        <v>2284.9</v>
      </c>
      <c r="Q2051" s="116">
        <v>2309.6999999999998</v>
      </c>
      <c r="R2051">
        <v>1955914</v>
      </c>
    </row>
    <row r="2052" spans="1:18" x14ac:dyDescent="0.25">
      <c r="A2052" s="170">
        <v>45027</v>
      </c>
      <c r="B2052" s="116">
        <v>2329.9</v>
      </c>
      <c r="C2052" s="116">
        <v>2301.15</v>
      </c>
      <c r="D2052" s="116">
        <v>2287.9499999999998</v>
      </c>
      <c r="E2052" s="116">
        <v>2317.1999999999998</v>
      </c>
      <c r="F2052" s="116">
        <v>2301.15</v>
      </c>
      <c r="G2052">
        <v>39726</v>
      </c>
      <c r="H2052" s="116"/>
      <c r="I2052" s="116"/>
      <c r="L2052" s="170">
        <v>45027</v>
      </c>
      <c r="M2052" s="116">
        <v>2301.5</v>
      </c>
      <c r="N2052" s="116">
        <v>2330</v>
      </c>
      <c r="O2052" s="116">
        <v>2287.3000000000002</v>
      </c>
      <c r="P2052" s="116">
        <v>2320</v>
      </c>
      <c r="Q2052" s="116">
        <v>2301.5</v>
      </c>
      <c r="R2052">
        <v>1342440</v>
      </c>
    </row>
    <row r="2053" spans="1:18" x14ac:dyDescent="0.25">
      <c r="A2053" s="170">
        <v>45028</v>
      </c>
      <c r="B2053" s="116">
        <v>2312.4</v>
      </c>
      <c r="C2053" s="116">
        <v>2287.9</v>
      </c>
      <c r="D2053" s="116">
        <v>2282.15</v>
      </c>
      <c r="E2053" s="116">
        <v>2301.15</v>
      </c>
      <c r="F2053" s="116">
        <v>2287.9</v>
      </c>
      <c r="G2053">
        <v>83911</v>
      </c>
      <c r="H2053" s="116"/>
      <c r="I2053" s="116"/>
      <c r="L2053" s="170">
        <v>45028</v>
      </c>
      <c r="M2053" s="116">
        <v>2288.5</v>
      </c>
      <c r="N2053" s="116">
        <v>2312.6999999999998</v>
      </c>
      <c r="O2053" s="116">
        <v>2281.9499999999998</v>
      </c>
      <c r="P2053" s="116">
        <v>2304</v>
      </c>
      <c r="Q2053" s="116">
        <v>2288.5</v>
      </c>
      <c r="R2053">
        <v>1165839</v>
      </c>
    </row>
    <row r="2054" spans="1:18" x14ac:dyDescent="0.25">
      <c r="A2054" s="170">
        <v>45029</v>
      </c>
      <c r="B2054" s="116">
        <v>2295.6</v>
      </c>
      <c r="C2054" s="116">
        <v>2257.9</v>
      </c>
      <c r="D2054" s="116">
        <v>2242.6</v>
      </c>
      <c r="E2054" s="116">
        <v>2290.1999999999998</v>
      </c>
      <c r="F2054" s="116">
        <v>2257.9</v>
      </c>
      <c r="G2054">
        <v>58271</v>
      </c>
      <c r="H2054" s="116"/>
      <c r="I2054" s="116"/>
      <c r="L2054" s="170">
        <v>45029</v>
      </c>
      <c r="M2054" s="116">
        <v>2258.75</v>
      </c>
      <c r="N2054" s="116">
        <v>2295</v>
      </c>
      <c r="O2054" s="116">
        <v>2242.4499999999998</v>
      </c>
      <c r="P2054" s="116">
        <v>2294.8000000000002</v>
      </c>
      <c r="Q2054" s="116">
        <v>2258.75</v>
      </c>
      <c r="R2054">
        <v>1956668</v>
      </c>
    </row>
    <row r="2055" spans="1:18" x14ac:dyDescent="0.25">
      <c r="A2055" s="170">
        <v>45033</v>
      </c>
      <c r="B2055" s="116">
        <v>2272.8000000000002</v>
      </c>
      <c r="C2055" s="116">
        <v>2213.15</v>
      </c>
      <c r="D2055" s="116">
        <v>2201.3000000000002</v>
      </c>
      <c r="E2055" s="116">
        <v>2257.9</v>
      </c>
      <c r="F2055" s="116">
        <v>2213.15</v>
      </c>
      <c r="G2055">
        <v>82386</v>
      </c>
      <c r="H2055" s="116"/>
      <c r="I2055" s="116"/>
      <c r="L2055" s="170">
        <v>45033</v>
      </c>
      <c r="M2055" s="116">
        <v>2214</v>
      </c>
      <c r="N2055" s="116">
        <v>2273.8000000000002</v>
      </c>
      <c r="O2055" s="116">
        <v>2201.15</v>
      </c>
      <c r="P2055" s="116">
        <v>2258.75</v>
      </c>
      <c r="Q2055" s="116">
        <v>2214</v>
      </c>
      <c r="R2055">
        <v>4125850</v>
      </c>
    </row>
    <row r="2056" spans="1:18" x14ac:dyDescent="0.25">
      <c r="A2056" s="170">
        <v>45034</v>
      </c>
      <c r="B2056" s="116">
        <v>2230.75</v>
      </c>
      <c r="C2056" s="116">
        <v>2217.35</v>
      </c>
      <c r="D2056" s="116">
        <v>2188.0500000000002</v>
      </c>
      <c r="E2056" s="116">
        <v>2215.75</v>
      </c>
      <c r="F2056" s="116">
        <v>2217.35</v>
      </c>
      <c r="G2056">
        <v>27684</v>
      </c>
      <c r="H2056" s="116"/>
      <c r="I2056" s="116"/>
      <c r="L2056" s="170">
        <v>45034</v>
      </c>
      <c r="M2056" s="116">
        <v>2216.6</v>
      </c>
      <c r="N2056" s="116">
        <v>2230</v>
      </c>
      <c r="O2056" s="116">
        <v>2188</v>
      </c>
      <c r="P2056" s="116">
        <v>2220</v>
      </c>
      <c r="Q2056" s="116">
        <v>2216.6</v>
      </c>
      <c r="R2056">
        <v>2848601</v>
      </c>
    </row>
    <row r="2057" spans="1:18" x14ac:dyDescent="0.25">
      <c r="A2057" s="170">
        <v>45035</v>
      </c>
      <c r="B2057" s="116">
        <v>2235</v>
      </c>
      <c r="C2057" s="116">
        <v>2219.15</v>
      </c>
      <c r="D2057" s="116">
        <v>2208.9499999999998</v>
      </c>
      <c r="E2057" s="116">
        <v>2216</v>
      </c>
      <c r="F2057" s="116">
        <v>2219.15</v>
      </c>
      <c r="G2057">
        <v>34332</v>
      </c>
      <c r="H2057" s="116"/>
      <c r="I2057" s="116"/>
      <c r="L2057" s="170">
        <v>45035</v>
      </c>
      <c r="M2057" s="116">
        <v>2219.6</v>
      </c>
      <c r="N2057" s="116">
        <v>2235</v>
      </c>
      <c r="O2057" s="116">
        <v>2208.1</v>
      </c>
      <c r="P2057" s="116">
        <v>2208.1</v>
      </c>
      <c r="Q2057" s="116">
        <v>2219.6</v>
      </c>
      <c r="R2057">
        <v>1970015</v>
      </c>
    </row>
    <row r="2058" spans="1:18" x14ac:dyDescent="0.25">
      <c r="A2058" s="170">
        <v>45036</v>
      </c>
      <c r="B2058" s="116">
        <v>2251.5</v>
      </c>
      <c r="C2058" s="116">
        <v>2234</v>
      </c>
      <c r="D2058" s="116">
        <v>2220</v>
      </c>
      <c r="E2058" s="116">
        <v>2220</v>
      </c>
      <c r="F2058" s="116">
        <v>2234</v>
      </c>
      <c r="G2058">
        <v>54247</v>
      </c>
      <c r="H2058" s="116"/>
      <c r="I2058" s="116"/>
      <c r="L2058" s="170">
        <v>45036</v>
      </c>
      <c r="M2058" s="116">
        <v>2232.75</v>
      </c>
      <c r="N2058" s="116">
        <v>2251.4499999999998</v>
      </c>
      <c r="O2058" s="116">
        <v>2222.25</v>
      </c>
      <c r="P2058" s="116">
        <v>2225</v>
      </c>
      <c r="Q2058" s="116">
        <v>2232.75</v>
      </c>
      <c r="R2058">
        <v>1898996</v>
      </c>
    </row>
    <row r="2059" spans="1:18" x14ac:dyDescent="0.25">
      <c r="A2059" s="170">
        <v>45037</v>
      </c>
      <c r="B2059" s="116">
        <v>2244.6</v>
      </c>
      <c r="C2059" s="116">
        <v>2215</v>
      </c>
      <c r="D2059" s="116">
        <v>2201.9</v>
      </c>
      <c r="E2059" s="116">
        <v>2232.8000000000002</v>
      </c>
      <c r="F2059" s="116">
        <v>2215</v>
      </c>
      <c r="G2059">
        <v>60092</v>
      </c>
      <c r="H2059" s="116"/>
      <c r="I2059" s="116"/>
      <c r="L2059" s="170">
        <v>45037</v>
      </c>
      <c r="M2059" s="116">
        <v>2215.1999999999998</v>
      </c>
      <c r="N2059" s="116">
        <v>2243</v>
      </c>
      <c r="O2059" s="116">
        <v>2202</v>
      </c>
      <c r="P2059" s="116">
        <v>2240.15</v>
      </c>
      <c r="Q2059" s="116">
        <v>2215.1999999999998</v>
      </c>
      <c r="R2059">
        <v>1009316</v>
      </c>
    </row>
    <row r="2060" spans="1:18" x14ac:dyDescent="0.25">
      <c r="A2060" s="170">
        <v>45040</v>
      </c>
      <c r="B2060" s="116">
        <v>2233.4499999999998</v>
      </c>
      <c r="C2060" s="116">
        <v>2229.9</v>
      </c>
      <c r="D2060" s="116">
        <v>2187</v>
      </c>
      <c r="E2060" s="116">
        <v>2215.35</v>
      </c>
      <c r="F2060" s="116">
        <v>2229.9</v>
      </c>
      <c r="G2060">
        <v>27577</v>
      </c>
      <c r="H2060" s="116"/>
      <c r="I2060" s="116"/>
      <c r="L2060" s="170">
        <v>45040</v>
      </c>
      <c r="M2060" s="116">
        <v>2228.9</v>
      </c>
      <c r="N2060" s="116">
        <v>2232.6999999999998</v>
      </c>
      <c r="O2060" s="116">
        <v>2186.5500000000002</v>
      </c>
      <c r="P2060" s="116">
        <v>2220</v>
      </c>
      <c r="Q2060" s="116">
        <v>2228.9</v>
      </c>
      <c r="R2060">
        <v>1239073</v>
      </c>
    </row>
    <row r="2061" spans="1:18" x14ac:dyDescent="0.25">
      <c r="A2061" s="170">
        <v>45041</v>
      </c>
      <c r="B2061" s="116">
        <v>2253.5</v>
      </c>
      <c r="C2061" s="116">
        <v>2247.8000000000002</v>
      </c>
      <c r="D2061" s="116">
        <v>2220</v>
      </c>
      <c r="E2061" s="116">
        <v>2234.9499999999998</v>
      </c>
      <c r="F2061" s="116">
        <v>2247.8000000000002</v>
      </c>
      <c r="G2061">
        <v>46867</v>
      </c>
      <c r="H2061" s="116"/>
      <c r="I2061" s="116"/>
      <c r="L2061" s="170">
        <v>45041</v>
      </c>
      <c r="M2061" s="116">
        <v>2247.9499999999998</v>
      </c>
      <c r="N2061" s="116">
        <v>2254</v>
      </c>
      <c r="O2061" s="116">
        <v>2218.1</v>
      </c>
      <c r="P2061" s="116">
        <v>2231.0500000000002</v>
      </c>
      <c r="Q2061" s="116">
        <v>2247.9499999999998</v>
      </c>
      <c r="R2061">
        <v>1350118</v>
      </c>
    </row>
    <row r="2062" spans="1:18" x14ac:dyDescent="0.25">
      <c r="A2062" s="170">
        <v>45042</v>
      </c>
      <c r="B2062" s="116">
        <v>2287.1999999999998</v>
      </c>
      <c r="C2062" s="116">
        <v>2275</v>
      </c>
      <c r="D2062" s="116">
        <v>2245</v>
      </c>
      <c r="E2062" s="116">
        <v>2245</v>
      </c>
      <c r="F2062" s="116">
        <v>2275</v>
      </c>
      <c r="G2062">
        <v>42729</v>
      </c>
      <c r="H2062" s="116"/>
      <c r="I2062" s="116"/>
      <c r="L2062" s="170">
        <v>45042</v>
      </c>
      <c r="M2062" s="116">
        <v>2276.15</v>
      </c>
      <c r="N2062" s="116">
        <v>2287.3000000000002</v>
      </c>
      <c r="O2062" s="116">
        <v>2244.0500000000002</v>
      </c>
      <c r="P2062" s="116">
        <v>2247.85</v>
      </c>
      <c r="Q2062" s="116">
        <v>2276.15</v>
      </c>
      <c r="R2062">
        <v>1894812</v>
      </c>
    </row>
    <row r="2063" spans="1:18" x14ac:dyDescent="0.25">
      <c r="A2063" s="170">
        <v>45043</v>
      </c>
      <c r="B2063" s="116">
        <v>2309.9499999999998</v>
      </c>
      <c r="C2063" s="116">
        <v>2305.4</v>
      </c>
      <c r="D2063" s="116">
        <v>2268.6</v>
      </c>
      <c r="E2063" s="116">
        <v>2280</v>
      </c>
      <c r="F2063" s="116">
        <v>2305.4</v>
      </c>
      <c r="G2063">
        <v>48882</v>
      </c>
      <c r="H2063" s="116"/>
      <c r="I2063" s="116"/>
      <c r="L2063" s="170">
        <v>45043</v>
      </c>
      <c r="M2063" s="116">
        <v>2305.6</v>
      </c>
      <c r="N2063" s="116">
        <v>2310</v>
      </c>
      <c r="O2063" s="116">
        <v>2267.1</v>
      </c>
      <c r="P2063" s="116">
        <v>2275.75</v>
      </c>
      <c r="Q2063" s="116">
        <v>2305.6</v>
      </c>
      <c r="R2063">
        <v>1252989</v>
      </c>
    </row>
    <row r="2064" spans="1:18" x14ac:dyDescent="0.25">
      <c r="A2064" s="170">
        <v>45044</v>
      </c>
      <c r="B2064" s="116">
        <v>2368.75</v>
      </c>
      <c r="C2064" s="116">
        <v>2364.75</v>
      </c>
      <c r="D2064" s="116">
        <v>2305.3000000000002</v>
      </c>
      <c r="E2064" s="116">
        <v>2305.3000000000002</v>
      </c>
      <c r="F2064" s="116">
        <v>2364.75</v>
      </c>
      <c r="G2064">
        <v>314670</v>
      </c>
      <c r="H2064" s="116"/>
      <c r="I2064" s="116"/>
      <c r="L2064" s="170">
        <v>45044</v>
      </c>
      <c r="M2064" s="116">
        <v>2364.4</v>
      </c>
      <c r="N2064" s="116">
        <v>2369</v>
      </c>
      <c r="O2064" s="116">
        <v>2312.3000000000002</v>
      </c>
      <c r="P2064" s="116">
        <v>2312.3000000000002</v>
      </c>
      <c r="Q2064" s="116">
        <v>2364.4</v>
      </c>
      <c r="R2064">
        <v>2884961</v>
      </c>
    </row>
    <row r="2065" spans="1:18" x14ac:dyDescent="0.25">
      <c r="A2065" s="170">
        <v>45048</v>
      </c>
      <c r="B2065" s="116">
        <v>2416</v>
      </c>
      <c r="C2065" s="116">
        <v>2383.75</v>
      </c>
      <c r="D2065" s="116">
        <v>2366.3000000000002</v>
      </c>
      <c r="E2065" s="116">
        <v>2366.3000000000002</v>
      </c>
      <c r="F2065" s="116">
        <v>2383.75</v>
      </c>
      <c r="G2065">
        <v>75582</v>
      </c>
      <c r="H2065" s="116"/>
      <c r="I2065" s="116"/>
      <c r="L2065" s="170">
        <v>45048</v>
      </c>
      <c r="M2065" s="116">
        <v>2384.4499999999998</v>
      </c>
      <c r="N2065" s="116">
        <v>2416.35</v>
      </c>
      <c r="O2065" s="116">
        <v>2373.1999999999998</v>
      </c>
      <c r="P2065" s="116">
        <v>2373.1999999999998</v>
      </c>
      <c r="Q2065" s="116">
        <v>2384.4499999999998</v>
      </c>
      <c r="R2065">
        <v>1840153</v>
      </c>
    </row>
    <row r="2066" spans="1:18" x14ac:dyDescent="0.25">
      <c r="A2066" s="170">
        <v>45049</v>
      </c>
      <c r="B2066" s="116">
        <v>2390</v>
      </c>
      <c r="C2066" s="116">
        <v>2356</v>
      </c>
      <c r="D2066" s="116">
        <v>2348.25</v>
      </c>
      <c r="E2066" s="116">
        <v>2383.9</v>
      </c>
      <c r="F2066" s="116">
        <v>2356</v>
      </c>
      <c r="G2066">
        <v>66237</v>
      </c>
      <c r="H2066" s="116"/>
      <c r="I2066" s="116"/>
      <c r="L2066" s="170">
        <v>45049</v>
      </c>
      <c r="M2066" s="116">
        <v>2356.3000000000002</v>
      </c>
      <c r="N2066" s="116">
        <v>2390</v>
      </c>
      <c r="O2066" s="116">
        <v>2348.5</v>
      </c>
      <c r="P2066" s="116">
        <v>2384.1</v>
      </c>
      <c r="Q2066" s="116">
        <v>2356.3000000000002</v>
      </c>
      <c r="R2066">
        <v>998235</v>
      </c>
    </row>
    <row r="2067" spans="1:18" x14ac:dyDescent="0.25">
      <c r="A2067" s="170">
        <v>45050</v>
      </c>
      <c r="B2067" s="116">
        <v>2381.35</v>
      </c>
      <c r="C2067" s="116">
        <v>2356.0500000000002</v>
      </c>
      <c r="D2067" s="116">
        <v>2343</v>
      </c>
      <c r="E2067" s="116">
        <v>2369.8000000000002</v>
      </c>
      <c r="F2067" s="116">
        <v>2356.0500000000002</v>
      </c>
      <c r="G2067">
        <v>79974</v>
      </c>
      <c r="H2067" s="116"/>
      <c r="I2067" s="116"/>
      <c r="L2067" s="170">
        <v>45050</v>
      </c>
      <c r="M2067" s="116">
        <v>2356.9</v>
      </c>
      <c r="N2067" s="116">
        <v>2381.65</v>
      </c>
      <c r="O2067" s="116">
        <v>2342.85</v>
      </c>
      <c r="P2067" s="116">
        <v>2361.8000000000002</v>
      </c>
      <c r="Q2067" s="116">
        <v>2356.9</v>
      </c>
      <c r="R2067">
        <v>1230912</v>
      </c>
    </row>
    <row r="2068" spans="1:18" x14ac:dyDescent="0.25">
      <c r="A2068" s="170">
        <v>45051</v>
      </c>
      <c r="B2068" s="116">
        <v>2406.4</v>
      </c>
      <c r="C2068" s="116">
        <v>2377.75</v>
      </c>
      <c r="D2068" s="116">
        <v>2356.1</v>
      </c>
      <c r="E2068" s="116">
        <v>2360</v>
      </c>
      <c r="F2068" s="116">
        <v>2377.75</v>
      </c>
      <c r="G2068">
        <v>61057</v>
      </c>
      <c r="H2068" s="116"/>
      <c r="I2068" s="116"/>
      <c r="L2068" s="170">
        <v>45051</v>
      </c>
      <c r="M2068" s="116">
        <v>2377.5</v>
      </c>
      <c r="N2068" s="116">
        <v>2406.9499999999998</v>
      </c>
      <c r="O2068" s="116">
        <v>2357</v>
      </c>
      <c r="P2068" s="116">
        <v>2357</v>
      </c>
      <c r="Q2068" s="116">
        <v>2377.5</v>
      </c>
      <c r="R2068">
        <v>2425866</v>
      </c>
    </row>
    <row r="2069" spans="1:18" x14ac:dyDescent="0.25">
      <c r="A2069" s="170">
        <v>45054</v>
      </c>
      <c r="B2069" s="116">
        <v>2385</v>
      </c>
      <c r="C2069" s="116">
        <v>2364.1999999999998</v>
      </c>
      <c r="D2069" s="116">
        <v>2353.85</v>
      </c>
      <c r="E2069" s="116">
        <v>2370</v>
      </c>
      <c r="F2069" s="116">
        <v>2364.1999999999998</v>
      </c>
      <c r="G2069">
        <v>85393</v>
      </c>
      <c r="H2069" s="116"/>
      <c r="I2069" s="116"/>
      <c r="L2069" s="170">
        <v>45054</v>
      </c>
      <c r="M2069" s="116">
        <v>2365.4</v>
      </c>
      <c r="N2069" s="116">
        <v>2385</v>
      </c>
      <c r="O2069" s="116">
        <v>2354.0500000000002</v>
      </c>
      <c r="P2069" s="116">
        <v>2377.4499999999998</v>
      </c>
      <c r="Q2069" s="116">
        <v>2365.4</v>
      </c>
      <c r="R2069">
        <v>1583576</v>
      </c>
    </row>
    <row r="2070" spans="1:18" x14ac:dyDescent="0.25">
      <c r="A2070" s="170">
        <v>45055</v>
      </c>
      <c r="B2070" s="116">
        <v>2402.0500000000002</v>
      </c>
      <c r="C2070" s="116">
        <v>2373.8000000000002</v>
      </c>
      <c r="D2070" s="116">
        <v>2366</v>
      </c>
      <c r="E2070" s="116">
        <v>2366</v>
      </c>
      <c r="F2070" s="116">
        <v>2373.8000000000002</v>
      </c>
      <c r="G2070">
        <v>181602</v>
      </c>
      <c r="H2070" s="116"/>
      <c r="I2070" s="116"/>
      <c r="L2070" s="170">
        <v>45055</v>
      </c>
      <c r="M2070" s="116">
        <v>2374.35</v>
      </c>
      <c r="N2070" s="116">
        <v>2401.9</v>
      </c>
      <c r="O2070" s="116">
        <v>2367.65</v>
      </c>
      <c r="P2070" s="116">
        <v>2367.65</v>
      </c>
      <c r="Q2070" s="116">
        <v>2374.35</v>
      </c>
      <c r="R2070">
        <v>1417301</v>
      </c>
    </row>
    <row r="2071" spans="1:18" x14ac:dyDescent="0.25">
      <c r="A2071" s="170">
        <v>45056</v>
      </c>
      <c r="B2071" s="116">
        <v>2390.1</v>
      </c>
      <c r="C2071" s="116">
        <v>2366.75</v>
      </c>
      <c r="D2071" s="116">
        <v>2350.35</v>
      </c>
      <c r="E2071" s="116">
        <v>2382</v>
      </c>
      <c r="F2071" s="116">
        <v>2366.75</v>
      </c>
      <c r="G2071">
        <v>84375</v>
      </c>
      <c r="H2071" s="116"/>
      <c r="I2071" s="116"/>
      <c r="L2071" s="170">
        <v>45056</v>
      </c>
      <c r="M2071" s="116">
        <v>2364.4499999999998</v>
      </c>
      <c r="N2071" s="116">
        <v>2388.9499999999998</v>
      </c>
      <c r="O2071" s="116">
        <v>2350</v>
      </c>
      <c r="P2071" s="116">
        <v>2387</v>
      </c>
      <c r="Q2071" s="116">
        <v>2364.4499999999998</v>
      </c>
      <c r="R2071">
        <v>1675409</v>
      </c>
    </row>
    <row r="2072" spans="1:18" x14ac:dyDescent="0.25">
      <c r="A2072" s="170">
        <v>45057</v>
      </c>
      <c r="B2072" s="116">
        <v>2309</v>
      </c>
      <c r="C2072" s="116">
        <v>2241.65</v>
      </c>
      <c r="D2072" s="116">
        <v>2238.4499999999998</v>
      </c>
      <c r="E2072" s="116">
        <v>2309</v>
      </c>
      <c r="F2072" s="116">
        <v>2241.65</v>
      </c>
      <c r="G2072">
        <v>252389</v>
      </c>
      <c r="H2072" s="116"/>
      <c r="I2072" s="116"/>
      <c r="L2072" s="170">
        <v>45057</v>
      </c>
      <c r="M2072" s="116">
        <v>2242.15</v>
      </c>
      <c r="N2072" s="116">
        <v>2314.0500000000002</v>
      </c>
      <c r="O2072" s="116">
        <v>2237.35</v>
      </c>
      <c r="P2072" s="116">
        <v>2300</v>
      </c>
      <c r="Q2072" s="116">
        <v>2242.15</v>
      </c>
      <c r="R2072">
        <v>9470848</v>
      </c>
    </row>
    <row r="2073" spans="1:18" x14ac:dyDescent="0.25">
      <c r="A2073" s="170">
        <v>45058</v>
      </c>
      <c r="B2073" s="116">
        <v>2234.9499999999998</v>
      </c>
      <c r="C2073" s="116">
        <v>2220.9</v>
      </c>
      <c r="D2073" s="116">
        <v>2197.85</v>
      </c>
      <c r="E2073" s="116">
        <v>2234.9499999999998</v>
      </c>
      <c r="F2073" s="116">
        <v>2220.9</v>
      </c>
      <c r="G2073">
        <v>169587</v>
      </c>
      <c r="H2073" s="116"/>
      <c r="I2073" s="116"/>
      <c r="L2073" s="170">
        <v>45058</v>
      </c>
      <c r="M2073" s="116">
        <v>2221.1</v>
      </c>
      <c r="N2073" s="116">
        <v>2235</v>
      </c>
      <c r="O2073" s="116">
        <v>2197.35</v>
      </c>
      <c r="P2073" s="116">
        <v>2222.65</v>
      </c>
      <c r="Q2073" s="116">
        <v>2221.1</v>
      </c>
      <c r="R2073">
        <v>5367292</v>
      </c>
    </row>
    <row r="2074" spans="1:18" x14ac:dyDescent="0.25">
      <c r="A2074" s="170">
        <v>45061</v>
      </c>
      <c r="B2074" s="116">
        <v>2259.9499999999998</v>
      </c>
      <c r="C2074" s="116">
        <v>2246.15</v>
      </c>
      <c r="D2074" s="116">
        <v>2215.0500000000002</v>
      </c>
      <c r="E2074" s="116">
        <v>2226.85</v>
      </c>
      <c r="F2074" s="116">
        <v>2246.15</v>
      </c>
      <c r="G2074">
        <v>87812</v>
      </c>
      <c r="H2074" s="116"/>
      <c r="I2074" s="116"/>
      <c r="L2074" s="170">
        <v>45061</v>
      </c>
      <c r="M2074" s="116">
        <v>2246.85</v>
      </c>
      <c r="N2074" s="116">
        <v>2260</v>
      </c>
      <c r="O2074" s="116">
        <v>2215</v>
      </c>
      <c r="P2074" s="116">
        <v>2220.9</v>
      </c>
      <c r="Q2074" s="116">
        <v>2246.85</v>
      </c>
      <c r="R2074">
        <v>2662740</v>
      </c>
    </row>
    <row r="2075" spans="1:18" x14ac:dyDescent="0.25">
      <c r="A2075" s="170">
        <v>45062</v>
      </c>
      <c r="B2075" s="116">
        <v>2254.6999999999998</v>
      </c>
      <c r="C2075" s="116">
        <v>2226.9</v>
      </c>
      <c r="D2075" s="116">
        <v>2224</v>
      </c>
      <c r="E2075" s="116">
        <v>2254.4</v>
      </c>
      <c r="F2075" s="116">
        <v>2226.9</v>
      </c>
      <c r="G2075">
        <v>43498</v>
      </c>
      <c r="H2075" s="116"/>
      <c r="I2075" s="116"/>
      <c r="L2075" s="170">
        <v>45062</v>
      </c>
      <c r="M2075" s="116">
        <v>2227.1999999999998</v>
      </c>
      <c r="N2075" s="116">
        <v>2255</v>
      </c>
      <c r="O2075" s="116">
        <v>2223.1</v>
      </c>
      <c r="P2075" s="116">
        <v>2254.6</v>
      </c>
      <c r="Q2075" s="116">
        <v>2227.1999999999998</v>
      </c>
      <c r="R2075">
        <v>2528855</v>
      </c>
    </row>
    <row r="2076" spans="1:18" x14ac:dyDescent="0.25">
      <c r="A2076" s="170">
        <v>45063</v>
      </c>
      <c r="B2076" s="116">
        <v>2243.9</v>
      </c>
      <c r="C2076" s="116">
        <v>2219.4499999999998</v>
      </c>
      <c r="D2076" s="116">
        <v>2210.3000000000002</v>
      </c>
      <c r="E2076" s="116">
        <v>2226.9</v>
      </c>
      <c r="F2076" s="116">
        <v>2219.4499999999998</v>
      </c>
      <c r="G2076">
        <v>34236</v>
      </c>
      <c r="H2076" s="116"/>
      <c r="I2076" s="116"/>
      <c r="L2076" s="170">
        <v>45063</v>
      </c>
      <c r="M2076" s="116">
        <v>2219.6</v>
      </c>
      <c r="N2076" s="116">
        <v>2244</v>
      </c>
      <c r="O2076" s="116">
        <v>2210.1999999999998</v>
      </c>
      <c r="P2076" s="116">
        <v>2224.35</v>
      </c>
      <c r="Q2076" s="116">
        <v>2219.6</v>
      </c>
      <c r="R2076">
        <v>1961004</v>
      </c>
    </row>
    <row r="2077" spans="1:18" x14ac:dyDescent="0.25">
      <c r="A2077" s="170">
        <v>45064</v>
      </c>
      <c r="B2077" s="116">
        <v>2234.9499999999998</v>
      </c>
      <c r="C2077" s="116">
        <v>2188.65</v>
      </c>
      <c r="D2077" s="116">
        <v>2182.5</v>
      </c>
      <c r="E2077" s="116">
        <v>2234.9499999999998</v>
      </c>
      <c r="F2077" s="116">
        <v>2188.65</v>
      </c>
      <c r="G2077">
        <v>41899</v>
      </c>
      <c r="H2077" s="116"/>
      <c r="I2077" s="116"/>
      <c r="L2077" s="170">
        <v>45064</v>
      </c>
      <c r="M2077" s="116">
        <v>2188.1999999999998</v>
      </c>
      <c r="N2077" s="116">
        <v>2233.5500000000002</v>
      </c>
      <c r="O2077" s="116">
        <v>2181</v>
      </c>
      <c r="P2077" s="116">
        <v>2230</v>
      </c>
      <c r="Q2077" s="116">
        <v>2188.1999999999998</v>
      </c>
      <c r="R2077">
        <v>2290757</v>
      </c>
    </row>
    <row r="2078" spans="1:18" x14ac:dyDescent="0.25">
      <c r="A2078" s="170">
        <v>45065</v>
      </c>
      <c r="B2078" s="116">
        <v>2196</v>
      </c>
      <c r="C2078" s="116">
        <v>2190.3000000000002</v>
      </c>
      <c r="D2078" s="116">
        <v>2168.65</v>
      </c>
      <c r="E2078" s="116">
        <v>2190.1999999999998</v>
      </c>
      <c r="F2078" s="116">
        <v>2190.3000000000002</v>
      </c>
      <c r="G2078">
        <v>58141</v>
      </c>
      <c r="H2078" s="116"/>
      <c r="I2078" s="116"/>
      <c r="L2078" s="170">
        <v>45065</v>
      </c>
      <c r="M2078" s="116">
        <v>2190.0500000000002</v>
      </c>
      <c r="N2078" s="116">
        <v>2199.0500000000002</v>
      </c>
      <c r="O2078" s="116">
        <v>2168.5</v>
      </c>
      <c r="P2078" s="116">
        <v>2192</v>
      </c>
      <c r="Q2078" s="116">
        <v>2190.0500000000002</v>
      </c>
      <c r="R2078">
        <v>1729803</v>
      </c>
    </row>
    <row r="2079" spans="1:18" x14ac:dyDescent="0.25">
      <c r="A2079" s="170">
        <v>45068</v>
      </c>
      <c r="B2079" s="116">
        <v>2222</v>
      </c>
      <c r="C2079" s="116">
        <v>2216.5500000000002</v>
      </c>
      <c r="D2079" s="116">
        <v>2178.1999999999998</v>
      </c>
      <c r="E2079" s="116">
        <v>2190.3000000000002</v>
      </c>
      <c r="F2079" s="116">
        <v>2216.5500000000002</v>
      </c>
      <c r="G2079">
        <v>69718</v>
      </c>
      <c r="H2079" s="116"/>
      <c r="I2079" s="116"/>
      <c r="L2079" s="170">
        <v>45068</v>
      </c>
      <c r="M2079" s="116">
        <v>2216.6</v>
      </c>
      <c r="N2079" s="116">
        <v>2222</v>
      </c>
      <c r="O2079" s="116">
        <v>2178.4</v>
      </c>
      <c r="P2079" s="116">
        <v>2190</v>
      </c>
      <c r="Q2079" s="116">
        <v>2216.6</v>
      </c>
      <c r="R2079">
        <v>1112099</v>
      </c>
    </row>
    <row r="2080" spans="1:18" x14ac:dyDescent="0.25">
      <c r="A2080" s="170">
        <v>45069</v>
      </c>
      <c r="B2080" s="116">
        <v>2228</v>
      </c>
      <c r="C2080" s="116">
        <v>2197.15</v>
      </c>
      <c r="D2080" s="116">
        <v>2194</v>
      </c>
      <c r="E2080" s="116">
        <v>2221.1</v>
      </c>
      <c r="F2080" s="116">
        <v>2197.15</v>
      </c>
      <c r="G2080">
        <v>36396</v>
      </c>
      <c r="H2080" s="116"/>
      <c r="I2080" s="116"/>
      <c r="L2080" s="170">
        <v>45069</v>
      </c>
      <c r="M2080" s="116">
        <v>2197.65</v>
      </c>
      <c r="N2080" s="116">
        <v>2228.6</v>
      </c>
      <c r="O2080" s="116">
        <v>2194</v>
      </c>
      <c r="P2080" s="116">
        <v>2225.6</v>
      </c>
      <c r="Q2080" s="116">
        <v>2197.65</v>
      </c>
      <c r="R2080">
        <v>2265389</v>
      </c>
    </row>
    <row r="2081" spans="1:18" x14ac:dyDescent="0.25">
      <c r="A2081" s="170">
        <v>45070</v>
      </c>
      <c r="B2081" s="116">
        <v>2208.75</v>
      </c>
      <c r="C2081" s="116">
        <v>2184.3000000000002</v>
      </c>
      <c r="D2081" s="116">
        <v>2176.4</v>
      </c>
      <c r="E2081" s="116">
        <v>2205.4</v>
      </c>
      <c r="F2081" s="116">
        <v>2184.3000000000002</v>
      </c>
      <c r="G2081">
        <v>30136</v>
      </c>
      <c r="H2081" s="116"/>
      <c r="I2081" s="116"/>
      <c r="L2081" s="170">
        <v>45070</v>
      </c>
      <c r="M2081" s="116">
        <v>2185.15</v>
      </c>
      <c r="N2081" s="116">
        <v>2208.5</v>
      </c>
      <c r="O2081" s="116">
        <v>2176</v>
      </c>
      <c r="P2081" s="116">
        <v>2200</v>
      </c>
      <c r="Q2081" s="116">
        <v>2185.15</v>
      </c>
      <c r="R2081">
        <v>2648479</v>
      </c>
    </row>
    <row r="2082" spans="1:18" x14ac:dyDescent="0.25">
      <c r="A2082" s="170">
        <v>45071</v>
      </c>
      <c r="B2082" s="116">
        <v>2208</v>
      </c>
      <c r="C2082" s="116">
        <v>2205.9</v>
      </c>
      <c r="D2082" s="116">
        <v>2177.75</v>
      </c>
      <c r="E2082" s="116">
        <v>2186.0500000000002</v>
      </c>
      <c r="F2082" s="116">
        <v>2205.9</v>
      </c>
      <c r="G2082">
        <v>30278</v>
      </c>
      <c r="H2082" s="116"/>
      <c r="I2082" s="116"/>
      <c r="L2082" s="170">
        <v>45071</v>
      </c>
      <c r="M2082" s="116">
        <v>2204.6999999999998</v>
      </c>
      <c r="N2082" s="116">
        <v>2207.3000000000002</v>
      </c>
      <c r="O2082" s="116">
        <v>2178</v>
      </c>
      <c r="P2082" s="116">
        <v>2190</v>
      </c>
      <c r="Q2082" s="116">
        <v>2204.6999999999998</v>
      </c>
      <c r="R2082">
        <v>1689521</v>
      </c>
    </row>
    <row r="2083" spans="1:18" x14ac:dyDescent="0.25">
      <c r="A2083" s="170">
        <v>45072</v>
      </c>
      <c r="B2083" s="116">
        <v>2220.9</v>
      </c>
      <c r="C2083" s="116">
        <v>2218</v>
      </c>
      <c r="D2083" s="116">
        <v>2201.25</v>
      </c>
      <c r="E2083" s="116">
        <v>2205.0500000000002</v>
      </c>
      <c r="F2083" s="116">
        <v>2218</v>
      </c>
      <c r="G2083">
        <v>136082</v>
      </c>
      <c r="H2083" s="116"/>
      <c r="I2083" s="116"/>
      <c r="L2083" s="170">
        <v>45072</v>
      </c>
      <c r="M2083" s="116">
        <v>2218.4499999999998</v>
      </c>
      <c r="N2083" s="116">
        <v>2220.75</v>
      </c>
      <c r="O2083" s="116">
        <v>2201</v>
      </c>
      <c r="P2083" s="116">
        <v>2209</v>
      </c>
      <c r="Q2083" s="116">
        <v>2218.4499999999998</v>
      </c>
      <c r="R2083">
        <v>1249128</v>
      </c>
    </row>
    <row r="2084" spans="1:18" x14ac:dyDescent="0.25">
      <c r="A2084" s="170">
        <v>45075</v>
      </c>
      <c r="B2084" s="116">
        <v>2241</v>
      </c>
      <c r="C2084" s="116">
        <v>2223.9</v>
      </c>
      <c r="D2084" s="116">
        <v>2220.15</v>
      </c>
      <c r="E2084" s="116">
        <v>2220.15</v>
      </c>
      <c r="F2084" s="116">
        <v>2223.9</v>
      </c>
      <c r="G2084">
        <v>123855</v>
      </c>
      <c r="H2084" s="116"/>
      <c r="I2084" s="116"/>
      <c r="L2084" s="170">
        <v>45075</v>
      </c>
      <c r="M2084" s="116">
        <v>2224.5500000000002</v>
      </c>
      <c r="N2084" s="116">
        <v>2241.8000000000002</v>
      </c>
      <c r="O2084" s="116">
        <v>2220.1999999999998</v>
      </c>
      <c r="P2084" s="116">
        <v>2225</v>
      </c>
      <c r="Q2084" s="116">
        <v>2224.5500000000002</v>
      </c>
      <c r="R2084">
        <v>1369656</v>
      </c>
    </row>
    <row r="2085" spans="1:18" x14ac:dyDescent="0.25">
      <c r="A2085" s="170">
        <v>45076</v>
      </c>
      <c r="B2085" s="116">
        <v>2236</v>
      </c>
      <c r="C2085" s="116">
        <v>2210.3000000000002</v>
      </c>
      <c r="D2085" s="116">
        <v>2208</v>
      </c>
      <c r="E2085" s="116">
        <v>2227.9499999999998</v>
      </c>
      <c r="F2085" s="116">
        <v>2210.3000000000002</v>
      </c>
      <c r="G2085">
        <v>31421</v>
      </c>
      <c r="H2085" s="116"/>
      <c r="I2085" s="116"/>
      <c r="L2085" s="170">
        <v>45076</v>
      </c>
      <c r="M2085" s="116">
        <v>2210.8000000000002</v>
      </c>
      <c r="N2085" s="116">
        <v>2237</v>
      </c>
      <c r="O2085" s="116">
        <v>2207.1999999999998</v>
      </c>
      <c r="P2085" s="116">
        <v>2230</v>
      </c>
      <c r="Q2085" s="116">
        <v>2210.8000000000002</v>
      </c>
      <c r="R2085">
        <v>1716729</v>
      </c>
    </row>
    <row r="2086" spans="1:18" x14ac:dyDescent="0.25">
      <c r="A2086" s="170">
        <v>45077</v>
      </c>
      <c r="B2086" s="116">
        <v>2224.25</v>
      </c>
      <c r="C2086" s="116">
        <v>2206.4499999999998</v>
      </c>
      <c r="D2086" s="116">
        <v>2200</v>
      </c>
      <c r="E2086" s="116">
        <v>2208.15</v>
      </c>
      <c r="F2086" s="116">
        <v>2206.4499999999998</v>
      </c>
      <c r="G2086">
        <v>32963</v>
      </c>
      <c r="H2086" s="116"/>
      <c r="I2086" s="116"/>
      <c r="L2086" s="170">
        <v>45077</v>
      </c>
      <c r="M2086" s="116">
        <v>2205.65</v>
      </c>
      <c r="N2086" s="116">
        <v>2224</v>
      </c>
      <c r="O2086" s="116">
        <v>2200</v>
      </c>
      <c r="P2086" s="116">
        <v>2201.1</v>
      </c>
      <c r="Q2086" s="116">
        <v>2205.65</v>
      </c>
      <c r="R2086">
        <v>2809284</v>
      </c>
    </row>
    <row r="2087" spans="1:18" x14ac:dyDescent="0.25">
      <c r="A2087" s="170">
        <v>45078</v>
      </c>
      <c r="B2087" s="116">
        <v>2221</v>
      </c>
      <c r="C2087" s="116">
        <v>2209.0500000000002</v>
      </c>
      <c r="D2087" s="116">
        <v>2202.1999999999998</v>
      </c>
      <c r="E2087" s="116">
        <v>2210.35</v>
      </c>
      <c r="F2087" s="116">
        <v>2209.0500000000002</v>
      </c>
      <c r="G2087">
        <v>41381</v>
      </c>
      <c r="H2087" s="116"/>
      <c r="I2087" s="116"/>
      <c r="L2087" s="170">
        <v>45078</v>
      </c>
      <c r="M2087" s="116">
        <v>2207.8000000000002</v>
      </c>
      <c r="N2087" s="116">
        <v>2222</v>
      </c>
      <c r="O2087" s="116">
        <v>2202.15</v>
      </c>
      <c r="P2087" s="116">
        <v>2217</v>
      </c>
      <c r="Q2087" s="116">
        <v>2207.8000000000002</v>
      </c>
      <c r="R2087">
        <v>1049488</v>
      </c>
    </row>
    <row r="2088" spans="1:18" x14ac:dyDescent="0.25">
      <c r="A2088" s="170">
        <v>45079</v>
      </c>
      <c r="B2088" s="116">
        <v>2238</v>
      </c>
      <c r="C2088" s="116">
        <v>2235.25</v>
      </c>
      <c r="D2088" s="116">
        <v>2211.9</v>
      </c>
      <c r="E2088" s="116">
        <v>2216.0500000000002</v>
      </c>
      <c r="F2088" s="116">
        <v>2235.25</v>
      </c>
      <c r="G2088">
        <v>117244</v>
      </c>
      <c r="H2088" s="116"/>
      <c r="I2088" s="116"/>
      <c r="L2088" s="170">
        <v>45079</v>
      </c>
      <c r="M2088" s="116">
        <v>2234.5500000000002</v>
      </c>
      <c r="N2088" s="116">
        <v>2237.3000000000002</v>
      </c>
      <c r="O2088" s="116">
        <v>2212.15</v>
      </c>
      <c r="P2088" s="116">
        <v>2221</v>
      </c>
      <c r="Q2088" s="116">
        <v>2234.5500000000002</v>
      </c>
      <c r="R2088">
        <v>1399950</v>
      </c>
    </row>
    <row r="2089" spans="1:18" x14ac:dyDescent="0.25">
      <c r="A2089" s="170">
        <v>45082</v>
      </c>
      <c r="B2089" s="116">
        <v>2272.6</v>
      </c>
      <c r="C2089" s="116">
        <v>2269.15</v>
      </c>
      <c r="D2089" s="116">
        <v>2240</v>
      </c>
      <c r="E2089" s="116">
        <v>2240</v>
      </c>
      <c r="F2089" s="116">
        <v>2269.15</v>
      </c>
      <c r="G2089">
        <v>126364</v>
      </c>
      <c r="H2089" s="116"/>
      <c r="I2089" s="116"/>
      <c r="L2089" s="170">
        <v>45082</v>
      </c>
      <c r="M2089" s="116">
        <v>2268.3000000000002</v>
      </c>
      <c r="N2089" s="116">
        <v>2272.8000000000002</v>
      </c>
      <c r="O2089" s="116">
        <v>2240</v>
      </c>
      <c r="P2089" s="116">
        <v>2245</v>
      </c>
      <c r="Q2089" s="116">
        <v>2268.3000000000002</v>
      </c>
      <c r="R2089">
        <v>2344944</v>
      </c>
    </row>
    <row r="2090" spans="1:18" x14ac:dyDescent="0.25">
      <c r="A2090" s="170">
        <v>45083</v>
      </c>
      <c r="B2090" s="116">
        <v>2280</v>
      </c>
      <c r="C2090" s="116">
        <v>2277.4</v>
      </c>
      <c r="D2090" s="116">
        <v>2263.3000000000002</v>
      </c>
      <c r="E2090" s="116">
        <v>2265.0500000000002</v>
      </c>
      <c r="F2090" s="116">
        <v>2277.4</v>
      </c>
      <c r="G2090">
        <v>2015643</v>
      </c>
      <c r="H2090" s="116"/>
      <c r="I2090" s="116"/>
      <c r="L2090" s="170">
        <v>45083</v>
      </c>
      <c r="M2090" s="116">
        <v>2277.9499999999998</v>
      </c>
      <c r="N2090" s="116">
        <v>2280.6999999999998</v>
      </c>
      <c r="O2090" s="116">
        <v>2263.6999999999998</v>
      </c>
      <c r="P2090" s="116">
        <v>2269</v>
      </c>
      <c r="Q2090" s="116">
        <v>2277.9499999999998</v>
      </c>
      <c r="R2090">
        <v>1677680</v>
      </c>
    </row>
    <row r="2091" spans="1:18" x14ac:dyDescent="0.25">
      <c r="A2091" s="170">
        <v>45084</v>
      </c>
      <c r="B2091" s="116">
        <v>2318.35</v>
      </c>
      <c r="C2091" s="116">
        <v>2315.25</v>
      </c>
      <c r="D2091" s="116">
        <v>2278</v>
      </c>
      <c r="E2091" s="116">
        <v>2279.9</v>
      </c>
      <c r="F2091" s="116">
        <v>2315.25</v>
      </c>
      <c r="G2091">
        <v>58796</v>
      </c>
      <c r="H2091" s="116"/>
      <c r="I2091" s="116"/>
      <c r="L2091" s="170">
        <v>45084</v>
      </c>
      <c r="M2091" s="116">
        <v>2315.5</v>
      </c>
      <c r="N2091" s="116">
        <v>2318</v>
      </c>
      <c r="O2091" s="116">
        <v>2278</v>
      </c>
      <c r="P2091" s="116">
        <v>2278</v>
      </c>
      <c r="Q2091" s="116">
        <v>2315.5</v>
      </c>
      <c r="R2091">
        <v>2128603</v>
      </c>
    </row>
    <row r="2092" spans="1:18" x14ac:dyDescent="0.25">
      <c r="A2092" s="170">
        <v>45085</v>
      </c>
      <c r="B2092" s="116">
        <v>2345.25</v>
      </c>
      <c r="C2092" s="116">
        <v>2340.6</v>
      </c>
      <c r="D2092" s="116">
        <v>2311.9</v>
      </c>
      <c r="E2092" s="116">
        <v>2316</v>
      </c>
      <c r="F2092" s="116">
        <v>2340.6</v>
      </c>
      <c r="G2092">
        <v>80553</v>
      </c>
      <c r="H2092" s="116"/>
      <c r="I2092" s="116"/>
      <c r="L2092" s="170">
        <v>45085</v>
      </c>
      <c r="M2092" s="116">
        <v>2340.3000000000002</v>
      </c>
      <c r="N2092" s="116">
        <v>2345.0500000000002</v>
      </c>
      <c r="O2092" s="116">
        <v>2312.75</v>
      </c>
      <c r="P2092" s="116">
        <v>2316.9499999999998</v>
      </c>
      <c r="Q2092" s="116">
        <v>2340.3000000000002</v>
      </c>
      <c r="R2092">
        <v>2556995</v>
      </c>
    </row>
    <row r="2093" spans="1:18" x14ac:dyDescent="0.25">
      <c r="A2093" s="170">
        <v>45086</v>
      </c>
      <c r="B2093" s="116">
        <v>2368</v>
      </c>
      <c r="C2093" s="116">
        <v>2363.9</v>
      </c>
      <c r="D2093" s="116">
        <v>2338.8000000000002</v>
      </c>
      <c r="E2093" s="116">
        <v>2340.1</v>
      </c>
      <c r="F2093" s="116">
        <v>2363.9</v>
      </c>
      <c r="G2093">
        <v>121906</v>
      </c>
      <c r="H2093" s="116"/>
      <c r="I2093" s="116"/>
      <c r="L2093" s="170">
        <v>45086</v>
      </c>
      <c r="M2093" s="116">
        <v>2363</v>
      </c>
      <c r="N2093" s="116">
        <v>2368.85</v>
      </c>
      <c r="O2093" s="116">
        <v>2338.25</v>
      </c>
      <c r="P2093" s="116">
        <v>2345</v>
      </c>
      <c r="Q2093" s="116">
        <v>2363</v>
      </c>
      <c r="R2093">
        <v>2501720</v>
      </c>
    </row>
    <row r="2094" spans="1:18" x14ac:dyDescent="0.25">
      <c r="A2094" s="170">
        <v>45089</v>
      </c>
      <c r="B2094" s="116">
        <v>2370.4</v>
      </c>
      <c r="C2094" s="116">
        <v>2339.4</v>
      </c>
      <c r="D2094" s="116">
        <v>2332.15</v>
      </c>
      <c r="E2094" s="116">
        <v>2356.0500000000002</v>
      </c>
      <c r="F2094" s="116">
        <v>2339.4</v>
      </c>
      <c r="G2094">
        <v>67567</v>
      </c>
      <c r="H2094" s="116"/>
      <c r="I2094" s="116"/>
      <c r="L2094" s="170">
        <v>45089</v>
      </c>
      <c r="M2094" s="116">
        <v>2339.9499999999998</v>
      </c>
      <c r="N2094" s="116">
        <v>2370</v>
      </c>
      <c r="O2094" s="116">
        <v>2333.1</v>
      </c>
      <c r="P2094" s="116">
        <v>2365</v>
      </c>
      <c r="Q2094" s="116">
        <v>2339.9499999999998</v>
      </c>
      <c r="R2094">
        <v>1172382</v>
      </c>
    </row>
    <row r="2095" spans="1:18" x14ac:dyDescent="0.25">
      <c r="A2095" s="170">
        <v>45090</v>
      </c>
      <c r="B2095" s="116">
        <v>2357.9</v>
      </c>
      <c r="C2095" s="116">
        <v>2354.8000000000002</v>
      </c>
      <c r="D2095" s="116">
        <v>2327</v>
      </c>
      <c r="E2095" s="116">
        <v>2342.1999999999998</v>
      </c>
      <c r="F2095" s="116">
        <v>2354.8000000000002</v>
      </c>
      <c r="G2095">
        <v>22859</v>
      </c>
      <c r="H2095" s="116"/>
      <c r="I2095" s="116"/>
      <c r="L2095" s="170">
        <v>45090</v>
      </c>
      <c r="M2095" s="116">
        <v>2354.4</v>
      </c>
      <c r="N2095" s="116">
        <v>2357.9</v>
      </c>
      <c r="O2095" s="116">
        <v>2327.1</v>
      </c>
      <c r="P2095" s="116">
        <v>2345.85</v>
      </c>
      <c r="Q2095" s="116">
        <v>2354.4</v>
      </c>
      <c r="R2095">
        <v>1688768</v>
      </c>
    </row>
    <row r="2096" spans="1:18" x14ac:dyDescent="0.25">
      <c r="A2096" s="170">
        <v>45091</v>
      </c>
      <c r="B2096" s="116">
        <v>2359</v>
      </c>
      <c r="C2096" s="116">
        <v>2355.4</v>
      </c>
      <c r="D2096" s="116">
        <v>2340</v>
      </c>
      <c r="E2096" s="116">
        <v>2345.15</v>
      </c>
      <c r="F2096" s="116">
        <v>2355.4</v>
      </c>
      <c r="G2096">
        <v>43039</v>
      </c>
      <c r="H2096" s="116"/>
      <c r="I2096" s="116"/>
      <c r="L2096" s="170">
        <v>45091</v>
      </c>
      <c r="M2096" s="116">
        <v>2355.0500000000002</v>
      </c>
      <c r="N2096" s="116">
        <v>2360</v>
      </c>
      <c r="O2096" s="116">
        <v>2340</v>
      </c>
      <c r="P2096" s="116">
        <v>2352.9</v>
      </c>
      <c r="Q2096" s="116">
        <v>2355.0500000000002</v>
      </c>
      <c r="R2096">
        <v>1013564</v>
      </c>
    </row>
    <row r="2097" spans="1:18" x14ac:dyDescent="0.25">
      <c r="A2097" s="170">
        <v>45092</v>
      </c>
      <c r="B2097" s="116">
        <v>2369.35</v>
      </c>
      <c r="C2097" s="116">
        <v>2360.6</v>
      </c>
      <c r="D2097" s="116">
        <v>2348.5500000000002</v>
      </c>
      <c r="E2097" s="116">
        <v>2353.35</v>
      </c>
      <c r="F2097" s="116">
        <v>2360.6</v>
      </c>
      <c r="G2097">
        <v>47133</v>
      </c>
      <c r="H2097" s="116"/>
      <c r="I2097" s="116"/>
      <c r="L2097" s="170">
        <v>45092</v>
      </c>
      <c r="M2097" s="116">
        <v>2361.3000000000002</v>
      </c>
      <c r="N2097" s="116">
        <v>2369.5</v>
      </c>
      <c r="O2097" s="116">
        <v>2349</v>
      </c>
      <c r="P2097" s="116">
        <v>2355</v>
      </c>
      <c r="Q2097" s="116">
        <v>2361.3000000000002</v>
      </c>
      <c r="R2097">
        <v>2561534</v>
      </c>
    </row>
    <row r="2098" spans="1:18" x14ac:dyDescent="0.25">
      <c r="A2098" s="170">
        <v>45093</v>
      </c>
      <c r="B2098" s="116">
        <v>2379.25</v>
      </c>
      <c r="C2098" s="116">
        <v>2366.5</v>
      </c>
      <c r="D2098" s="116">
        <v>2352.1999999999998</v>
      </c>
      <c r="E2098" s="116">
        <v>2361</v>
      </c>
      <c r="F2098" s="116">
        <v>2366.5</v>
      </c>
      <c r="G2098">
        <v>26584</v>
      </c>
      <c r="H2098" s="116"/>
      <c r="I2098" s="116"/>
      <c r="L2098" s="170">
        <v>45093</v>
      </c>
      <c r="M2098" s="116">
        <v>2366.8000000000002</v>
      </c>
      <c r="N2098" s="116">
        <v>2380</v>
      </c>
      <c r="O2098" s="116">
        <v>2352.25</v>
      </c>
      <c r="P2098" s="116">
        <v>2363.75</v>
      </c>
      <c r="Q2098" s="116">
        <v>2366.8000000000002</v>
      </c>
      <c r="R2098">
        <v>1794542</v>
      </c>
    </row>
    <row r="2099" spans="1:18" x14ac:dyDescent="0.25">
      <c r="A2099" s="170">
        <v>45096</v>
      </c>
      <c r="B2099" s="116">
        <v>2420</v>
      </c>
      <c r="C2099" s="116">
        <v>2363.1999999999998</v>
      </c>
      <c r="D2099" s="116">
        <v>2360.4499999999998</v>
      </c>
      <c r="E2099" s="116">
        <v>2375.0500000000002</v>
      </c>
      <c r="F2099" s="116">
        <v>2363.1999999999998</v>
      </c>
      <c r="G2099">
        <v>69645</v>
      </c>
      <c r="H2099" s="116"/>
      <c r="I2099" s="116"/>
      <c r="L2099" s="170">
        <v>45096</v>
      </c>
      <c r="M2099" s="116">
        <v>2366.35</v>
      </c>
      <c r="N2099" s="116">
        <v>2419.9</v>
      </c>
      <c r="O2099" s="116">
        <v>2361</v>
      </c>
      <c r="P2099" s="116">
        <v>2379</v>
      </c>
      <c r="Q2099" s="116">
        <v>2366.35</v>
      </c>
      <c r="R2099">
        <v>3111256</v>
      </c>
    </row>
    <row r="2100" spans="1:18" x14ac:dyDescent="0.25">
      <c r="A2100" s="170">
        <v>45097</v>
      </c>
      <c r="B2100" s="116">
        <v>2390.3000000000002</v>
      </c>
      <c r="C2100" s="116">
        <v>2382.1999999999998</v>
      </c>
      <c r="D2100" s="116">
        <v>2355</v>
      </c>
      <c r="E2100" s="116">
        <v>2361.0500000000002</v>
      </c>
      <c r="F2100" s="116">
        <v>2382.1999999999998</v>
      </c>
      <c r="G2100">
        <v>26253</v>
      </c>
      <c r="H2100" s="116"/>
      <c r="I2100" s="116"/>
      <c r="L2100" s="170">
        <v>45097</v>
      </c>
      <c r="M2100" s="116">
        <v>2382</v>
      </c>
      <c r="N2100" s="116">
        <v>2389.65</v>
      </c>
      <c r="O2100" s="116">
        <v>2354.4499999999998</v>
      </c>
      <c r="P2100" s="116">
        <v>2364.9499999999998</v>
      </c>
      <c r="Q2100" s="116">
        <v>2382</v>
      </c>
      <c r="R2100">
        <v>1771306</v>
      </c>
    </row>
    <row r="2101" spans="1:18" x14ac:dyDescent="0.25">
      <c r="A2101" s="170">
        <v>45098</v>
      </c>
      <c r="B2101" s="116">
        <v>2411.9</v>
      </c>
      <c r="C2101" s="116">
        <v>2393.3000000000002</v>
      </c>
      <c r="D2101" s="116">
        <v>2383</v>
      </c>
      <c r="E2101" s="116">
        <v>2383</v>
      </c>
      <c r="F2101" s="116">
        <v>2393.3000000000002</v>
      </c>
      <c r="G2101">
        <v>52542</v>
      </c>
      <c r="H2101" s="116"/>
      <c r="I2101" s="116"/>
      <c r="L2101" s="170">
        <v>45098</v>
      </c>
      <c r="M2101" s="116">
        <v>2394.4499999999998</v>
      </c>
      <c r="N2101" s="116">
        <v>2412</v>
      </c>
      <c r="O2101" s="116">
        <v>2382</v>
      </c>
      <c r="P2101" s="116">
        <v>2382</v>
      </c>
      <c r="Q2101" s="116">
        <v>2394.4499999999998</v>
      </c>
      <c r="R2101">
        <v>1607299</v>
      </c>
    </row>
    <row r="2102" spans="1:18" x14ac:dyDescent="0.25">
      <c r="A2102" s="170">
        <v>45099</v>
      </c>
      <c r="B2102" s="116">
        <v>2424</v>
      </c>
      <c r="C2102" s="116">
        <v>2415.85</v>
      </c>
      <c r="D2102" s="116">
        <v>2380.9499999999998</v>
      </c>
      <c r="E2102" s="116">
        <v>2414.85</v>
      </c>
      <c r="F2102" s="116">
        <v>2415.85</v>
      </c>
      <c r="G2102">
        <v>52045</v>
      </c>
      <c r="H2102" s="116"/>
      <c r="I2102" s="116"/>
      <c r="L2102" s="170">
        <v>45099</v>
      </c>
      <c r="M2102" s="116">
        <v>2416.25</v>
      </c>
      <c r="N2102" s="116">
        <v>2424</v>
      </c>
      <c r="O2102" s="116">
        <v>2380</v>
      </c>
      <c r="P2102" s="116">
        <v>2394.6</v>
      </c>
      <c r="Q2102" s="116">
        <v>2416.25</v>
      </c>
      <c r="R2102">
        <v>1741775</v>
      </c>
    </row>
    <row r="2103" spans="1:18" x14ac:dyDescent="0.25">
      <c r="A2103" s="170">
        <v>45100</v>
      </c>
      <c r="B2103" s="116">
        <v>2429.3000000000002</v>
      </c>
      <c r="C2103" s="116">
        <v>2388.1</v>
      </c>
      <c r="D2103" s="116">
        <v>2382.75</v>
      </c>
      <c r="E2103" s="116">
        <v>2418</v>
      </c>
      <c r="F2103" s="116">
        <v>2388.1</v>
      </c>
      <c r="G2103">
        <v>54070</v>
      </c>
      <c r="H2103" s="116"/>
      <c r="I2103" s="116"/>
      <c r="L2103" s="170">
        <v>45100</v>
      </c>
      <c r="M2103" s="116">
        <v>2389.5500000000002</v>
      </c>
      <c r="N2103" s="116">
        <v>2427</v>
      </c>
      <c r="O2103" s="116">
        <v>2383.25</v>
      </c>
      <c r="P2103" s="116">
        <v>2418.9499999999998</v>
      </c>
      <c r="Q2103" s="116">
        <v>2389.5500000000002</v>
      </c>
      <c r="R2103">
        <v>1212955</v>
      </c>
    </row>
    <row r="2104" spans="1:18" x14ac:dyDescent="0.25">
      <c r="A2104" s="170">
        <v>45103</v>
      </c>
      <c r="B2104" s="116">
        <v>2403</v>
      </c>
      <c r="C2104" s="116">
        <v>2378</v>
      </c>
      <c r="D2104" s="116">
        <v>2367.6999999999998</v>
      </c>
      <c r="E2104" s="116">
        <v>2391.25</v>
      </c>
      <c r="F2104" s="116">
        <v>2378</v>
      </c>
      <c r="G2104">
        <v>20006</v>
      </c>
      <c r="H2104" s="116"/>
      <c r="I2104" s="116"/>
      <c r="L2104" s="170">
        <v>45103</v>
      </c>
      <c r="M2104" s="116">
        <v>2377.5500000000002</v>
      </c>
      <c r="N2104" s="116">
        <v>2403.85</v>
      </c>
      <c r="O2104" s="116">
        <v>2367.9499999999998</v>
      </c>
      <c r="P2104" s="116">
        <v>2398.1</v>
      </c>
      <c r="Q2104" s="116">
        <v>2377.5500000000002</v>
      </c>
      <c r="R2104">
        <v>793572</v>
      </c>
    </row>
    <row r="2105" spans="1:18" x14ac:dyDescent="0.25">
      <c r="A2105" s="170">
        <v>45104</v>
      </c>
      <c r="B2105" s="116">
        <v>2395.6</v>
      </c>
      <c r="C2105" s="116">
        <v>2387.8000000000002</v>
      </c>
      <c r="D2105" s="116">
        <v>2372</v>
      </c>
      <c r="E2105" s="116">
        <v>2383.4</v>
      </c>
      <c r="F2105" s="116">
        <v>2387.8000000000002</v>
      </c>
      <c r="G2105">
        <v>43047</v>
      </c>
      <c r="H2105" s="116"/>
      <c r="I2105" s="116"/>
      <c r="L2105" s="170">
        <v>45104</v>
      </c>
      <c r="M2105" s="116">
        <v>2388.0500000000002</v>
      </c>
      <c r="N2105" s="116">
        <v>2396.9499999999998</v>
      </c>
      <c r="O2105" s="116">
        <v>2371.5500000000002</v>
      </c>
      <c r="P2105" s="116">
        <v>2387.4499999999998</v>
      </c>
      <c r="Q2105" s="116">
        <v>2388.0500000000002</v>
      </c>
      <c r="R2105">
        <v>1012317</v>
      </c>
    </row>
    <row r="2106" spans="1:18" x14ac:dyDescent="0.25">
      <c r="A2106" s="170">
        <v>45105</v>
      </c>
      <c r="B2106" s="116">
        <v>2432.9499999999998</v>
      </c>
      <c r="C2106" s="116">
        <v>2421.5500000000002</v>
      </c>
      <c r="D2106" s="116">
        <v>2391.65</v>
      </c>
      <c r="E2106" s="116">
        <v>2393.25</v>
      </c>
      <c r="F2106" s="116">
        <v>2421.5500000000002</v>
      </c>
      <c r="G2106">
        <v>41063</v>
      </c>
      <c r="H2106" s="116"/>
      <c r="I2106" s="116"/>
      <c r="L2106" s="170">
        <v>45105</v>
      </c>
      <c r="M2106" s="116">
        <v>2421.4499999999998</v>
      </c>
      <c r="N2106" s="116">
        <v>2432.9</v>
      </c>
      <c r="O2106" s="116">
        <v>2390.0500000000002</v>
      </c>
      <c r="P2106" s="116">
        <v>2400</v>
      </c>
      <c r="Q2106" s="116">
        <v>2421.4499999999998</v>
      </c>
      <c r="R2106">
        <v>1734938</v>
      </c>
    </row>
    <row r="2107" spans="1:18" x14ac:dyDescent="0.25">
      <c r="A2107" s="170">
        <v>45107</v>
      </c>
      <c r="B2107" s="116">
        <v>2482.9499999999998</v>
      </c>
      <c r="C2107" s="116">
        <v>2474.5</v>
      </c>
      <c r="D2107" s="116">
        <v>2416</v>
      </c>
      <c r="E2107" s="116">
        <v>2416</v>
      </c>
      <c r="F2107" s="116">
        <v>2474.5</v>
      </c>
      <c r="G2107">
        <v>130241</v>
      </c>
      <c r="H2107" s="116"/>
      <c r="I2107" s="116"/>
      <c r="L2107" s="170">
        <v>45107</v>
      </c>
      <c r="M2107" s="116">
        <v>2475.5500000000002</v>
      </c>
      <c r="N2107" s="116">
        <v>2483.5</v>
      </c>
      <c r="O2107" s="116">
        <v>2415.0500000000002</v>
      </c>
      <c r="P2107" s="116">
        <v>2420</v>
      </c>
      <c r="Q2107" s="116">
        <v>2475.5500000000002</v>
      </c>
      <c r="R2107">
        <v>2690699</v>
      </c>
    </row>
    <row r="2108" spans="1:18" x14ac:dyDescent="0.25">
      <c r="A2108" s="170">
        <v>45110</v>
      </c>
      <c r="B2108" s="116">
        <v>2492.5</v>
      </c>
      <c r="C2108" s="116">
        <v>2452</v>
      </c>
      <c r="D2108" s="116">
        <v>2448</v>
      </c>
      <c r="E2108" s="116">
        <v>2477</v>
      </c>
      <c r="F2108" s="116">
        <v>2452</v>
      </c>
      <c r="G2108">
        <v>51230</v>
      </c>
      <c r="H2108" s="116"/>
      <c r="I2108" s="116"/>
      <c r="L2108" s="170">
        <v>45110</v>
      </c>
      <c r="M2108" s="116">
        <v>2454.0500000000002</v>
      </c>
      <c r="N2108" s="116">
        <v>2492.4</v>
      </c>
      <c r="O2108" s="116">
        <v>2448</v>
      </c>
      <c r="P2108" s="116">
        <v>2478.1999999999998</v>
      </c>
      <c r="Q2108" s="116">
        <v>2454.0500000000002</v>
      </c>
      <c r="R2108">
        <v>1078456</v>
      </c>
    </row>
    <row r="2109" spans="1:18" x14ac:dyDescent="0.25">
      <c r="A2109" s="170">
        <v>45111</v>
      </c>
      <c r="B2109" s="116">
        <v>2485.0500000000002</v>
      </c>
      <c r="C2109" s="116">
        <v>2461.35</v>
      </c>
      <c r="D2109" s="116">
        <v>2458.4</v>
      </c>
      <c r="E2109" s="116">
        <v>2469.75</v>
      </c>
      <c r="F2109" s="116">
        <v>2461.35</v>
      </c>
      <c r="G2109">
        <v>33689</v>
      </c>
      <c r="H2109" s="116"/>
      <c r="I2109" s="116"/>
      <c r="L2109" s="170">
        <v>45111</v>
      </c>
      <c r="M2109" s="116">
        <v>2461.85</v>
      </c>
      <c r="N2109" s="116">
        <v>2484.4</v>
      </c>
      <c r="O2109" s="116">
        <v>2458.1999999999998</v>
      </c>
      <c r="P2109" s="116">
        <v>2458.1999999999998</v>
      </c>
      <c r="Q2109" s="116">
        <v>2461.85</v>
      </c>
      <c r="R2109">
        <v>1441581</v>
      </c>
    </row>
    <row r="2110" spans="1:18" x14ac:dyDescent="0.25">
      <c r="A2110" s="170">
        <v>45112</v>
      </c>
      <c r="B2110" s="116">
        <v>2484.5</v>
      </c>
      <c r="C2110" s="116">
        <v>2470.5</v>
      </c>
      <c r="D2110" s="116">
        <v>2455</v>
      </c>
      <c r="E2110" s="116">
        <v>2456.0500000000002</v>
      </c>
      <c r="F2110" s="116">
        <v>2470.5</v>
      </c>
      <c r="G2110">
        <v>31998</v>
      </c>
      <c r="H2110" s="116"/>
      <c r="I2110" s="116"/>
      <c r="L2110" s="170">
        <v>45112</v>
      </c>
      <c r="M2110" s="116">
        <v>2470.8000000000002</v>
      </c>
      <c r="N2110" s="116">
        <v>2484.9499999999998</v>
      </c>
      <c r="O2110" s="116">
        <v>2454.35</v>
      </c>
      <c r="P2110" s="116">
        <v>2461</v>
      </c>
      <c r="Q2110" s="116">
        <v>2470.8000000000002</v>
      </c>
      <c r="R2110">
        <v>1191896</v>
      </c>
    </row>
    <row r="2111" spans="1:18" x14ac:dyDescent="0.25">
      <c r="A2111" s="170">
        <v>45113</v>
      </c>
      <c r="B2111" s="116">
        <v>2499.9</v>
      </c>
      <c r="C2111" s="116">
        <v>2487.8000000000002</v>
      </c>
      <c r="D2111" s="116">
        <v>2464.35</v>
      </c>
      <c r="E2111" s="116">
        <v>2464.35</v>
      </c>
      <c r="F2111" s="116">
        <v>2487.8000000000002</v>
      </c>
      <c r="G2111">
        <v>86276</v>
      </c>
      <c r="H2111" s="116"/>
      <c r="I2111" s="116"/>
      <c r="L2111" s="170">
        <v>45113</v>
      </c>
      <c r="M2111" s="116">
        <v>2488.6</v>
      </c>
      <c r="N2111" s="116">
        <v>2499.9499999999998</v>
      </c>
      <c r="O2111" s="116">
        <v>2467.5500000000002</v>
      </c>
      <c r="P2111" s="116">
        <v>2468.1</v>
      </c>
      <c r="Q2111" s="116">
        <v>2488.6</v>
      </c>
      <c r="R2111">
        <v>1796824</v>
      </c>
    </row>
    <row r="2112" spans="1:18" x14ac:dyDescent="0.25">
      <c r="A2112" s="170">
        <v>45114</v>
      </c>
      <c r="B2112" s="116">
        <v>2503</v>
      </c>
      <c r="C2112" s="116">
        <v>2448.5</v>
      </c>
      <c r="D2112" s="116">
        <v>2445.0500000000002</v>
      </c>
      <c r="E2112" s="116">
        <v>2484.9</v>
      </c>
      <c r="F2112" s="116">
        <v>2448.5</v>
      </c>
      <c r="G2112">
        <v>37409</v>
      </c>
      <c r="H2112" s="116"/>
      <c r="I2112" s="116"/>
      <c r="L2112" s="170">
        <v>45114</v>
      </c>
      <c r="M2112" s="116">
        <v>2449.35</v>
      </c>
      <c r="N2112" s="116">
        <v>2504</v>
      </c>
      <c r="O2112" s="116">
        <v>2444.6</v>
      </c>
      <c r="P2112" s="116">
        <v>2482.75</v>
      </c>
      <c r="Q2112" s="116">
        <v>2449.35</v>
      </c>
      <c r="R2112">
        <v>1837661</v>
      </c>
    </row>
    <row r="2113" spans="1:18" x14ac:dyDescent="0.25">
      <c r="A2113" s="170">
        <v>45117</v>
      </c>
      <c r="B2113" s="116">
        <v>2463.3000000000002</v>
      </c>
      <c r="C2113" s="116">
        <v>2444.4499999999998</v>
      </c>
      <c r="D2113" s="116">
        <v>2419.9499999999998</v>
      </c>
      <c r="E2113" s="116">
        <v>2448.5</v>
      </c>
      <c r="F2113" s="116">
        <v>2444.4499999999998</v>
      </c>
      <c r="G2113">
        <v>31680</v>
      </c>
      <c r="H2113" s="116"/>
      <c r="I2113" s="116"/>
      <c r="L2113" s="170">
        <v>45117</v>
      </c>
      <c r="M2113" s="116">
        <v>2438.75</v>
      </c>
      <c r="N2113" s="116">
        <v>2463.35</v>
      </c>
      <c r="O2113" s="116">
        <v>2420</v>
      </c>
      <c r="P2113" s="116">
        <v>2450</v>
      </c>
      <c r="Q2113" s="116">
        <v>2438.75</v>
      </c>
      <c r="R2113">
        <v>1178479</v>
      </c>
    </row>
    <row r="2114" spans="1:18" x14ac:dyDescent="0.25">
      <c r="A2114" s="170">
        <v>45118</v>
      </c>
      <c r="B2114" s="116">
        <v>2478.35</v>
      </c>
      <c r="C2114" s="116">
        <v>2474.8000000000002</v>
      </c>
      <c r="D2114" s="116">
        <v>2451.6</v>
      </c>
      <c r="E2114" s="116">
        <v>2454.65</v>
      </c>
      <c r="F2114" s="116">
        <v>2474.8000000000002</v>
      </c>
      <c r="G2114">
        <v>97369</v>
      </c>
      <c r="H2114" s="116"/>
      <c r="I2114" s="116"/>
      <c r="L2114" s="170">
        <v>45118</v>
      </c>
      <c r="M2114" s="116">
        <v>2474.5500000000002</v>
      </c>
      <c r="N2114" s="116">
        <v>2479</v>
      </c>
      <c r="O2114" s="116">
        <v>2447.1999999999998</v>
      </c>
      <c r="P2114" s="116">
        <v>2447.1999999999998</v>
      </c>
      <c r="Q2114" s="116">
        <v>2474.5500000000002</v>
      </c>
      <c r="R2114">
        <v>1219658</v>
      </c>
    </row>
    <row r="2115" spans="1:18" x14ac:dyDescent="0.25">
      <c r="A2115" s="170">
        <v>45119</v>
      </c>
      <c r="B2115" s="116">
        <v>2486.6999999999998</v>
      </c>
      <c r="C2115" s="116">
        <v>2453.4</v>
      </c>
      <c r="D2115" s="116">
        <v>2447.1999999999998</v>
      </c>
      <c r="E2115" s="116">
        <v>2475</v>
      </c>
      <c r="F2115" s="116">
        <v>2453.4</v>
      </c>
      <c r="G2115">
        <v>46743</v>
      </c>
      <c r="H2115" s="116"/>
      <c r="I2115" s="116"/>
      <c r="L2115" s="170">
        <v>45119</v>
      </c>
      <c r="M2115" s="116">
        <v>2454.9499999999998</v>
      </c>
      <c r="N2115" s="116">
        <v>2485.9499999999998</v>
      </c>
      <c r="O2115" s="116">
        <v>2447.8000000000002</v>
      </c>
      <c r="P2115" s="116">
        <v>2480.3000000000002</v>
      </c>
      <c r="Q2115" s="116">
        <v>2454.9499999999998</v>
      </c>
      <c r="R2115">
        <v>1822435</v>
      </c>
    </row>
    <row r="2116" spans="1:18" x14ac:dyDescent="0.25">
      <c r="A2116" s="170">
        <v>45120</v>
      </c>
      <c r="B2116" s="116">
        <v>2485</v>
      </c>
      <c r="C2116" s="116">
        <v>2451.85</v>
      </c>
      <c r="D2116" s="116">
        <v>2446.15</v>
      </c>
      <c r="E2116" s="116">
        <v>2455</v>
      </c>
      <c r="F2116" s="116">
        <v>2451.85</v>
      </c>
      <c r="G2116">
        <v>20783</v>
      </c>
      <c r="H2116" s="116"/>
      <c r="I2116" s="116"/>
      <c r="L2116" s="170">
        <v>45120</v>
      </c>
      <c r="M2116" s="116">
        <v>2450.15</v>
      </c>
      <c r="N2116" s="116">
        <v>2484.9</v>
      </c>
      <c r="O2116" s="116">
        <v>2446.25</v>
      </c>
      <c r="P2116" s="116">
        <v>2466</v>
      </c>
      <c r="Q2116" s="116">
        <v>2450.15</v>
      </c>
      <c r="R2116">
        <v>1141663</v>
      </c>
    </row>
    <row r="2117" spans="1:18" x14ac:dyDescent="0.25">
      <c r="A2117" s="170">
        <v>45121</v>
      </c>
      <c r="B2117" s="116">
        <v>2476.1999999999998</v>
      </c>
      <c r="C2117" s="116">
        <v>2473.25</v>
      </c>
      <c r="D2117" s="116">
        <v>2448</v>
      </c>
      <c r="E2117" s="116">
        <v>2450.25</v>
      </c>
      <c r="F2117" s="116">
        <v>2473.25</v>
      </c>
      <c r="G2117">
        <v>56672</v>
      </c>
      <c r="H2117" s="116"/>
      <c r="I2117" s="116"/>
      <c r="L2117" s="170">
        <v>45121</v>
      </c>
      <c r="M2117" s="116">
        <v>2472.25</v>
      </c>
      <c r="N2117" s="116">
        <v>2477.0500000000002</v>
      </c>
      <c r="O2117" s="116">
        <v>2448.65</v>
      </c>
      <c r="P2117" s="116">
        <v>2450.25</v>
      </c>
      <c r="Q2117" s="116">
        <v>2472.25</v>
      </c>
      <c r="R2117">
        <v>845623</v>
      </c>
    </row>
    <row r="2118" spans="1:18" x14ac:dyDescent="0.25">
      <c r="A2118" s="170">
        <v>45124</v>
      </c>
      <c r="B2118" s="116">
        <v>2493</v>
      </c>
      <c r="C2118" s="116">
        <v>2469</v>
      </c>
      <c r="D2118" s="116">
        <v>2465</v>
      </c>
      <c r="E2118" s="116">
        <v>2473.25</v>
      </c>
      <c r="F2118" s="116">
        <v>2469</v>
      </c>
      <c r="G2118">
        <v>43112</v>
      </c>
      <c r="H2118" s="116"/>
      <c r="I2118" s="116"/>
      <c r="L2118" s="170">
        <v>45124</v>
      </c>
      <c r="M2118" s="116">
        <v>2468.8000000000002</v>
      </c>
      <c r="N2118" s="116">
        <v>2494</v>
      </c>
      <c r="O2118" s="116">
        <v>2465</v>
      </c>
      <c r="P2118" s="116">
        <v>2475</v>
      </c>
      <c r="Q2118" s="116">
        <v>2468.8000000000002</v>
      </c>
      <c r="R2118">
        <v>878697</v>
      </c>
    </row>
    <row r="2119" spans="1:18" x14ac:dyDescent="0.25">
      <c r="A2119" s="170">
        <v>45125</v>
      </c>
      <c r="B2119" s="116">
        <v>2489.9</v>
      </c>
      <c r="C2119" s="116">
        <v>2474.9</v>
      </c>
      <c r="D2119" s="116">
        <v>2467.4499999999998</v>
      </c>
      <c r="E2119" s="116">
        <v>2469</v>
      </c>
      <c r="F2119" s="116">
        <v>2474.9</v>
      </c>
      <c r="G2119">
        <v>30735</v>
      </c>
      <c r="H2119" s="116"/>
      <c r="I2119" s="116"/>
      <c r="L2119" s="170">
        <v>45125</v>
      </c>
      <c r="M2119" s="116">
        <v>2474.6999999999998</v>
      </c>
      <c r="N2119" s="116">
        <v>2489.9499999999998</v>
      </c>
      <c r="O2119" s="116">
        <v>2468.1</v>
      </c>
      <c r="P2119" s="116">
        <v>2469</v>
      </c>
      <c r="Q2119" s="116">
        <v>2474.6999999999998</v>
      </c>
      <c r="R2119">
        <v>720865</v>
      </c>
    </row>
    <row r="2120" spans="1:18" x14ac:dyDescent="0.25">
      <c r="A2120" s="170">
        <v>45126</v>
      </c>
      <c r="B2120" s="116">
        <v>2502</v>
      </c>
      <c r="C2120" s="116">
        <v>2494.15</v>
      </c>
      <c r="D2120" s="116">
        <v>2467</v>
      </c>
      <c r="E2120" s="116">
        <v>2474.9</v>
      </c>
      <c r="F2120" s="116">
        <v>2494.15</v>
      </c>
      <c r="G2120">
        <v>50426</v>
      </c>
      <c r="H2120" s="116"/>
      <c r="I2120" s="116"/>
      <c r="L2120" s="170">
        <v>45126</v>
      </c>
      <c r="M2120" s="116">
        <v>2494.15</v>
      </c>
      <c r="N2120" s="116">
        <v>2502.9499999999998</v>
      </c>
      <c r="O2120" s="116">
        <v>2466.4</v>
      </c>
      <c r="P2120" s="116">
        <v>2474.6</v>
      </c>
      <c r="Q2120" s="116">
        <v>2494.15</v>
      </c>
      <c r="R2120">
        <v>1431080</v>
      </c>
    </row>
    <row r="2121" spans="1:18" x14ac:dyDescent="0.25">
      <c r="A2121" s="170">
        <v>45127</v>
      </c>
      <c r="B2121" s="116">
        <v>2499.9499999999998</v>
      </c>
      <c r="C2121" s="116">
        <v>2489.6</v>
      </c>
      <c r="D2121" s="116">
        <v>2469</v>
      </c>
      <c r="E2121" s="116">
        <v>2499.9499999999998</v>
      </c>
      <c r="F2121" s="116">
        <v>2489.6</v>
      </c>
      <c r="G2121">
        <v>35080</v>
      </c>
      <c r="H2121" s="116"/>
      <c r="I2121" s="116"/>
      <c r="L2121" s="170">
        <v>45127</v>
      </c>
      <c r="M2121" s="116">
        <v>2489.6999999999998</v>
      </c>
      <c r="N2121" s="116">
        <v>2495.6999999999998</v>
      </c>
      <c r="O2121" s="116">
        <v>2469.0500000000002</v>
      </c>
      <c r="P2121" s="116">
        <v>2494</v>
      </c>
      <c r="Q2121" s="116">
        <v>2489.6999999999998</v>
      </c>
      <c r="R2121">
        <v>1045704</v>
      </c>
    </row>
    <row r="2122" spans="1:18" x14ac:dyDescent="0.25">
      <c r="A2122" s="170">
        <v>45128</v>
      </c>
      <c r="B2122" s="116">
        <v>2594.4</v>
      </c>
      <c r="C2122" s="116">
        <v>2586.25</v>
      </c>
      <c r="D2122" s="116">
        <v>2523.3000000000002</v>
      </c>
      <c r="E2122" s="116">
        <v>2523.4</v>
      </c>
      <c r="F2122" s="116">
        <v>2586.25</v>
      </c>
      <c r="G2122">
        <v>132849</v>
      </c>
      <c r="H2122" s="116"/>
      <c r="I2122" s="116"/>
      <c r="L2122" s="170">
        <v>45128</v>
      </c>
      <c r="M2122" s="116">
        <v>2586.25</v>
      </c>
      <c r="N2122" s="116">
        <v>2595</v>
      </c>
      <c r="O2122" s="116">
        <v>2521.1</v>
      </c>
      <c r="P2122" s="116">
        <v>2522</v>
      </c>
      <c r="Q2122" s="116">
        <v>2586.25</v>
      </c>
      <c r="R2122">
        <v>4610417</v>
      </c>
    </row>
    <row r="2123" spans="1:18" x14ac:dyDescent="0.25">
      <c r="A2123" s="170">
        <v>45131</v>
      </c>
      <c r="B2123" s="116">
        <v>2634.05</v>
      </c>
      <c r="C2123" s="116">
        <v>2605.35</v>
      </c>
      <c r="D2123" s="116">
        <v>2583.9499999999998</v>
      </c>
      <c r="E2123" s="116">
        <v>2632.55</v>
      </c>
      <c r="F2123" s="116">
        <v>2605.35</v>
      </c>
      <c r="G2123">
        <v>75319</v>
      </c>
      <c r="H2123" s="116"/>
      <c r="I2123" s="116"/>
      <c r="L2123" s="170">
        <v>45131</v>
      </c>
      <c r="M2123" s="116">
        <v>2605.25</v>
      </c>
      <c r="N2123" s="116">
        <v>2638</v>
      </c>
      <c r="O2123" s="116">
        <v>2583.9</v>
      </c>
      <c r="P2123" s="116">
        <v>2637.65</v>
      </c>
      <c r="Q2123" s="116">
        <v>2605.25</v>
      </c>
      <c r="R2123">
        <v>2155297</v>
      </c>
    </row>
    <row r="2124" spans="1:18" x14ac:dyDescent="0.25">
      <c r="A2124" s="170">
        <v>45132</v>
      </c>
      <c r="B2124" s="116">
        <v>2617.8000000000002</v>
      </c>
      <c r="C2124" s="116">
        <v>2561.9499999999998</v>
      </c>
      <c r="D2124" s="116">
        <v>2553.6</v>
      </c>
      <c r="E2124" s="116">
        <v>2615</v>
      </c>
      <c r="F2124" s="116">
        <v>2561.9499999999998</v>
      </c>
      <c r="G2124">
        <v>74622</v>
      </c>
      <c r="H2124" s="116"/>
      <c r="I2124" s="116"/>
      <c r="L2124" s="170">
        <v>45132</v>
      </c>
      <c r="M2124" s="116">
        <v>2560.9</v>
      </c>
      <c r="N2124" s="116">
        <v>2617.75</v>
      </c>
      <c r="O2124" s="116">
        <v>2553</v>
      </c>
      <c r="P2124" s="116">
        <v>2616</v>
      </c>
      <c r="Q2124" s="116">
        <v>2560.9</v>
      </c>
      <c r="R2124">
        <v>2068876</v>
      </c>
    </row>
    <row r="2125" spans="1:18" x14ac:dyDescent="0.25">
      <c r="A2125" s="170">
        <v>45133</v>
      </c>
      <c r="B2125" s="116">
        <v>2673.6</v>
      </c>
      <c r="C2125" s="116">
        <v>2646.55</v>
      </c>
      <c r="D2125" s="116">
        <v>2590</v>
      </c>
      <c r="E2125" s="116">
        <v>2613.1999999999998</v>
      </c>
      <c r="F2125" s="116">
        <v>2646.55</v>
      </c>
      <c r="G2125">
        <v>233613</v>
      </c>
      <c r="H2125" s="116"/>
      <c r="I2125" s="116"/>
      <c r="L2125" s="170">
        <v>45133</v>
      </c>
      <c r="M2125" s="116">
        <v>2646.25</v>
      </c>
      <c r="N2125" s="116">
        <v>2673.85</v>
      </c>
      <c r="O2125" s="116">
        <v>2585</v>
      </c>
      <c r="P2125" s="116">
        <v>2591</v>
      </c>
      <c r="Q2125" s="116">
        <v>2646.25</v>
      </c>
      <c r="R2125">
        <v>5820099</v>
      </c>
    </row>
    <row r="2126" spans="1:18" x14ac:dyDescent="0.25">
      <c r="A2126" s="170">
        <v>45134</v>
      </c>
      <c r="B2126" s="116">
        <v>2677.1</v>
      </c>
      <c r="C2126" s="116">
        <v>2663</v>
      </c>
      <c r="D2126" s="116">
        <v>2646.55</v>
      </c>
      <c r="E2126" s="116">
        <v>2673</v>
      </c>
      <c r="F2126" s="116">
        <v>2663</v>
      </c>
      <c r="G2126">
        <v>82573</v>
      </c>
      <c r="H2126" s="116"/>
      <c r="I2126" s="116"/>
      <c r="L2126" s="170">
        <v>45134</v>
      </c>
      <c r="M2126" s="116">
        <v>2660.2</v>
      </c>
      <c r="N2126" s="116">
        <v>2676.35</v>
      </c>
      <c r="O2126" s="116">
        <v>2646.45</v>
      </c>
      <c r="P2126" s="116">
        <v>2668.95</v>
      </c>
      <c r="Q2126" s="116">
        <v>2660.2</v>
      </c>
      <c r="R2126">
        <v>2117794</v>
      </c>
    </row>
    <row r="2127" spans="1:18" x14ac:dyDescent="0.25">
      <c r="A2127" s="170">
        <v>45135</v>
      </c>
      <c r="B2127" s="116">
        <v>2668.45</v>
      </c>
      <c r="C2127" s="116">
        <v>2650.15</v>
      </c>
      <c r="D2127" s="116">
        <v>2625.65</v>
      </c>
      <c r="E2127" s="116">
        <v>2660</v>
      </c>
      <c r="F2127" s="116">
        <v>2650.15</v>
      </c>
      <c r="G2127">
        <v>53700</v>
      </c>
      <c r="H2127" s="116"/>
      <c r="I2127" s="116"/>
      <c r="L2127" s="170">
        <v>45135</v>
      </c>
      <c r="M2127" s="116">
        <v>2649.55</v>
      </c>
      <c r="N2127" s="116">
        <v>2668.15</v>
      </c>
      <c r="O2127" s="116">
        <v>2625</v>
      </c>
      <c r="P2127" s="116">
        <v>2660.15</v>
      </c>
      <c r="Q2127" s="116">
        <v>2649.55</v>
      </c>
      <c r="R2127">
        <v>1325724</v>
      </c>
    </row>
    <row r="2128" spans="1:18" x14ac:dyDescent="0.25">
      <c r="A2128" s="170">
        <v>45138</v>
      </c>
      <c r="B2128" s="116">
        <v>2687.9</v>
      </c>
      <c r="C2128" s="116">
        <v>2679.9</v>
      </c>
      <c r="D2128" s="116">
        <v>2631.6</v>
      </c>
      <c r="E2128" s="116">
        <v>2659.95</v>
      </c>
      <c r="F2128" s="116">
        <v>2679.9</v>
      </c>
      <c r="G2128">
        <v>60223</v>
      </c>
      <c r="H2128" s="116"/>
      <c r="I2128" s="116"/>
      <c r="L2128" s="170">
        <v>45138</v>
      </c>
      <c r="M2128" s="116">
        <v>2681.35</v>
      </c>
      <c r="N2128" s="116">
        <v>2690</v>
      </c>
      <c r="O2128" s="116">
        <v>2631.1</v>
      </c>
      <c r="P2128" s="116">
        <v>2655</v>
      </c>
      <c r="Q2128" s="116">
        <v>2681.35</v>
      </c>
      <c r="R2128">
        <v>1284981</v>
      </c>
    </row>
    <row r="2129" spans="1:18" x14ac:dyDescent="0.25">
      <c r="A2129" s="170">
        <v>45139</v>
      </c>
      <c r="B2129" s="116">
        <v>2687</v>
      </c>
      <c r="C2129" s="116">
        <v>2666.15</v>
      </c>
      <c r="D2129" s="116">
        <v>2655.35</v>
      </c>
      <c r="E2129" s="116">
        <v>2679.9</v>
      </c>
      <c r="F2129" s="116">
        <v>2666.15</v>
      </c>
      <c r="G2129">
        <v>43840</v>
      </c>
      <c r="H2129" s="116"/>
      <c r="I2129" s="116"/>
      <c r="L2129" s="170">
        <v>45139</v>
      </c>
      <c r="M2129" s="116">
        <v>2666.65</v>
      </c>
      <c r="N2129" s="116">
        <v>2689</v>
      </c>
      <c r="O2129" s="116">
        <v>2655.35</v>
      </c>
      <c r="P2129" s="116">
        <v>2681.35</v>
      </c>
      <c r="Q2129" s="116">
        <v>2666.65</v>
      </c>
      <c r="R2129">
        <v>1298745</v>
      </c>
    </row>
    <row r="2130" spans="1:18" x14ac:dyDescent="0.25">
      <c r="A2130" s="170">
        <v>45140</v>
      </c>
      <c r="B2130" s="116">
        <v>2645</v>
      </c>
      <c r="C2130" s="116">
        <v>2621.4</v>
      </c>
      <c r="D2130" s="116">
        <v>2603</v>
      </c>
      <c r="E2130" s="116">
        <v>2635.05</v>
      </c>
      <c r="F2130" s="116">
        <v>2621.4</v>
      </c>
      <c r="G2130">
        <v>30472</v>
      </c>
      <c r="H2130" s="116"/>
      <c r="I2130" s="116"/>
      <c r="L2130" s="170">
        <v>45140</v>
      </c>
      <c r="M2130" s="116">
        <v>2622.15</v>
      </c>
      <c r="N2130" s="116">
        <v>2644.95</v>
      </c>
      <c r="O2130" s="116">
        <v>2602.6999999999998</v>
      </c>
      <c r="P2130" s="116">
        <v>2638</v>
      </c>
      <c r="Q2130" s="116">
        <v>2622.15</v>
      </c>
      <c r="R2130">
        <v>1479486</v>
      </c>
    </row>
    <row r="2131" spans="1:18" x14ac:dyDescent="0.25">
      <c r="A2131" s="170">
        <v>45141</v>
      </c>
      <c r="B2131" s="116">
        <v>2642.7</v>
      </c>
      <c r="C2131" s="116">
        <v>2597.6</v>
      </c>
      <c r="D2131" s="116">
        <v>2586.75</v>
      </c>
      <c r="E2131" s="116">
        <v>2620</v>
      </c>
      <c r="F2131" s="116">
        <v>2597.6</v>
      </c>
      <c r="G2131">
        <v>32919</v>
      </c>
      <c r="H2131" s="116"/>
      <c r="I2131" s="116"/>
      <c r="L2131" s="170">
        <v>45141</v>
      </c>
      <c r="M2131" s="116">
        <v>2598.1</v>
      </c>
      <c r="N2131" s="116">
        <v>2642.75</v>
      </c>
      <c r="O2131" s="116">
        <v>2586.3000000000002</v>
      </c>
      <c r="P2131" s="116">
        <v>2615</v>
      </c>
      <c r="Q2131" s="116">
        <v>2598.1</v>
      </c>
      <c r="R2131">
        <v>1612618</v>
      </c>
    </row>
    <row r="2132" spans="1:18" x14ac:dyDescent="0.25">
      <c r="A2132" s="170">
        <v>45142</v>
      </c>
      <c r="B2132" s="116">
        <v>2634.8</v>
      </c>
      <c r="C2132" s="116">
        <v>2625.95</v>
      </c>
      <c r="D2132" s="116">
        <v>2600</v>
      </c>
      <c r="E2132" s="116">
        <v>2603</v>
      </c>
      <c r="F2132" s="116">
        <v>2625.95</v>
      </c>
      <c r="G2132">
        <v>24588</v>
      </c>
      <c r="H2132" s="116"/>
      <c r="I2132" s="116"/>
      <c r="L2132" s="170">
        <v>45142</v>
      </c>
      <c r="M2132" s="116">
        <v>2626.9</v>
      </c>
      <c r="N2132" s="116">
        <v>2635</v>
      </c>
      <c r="O2132" s="116">
        <v>2598.5</v>
      </c>
      <c r="P2132" s="116">
        <v>2605</v>
      </c>
      <c r="Q2132" s="116">
        <v>2626.9</v>
      </c>
      <c r="R2132">
        <v>1101278</v>
      </c>
    </row>
    <row r="2133" spans="1:18" x14ac:dyDescent="0.25">
      <c r="A2133" s="170">
        <v>45145</v>
      </c>
      <c r="B2133" s="116">
        <v>2654</v>
      </c>
      <c r="C2133" s="116">
        <v>2634.95</v>
      </c>
      <c r="D2133" s="116">
        <v>2623.3</v>
      </c>
      <c r="E2133" s="116">
        <v>2625.95</v>
      </c>
      <c r="F2133" s="116">
        <v>2634.95</v>
      </c>
      <c r="G2133">
        <v>27877</v>
      </c>
      <c r="H2133" s="116"/>
      <c r="I2133" s="116"/>
      <c r="L2133" s="170">
        <v>45145</v>
      </c>
      <c r="M2133" s="116">
        <v>2635.9</v>
      </c>
      <c r="N2133" s="116">
        <v>2654</v>
      </c>
      <c r="O2133" s="116">
        <v>2623.1</v>
      </c>
      <c r="P2133" s="116">
        <v>2628</v>
      </c>
      <c r="Q2133" s="116">
        <v>2635.9</v>
      </c>
      <c r="R2133">
        <v>1163125</v>
      </c>
    </row>
    <row r="2134" spans="1:18" x14ac:dyDescent="0.25">
      <c r="A2134" s="170">
        <v>45146</v>
      </c>
      <c r="B2134" s="116">
        <v>2649</v>
      </c>
      <c r="C2134" s="116">
        <v>2632.95</v>
      </c>
      <c r="D2134" s="116">
        <v>2629.55</v>
      </c>
      <c r="E2134" s="116">
        <v>2635.05</v>
      </c>
      <c r="F2134" s="116">
        <v>2632.95</v>
      </c>
      <c r="G2134">
        <v>30165</v>
      </c>
      <c r="H2134" s="116"/>
      <c r="I2134" s="116"/>
      <c r="L2134" s="170">
        <v>45146</v>
      </c>
      <c r="M2134" s="116">
        <v>2632.2</v>
      </c>
      <c r="N2134" s="116">
        <v>2649.5</v>
      </c>
      <c r="O2134" s="116">
        <v>2628.3</v>
      </c>
      <c r="P2134" s="116">
        <v>2639.05</v>
      </c>
      <c r="Q2134" s="116">
        <v>2632.2</v>
      </c>
      <c r="R2134">
        <v>767310</v>
      </c>
    </row>
    <row r="2135" spans="1:18" x14ac:dyDescent="0.25">
      <c r="A2135" s="170">
        <v>45147</v>
      </c>
      <c r="B2135" s="116">
        <v>2654</v>
      </c>
      <c r="C2135" s="116">
        <v>2650.45</v>
      </c>
      <c r="D2135" s="116">
        <v>2614.8000000000002</v>
      </c>
      <c r="E2135" s="116">
        <v>2633.4</v>
      </c>
      <c r="F2135" s="116">
        <v>2650.45</v>
      </c>
      <c r="G2135">
        <v>33213</v>
      </c>
      <c r="H2135" s="116"/>
      <c r="I2135" s="116"/>
      <c r="L2135" s="170">
        <v>45147</v>
      </c>
      <c r="M2135" s="116">
        <v>2651.6</v>
      </c>
      <c r="N2135" s="116">
        <v>2655</v>
      </c>
      <c r="O2135" s="116">
        <v>2615.25</v>
      </c>
      <c r="P2135" s="116">
        <v>2635</v>
      </c>
      <c r="Q2135" s="116">
        <v>2651.6</v>
      </c>
      <c r="R2135">
        <v>906865</v>
      </c>
    </row>
    <row r="2136" spans="1:18" x14ac:dyDescent="0.25">
      <c r="A2136" s="170">
        <v>45148</v>
      </c>
      <c r="B2136" s="116">
        <v>2661.1</v>
      </c>
      <c r="C2136" s="116">
        <v>2643.9</v>
      </c>
      <c r="D2136" s="116">
        <v>2621.7</v>
      </c>
      <c r="E2136" s="116">
        <v>2642</v>
      </c>
      <c r="F2136" s="116">
        <v>2643.9</v>
      </c>
      <c r="G2136">
        <v>25610</v>
      </c>
      <c r="H2136" s="116"/>
      <c r="I2136" s="116"/>
      <c r="L2136" s="170">
        <v>45148</v>
      </c>
      <c r="M2136" s="116">
        <v>2643.5</v>
      </c>
      <c r="N2136" s="116">
        <v>2661.6</v>
      </c>
      <c r="O2136" s="116">
        <v>2621.65</v>
      </c>
      <c r="P2136" s="116">
        <v>2640.1</v>
      </c>
      <c r="Q2136" s="116">
        <v>2643.5</v>
      </c>
      <c r="R2136">
        <v>1040041</v>
      </c>
    </row>
    <row r="2137" spans="1:18" x14ac:dyDescent="0.25">
      <c r="A2137" s="170">
        <v>45149</v>
      </c>
      <c r="B2137" s="116">
        <v>2656.3</v>
      </c>
      <c r="C2137" s="116">
        <v>2638.1</v>
      </c>
      <c r="D2137" s="116">
        <v>2630.55</v>
      </c>
      <c r="E2137" s="116">
        <v>2642.95</v>
      </c>
      <c r="F2137" s="116">
        <v>2638.1</v>
      </c>
      <c r="G2137">
        <v>37993</v>
      </c>
      <c r="H2137" s="116"/>
      <c r="I2137" s="116"/>
      <c r="L2137" s="170">
        <v>45149</v>
      </c>
      <c r="M2137" s="116">
        <v>2638.5</v>
      </c>
      <c r="N2137" s="116">
        <v>2656.9</v>
      </c>
      <c r="O2137" s="116">
        <v>2631.25</v>
      </c>
      <c r="P2137" s="116">
        <v>2642.05</v>
      </c>
      <c r="Q2137" s="116">
        <v>2638.5</v>
      </c>
      <c r="R2137">
        <v>1320121</v>
      </c>
    </row>
    <row r="2138" spans="1:18" x14ac:dyDescent="0.25">
      <c r="A2138" s="170">
        <v>45152</v>
      </c>
      <c r="B2138" s="116">
        <v>2663.65</v>
      </c>
      <c r="C2138" s="116">
        <v>2661.25</v>
      </c>
      <c r="D2138" s="116">
        <v>2616</v>
      </c>
      <c r="E2138" s="116">
        <v>2631.05</v>
      </c>
      <c r="F2138" s="116">
        <v>2661.25</v>
      </c>
      <c r="G2138">
        <v>26037</v>
      </c>
      <c r="H2138" s="116"/>
      <c r="I2138" s="116"/>
      <c r="L2138" s="170">
        <v>45152</v>
      </c>
      <c r="M2138" s="116">
        <v>2659.9</v>
      </c>
      <c r="N2138" s="116">
        <v>2663.55</v>
      </c>
      <c r="O2138" s="116">
        <v>2616</v>
      </c>
      <c r="P2138" s="116">
        <v>2637</v>
      </c>
      <c r="Q2138" s="116">
        <v>2659.9</v>
      </c>
      <c r="R2138">
        <v>1364413</v>
      </c>
    </row>
    <row r="2139" spans="1:18" x14ac:dyDescent="0.25">
      <c r="A2139" s="170">
        <v>45154</v>
      </c>
      <c r="B2139" s="116">
        <v>2693.95</v>
      </c>
      <c r="C2139" s="116">
        <v>2690.5</v>
      </c>
      <c r="D2139" s="116">
        <v>2652.05</v>
      </c>
      <c r="E2139" s="116">
        <v>2661.3</v>
      </c>
      <c r="F2139" s="116">
        <v>2690.5</v>
      </c>
      <c r="G2139">
        <v>61103</v>
      </c>
      <c r="H2139" s="116"/>
      <c r="I2139" s="116"/>
      <c r="L2139" s="170">
        <v>45154</v>
      </c>
      <c r="M2139" s="116">
        <v>2691.05</v>
      </c>
      <c r="N2139" s="116">
        <v>2695</v>
      </c>
      <c r="O2139" s="116">
        <v>2652.05</v>
      </c>
      <c r="P2139" s="116">
        <v>2669</v>
      </c>
      <c r="Q2139" s="116">
        <v>2691.05</v>
      </c>
      <c r="R2139">
        <v>1703875</v>
      </c>
    </row>
    <row r="2140" spans="1:18" x14ac:dyDescent="0.25">
      <c r="A2140" s="170">
        <v>45155</v>
      </c>
      <c r="B2140" s="116">
        <v>2691</v>
      </c>
      <c r="C2140" s="116">
        <v>2652.8</v>
      </c>
      <c r="D2140" s="116">
        <v>2642.35</v>
      </c>
      <c r="E2140" s="116">
        <v>2690.5</v>
      </c>
      <c r="F2140" s="116">
        <v>2652.8</v>
      </c>
      <c r="G2140">
        <v>24904</v>
      </c>
      <c r="H2140" s="116"/>
      <c r="I2140" s="116"/>
      <c r="L2140" s="170">
        <v>45155</v>
      </c>
      <c r="M2140" s="116">
        <v>2652.5</v>
      </c>
      <c r="N2140" s="116">
        <v>2691.05</v>
      </c>
      <c r="O2140" s="116">
        <v>2642</v>
      </c>
      <c r="P2140" s="116">
        <v>2691.05</v>
      </c>
      <c r="Q2140" s="116">
        <v>2652.5</v>
      </c>
      <c r="R2140">
        <v>1629067</v>
      </c>
    </row>
    <row r="2141" spans="1:18" x14ac:dyDescent="0.25">
      <c r="A2141" s="170">
        <v>45156</v>
      </c>
      <c r="B2141" s="116">
        <v>2674.95</v>
      </c>
      <c r="C2141" s="116">
        <v>2639.9</v>
      </c>
      <c r="D2141" s="116">
        <v>2632</v>
      </c>
      <c r="E2141" s="116">
        <v>2653</v>
      </c>
      <c r="F2141" s="116">
        <v>2639.9</v>
      </c>
      <c r="G2141">
        <v>38910</v>
      </c>
      <c r="H2141" s="116"/>
      <c r="I2141" s="116"/>
      <c r="L2141" s="170">
        <v>45156</v>
      </c>
      <c r="M2141" s="116">
        <v>2641.95</v>
      </c>
      <c r="N2141" s="116">
        <v>2674.7</v>
      </c>
      <c r="O2141" s="116">
        <v>2632.75</v>
      </c>
      <c r="P2141" s="116">
        <v>2650</v>
      </c>
      <c r="Q2141" s="116">
        <v>2641.95</v>
      </c>
      <c r="R2141">
        <v>1898966</v>
      </c>
    </row>
    <row r="2142" spans="1:18" x14ac:dyDescent="0.25">
      <c r="A2142" s="170">
        <v>45159</v>
      </c>
      <c r="B2142" s="116">
        <v>2666.2</v>
      </c>
      <c r="C2142" s="116">
        <v>2663.8</v>
      </c>
      <c r="D2142" s="116">
        <v>2623.95</v>
      </c>
      <c r="E2142" s="116">
        <v>2637.4</v>
      </c>
      <c r="F2142" s="116">
        <v>2663.8</v>
      </c>
      <c r="G2142">
        <v>24596</v>
      </c>
      <c r="H2142" s="116"/>
      <c r="I2142" s="116"/>
      <c r="L2142" s="170">
        <v>45159</v>
      </c>
      <c r="M2142" s="116">
        <v>2662.25</v>
      </c>
      <c r="N2142" s="116">
        <v>2666.6</v>
      </c>
      <c r="O2142" s="116">
        <v>2623.45</v>
      </c>
      <c r="P2142" s="116">
        <v>2641.85</v>
      </c>
      <c r="Q2142" s="116">
        <v>2662.25</v>
      </c>
      <c r="R2142">
        <v>1376318</v>
      </c>
    </row>
    <row r="2143" spans="1:18" x14ac:dyDescent="0.25">
      <c r="A2143" s="170">
        <v>45160</v>
      </c>
      <c r="B2143" s="116">
        <v>2685</v>
      </c>
      <c r="C2143" s="116">
        <v>2679.5</v>
      </c>
      <c r="D2143" s="116">
        <v>2663</v>
      </c>
      <c r="E2143" s="116">
        <v>2673.7</v>
      </c>
      <c r="F2143" s="116">
        <v>2679.5</v>
      </c>
      <c r="G2143">
        <v>42038</v>
      </c>
      <c r="H2143" s="116"/>
      <c r="I2143" s="116"/>
      <c r="L2143" s="170">
        <v>45160</v>
      </c>
      <c r="M2143" s="116">
        <v>2678.8</v>
      </c>
      <c r="N2143" s="116">
        <v>2685.65</v>
      </c>
      <c r="O2143" s="116">
        <v>2662</v>
      </c>
      <c r="P2143" s="116">
        <v>2668</v>
      </c>
      <c r="Q2143" s="116">
        <v>2678.8</v>
      </c>
      <c r="R2143">
        <v>1497180</v>
      </c>
    </row>
    <row r="2144" spans="1:18" x14ac:dyDescent="0.25">
      <c r="A2144" s="170">
        <v>45161</v>
      </c>
      <c r="B2144" s="116">
        <v>2725.75</v>
      </c>
      <c r="C2144" s="116">
        <v>2717.45</v>
      </c>
      <c r="D2144" s="116">
        <v>2685</v>
      </c>
      <c r="E2144" s="116">
        <v>2685.1</v>
      </c>
      <c r="F2144" s="116">
        <v>2717.45</v>
      </c>
      <c r="G2144">
        <v>73425</v>
      </c>
      <c r="H2144" s="116"/>
      <c r="I2144" s="116"/>
      <c r="L2144" s="170">
        <v>45161</v>
      </c>
      <c r="M2144" s="116">
        <v>2717.6</v>
      </c>
      <c r="N2144" s="116">
        <v>2726</v>
      </c>
      <c r="O2144" s="116">
        <v>2682.45</v>
      </c>
      <c r="P2144" s="116">
        <v>2689.55</v>
      </c>
      <c r="Q2144" s="116">
        <v>2717.6</v>
      </c>
      <c r="R2144">
        <v>1990672</v>
      </c>
    </row>
    <row r="2145" spans="1:18" x14ac:dyDescent="0.25">
      <c r="A2145" s="170">
        <v>45162</v>
      </c>
      <c r="B2145" s="116">
        <v>2767</v>
      </c>
      <c r="C2145" s="116">
        <v>2687.5</v>
      </c>
      <c r="D2145" s="116">
        <v>2680.9</v>
      </c>
      <c r="E2145" s="116">
        <v>2754</v>
      </c>
      <c r="F2145" s="116">
        <v>2687.5</v>
      </c>
      <c r="G2145">
        <v>65314</v>
      </c>
      <c r="H2145" s="116"/>
      <c r="I2145" s="116"/>
      <c r="L2145" s="170">
        <v>45162</v>
      </c>
      <c r="M2145" s="116">
        <v>2688.15</v>
      </c>
      <c r="N2145" s="116">
        <v>2766.8</v>
      </c>
      <c r="O2145" s="116">
        <v>2680.6</v>
      </c>
      <c r="P2145" s="116">
        <v>2747.5</v>
      </c>
      <c r="Q2145" s="116">
        <v>2688.15</v>
      </c>
      <c r="R2145">
        <v>2619182</v>
      </c>
    </row>
    <row r="2146" spans="1:18" x14ac:dyDescent="0.25">
      <c r="A2146" s="170">
        <v>45163</v>
      </c>
      <c r="B2146" s="116">
        <v>2686.95</v>
      </c>
      <c r="C2146" s="116">
        <v>2639.45</v>
      </c>
      <c r="D2146" s="116">
        <v>2632</v>
      </c>
      <c r="E2146" s="116">
        <v>2686.95</v>
      </c>
      <c r="F2146" s="116">
        <v>2639.45</v>
      </c>
      <c r="G2146">
        <v>93728</v>
      </c>
      <c r="H2146" s="116"/>
      <c r="I2146" s="116"/>
      <c r="L2146" s="170">
        <v>45163</v>
      </c>
      <c r="M2146" s="116">
        <v>2638.4</v>
      </c>
      <c r="N2146" s="116">
        <v>2682.7</v>
      </c>
      <c r="O2146" s="116">
        <v>2631</v>
      </c>
      <c r="P2146" s="116">
        <v>2677.45</v>
      </c>
      <c r="Q2146" s="116">
        <v>2638.4</v>
      </c>
      <c r="R2146">
        <v>1408427</v>
      </c>
    </row>
    <row r="2147" spans="1:18" x14ac:dyDescent="0.25">
      <c r="A2147" s="170">
        <v>45166</v>
      </c>
      <c r="B2147" s="116">
        <v>2700</v>
      </c>
      <c r="C2147" s="116">
        <v>2694.5</v>
      </c>
      <c r="D2147" s="116">
        <v>2654</v>
      </c>
      <c r="E2147" s="116">
        <v>2654</v>
      </c>
      <c r="F2147" s="116">
        <v>2694.5</v>
      </c>
      <c r="G2147">
        <v>60480</v>
      </c>
      <c r="H2147" s="116"/>
      <c r="I2147" s="116"/>
      <c r="L2147" s="170">
        <v>45166</v>
      </c>
      <c r="M2147" s="116">
        <v>2695.35</v>
      </c>
      <c r="N2147" s="116">
        <v>2700</v>
      </c>
      <c r="O2147" s="116">
        <v>2650.05</v>
      </c>
      <c r="P2147" s="116">
        <v>2653.55</v>
      </c>
      <c r="Q2147" s="116">
        <v>2695.35</v>
      </c>
      <c r="R2147">
        <v>1551734</v>
      </c>
    </row>
    <row r="2148" spans="1:18" x14ac:dyDescent="0.25">
      <c r="A2148" s="170">
        <v>45167</v>
      </c>
      <c r="B2148" s="116">
        <v>2722.65</v>
      </c>
      <c r="C2148" s="116">
        <v>2716.55</v>
      </c>
      <c r="D2148" s="116">
        <v>2697</v>
      </c>
      <c r="E2148" s="116">
        <v>2705.55</v>
      </c>
      <c r="F2148" s="116">
        <v>2716.55</v>
      </c>
      <c r="G2148">
        <v>33179</v>
      </c>
      <c r="H2148" s="116"/>
      <c r="I2148" s="116"/>
      <c r="L2148" s="170">
        <v>45167</v>
      </c>
      <c r="M2148" s="116">
        <v>2718.95</v>
      </c>
      <c r="N2148" s="116">
        <v>2722.1</v>
      </c>
      <c r="O2148" s="116">
        <v>2696.3</v>
      </c>
      <c r="P2148" s="116">
        <v>2710</v>
      </c>
      <c r="Q2148" s="116">
        <v>2718.95</v>
      </c>
      <c r="R2148">
        <v>1101830</v>
      </c>
    </row>
    <row r="2149" spans="1:18" x14ac:dyDescent="0.25">
      <c r="A2149" s="170">
        <v>45168</v>
      </c>
      <c r="B2149" s="116">
        <v>2737.3</v>
      </c>
      <c r="C2149" s="116">
        <v>2708.8</v>
      </c>
      <c r="D2149" s="116">
        <v>2706</v>
      </c>
      <c r="E2149" s="116">
        <v>2718.05</v>
      </c>
      <c r="F2149" s="116">
        <v>2708.8</v>
      </c>
      <c r="G2149">
        <v>26455</v>
      </c>
      <c r="H2149" s="116"/>
      <c r="I2149" s="116"/>
      <c r="L2149" s="170">
        <v>45168</v>
      </c>
      <c r="M2149" s="116">
        <v>2709</v>
      </c>
      <c r="N2149" s="116">
        <v>2737.65</v>
      </c>
      <c r="O2149" s="116">
        <v>2707</v>
      </c>
      <c r="P2149" s="116">
        <v>2722.95</v>
      </c>
      <c r="Q2149" s="116">
        <v>2709</v>
      </c>
      <c r="R2149">
        <v>1920079</v>
      </c>
    </row>
    <row r="2150" spans="1:18" x14ac:dyDescent="0.25">
      <c r="A2150" s="170">
        <v>45169</v>
      </c>
      <c r="B2150" s="116">
        <v>2723.4</v>
      </c>
      <c r="C2150" s="116">
        <v>2706</v>
      </c>
      <c r="D2150" s="116">
        <v>2678.7</v>
      </c>
      <c r="E2150" s="116">
        <v>2711.05</v>
      </c>
      <c r="F2150" s="116">
        <v>2706</v>
      </c>
      <c r="G2150">
        <v>33186</v>
      </c>
      <c r="H2150" s="116"/>
      <c r="I2150" s="116"/>
      <c r="L2150" s="170">
        <v>45169</v>
      </c>
      <c r="M2150" s="116">
        <v>2702.7</v>
      </c>
      <c r="N2150" s="116">
        <v>2724.6</v>
      </c>
      <c r="O2150" s="116">
        <v>2678.35</v>
      </c>
      <c r="P2150" s="116">
        <v>2720</v>
      </c>
      <c r="Q2150" s="116">
        <v>2702.7</v>
      </c>
      <c r="R2150">
        <v>2439625</v>
      </c>
    </row>
    <row r="2151" spans="1:18" x14ac:dyDescent="0.25">
      <c r="A2151" s="170">
        <v>45170</v>
      </c>
      <c r="B2151" s="116">
        <v>2715</v>
      </c>
      <c r="C2151" s="116">
        <v>2701.3</v>
      </c>
      <c r="D2151" s="116">
        <v>2688.55</v>
      </c>
      <c r="E2151" s="116">
        <v>2710</v>
      </c>
      <c r="F2151" s="116">
        <v>2701.3</v>
      </c>
      <c r="G2151">
        <v>52114</v>
      </c>
      <c r="H2151" s="116"/>
      <c r="I2151" s="116"/>
      <c r="L2151" s="170">
        <v>45170</v>
      </c>
      <c r="M2151" s="116">
        <v>2702.1</v>
      </c>
      <c r="N2151" s="116">
        <v>2715.95</v>
      </c>
      <c r="O2151" s="116">
        <v>2688.3</v>
      </c>
      <c r="P2151" s="116">
        <v>2710</v>
      </c>
      <c r="Q2151" s="116">
        <v>2702.1</v>
      </c>
      <c r="R2151">
        <v>1263430</v>
      </c>
    </row>
    <row r="2152" spans="1:18" x14ac:dyDescent="0.25">
      <c r="A2152" s="170">
        <v>45173</v>
      </c>
      <c r="B2152" s="116">
        <v>2742.45</v>
      </c>
      <c r="C2152" s="116">
        <v>2710.7</v>
      </c>
      <c r="D2152" s="116">
        <v>2705</v>
      </c>
      <c r="E2152" s="116">
        <v>2738.95</v>
      </c>
      <c r="F2152" s="116">
        <v>2710.7</v>
      </c>
      <c r="G2152">
        <v>61013</v>
      </c>
      <c r="H2152" s="116"/>
      <c r="I2152" s="116"/>
      <c r="L2152" s="170">
        <v>45173</v>
      </c>
      <c r="M2152" s="116">
        <v>2711.1</v>
      </c>
      <c r="N2152" s="116">
        <v>2742</v>
      </c>
      <c r="O2152" s="116">
        <v>2705</v>
      </c>
      <c r="P2152" s="116">
        <v>2733</v>
      </c>
      <c r="Q2152" s="116">
        <v>2711.1</v>
      </c>
      <c r="R2152">
        <v>1548282</v>
      </c>
    </row>
    <row r="2153" spans="1:18" x14ac:dyDescent="0.25">
      <c r="A2153" s="170">
        <v>45174</v>
      </c>
      <c r="B2153" s="116">
        <v>2739</v>
      </c>
      <c r="C2153" s="116">
        <v>2733.65</v>
      </c>
      <c r="D2153" s="116">
        <v>2715.05</v>
      </c>
      <c r="E2153" s="116">
        <v>2715.05</v>
      </c>
      <c r="F2153" s="116">
        <v>2733.65</v>
      </c>
      <c r="G2153">
        <v>34290</v>
      </c>
      <c r="H2153" s="116"/>
      <c r="I2153" s="116"/>
      <c r="L2153" s="170">
        <v>45174</v>
      </c>
      <c r="M2153" s="116">
        <v>2732.95</v>
      </c>
      <c r="N2153" s="116">
        <v>2739</v>
      </c>
      <c r="O2153" s="116">
        <v>2720</v>
      </c>
      <c r="P2153" s="116">
        <v>2720.5</v>
      </c>
      <c r="Q2153" s="116">
        <v>2732.95</v>
      </c>
      <c r="R2153">
        <v>1066447</v>
      </c>
    </row>
    <row r="2154" spans="1:18" x14ac:dyDescent="0.25">
      <c r="A2154" s="170">
        <v>45175</v>
      </c>
      <c r="B2154" s="116">
        <v>2740.45</v>
      </c>
      <c r="C2154" s="116">
        <v>2730.6</v>
      </c>
      <c r="D2154" s="116">
        <v>2711.5</v>
      </c>
      <c r="E2154" s="116">
        <v>2734.6</v>
      </c>
      <c r="F2154" s="116">
        <v>2730.6</v>
      </c>
      <c r="G2154">
        <v>57476</v>
      </c>
      <c r="H2154" s="116"/>
      <c r="I2154" s="116"/>
      <c r="L2154" s="170">
        <v>45175</v>
      </c>
      <c r="M2154" s="116">
        <v>2730.45</v>
      </c>
      <c r="N2154" s="116">
        <v>2742.8</v>
      </c>
      <c r="O2154" s="116">
        <v>2712</v>
      </c>
      <c r="P2154" s="116">
        <v>2740</v>
      </c>
      <c r="Q2154" s="116">
        <v>2730.45</v>
      </c>
      <c r="R2154">
        <v>1747425</v>
      </c>
    </row>
    <row r="2155" spans="1:18" x14ac:dyDescent="0.25">
      <c r="A2155" s="170">
        <v>45176</v>
      </c>
      <c r="B2155" s="116">
        <v>2854.95</v>
      </c>
      <c r="C2155" s="116">
        <v>2847.05</v>
      </c>
      <c r="D2155" s="116">
        <v>2722.15</v>
      </c>
      <c r="E2155" s="116">
        <v>2722.15</v>
      </c>
      <c r="F2155" s="116">
        <v>2847.05</v>
      </c>
      <c r="G2155">
        <v>296453</v>
      </c>
      <c r="H2155" s="116"/>
      <c r="I2155" s="116"/>
      <c r="L2155" s="170">
        <v>45176</v>
      </c>
      <c r="M2155" s="116">
        <v>2846.4</v>
      </c>
      <c r="N2155" s="116">
        <v>2855.95</v>
      </c>
      <c r="O2155" s="116">
        <v>2730</v>
      </c>
      <c r="P2155" s="116">
        <v>2733</v>
      </c>
      <c r="Q2155" s="116">
        <v>2846.4</v>
      </c>
      <c r="R2155">
        <v>4100519</v>
      </c>
    </row>
    <row r="2156" spans="1:18" x14ac:dyDescent="0.25">
      <c r="A2156" s="170">
        <v>45177</v>
      </c>
      <c r="B2156" s="116">
        <v>2927.95</v>
      </c>
      <c r="C2156" s="116">
        <v>2902</v>
      </c>
      <c r="D2156" s="116">
        <v>2875</v>
      </c>
      <c r="E2156" s="116">
        <v>2885.05</v>
      </c>
      <c r="F2156" s="116">
        <v>2902</v>
      </c>
      <c r="G2156">
        <v>321982</v>
      </c>
      <c r="H2156" s="116"/>
      <c r="I2156" s="116"/>
      <c r="L2156" s="170">
        <v>45177</v>
      </c>
      <c r="M2156" s="116">
        <v>2901.6</v>
      </c>
      <c r="N2156" s="116">
        <v>2928.7</v>
      </c>
      <c r="O2156" s="116">
        <v>2872.45</v>
      </c>
      <c r="P2156" s="116">
        <v>2888</v>
      </c>
      <c r="Q2156" s="116">
        <v>2901.6</v>
      </c>
      <c r="R2156">
        <v>3638510</v>
      </c>
    </row>
    <row r="2157" spans="1:18" x14ac:dyDescent="0.25">
      <c r="A2157" s="170">
        <v>45180</v>
      </c>
      <c r="B2157" s="116">
        <v>2926</v>
      </c>
      <c r="C2157" s="116">
        <v>2894.05</v>
      </c>
      <c r="D2157" s="116">
        <v>2890.1</v>
      </c>
      <c r="E2157" s="116">
        <v>2903.85</v>
      </c>
      <c r="F2157" s="116">
        <v>2894.05</v>
      </c>
      <c r="G2157">
        <v>112583</v>
      </c>
      <c r="H2157" s="116"/>
      <c r="I2157" s="116"/>
      <c r="L2157" s="170">
        <v>45180</v>
      </c>
      <c r="M2157" s="116">
        <v>2894.2</v>
      </c>
      <c r="N2157" s="116">
        <v>2926</v>
      </c>
      <c r="O2157" s="116">
        <v>2890.05</v>
      </c>
      <c r="P2157" s="116">
        <v>2905</v>
      </c>
      <c r="Q2157" s="116">
        <v>2894.2</v>
      </c>
      <c r="R2157">
        <v>1545803</v>
      </c>
    </row>
    <row r="2158" spans="1:18" x14ac:dyDescent="0.25">
      <c r="A2158" s="170">
        <v>45181</v>
      </c>
      <c r="B2158" s="116">
        <v>3008</v>
      </c>
      <c r="C2158" s="116">
        <v>2942.8</v>
      </c>
      <c r="D2158" s="116">
        <v>2932.75</v>
      </c>
      <c r="E2158" s="116">
        <v>2954.05</v>
      </c>
      <c r="F2158" s="116">
        <v>2942.8</v>
      </c>
      <c r="G2158">
        <v>372821</v>
      </c>
      <c r="H2158" s="116"/>
      <c r="I2158" s="116"/>
      <c r="L2158" s="170">
        <v>45181</v>
      </c>
      <c r="M2158" s="116">
        <v>2944.1</v>
      </c>
      <c r="N2158" s="116">
        <v>3009</v>
      </c>
      <c r="O2158" s="116">
        <v>2932.45</v>
      </c>
      <c r="P2158" s="116">
        <v>2951.6</v>
      </c>
      <c r="Q2158" s="116">
        <v>2944.1</v>
      </c>
      <c r="R2158">
        <v>7788759</v>
      </c>
    </row>
    <row r="2159" spans="1:18" x14ac:dyDescent="0.25">
      <c r="A2159" s="170">
        <v>45182</v>
      </c>
      <c r="B2159" s="116">
        <v>2947</v>
      </c>
      <c r="C2159" s="116">
        <v>2908.1</v>
      </c>
      <c r="D2159" s="116">
        <v>2889</v>
      </c>
      <c r="E2159" s="116">
        <v>2942.8</v>
      </c>
      <c r="F2159" s="116">
        <v>2908.1</v>
      </c>
      <c r="G2159">
        <v>46006</v>
      </c>
      <c r="H2159" s="116"/>
      <c r="I2159" s="116"/>
      <c r="L2159" s="170">
        <v>45182</v>
      </c>
      <c r="M2159" s="116">
        <v>2906.75</v>
      </c>
      <c r="N2159" s="116">
        <v>2943.7</v>
      </c>
      <c r="O2159" s="116">
        <v>2888.45</v>
      </c>
      <c r="P2159" s="116">
        <v>2943.5</v>
      </c>
      <c r="Q2159" s="116">
        <v>2906.75</v>
      </c>
      <c r="R2159">
        <v>2458417</v>
      </c>
    </row>
    <row r="2160" spans="1:18" x14ac:dyDescent="0.25">
      <c r="A2160" s="170">
        <v>45183</v>
      </c>
      <c r="B2160" s="116">
        <v>2932.8</v>
      </c>
      <c r="C2160" s="116">
        <v>2918.55</v>
      </c>
      <c r="D2160" s="116">
        <v>2906.2</v>
      </c>
      <c r="E2160" s="116">
        <v>2929</v>
      </c>
      <c r="F2160" s="116">
        <v>2918.55</v>
      </c>
      <c r="G2160">
        <v>54206</v>
      </c>
      <c r="H2160" s="116"/>
      <c r="I2160" s="116"/>
      <c r="L2160" s="170">
        <v>45183</v>
      </c>
      <c r="M2160" s="116">
        <v>2918.6</v>
      </c>
      <c r="N2160" s="116">
        <v>2931.65</v>
      </c>
      <c r="O2160" s="116">
        <v>2906</v>
      </c>
      <c r="P2160" s="116">
        <v>2924.9</v>
      </c>
      <c r="Q2160" s="116">
        <v>2918.6</v>
      </c>
      <c r="R2160">
        <v>1910041</v>
      </c>
    </row>
    <row r="2161" spans="1:18" x14ac:dyDescent="0.25">
      <c r="A2161" s="170">
        <v>45184</v>
      </c>
      <c r="B2161" s="116">
        <v>2935</v>
      </c>
      <c r="C2161" s="116">
        <v>2910.8</v>
      </c>
      <c r="D2161" s="116">
        <v>2901.1</v>
      </c>
      <c r="E2161" s="116">
        <v>2930.05</v>
      </c>
      <c r="F2161" s="116">
        <v>2910.8</v>
      </c>
      <c r="G2161">
        <v>27839</v>
      </c>
      <c r="H2161" s="116"/>
      <c r="I2161" s="116"/>
      <c r="L2161" s="170">
        <v>45184</v>
      </c>
      <c r="M2161" s="116">
        <v>2908.55</v>
      </c>
      <c r="N2161" s="116">
        <v>2934.95</v>
      </c>
      <c r="O2161" s="116">
        <v>2900</v>
      </c>
      <c r="P2161" s="116">
        <v>2933</v>
      </c>
      <c r="Q2161" s="116">
        <v>2908.55</v>
      </c>
      <c r="R2161">
        <v>1655275</v>
      </c>
    </row>
    <row r="2162" spans="1:18" x14ac:dyDescent="0.25">
      <c r="A2162" s="170">
        <v>45187</v>
      </c>
      <c r="B2162" s="116">
        <v>2929.75</v>
      </c>
      <c r="C2162" s="116">
        <v>2919.6</v>
      </c>
      <c r="D2162" s="116">
        <v>2907</v>
      </c>
      <c r="E2162" s="116">
        <v>2910.8</v>
      </c>
      <c r="F2162" s="116">
        <v>2919.6</v>
      </c>
      <c r="G2162">
        <v>40318</v>
      </c>
      <c r="H2162" s="116"/>
      <c r="I2162" s="116"/>
      <c r="L2162" s="170">
        <v>45187</v>
      </c>
      <c r="M2162" s="116">
        <v>2919.85</v>
      </c>
      <c r="N2162" s="116">
        <v>2930</v>
      </c>
      <c r="O2162" s="116">
        <v>2907</v>
      </c>
      <c r="P2162" s="116">
        <v>2910</v>
      </c>
      <c r="Q2162" s="116">
        <v>2919.85</v>
      </c>
      <c r="R2162">
        <v>736631</v>
      </c>
    </row>
    <row r="2163" spans="1:18" x14ac:dyDescent="0.25">
      <c r="A2163" s="170">
        <v>45189</v>
      </c>
      <c r="B2163" s="116">
        <v>2945</v>
      </c>
      <c r="C2163" s="116">
        <v>2891.8</v>
      </c>
      <c r="D2163" s="116">
        <v>2886.75</v>
      </c>
      <c r="E2163" s="116">
        <v>2922.1</v>
      </c>
      <c r="F2163" s="116">
        <v>2891.8</v>
      </c>
      <c r="G2163">
        <v>31367</v>
      </c>
      <c r="H2163" s="116"/>
      <c r="I2163" s="116"/>
      <c r="L2163" s="170">
        <v>45189</v>
      </c>
      <c r="M2163" s="116">
        <v>2890</v>
      </c>
      <c r="N2163" s="116">
        <v>2944.95</v>
      </c>
      <c r="O2163" s="116">
        <v>2886.05</v>
      </c>
      <c r="P2163" s="116">
        <v>2926.95</v>
      </c>
      <c r="Q2163" s="116">
        <v>2890</v>
      </c>
      <c r="R2163">
        <v>1399240</v>
      </c>
    </row>
    <row r="2164" spans="1:18" x14ac:dyDescent="0.25">
      <c r="A2164" s="170">
        <v>45190</v>
      </c>
      <c r="B2164" s="116">
        <v>2905</v>
      </c>
      <c r="C2164" s="116">
        <v>2899.75</v>
      </c>
      <c r="D2164" s="116">
        <v>2846.2</v>
      </c>
      <c r="E2164" s="116">
        <v>2888</v>
      </c>
      <c r="F2164" s="116">
        <v>2899.75</v>
      </c>
      <c r="G2164">
        <v>55451</v>
      </c>
      <c r="H2164" s="116"/>
      <c r="I2164" s="116"/>
      <c r="L2164" s="170">
        <v>45190</v>
      </c>
      <c r="M2164" s="116">
        <v>2899.35</v>
      </c>
      <c r="N2164" s="116">
        <v>2905.1</v>
      </c>
      <c r="O2164" s="116">
        <v>2846.05</v>
      </c>
      <c r="P2164" s="116">
        <v>2885.05</v>
      </c>
      <c r="Q2164" s="116">
        <v>2899.35</v>
      </c>
      <c r="R2164">
        <v>2444711</v>
      </c>
    </row>
    <row r="2165" spans="1:18" x14ac:dyDescent="0.25">
      <c r="A2165" s="170">
        <v>45191</v>
      </c>
      <c r="B2165" s="116">
        <v>2936.2</v>
      </c>
      <c r="C2165" s="116">
        <v>2918.85</v>
      </c>
      <c r="D2165" s="116">
        <v>2903</v>
      </c>
      <c r="E2165" s="116">
        <v>2909.45</v>
      </c>
      <c r="F2165" s="116">
        <v>2918.85</v>
      </c>
      <c r="G2165">
        <v>54646</v>
      </c>
      <c r="H2165" s="116"/>
      <c r="I2165" s="116"/>
      <c r="L2165" s="170">
        <v>45191</v>
      </c>
      <c r="M2165" s="116">
        <v>2918.5</v>
      </c>
      <c r="N2165" s="116">
        <v>2936.45</v>
      </c>
      <c r="O2165" s="116">
        <v>2902.25</v>
      </c>
      <c r="P2165" s="116">
        <v>2908.7</v>
      </c>
      <c r="Q2165" s="116">
        <v>2918.5</v>
      </c>
      <c r="R2165">
        <v>1965569</v>
      </c>
    </row>
    <row r="2166" spans="1:18" x14ac:dyDescent="0.25">
      <c r="A2166" s="170">
        <v>45194</v>
      </c>
      <c r="B2166" s="116">
        <v>2921</v>
      </c>
      <c r="C2166" s="116">
        <v>2902.95</v>
      </c>
      <c r="D2166" s="116">
        <v>2870.55</v>
      </c>
      <c r="E2166" s="116">
        <v>2918.85</v>
      </c>
      <c r="F2166" s="116">
        <v>2902.95</v>
      </c>
      <c r="G2166">
        <v>40893</v>
      </c>
      <c r="H2166" s="116"/>
      <c r="I2166" s="116"/>
      <c r="L2166" s="170">
        <v>45194</v>
      </c>
      <c r="M2166" s="116">
        <v>2902.5</v>
      </c>
      <c r="N2166" s="116">
        <v>2923.8</v>
      </c>
      <c r="O2166" s="116">
        <v>2871</v>
      </c>
      <c r="P2166" s="116">
        <v>2917.95</v>
      </c>
      <c r="Q2166" s="116">
        <v>2902.5</v>
      </c>
      <c r="R2166">
        <v>1049532</v>
      </c>
    </row>
    <row r="2167" spans="1:18" x14ac:dyDescent="0.25">
      <c r="A2167" s="170">
        <v>45195</v>
      </c>
      <c r="B2167" s="116">
        <v>2944.35</v>
      </c>
      <c r="C2167" s="116">
        <v>2912.3</v>
      </c>
      <c r="D2167" s="116">
        <v>2910.1</v>
      </c>
      <c r="E2167" s="116">
        <v>2912.05</v>
      </c>
      <c r="F2167" s="116">
        <v>2912.3</v>
      </c>
      <c r="G2167">
        <v>51890</v>
      </c>
      <c r="H2167" s="116"/>
      <c r="I2167" s="116"/>
      <c r="L2167" s="170">
        <v>45195</v>
      </c>
      <c r="M2167" s="116">
        <v>2912.55</v>
      </c>
      <c r="N2167" s="116">
        <v>2944</v>
      </c>
      <c r="O2167" s="116">
        <v>2910</v>
      </c>
      <c r="P2167" s="116">
        <v>2915</v>
      </c>
      <c r="Q2167" s="116">
        <v>2912.55</v>
      </c>
      <c r="R2167">
        <v>953456</v>
      </c>
    </row>
    <row r="2168" spans="1:18" x14ac:dyDescent="0.25">
      <c r="A2168" s="170">
        <v>45196</v>
      </c>
      <c r="B2168" s="116">
        <v>2995</v>
      </c>
      <c r="C2168" s="116">
        <v>2961.7</v>
      </c>
      <c r="D2168" s="116">
        <v>2912.25</v>
      </c>
      <c r="E2168" s="116">
        <v>2913</v>
      </c>
      <c r="F2168" s="116">
        <v>2961.7</v>
      </c>
      <c r="G2168">
        <v>51109</v>
      </c>
      <c r="H2168" s="116"/>
      <c r="I2168" s="116"/>
      <c r="L2168" s="170">
        <v>45196</v>
      </c>
      <c r="M2168" s="116">
        <v>2965.05</v>
      </c>
      <c r="N2168" s="116">
        <v>2994.9</v>
      </c>
      <c r="O2168" s="116">
        <v>2911.65</v>
      </c>
      <c r="P2168" s="116">
        <v>2922</v>
      </c>
      <c r="Q2168" s="116">
        <v>2965.05</v>
      </c>
      <c r="R2168">
        <v>2903693</v>
      </c>
    </row>
    <row r="2169" spans="1:18" x14ac:dyDescent="0.25">
      <c r="A2169" s="170">
        <v>45197</v>
      </c>
      <c r="B2169" s="116">
        <v>3050.7</v>
      </c>
      <c r="C2169" s="116">
        <v>3011.85</v>
      </c>
      <c r="D2169" s="116">
        <v>2979.4</v>
      </c>
      <c r="E2169" s="116">
        <v>2998.35</v>
      </c>
      <c r="F2169" s="116">
        <v>3011.85</v>
      </c>
      <c r="G2169">
        <v>110592</v>
      </c>
      <c r="H2169" s="116"/>
      <c r="I2169" s="116"/>
      <c r="L2169" s="170">
        <v>45197</v>
      </c>
      <c r="M2169" s="116">
        <v>3010</v>
      </c>
      <c r="N2169" s="116">
        <v>3050.5</v>
      </c>
      <c r="O2169" s="116">
        <v>2978.25</v>
      </c>
      <c r="P2169" s="116">
        <v>2989</v>
      </c>
      <c r="Q2169" s="116">
        <v>3010</v>
      </c>
      <c r="R2169">
        <v>4081102</v>
      </c>
    </row>
    <row r="2170" spans="1:18" x14ac:dyDescent="0.25">
      <c r="A2170" s="170">
        <v>45198</v>
      </c>
      <c r="B2170" s="116">
        <v>3057</v>
      </c>
      <c r="C2170" s="116">
        <v>3021.95</v>
      </c>
      <c r="D2170" s="116">
        <v>3006</v>
      </c>
      <c r="E2170" s="116">
        <v>3044.15</v>
      </c>
      <c r="F2170" s="116">
        <v>3021.95</v>
      </c>
      <c r="G2170">
        <v>129977</v>
      </c>
      <c r="H2170" s="116"/>
      <c r="I2170" s="116"/>
      <c r="L2170" s="170">
        <v>45198</v>
      </c>
      <c r="M2170" s="116">
        <v>3023.55</v>
      </c>
      <c r="N2170" s="116">
        <v>3058.35</v>
      </c>
      <c r="O2170" s="116">
        <v>3005.25</v>
      </c>
      <c r="P2170" s="116">
        <v>3040</v>
      </c>
      <c r="Q2170" s="116">
        <v>3023.55</v>
      </c>
      <c r="R2170">
        <v>2698016</v>
      </c>
    </row>
    <row r="2171" spans="1:18" x14ac:dyDescent="0.25">
      <c r="A2171" s="170">
        <v>45202</v>
      </c>
      <c r="B2171" s="116">
        <v>3077.65</v>
      </c>
      <c r="C2171" s="116">
        <v>3072.8</v>
      </c>
      <c r="D2171" s="116">
        <v>2995.95</v>
      </c>
      <c r="E2171" s="116">
        <v>3038.05</v>
      </c>
      <c r="F2171" s="116">
        <v>3072.8</v>
      </c>
      <c r="G2171">
        <v>51874</v>
      </c>
      <c r="H2171" s="116"/>
      <c r="I2171" s="116"/>
      <c r="L2171" s="170">
        <v>45202</v>
      </c>
      <c r="M2171" s="116">
        <v>3073.25</v>
      </c>
      <c r="N2171" s="116">
        <v>3077.45</v>
      </c>
      <c r="O2171" s="116">
        <v>2995.1</v>
      </c>
      <c r="P2171" s="116">
        <v>3040.5</v>
      </c>
      <c r="Q2171" s="116">
        <v>3073.25</v>
      </c>
      <c r="R2171">
        <v>3254492</v>
      </c>
    </row>
    <row r="2172" spans="1:18" x14ac:dyDescent="0.25">
      <c r="A2172" s="170">
        <v>45203</v>
      </c>
      <c r="B2172" s="116">
        <v>3067.95</v>
      </c>
      <c r="C2172" s="116">
        <v>3026.2</v>
      </c>
      <c r="D2172" s="116">
        <v>2990.05</v>
      </c>
      <c r="E2172" s="116">
        <v>3067.95</v>
      </c>
      <c r="F2172" s="116">
        <v>3026.2</v>
      </c>
      <c r="G2172">
        <v>67686</v>
      </c>
      <c r="H2172" s="116"/>
      <c r="I2172" s="116"/>
      <c r="L2172" s="170">
        <v>45203</v>
      </c>
      <c r="M2172" s="116">
        <v>3027.75</v>
      </c>
      <c r="N2172" s="116">
        <v>3064.1</v>
      </c>
      <c r="O2172" s="116">
        <v>2990.05</v>
      </c>
      <c r="P2172" s="116">
        <v>3064.1</v>
      </c>
      <c r="Q2172" s="116">
        <v>3027.75</v>
      </c>
      <c r="R2172">
        <v>3100946</v>
      </c>
    </row>
    <row r="2173" spans="1:18" x14ac:dyDescent="0.25">
      <c r="A2173" s="170">
        <v>45204</v>
      </c>
      <c r="B2173" s="116">
        <v>3114</v>
      </c>
      <c r="C2173" s="116">
        <v>3097.35</v>
      </c>
      <c r="D2173" s="116">
        <v>3034</v>
      </c>
      <c r="E2173" s="116">
        <v>3043.95</v>
      </c>
      <c r="F2173" s="116">
        <v>3097.35</v>
      </c>
      <c r="G2173">
        <v>66839</v>
      </c>
      <c r="H2173" s="116"/>
      <c r="I2173" s="116"/>
      <c r="L2173" s="170">
        <v>45204</v>
      </c>
      <c r="M2173" s="116">
        <v>3096.05</v>
      </c>
      <c r="N2173" s="116">
        <v>3114.9</v>
      </c>
      <c r="O2173" s="116">
        <v>3032.55</v>
      </c>
      <c r="P2173" s="116">
        <v>3032.55</v>
      </c>
      <c r="Q2173" s="116">
        <v>3096.05</v>
      </c>
      <c r="R2173">
        <v>3413447</v>
      </c>
    </row>
    <row r="2174" spans="1:18" x14ac:dyDescent="0.25">
      <c r="A2174" s="170">
        <v>45205</v>
      </c>
      <c r="B2174" s="116">
        <v>3113.95</v>
      </c>
      <c r="C2174" s="116">
        <v>3093.45</v>
      </c>
      <c r="D2174" s="116">
        <v>3073.25</v>
      </c>
      <c r="E2174" s="116">
        <v>3099</v>
      </c>
      <c r="F2174" s="116">
        <v>3093.45</v>
      </c>
      <c r="G2174">
        <v>267681</v>
      </c>
      <c r="H2174" s="116"/>
      <c r="I2174" s="116"/>
      <c r="L2174" s="170">
        <v>45205</v>
      </c>
      <c r="M2174" s="116">
        <v>3093.7</v>
      </c>
      <c r="N2174" s="116">
        <v>3114.95</v>
      </c>
      <c r="O2174" s="116">
        <v>3073.15</v>
      </c>
      <c r="P2174" s="116">
        <v>3114.95</v>
      </c>
      <c r="Q2174" s="116">
        <v>3093.7</v>
      </c>
      <c r="R2174">
        <v>1898118</v>
      </c>
    </row>
    <row r="2175" spans="1:18" x14ac:dyDescent="0.25">
      <c r="A2175" s="170">
        <v>45208</v>
      </c>
      <c r="B2175" s="116">
        <v>3084</v>
      </c>
      <c r="C2175" s="116">
        <v>3073.95</v>
      </c>
      <c r="D2175" s="116">
        <v>3055.6</v>
      </c>
      <c r="E2175" s="116">
        <v>3073</v>
      </c>
      <c r="F2175" s="116">
        <v>3073.95</v>
      </c>
      <c r="G2175">
        <v>35402</v>
      </c>
      <c r="H2175" s="116"/>
      <c r="I2175" s="116"/>
      <c r="L2175" s="170">
        <v>45208</v>
      </c>
      <c r="M2175" s="116">
        <v>3074.7</v>
      </c>
      <c r="N2175" s="116">
        <v>3085</v>
      </c>
      <c r="O2175" s="116">
        <v>3055.55</v>
      </c>
      <c r="P2175" s="116">
        <v>3075</v>
      </c>
      <c r="Q2175" s="116">
        <v>3074.7</v>
      </c>
      <c r="R2175">
        <v>1181760</v>
      </c>
    </row>
    <row r="2176" spans="1:18" x14ac:dyDescent="0.25">
      <c r="A2176" s="170">
        <v>45209</v>
      </c>
      <c r="B2176" s="116">
        <v>3099.7</v>
      </c>
      <c r="C2176" s="116">
        <v>3075.05</v>
      </c>
      <c r="D2176" s="116">
        <v>3072.65</v>
      </c>
      <c r="E2176" s="116">
        <v>3089.75</v>
      </c>
      <c r="F2176" s="116">
        <v>3075.05</v>
      </c>
      <c r="G2176">
        <v>30953</v>
      </c>
      <c r="H2176" s="116"/>
      <c r="I2176" s="116"/>
      <c r="L2176" s="170">
        <v>45209</v>
      </c>
      <c r="M2176" s="116">
        <v>3076</v>
      </c>
      <c r="N2176" s="116">
        <v>3099</v>
      </c>
      <c r="O2176" s="116">
        <v>3072.15</v>
      </c>
      <c r="P2176" s="116">
        <v>3073.85</v>
      </c>
      <c r="Q2176" s="116">
        <v>3076</v>
      </c>
      <c r="R2176">
        <v>1551789</v>
      </c>
    </row>
    <row r="2177" spans="1:18" x14ac:dyDescent="0.25">
      <c r="A2177" s="170">
        <v>45210</v>
      </c>
      <c r="B2177" s="116">
        <v>3109</v>
      </c>
      <c r="C2177" s="116">
        <v>3088.75</v>
      </c>
      <c r="D2177" s="116">
        <v>3084</v>
      </c>
      <c r="E2177" s="116">
        <v>3099.55</v>
      </c>
      <c r="F2177" s="116">
        <v>3088.75</v>
      </c>
      <c r="G2177">
        <v>443580</v>
      </c>
      <c r="H2177" s="116"/>
      <c r="I2177" s="116"/>
      <c r="L2177" s="170">
        <v>45210</v>
      </c>
      <c r="M2177" s="116">
        <v>3088.7</v>
      </c>
      <c r="N2177" s="116">
        <v>3110</v>
      </c>
      <c r="O2177" s="116">
        <v>3084.4</v>
      </c>
      <c r="P2177" s="116">
        <v>3090</v>
      </c>
      <c r="Q2177" s="116">
        <v>3088.7</v>
      </c>
      <c r="R2177">
        <v>2066921</v>
      </c>
    </row>
    <row r="2178" spans="1:18" x14ac:dyDescent="0.25">
      <c r="A2178" s="170">
        <v>45211</v>
      </c>
      <c r="B2178" s="116">
        <v>3105.55</v>
      </c>
      <c r="C2178" s="116">
        <v>3081.6</v>
      </c>
      <c r="D2178" s="116">
        <v>3067.9</v>
      </c>
      <c r="E2178" s="116">
        <v>3099.8</v>
      </c>
      <c r="F2178" s="116">
        <v>3081.6</v>
      </c>
      <c r="G2178">
        <v>35947</v>
      </c>
      <c r="H2178" s="116"/>
      <c r="I2178" s="116"/>
      <c r="L2178" s="170">
        <v>45211</v>
      </c>
      <c r="M2178" s="116">
        <v>3081.75</v>
      </c>
      <c r="N2178" s="116">
        <v>3105.05</v>
      </c>
      <c r="O2178" s="116">
        <v>3067.05</v>
      </c>
      <c r="P2178" s="116">
        <v>3094</v>
      </c>
      <c r="Q2178" s="116">
        <v>3081.75</v>
      </c>
      <c r="R2178">
        <v>1870280</v>
      </c>
    </row>
    <row r="2179" spans="1:18" x14ac:dyDescent="0.25">
      <c r="A2179" s="170">
        <v>45212</v>
      </c>
      <c r="B2179" s="116">
        <v>3099.75</v>
      </c>
      <c r="C2179" s="116">
        <v>3089.25</v>
      </c>
      <c r="D2179" s="116">
        <v>3064</v>
      </c>
      <c r="E2179" s="116">
        <v>3079.75</v>
      </c>
      <c r="F2179" s="116">
        <v>3089.25</v>
      </c>
      <c r="G2179">
        <v>236795</v>
      </c>
      <c r="H2179" s="116"/>
      <c r="I2179" s="116"/>
      <c r="L2179" s="170">
        <v>45212</v>
      </c>
      <c r="M2179" s="116">
        <v>3089.6</v>
      </c>
      <c r="N2179" s="116">
        <v>3099</v>
      </c>
      <c r="O2179" s="116">
        <v>3063.5</v>
      </c>
      <c r="P2179" s="116">
        <v>3067.75</v>
      </c>
      <c r="Q2179" s="116">
        <v>3089.6</v>
      </c>
      <c r="R2179">
        <v>1437808</v>
      </c>
    </row>
    <row r="2180" spans="1:18" x14ac:dyDescent="0.25">
      <c r="A2180" s="170">
        <v>45215</v>
      </c>
      <c r="B2180" s="116">
        <v>3113.25</v>
      </c>
      <c r="C2180" s="116">
        <v>3103.6</v>
      </c>
      <c r="D2180" s="116">
        <v>3074.85</v>
      </c>
      <c r="E2180" s="116">
        <v>3099.95</v>
      </c>
      <c r="F2180" s="116">
        <v>3103.6</v>
      </c>
      <c r="G2180">
        <v>20478</v>
      </c>
      <c r="H2180" s="116"/>
      <c r="I2180" s="116"/>
      <c r="L2180" s="170">
        <v>45215</v>
      </c>
      <c r="M2180" s="116">
        <v>3101.9</v>
      </c>
      <c r="N2180" s="116">
        <v>3113.25</v>
      </c>
      <c r="O2180" s="116">
        <v>3074.7</v>
      </c>
      <c r="P2180" s="116">
        <v>3098.95</v>
      </c>
      <c r="Q2180" s="116">
        <v>3101.9</v>
      </c>
      <c r="R2180">
        <v>818794</v>
      </c>
    </row>
    <row r="2181" spans="1:18" x14ac:dyDescent="0.25">
      <c r="A2181" s="170">
        <v>45216</v>
      </c>
      <c r="B2181" s="116">
        <v>3113.8</v>
      </c>
      <c r="C2181" s="116">
        <v>3066</v>
      </c>
      <c r="D2181" s="116">
        <v>3062.95</v>
      </c>
      <c r="E2181" s="116">
        <v>3105.05</v>
      </c>
      <c r="F2181" s="116">
        <v>3066</v>
      </c>
      <c r="G2181">
        <v>44407</v>
      </c>
      <c r="H2181" s="116"/>
      <c r="I2181" s="116"/>
      <c r="L2181" s="170">
        <v>45216</v>
      </c>
      <c r="M2181" s="116">
        <v>3066.3</v>
      </c>
      <c r="N2181" s="116">
        <v>3114.2</v>
      </c>
      <c r="O2181" s="116">
        <v>3063</v>
      </c>
      <c r="P2181" s="116">
        <v>3109.9</v>
      </c>
      <c r="Q2181" s="116">
        <v>3066.3</v>
      </c>
      <c r="R2181">
        <v>1847182</v>
      </c>
    </row>
    <row r="2182" spans="1:18" x14ac:dyDescent="0.25">
      <c r="A2182" s="170">
        <v>45217</v>
      </c>
      <c r="B2182" s="116">
        <v>3072</v>
      </c>
      <c r="C2182" s="116">
        <v>3044.45</v>
      </c>
      <c r="D2182" s="116">
        <v>3037.5</v>
      </c>
      <c r="E2182" s="116">
        <v>3068.85</v>
      </c>
      <c r="F2182" s="116">
        <v>3044.45</v>
      </c>
      <c r="G2182">
        <v>21652</v>
      </c>
      <c r="H2182" s="116"/>
      <c r="I2182" s="116"/>
      <c r="L2182" s="170">
        <v>45217</v>
      </c>
      <c r="M2182" s="116">
        <v>3045.6</v>
      </c>
      <c r="N2182" s="116">
        <v>3079.15</v>
      </c>
      <c r="O2182" s="116">
        <v>3037.15</v>
      </c>
      <c r="P2182" s="116">
        <v>3068.65</v>
      </c>
      <c r="Q2182" s="116">
        <v>3045.6</v>
      </c>
      <c r="R2182">
        <v>1350839</v>
      </c>
    </row>
    <row r="2183" spans="1:18" x14ac:dyDescent="0.25">
      <c r="A2183" s="170">
        <v>45218</v>
      </c>
      <c r="B2183" s="116">
        <v>3069.8</v>
      </c>
      <c r="C2183" s="116">
        <v>3051.7</v>
      </c>
      <c r="D2183" s="116">
        <v>3006</v>
      </c>
      <c r="E2183" s="116">
        <v>3033.55</v>
      </c>
      <c r="F2183" s="116">
        <v>3051.7</v>
      </c>
      <c r="G2183">
        <v>208059</v>
      </c>
      <c r="H2183" s="116"/>
      <c r="I2183" s="116"/>
      <c r="L2183" s="170">
        <v>45218</v>
      </c>
      <c r="M2183" s="116">
        <v>3054.4</v>
      </c>
      <c r="N2183" s="116">
        <v>3069.9</v>
      </c>
      <c r="O2183" s="116">
        <v>3007.15</v>
      </c>
      <c r="P2183" s="116">
        <v>3025.6</v>
      </c>
      <c r="Q2183" s="116">
        <v>3054.4</v>
      </c>
      <c r="R2183">
        <v>1599104</v>
      </c>
    </row>
    <row r="2184" spans="1:18" x14ac:dyDescent="0.25">
      <c r="A2184" s="170">
        <v>45219</v>
      </c>
      <c r="B2184" s="116">
        <v>3054.65</v>
      </c>
      <c r="C2184" s="116">
        <v>3012.05</v>
      </c>
      <c r="D2184" s="116">
        <v>2978</v>
      </c>
      <c r="E2184" s="116">
        <v>3044.6</v>
      </c>
      <c r="F2184" s="116">
        <v>3012.05</v>
      </c>
      <c r="G2184">
        <v>284389</v>
      </c>
      <c r="H2184" s="116"/>
      <c r="I2184" s="116"/>
      <c r="L2184" s="170">
        <v>45219</v>
      </c>
      <c r="M2184" s="116">
        <v>3012.35</v>
      </c>
      <c r="N2184" s="116">
        <v>3056.25</v>
      </c>
      <c r="O2184" s="116">
        <v>2977.3</v>
      </c>
      <c r="P2184" s="116">
        <v>3039.95</v>
      </c>
      <c r="Q2184" s="116">
        <v>3012.35</v>
      </c>
      <c r="R2184">
        <v>1667471</v>
      </c>
    </row>
    <row r="2185" spans="1:18" x14ac:dyDescent="0.25">
      <c r="A2185" s="170">
        <v>45222</v>
      </c>
      <c r="B2185" s="116">
        <v>3005.3</v>
      </c>
      <c r="C2185" s="116">
        <v>2958.45</v>
      </c>
      <c r="D2185" s="116">
        <v>2949.05</v>
      </c>
      <c r="E2185" s="116">
        <v>3005.3</v>
      </c>
      <c r="F2185" s="116">
        <v>2958.45</v>
      </c>
      <c r="G2185">
        <v>38510</v>
      </c>
      <c r="H2185" s="116"/>
      <c r="I2185" s="116"/>
      <c r="L2185" s="170">
        <v>45222</v>
      </c>
      <c r="M2185" s="116">
        <v>2958.3</v>
      </c>
      <c r="N2185" s="116">
        <v>3006.9</v>
      </c>
      <c r="O2185" s="116">
        <v>2949</v>
      </c>
      <c r="P2185" s="116">
        <v>3003</v>
      </c>
      <c r="Q2185" s="116">
        <v>2958.3</v>
      </c>
      <c r="R2185">
        <v>1614030</v>
      </c>
    </row>
    <row r="2186" spans="1:18" x14ac:dyDescent="0.25">
      <c r="A2186" s="170">
        <v>45224</v>
      </c>
      <c r="B2186" s="116">
        <v>2966.95</v>
      </c>
      <c r="C2186" s="116">
        <v>2916.3</v>
      </c>
      <c r="D2186" s="116">
        <v>2910.15</v>
      </c>
      <c r="E2186" s="116">
        <v>2956.6</v>
      </c>
      <c r="F2186" s="116">
        <v>2916.3</v>
      </c>
      <c r="G2186">
        <v>75086</v>
      </c>
      <c r="H2186" s="116"/>
      <c r="I2186" s="116"/>
      <c r="L2186" s="170">
        <v>45224</v>
      </c>
      <c r="M2186" s="116">
        <v>2916.1</v>
      </c>
      <c r="N2186" s="116">
        <v>2965.5</v>
      </c>
      <c r="O2186" s="116">
        <v>2910.3</v>
      </c>
      <c r="P2186" s="116">
        <v>2959</v>
      </c>
      <c r="Q2186" s="116">
        <v>2916.1</v>
      </c>
      <c r="R2186">
        <v>2108353</v>
      </c>
    </row>
    <row r="2187" spans="1:18" x14ac:dyDescent="0.25">
      <c r="A2187" s="170">
        <v>45225</v>
      </c>
      <c r="B2187" s="116">
        <v>2916</v>
      </c>
      <c r="C2187" s="116">
        <v>2864.35</v>
      </c>
      <c r="D2187" s="116">
        <v>2858</v>
      </c>
      <c r="E2187" s="116">
        <v>2904.25</v>
      </c>
      <c r="F2187" s="116">
        <v>2864.35</v>
      </c>
      <c r="G2187">
        <v>210906</v>
      </c>
      <c r="H2187" s="116"/>
      <c r="I2187" s="116"/>
      <c r="L2187" s="170">
        <v>45225</v>
      </c>
      <c r="M2187" s="116">
        <v>2864.6</v>
      </c>
      <c r="N2187" s="116">
        <v>2916.15</v>
      </c>
      <c r="O2187" s="116">
        <v>2857.05</v>
      </c>
      <c r="P2187" s="116">
        <v>2906</v>
      </c>
      <c r="Q2187" s="116">
        <v>2864.6</v>
      </c>
      <c r="R2187">
        <v>3286109</v>
      </c>
    </row>
    <row r="2188" spans="1:18" x14ac:dyDescent="0.25">
      <c r="A2188" s="170">
        <v>45226</v>
      </c>
      <c r="B2188" s="116">
        <v>2911.15</v>
      </c>
      <c r="C2188" s="116">
        <v>2902.3</v>
      </c>
      <c r="D2188" s="116">
        <v>2858</v>
      </c>
      <c r="E2188" s="116">
        <v>2865</v>
      </c>
      <c r="F2188" s="116">
        <v>2902.3</v>
      </c>
      <c r="G2188">
        <v>349194</v>
      </c>
      <c r="H2188" s="116"/>
      <c r="I2188" s="116"/>
      <c r="L2188" s="170">
        <v>45226</v>
      </c>
      <c r="M2188" s="116">
        <v>2901.9</v>
      </c>
      <c r="N2188" s="116">
        <v>2910.55</v>
      </c>
      <c r="O2188" s="116">
        <v>2857.65</v>
      </c>
      <c r="P2188" s="116">
        <v>2864.65</v>
      </c>
      <c r="Q2188" s="116">
        <v>2901.9</v>
      </c>
      <c r="R2188">
        <v>2399538</v>
      </c>
    </row>
    <row r="2189" spans="1:18" x14ac:dyDescent="0.25">
      <c r="A2189" s="170">
        <v>45229</v>
      </c>
      <c r="B2189" s="116">
        <v>2932</v>
      </c>
      <c r="C2189" s="116">
        <v>2926.3</v>
      </c>
      <c r="D2189" s="116">
        <v>2856.85</v>
      </c>
      <c r="E2189" s="116">
        <v>2899.95</v>
      </c>
      <c r="F2189" s="116">
        <v>2926.3</v>
      </c>
      <c r="G2189">
        <v>64875</v>
      </c>
      <c r="H2189" s="116"/>
      <c r="I2189" s="116"/>
      <c r="L2189" s="170">
        <v>45229</v>
      </c>
      <c r="M2189" s="116">
        <v>2926.35</v>
      </c>
      <c r="N2189" s="116">
        <v>2932</v>
      </c>
      <c r="O2189" s="116">
        <v>2856.15</v>
      </c>
      <c r="P2189" s="116">
        <v>2899.2</v>
      </c>
      <c r="Q2189" s="116">
        <v>2926.35</v>
      </c>
      <c r="R2189">
        <v>1693052</v>
      </c>
    </row>
    <row r="2190" spans="1:18" x14ac:dyDescent="0.25">
      <c r="A2190" s="170">
        <v>45230</v>
      </c>
      <c r="B2190" s="116">
        <v>2952</v>
      </c>
      <c r="C2190" s="116">
        <v>2928.8</v>
      </c>
      <c r="D2190" s="116">
        <v>2909</v>
      </c>
      <c r="E2190" s="116">
        <v>2949.75</v>
      </c>
      <c r="F2190" s="116">
        <v>2928.8</v>
      </c>
      <c r="G2190">
        <v>40984</v>
      </c>
      <c r="H2190" s="116"/>
      <c r="I2190" s="116"/>
      <c r="L2190" s="170">
        <v>45230</v>
      </c>
      <c r="M2190" s="116">
        <v>2929.05</v>
      </c>
      <c r="N2190" s="116">
        <v>2951.55</v>
      </c>
      <c r="O2190" s="116">
        <v>2907.95</v>
      </c>
      <c r="P2190" s="116">
        <v>2929.95</v>
      </c>
      <c r="Q2190" s="116">
        <v>2929.05</v>
      </c>
      <c r="R2190">
        <v>1556467</v>
      </c>
    </row>
    <row r="2191" spans="1:18" x14ac:dyDescent="0.25">
      <c r="A2191" s="170">
        <v>45231</v>
      </c>
      <c r="B2191" s="116">
        <v>2983.05</v>
      </c>
      <c r="C2191" s="116">
        <v>2894.35</v>
      </c>
      <c r="D2191" s="116">
        <v>2872</v>
      </c>
      <c r="E2191" s="116">
        <v>2935</v>
      </c>
      <c r="F2191" s="116">
        <v>2894.35</v>
      </c>
      <c r="G2191">
        <v>111697</v>
      </c>
      <c r="H2191" s="116"/>
      <c r="I2191" s="116"/>
      <c r="L2191" s="170">
        <v>45231</v>
      </c>
      <c r="M2191" s="116">
        <v>2895.3</v>
      </c>
      <c r="N2191" s="116">
        <v>2983.15</v>
      </c>
      <c r="O2191" s="116">
        <v>2871.05</v>
      </c>
      <c r="P2191" s="116">
        <v>2947.45</v>
      </c>
      <c r="Q2191" s="116">
        <v>2895.3</v>
      </c>
      <c r="R2191">
        <v>3875595</v>
      </c>
    </row>
    <row r="2192" spans="1:18" x14ac:dyDescent="0.25">
      <c r="A2192" s="170">
        <v>45232</v>
      </c>
      <c r="B2192" s="116">
        <v>2937.9</v>
      </c>
      <c r="C2192" s="116">
        <v>2918.35</v>
      </c>
      <c r="D2192" s="116">
        <v>2903.4</v>
      </c>
      <c r="E2192" s="116">
        <v>2937.9</v>
      </c>
      <c r="F2192" s="116">
        <v>2918.35</v>
      </c>
      <c r="G2192">
        <v>18843</v>
      </c>
      <c r="H2192" s="116"/>
      <c r="I2192" s="116"/>
      <c r="L2192" s="170">
        <v>45232</v>
      </c>
      <c r="M2192" s="116">
        <v>2918.1</v>
      </c>
      <c r="N2192" s="116">
        <v>2937.85</v>
      </c>
      <c r="O2192" s="116">
        <v>2903.2</v>
      </c>
      <c r="P2192" s="116">
        <v>2935</v>
      </c>
      <c r="Q2192" s="116">
        <v>2918.1</v>
      </c>
      <c r="R2192">
        <v>1451606</v>
      </c>
    </row>
    <row r="2193" spans="1:18" x14ac:dyDescent="0.25">
      <c r="A2193" s="170">
        <v>45233</v>
      </c>
      <c r="B2193" s="116">
        <v>2949</v>
      </c>
      <c r="C2193" s="116">
        <v>2908.15</v>
      </c>
      <c r="D2193" s="116">
        <v>2903.75</v>
      </c>
      <c r="E2193" s="116">
        <v>2931.1</v>
      </c>
      <c r="F2193" s="116">
        <v>2908.15</v>
      </c>
      <c r="G2193">
        <v>151468</v>
      </c>
      <c r="H2193" s="116"/>
      <c r="I2193" s="116"/>
      <c r="L2193" s="170">
        <v>45233</v>
      </c>
      <c r="M2193" s="116">
        <v>2911.25</v>
      </c>
      <c r="N2193" s="116">
        <v>2948.05</v>
      </c>
      <c r="O2193" s="116">
        <v>2905</v>
      </c>
      <c r="P2193" s="116">
        <v>2934</v>
      </c>
      <c r="Q2193" s="116">
        <v>2911.25</v>
      </c>
      <c r="R2193">
        <v>1136175</v>
      </c>
    </row>
    <row r="2194" spans="1:18" x14ac:dyDescent="0.25">
      <c r="A2194" s="170">
        <v>45236</v>
      </c>
      <c r="B2194" s="116">
        <v>2978.95</v>
      </c>
      <c r="C2194" s="116">
        <v>2975.15</v>
      </c>
      <c r="D2194" s="116">
        <v>2928.75</v>
      </c>
      <c r="E2194" s="116">
        <v>2944.95</v>
      </c>
      <c r="F2194" s="116">
        <v>2975.15</v>
      </c>
      <c r="G2194">
        <v>30866</v>
      </c>
      <c r="H2194" s="116"/>
      <c r="I2194" s="116"/>
      <c r="L2194" s="170">
        <v>45236</v>
      </c>
      <c r="M2194" s="116">
        <v>2975.45</v>
      </c>
      <c r="N2194" s="116">
        <v>2979</v>
      </c>
      <c r="O2194" s="116">
        <v>2927.25</v>
      </c>
      <c r="P2194" s="116">
        <v>2933</v>
      </c>
      <c r="Q2194" s="116">
        <v>2975.45</v>
      </c>
      <c r="R2194">
        <v>1235499</v>
      </c>
    </row>
    <row r="2195" spans="1:18" x14ac:dyDescent="0.25">
      <c r="A2195" s="170">
        <v>45237</v>
      </c>
      <c r="B2195" s="116">
        <v>2983.75</v>
      </c>
      <c r="C2195" s="116">
        <v>2960.2</v>
      </c>
      <c r="D2195" s="116">
        <v>2956.4</v>
      </c>
      <c r="E2195" s="116">
        <v>2974.95</v>
      </c>
      <c r="F2195" s="116">
        <v>2960.2</v>
      </c>
      <c r="G2195">
        <v>71252</v>
      </c>
      <c r="H2195" s="116"/>
      <c r="I2195" s="116"/>
      <c r="L2195" s="170">
        <v>45237</v>
      </c>
      <c r="M2195" s="116">
        <v>2961.3</v>
      </c>
      <c r="N2195" s="116">
        <v>2983.6</v>
      </c>
      <c r="O2195" s="116">
        <v>2956.1</v>
      </c>
      <c r="P2195" s="116">
        <v>2970</v>
      </c>
      <c r="Q2195" s="116">
        <v>2961.3</v>
      </c>
      <c r="R2195">
        <v>1112206</v>
      </c>
    </row>
    <row r="2196" spans="1:18" x14ac:dyDescent="0.25">
      <c r="A2196" s="170">
        <v>45238</v>
      </c>
      <c r="B2196" s="116">
        <v>3002</v>
      </c>
      <c r="C2196" s="116">
        <v>2995.15</v>
      </c>
      <c r="D2196" s="116">
        <v>2961.4</v>
      </c>
      <c r="E2196" s="116">
        <v>2979.95</v>
      </c>
      <c r="F2196" s="116">
        <v>2995.15</v>
      </c>
      <c r="G2196">
        <v>26379</v>
      </c>
      <c r="H2196" s="116"/>
      <c r="I2196" s="116"/>
      <c r="L2196" s="170">
        <v>45238</v>
      </c>
      <c r="M2196" s="116">
        <v>2996.45</v>
      </c>
      <c r="N2196" s="116">
        <v>3002.75</v>
      </c>
      <c r="O2196" s="116">
        <v>2961</v>
      </c>
      <c r="P2196" s="116">
        <v>2974.7</v>
      </c>
      <c r="Q2196" s="116">
        <v>2996.45</v>
      </c>
      <c r="R2196">
        <v>1013438</v>
      </c>
    </row>
    <row r="2197" spans="1:18" x14ac:dyDescent="0.25">
      <c r="A2197" s="170">
        <v>45239</v>
      </c>
      <c r="B2197" s="116">
        <v>3028.8</v>
      </c>
      <c r="C2197" s="116">
        <v>3025</v>
      </c>
      <c r="D2197" s="116">
        <v>3000</v>
      </c>
      <c r="E2197" s="116">
        <v>3005</v>
      </c>
      <c r="F2197" s="116">
        <v>3025</v>
      </c>
      <c r="G2197">
        <v>30466</v>
      </c>
      <c r="H2197" s="116"/>
      <c r="I2197" s="116"/>
      <c r="L2197" s="170">
        <v>45239</v>
      </c>
      <c r="M2197" s="116">
        <v>3024.85</v>
      </c>
      <c r="N2197" s="116">
        <v>3028.7</v>
      </c>
      <c r="O2197" s="116">
        <v>2997</v>
      </c>
      <c r="P2197" s="116">
        <v>3003</v>
      </c>
      <c r="Q2197" s="116">
        <v>3024.85</v>
      </c>
      <c r="R2197">
        <v>1719911</v>
      </c>
    </row>
    <row r="2198" spans="1:18" x14ac:dyDescent="0.25">
      <c r="A2198" s="170">
        <v>45240</v>
      </c>
      <c r="B2198" s="116">
        <v>3044.35</v>
      </c>
      <c r="C2198" s="116">
        <v>3032.8</v>
      </c>
      <c r="D2198" s="116">
        <v>3004.2</v>
      </c>
      <c r="E2198" s="116">
        <v>3024.95</v>
      </c>
      <c r="F2198" s="116">
        <v>3032.8</v>
      </c>
      <c r="G2198">
        <v>170367</v>
      </c>
      <c r="H2198" s="116"/>
      <c r="I2198" s="116"/>
      <c r="L2198" s="170">
        <v>45240</v>
      </c>
      <c r="M2198" s="116">
        <v>3033.25</v>
      </c>
      <c r="N2198" s="116">
        <v>3044</v>
      </c>
      <c r="O2198" s="116">
        <v>3005.25</v>
      </c>
      <c r="P2198" s="116">
        <v>3021.05</v>
      </c>
      <c r="Q2198" s="116">
        <v>3033.25</v>
      </c>
      <c r="R2198">
        <v>947753</v>
      </c>
    </row>
    <row r="2199" spans="1:18" x14ac:dyDescent="0.25">
      <c r="A2199" s="170">
        <v>45242</v>
      </c>
      <c r="B2199" s="116">
        <v>3060</v>
      </c>
      <c r="C2199" s="116">
        <v>3052.6</v>
      </c>
      <c r="D2199" s="116">
        <v>3046.65</v>
      </c>
      <c r="E2199" s="116">
        <v>3059.95</v>
      </c>
      <c r="F2199" s="116">
        <v>3052.6</v>
      </c>
      <c r="G2199">
        <v>12429</v>
      </c>
      <c r="H2199" s="116"/>
      <c r="I2199" s="116"/>
      <c r="L2199" s="170">
        <v>45242</v>
      </c>
      <c r="M2199" s="116">
        <v>3052</v>
      </c>
      <c r="N2199" s="116">
        <v>3060</v>
      </c>
      <c r="O2199" s="116">
        <v>3044</v>
      </c>
      <c r="P2199" s="116">
        <v>3054.95</v>
      </c>
      <c r="Q2199" s="116">
        <v>3052</v>
      </c>
      <c r="R2199">
        <v>256389</v>
      </c>
    </row>
    <row r="2200" spans="1:18" x14ac:dyDescent="0.25">
      <c r="A2200" s="170">
        <v>45243</v>
      </c>
      <c r="B2200" s="116">
        <v>3053.3</v>
      </c>
      <c r="C2200" s="116">
        <v>3048.05</v>
      </c>
      <c r="D2200" s="116">
        <v>3031.25</v>
      </c>
      <c r="E2200" s="116">
        <v>3050</v>
      </c>
      <c r="F2200" s="116">
        <v>3048.05</v>
      </c>
      <c r="G2200">
        <v>37221</v>
      </c>
      <c r="H2200" s="116"/>
      <c r="I2200" s="116"/>
      <c r="L2200" s="170">
        <v>45243</v>
      </c>
      <c r="M2200" s="116">
        <v>3048.5</v>
      </c>
      <c r="N2200" s="116">
        <v>3054.35</v>
      </c>
      <c r="O2200" s="116">
        <v>3031.65</v>
      </c>
      <c r="P2200" s="116">
        <v>3050</v>
      </c>
      <c r="Q2200" s="116">
        <v>3048.5</v>
      </c>
      <c r="R2200">
        <v>531769</v>
      </c>
    </row>
    <row r="2201" spans="1:18" x14ac:dyDescent="0.25">
      <c r="A2201" s="170">
        <v>45245</v>
      </c>
      <c r="B2201" s="116">
        <v>3072.95</v>
      </c>
      <c r="C2201" s="116">
        <v>3065</v>
      </c>
      <c r="D2201" s="116">
        <v>3055.3</v>
      </c>
      <c r="E2201" s="116">
        <v>3072.95</v>
      </c>
      <c r="F2201" s="116">
        <v>3065</v>
      </c>
      <c r="G2201">
        <v>25362</v>
      </c>
      <c r="H2201" s="116"/>
      <c r="I2201" s="116"/>
      <c r="L2201" s="170">
        <v>45245</v>
      </c>
      <c r="M2201" s="116">
        <v>3064.95</v>
      </c>
      <c r="N2201" s="116">
        <v>3071.05</v>
      </c>
      <c r="O2201" s="116">
        <v>3055</v>
      </c>
      <c r="P2201" s="116">
        <v>3062.35</v>
      </c>
      <c r="Q2201" s="116">
        <v>3064.95</v>
      </c>
      <c r="R2201">
        <v>1160184</v>
      </c>
    </row>
    <row r="2202" spans="1:18" x14ac:dyDescent="0.25">
      <c r="A2202" s="170">
        <v>45246</v>
      </c>
      <c r="B2202" s="116">
        <v>3082.65</v>
      </c>
      <c r="C2202" s="116">
        <v>3049.35</v>
      </c>
      <c r="D2202" s="116">
        <v>3045</v>
      </c>
      <c r="E2202" s="116">
        <v>3064.95</v>
      </c>
      <c r="F2202" s="116">
        <v>3049.35</v>
      </c>
      <c r="G2202">
        <v>104780</v>
      </c>
      <c r="H2202" s="116"/>
      <c r="I2202" s="116"/>
      <c r="L2202" s="170">
        <v>45246</v>
      </c>
      <c r="M2202" s="116">
        <v>3051.15</v>
      </c>
      <c r="N2202" s="116">
        <v>3082.1</v>
      </c>
      <c r="O2202" s="116">
        <v>3045</v>
      </c>
      <c r="P2202" s="116">
        <v>3057.95</v>
      </c>
      <c r="Q2202" s="116">
        <v>3051.15</v>
      </c>
      <c r="R2202">
        <v>1597607</v>
      </c>
    </row>
    <row r="2203" spans="1:18" x14ac:dyDescent="0.25">
      <c r="A2203" s="170">
        <v>45247</v>
      </c>
      <c r="B2203" s="116">
        <v>3117.55</v>
      </c>
      <c r="C2203" s="116">
        <v>3109.95</v>
      </c>
      <c r="D2203" s="116">
        <v>3045.35</v>
      </c>
      <c r="E2203" s="116">
        <v>3054.95</v>
      </c>
      <c r="F2203" s="116">
        <v>3109.95</v>
      </c>
      <c r="G2203">
        <v>136054</v>
      </c>
      <c r="H2203" s="116"/>
      <c r="I2203" s="116"/>
      <c r="L2203" s="170">
        <v>45247</v>
      </c>
      <c r="M2203" s="116">
        <v>3109</v>
      </c>
      <c r="N2203" s="116">
        <v>3115.45</v>
      </c>
      <c r="O2203" s="116">
        <v>3045.15</v>
      </c>
      <c r="P2203" s="116">
        <v>3050</v>
      </c>
      <c r="Q2203" s="116">
        <v>3109</v>
      </c>
      <c r="R2203">
        <v>1325050</v>
      </c>
    </row>
    <row r="2204" spans="1:18" x14ac:dyDescent="0.25">
      <c r="A2204" s="170">
        <v>45250</v>
      </c>
      <c r="B2204" s="116">
        <v>3112</v>
      </c>
      <c r="C2204" s="116">
        <v>3088.15</v>
      </c>
      <c r="D2204" s="116">
        <v>3076.3</v>
      </c>
      <c r="E2204" s="116">
        <v>3099.95</v>
      </c>
      <c r="F2204" s="116">
        <v>3088.15</v>
      </c>
      <c r="G2204">
        <v>67799</v>
      </c>
      <c r="H2204" s="116"/>
      <c r="I2204" s="116"/>
      <c r="L2204" s="170">
        <v>45250</v>
      </c>
      <c r="M2204" s="116">
        <v>3088.8</v>
      </c>
      <c r="N2204" s="116">
        <v>3111.95</v>
      </c>
      <c r="O2204" s="116">
        <v>3076.2</v>
      </c>
      <c r="P2204" s="116">
        <v>3095.1</v>
      </c>
      <c r="Q2204" s="116">
        <v>3088.8</v>
      </c>
      <c r="R2204">
        <v>1231164</v>
      </c>
    </row>
    <row r="2205" spans="1:18" x14ac:dyDescent="0.25">
      <c r="A2205" s="170">
        <v>45251</v>
      </c>
      <c r="B2205" s="116">
        <v>3097.55</v>
      </c>
      <c r="C2205" s="116">
        <v>3073.75</v>
      </c>
      <c r="D2205" s="116">
        <v>3063</v>
      </c>
      <c r="E2205" s="116">
        <v>3089</v>
      </c>
      <c r="F2205" s="116">
        <v>3073.75</v>
      </c>
      <c r="G2205">
        <v>26510</v>
      </c>
      <c r="H2205" s="116"/>
      <c r="I2205" s="116"/>
      <c r="L2205" s="170">
        <v>45251</v>
      </c>
      <c r="M2205" s="116">
        <v>3074.85</v>
      </c>
      <c r="N2205" s="116">
        <v>3099</v>
      </c>
      <c r="O2205" s="116">
        <v>3062.45</v>
      </c>
      <c r="P2205" s="116">
        <v>3088.5</v>
      </c>
      <c r="Q2205" s="116">
        <v>3074.85</v>
      </c>
      <c r="R2205">
        <v>1884782</v>
      </c>
    </row>
    <row r="2206" spans="1:18" x14ac:dyDescent="0.25">
      <c r="A2206" s="170">
        <v>45252</v>
      </c>
      <c r="B2206" s="116">
        <v>3088</v>
      </c>
      <c r="C2206" s="116">
        <v>3081.9</v>
      </c>
      <c r="D2206" s="116">
        <v>3063.25</v>
      </c>
      <c r="E2206" s="116">
        <v>3073.75</v>
      </c>
      <c r="F2206" s="116">
        <v>3081.9</v>
      </c>
      <c r="G2206">
        <v>22151</v>
      </c>
      <c r="H2206" s="116"/>
      <c r="I2206" s="116"/>
      <c r="L2206" s="170">
        <v>45252</v>
      </c>
      <c r="M2206" s="116">
        <v>3082.3</v>
      </c>
      <c r="N2206" s="116">
        <v>3088.65</v>
      </c>
      <c r="O2206" s="116">
        <v>3062.5</v>
      </c>
      <c r="P2206" s="116">
        <v>3074.85</v>
      </c>
      <c r="Q2206" s="116">
        <v>3082.3</v>
      </c>
      <c r="R2206">
        <v>1104208</v>
      </c>
    </row>
    <row r="2207" spans="1:18" x14ac:dyDescent="0.25">
      <c r="A2207" s="170">
        <v>45253</v>
      </c>
      <c r="B2207" s="116">
        <v>3087</v>
      </c>
      <c r="C2207" s="116">
        <v>3047.75</v>
      </c>
      <c r="D2207" s="116">
        <v>3032</v>
      </c>
      <c r="E2207" s="116">
        <v>3081.9</v>
      </c>
      <c r="F2207" s="116">
        <v>3047.75</v>
      </c>
      <c r="G2207">
        <v>63014</v>
      </c>
      <c r="H2207" s="116"/>
      <c r="I2207" s="116"/>
      <c r="L2207" s="170">
        <v>45253</v>
      </c>
      <c r="M2207" s="116">
        <v>3045.65</v>
      </c>
      <c r="N2207" s="116">
        <v>3088</v>
      </c>
      <c r="O2207" s="116">
        <v>3031.05</v>
      </c>
      <c r="P2207" s="116">
        <v>3080</v>
      </c>
      <c r="Q2207" s="116">
        <v>3045.65</v>
      </c>
      <c r="R2207">
        <v>1514688</v>
      </c>
    </row>
    <row r="2208" spans="1:18" x14ac:dyDescent="0.25">
      <c r="A2208" s="170">
        <v>45254</v>
      </c>
      <c r="B2208" s="116">
        <v>3066.2</v>
      </c>
      <c r="C2208" s="116">
        <v>3054</v>
      </c>
      <c r="D2208" s="116">
        <v>3040.15</v>
      </c>
      <c r="E2208" s="116">
        <v>3059</v>
      </c>
      <c r="F2208" s="116">
        <v>3054</v>
      </c>
      <c r="G2208">
        <v>186803</v>
      </c>
      <c r="H2208" s="116"/>
      <c r="I2208" s="116"/>
      <c r="L2208" s="170">
        <v>45254</v>
      </c>
      <c r="M2208" s="116">
        <v>3054.25</v>
      </c>
      <c r="N2208" s="116">
        <v>3067</v>
      </c>
      <c r="O2208" s="116">
        <v>3039.6</v>
      </c>
      <c r="P2208" s="116">
        <v>3050</v>
      </c>
      <c r="Q2208" s="116">
        <v>3054.25</v>
      </c>
      <c r="R2208">
        <v>915121</v>
      </c>
    </row>
    <row r="2209" spans="1:18" x14ac:dyDescent="0.25">
      <c r="A2209" s="170">
        <v>45258</v>
      </c>
      <c r="B2209" s="116">
        <v>3058</v>
      </c>
      <c r="C2209" s="116">
        <v>3049.95</v>
      </c>
      <c r="D2209" s="116">
        <v>3035</v>
      </c>
      <c r="E2209" s="116">
        <v>3054</v>
      </c>
      <c r="F2209" s="116">
        <v>3049.95</v>
      </c>
      <c r="G2209">
        <v>20679</v>
      </c>
      <c r="H2209" s="116"/>
      <c r="I2209" s="116"/>
      <c r="L2209" s="170">
        <v>45258</v>
      </c>
      <c r="M2209" s="116">
        <v>3050</v>
      </c>
      <c r="N2209" s="116">
        <v>3059.15</v>
      </c>
      <c r="O2209" s="116">
        <v>3035</v>
      </c>
      <c r="P2209" s="116">
        <v>3054</v>
      </c>
      <c r="Q2209" s="116">
        <v>3050</v>
      </c>
      <c r="R2209">
        <v>1210508</v>
      </c>
    </row>
    <row r="2210" spans="1:18" x14ac:dyDescent="0.25">
      <c r="A2210" s="170">
        <v>45259</v>
      </c>
      <c r="B2210" s="116">
        <v>3089.8</v>
      </c>
      <c r="C2210" s="116">
        <v>3080.05</v>
      </c>
      <c r="D2210" s="116">
        <v>3049.5</v>
      </c>
      <c r="E2210" s="116">
        <v>3052.9</v>
      </c>
      <c r="F2210" s="116">
        <v>3080.05</v>
      </c>
      <c r="G2210">
        <v>21817</v>
      </c>
      <c r="H2210" s="116"/>
      <c r="I2210" s="116"/>
      <c r="L2210" s="170">
        <v>45259</v>
      </c>
      <c r="M2210" s="116">
        <v>3083.75</v>
      </c>
      <c r="N2210" s="116">
        <v>3089.9</v>
      </c>
      <c r="O2210" s="116">
        <v>3049</v>
      </c>
      <c r="P2210" s="116">
        <v>3050</v>
      </c>
      <c r="Q2210" s="116">
        <v>3083.75</v>
      </c>
      <c r="R2210">
        <v>1801107</v>
      </c>
    </row>
    <row r="2211" spans="1:18" x14ac:dyDescent="0.25">
      <c r="A2211" s="170">
        <v>45260</v>
      </c>
      <c r="B2211" s="116">
        <v>3122</v>
      </c>
      <c r="C2211" s="116">
        <v>3111.65</v>
      </c>
      <c r="D2211" s="116">
        <v>3059</v>
      </c>
      <c r="E2211" s="116">
        <v>3080.05</v>
      </c>
      <c r="F2211" s="116">
        <v>3111.65</v>
      </c>
      <c r="G2211">
        <v>36571</v>
      </c>
      <c r="H2211" s="116"/>
      <c r="I2211" s="116"/>
      <c r="L2211" s="170">
        <v>45260</v>
      </c>
      <c r="M2211" s="116">
        <v>3109.2</v>
      </c>
      <c r="N2211" s="116">
        <v>3124.55</v>
      </c>
      <c r="O2211" s="116">
        <v>3058.7</v>
      </c>
      <c r="P2211" s="116">
        <v>3076.3</v>
      </c>
      <c r="Q2211" s="116">
        <v>3109.2</v>
      </c>
      <c r="R2211">
        <v>3131624</v>
      </c>
    </row>
    <row r="2212" spans="1:18" x14ac:dyDescent="0.25">
      <c r="A2212" s="170">
        <v>45261</v>
      </c>
      <c r="B2212" s="116">
        <v>3198.4</v>
      </c>
      <c r="C2212" s="116">
        <v>3189.95</v>
      </c>
      <c r="D2212" s="116">
        <v>3125.05</v>
      </c>
      <c r="E2212" s="116">
        <v>3125.05</v>
      </c>
      <c r="F2212" s="116">
        <v>3189.95</v>
      </c>
      <c r="G2212">
        <v>308977</v>
      </c>
      <c r="H2212" s="116"/>
      <c r="I2212" s="116"/>
      <c r="L2212" s="170">
        <v>45261</v>
      </c>
      <c r="M2212" s="116">
        <v>3190.65</v>
      </c>
      <c r="N2212" s="116">
        <v>3197.95</v>
      </c>
      <c r="O2212" s="116">
        <v>3121.05</v>
      </c>
      <c r="P2212" s="116">
        <v>3129.95</v>
      </c>
      <c r="Q2212" s="116">
        <v>3190.65</v>
      </c>
      <c r="R2212">
        <v>2112908</v>
      </c>
    </row>
    <row r="2213" spans="1:18" x14ac:dyDescent="0.25">
      <c r="A2213" s="170">
        <v>45264</v>
      </c>
      <c r="B2213" s="116">
        <v>3347.25</v>
      </c>
      <c r="C2213" s="116">
        <v>3313.65</v>
      </c>
      <c r="D2213" s="116">
        <v>3251</v>
      </c>
      <c r="E2213" s="116">
        <v>3262.1</v>
      </c>
      <c r="F2213" s="116">
        <v>3313.65</v>
      </c>
      <c r="G2213">
        <v>116704</v>
      </c>
      <c r="H2213" s="116"/>
      <c r="I2213" s="116"/>
      <c r="L2213" s="170">
        <v>45264</v>
      </c>
      <c r="M2213" s="116">
        <v>3313.55</v>
      </c>
      <c r="N2213" s="116">
        <v>3347.55</v>
      </c>
      <c r="O2213" s="116">
        <v>3250</v>
      </c>
      <c r="P2213" s="116">
        <v>3285</v>
      </c>
      <c r="Q2213" s="116">
        <v>3313.55</v>
      </c>
      <c r="R2213">
        <v>3095974</v>
      </c>
    </row>
    <row r="2214" spans="1:18" x14ac:dyDescent="0.25">
      <c r="A2214" s="170">
        <v>45265</v>
      </c>
      <c r="B2214" s="116">
        <v>3329.75</v>
      </c>
      <c r="C2214" s="116">
        <v>3315.15</v>
      </c>
      <c r="D2214" s="116">
        <v>3280.15</v>
      </c>
      <c r="E2214" s="116">
        <v>3329.75</v>
      </c>
      <c r="F2214" s="116">
        <v>3315.15</v>
      </c>
      <c r="G2214">
        <v>83544</v>
      </c>
      <c r="H2214" s="116"/>
      <c r="I2214" s="116"/>
      <c r="L2214" s="170">
        <v>45265</v>
      </c>
      <c r="M2214" s="116">
        <v>3315.45</v>
      </c>
      <c r="N2214" s="116">
        <v>3325</v>
      </c>
      <c r="O2214" s="116">
        <v>3279.05</v>
      </c>
      <c r="P2214" s="116">
        <v>3319.05</v>
      </c>
      <c r="Q2214" s="116">
        <v>3315.45</v>
      </c>
      <c r="R2214">
        <v>1659309</v>
      </c>
    </row>
    <row r="2215" spans="1:18" x14ac:dyDescent="0.25">
      <c r="A2215" s="170">
        <v>45266</v>
      </c>
      <c r="B2215" s="116">
        <v>3400</v>
      </c>
      <c r="C2215" s="116">
        <v>3391.6</v>
      </c>
      <c r="D2215" s="116">
        <v>3320.95</v>
      </c>
      <c r="E2215" s="116">
        <v>3325.15</v>
      </c>
      <c r="F2215" s="116">
        <v>3391.6</v>
      </c>
      <c r="G2215">
        <v>40054</v>
      </c>
      <c r="H2215" s="116"/>
      <c r="I2215" s="116"/>
      <c r="L2215" s="170">
        <v>45266</v>
      </c>
      <c r="M2215" s="116">
        <v>3392.3</v>
      </c>
      <c r="N2215" s="116">
        <v>3401</v>
      </c>
      <c r="O2215" s="116">
        <v>3321</v>
      </c>
      <c r="P2215" s="116">
        <v>3330</v>
      </c>
      <c r="Q2215" s="116">
        <v>3392.3</v>
      </c>
      <c r="R2215">
        <v>2057233</v>
      </c>
    </row>
    <row r="2216" spans="1:18" x14ac:dyDescent="0.25">
      <c r="A2216" s="170">
        <v>45267</v>
      </c>
      <c r="B2216" s="116">
        <v>3409.15</v>
      </c>
      <c r="C2216" s="116">
        <v>3360.75</v>
      </c>
      <c r="D2216" s="116">
        <v>3339</v>
      </c>
      <c r="E2216" s="116">
        <v>3398.95</v>
      </c>
      <c r="F2216" s="116">
        <v>3360.75</v>
      </c>
      <c r="G2216">
        <v>28862</v>
      </c>
      <c r="H2216" s="116"/>
      <c r="I2216" s="116"/>
      <c r="L2216" s="170">
        <v>45267</v>
      </c>
      <c r="M2216" s="116">
        <v>3355.6</v>
      </c>
      <c r="N2216" s="116">
        <v>3409.9</v>
      </c>
      <c r="O2216" s="116">
        <v>3337.05</v>
      </c>
      <c r="P2216" s="116">
        <v>3392.3</v>
      </c>
      <c r="Q2216" s="116">
        <v>3355.6</v>
      </c>
      <c r="R2216">
        <v>2128823</v>
      </c>
    </row>
    <row r="2217" spans="1:18" x14ac:dyDescent="0.25">
      <c r="A2217" s="170">
        <v>45268</v>
      </c>
      <c r="B2217" s="116">
        <v>3430</v>
      </c>
      <c r="C2217" s="116">
        <v>3378.75</v>
      </c>
      <c r="D2217" s="116">
        <v>3366.8</v>
      </c>
      <c r="E2217" s="116">
        <v>3380.85</v>
      </c>
      <c r="F2217" s="116">
        <v>3378.75</v>
      </c>
      <c r="G2217">
        <v>351390</v>
      </c>
      <c r="H2217" s="116"/>
      <c r="I2217" s="116"/>
      <c r="L2217" s="170">
        <v>45268</v>
      </c>
      <c r="M2217" s="116">
        <v>3378.45</v>
      </c>
      <c r="N2217" s="116">
        <v>3430</v>
      </c>
      <c r="O2217" s="116">
        <v>3366</v>
      </c>
      <c r="P2217" s="116">
        <v>3377</v>
      </c>
      <c r="Q2217" s="116">
        <v>3378.45</v>
      </c>
      <c r="R2217">
        <v>2428891</v>
      </c>
    </row>
    <row r="2218" spans="1:18" x14ac:dyDescent="0.25">
      <c r="A2218" s="170">
        <v>45271</v>
      </c>
      <c r="B2218" s="116">
        <v>3405</v>
      </c>
      <c r="C2218" s="116">
        <v>3384.5</v>
      </c>
      <c r="D2218" s="116">
        <v>3366.4</v>
      </c>
      <c r="E2218" s="116">
        <v>3380</v>
      </c>
      <c r="F2218" s="116">
        <v>3384.5</v>
      </c>
      <c r="G2218">
        <v>634935</v>
      </c>
      <c r="H2218" s="116"/>
      <c r="I2218" s="116"/>
      <c r="L2218" s="170">
        <v>45271</v>
      </c>
      <c r="M2218" s="116">
        <v>3385.8</v>
      </c>
      <c r="N2218" s="116">
        <v>3405</v>
      </c>
      <c r="O2218" s="116">
        <v>3360</v>
      </c>
      <c r="P2218" s="116">
        <v>3377.95</v>
      </c>
      <c r="Q2218" s="116">
        <v>3385.8</v>
      </c>
      <c r="R2218">
        <v>1534238</v>
      </c>
    </row>
    <row r="2219" spans="1:18" x14ac:dyDescent="0.25">
      <c r="A2219" s="170">
        <v>45272</v>
      </c>
      <c r="B2219" s="116">
        <v>3399.95</v>
      </c>
      <c r="C2219" s="116">
        <v>3343.1</v>
      </c>
      <c r="D2219" s="116">
        <v>3333</v>
      </c>
      <c r="E2219" s="116">
        <v>3399.95</v>
      </c>
      <c r="F2219" s="116">
        <v>3343.1</v>
      </c>
      <c r="G2219">
        <v>36170</v>
      </c>
      <c r="H2219" s="116"/>
      <c r="I2219" s="116"/>
      <c r="L2219" s="170">
        <v>45272</v>
      </c>
      <c r="M2219" s="116">
        <v>3342.4</v>
      </c>
      <c r="N2219" s="116">
        <v>3375</v>
      </c>
      <c r="O2219" s="116">
        <v>3332</v>
      </c>
      <c r="P2219" s="116">
        <v>3375</v>
      </c>
      <c r="Q2219" s="116">
        <v>3342.4</v>
      </c>
      <c r="R2219">
        <v>1888423</v>
      </c>
    </row>
    <row r="2220" spans="1:18" x14ac:dyDescent="0.25">
      <c r="A2220" s="170">
        <v>45273</v>
      </c>
      <c r="B2220" s="116">
        <v>3410</v>
      </c>
      <c r="C2220" s="116">
        <v>3400.05</v>
      </c>
      <c r="D2220" s="116">
        <v>3347.2</v>
      </c>
      <c r="E2220" s="116">
        <v>3350</v>
      </c>
      <c r="F2220" s="116">
        <v>3400.05</v>
      </c>
      <c r="G2220">
        <v>61085</v>
      </c>
      <c r="H2220" s="116"/>
      <c r="I2220" s="116"/>
      <c r="L2220" s="170">
        <v>45273</v>
      </c>
      <c r="M2220" s="116">
        <v>3399.8</v>
      </c>
      <c r="N2220" s="116">
        <v>3410</v>
      </c>
      <c r="O2220" s="116">
        <v>3346.2</v>
      </c>
      <c r="P2220" s="116">
        <v>3352.95</v>
      </c>
      <c r="Q2220" s="116">
        <v>3399.8</v>
      </c>
      <c r="R2220">
        <v>1509107</v>
      </c>
    </row>
    <row r="2221" spans="1:18" x14ac:dyDescent="0.25">
      <c r="A2221" s="170">
        <v>45274</v>
      </c>
      <c r="B2221" s="116">
        <v>3440</v>
      </c>
      <c r="C2221" s="116">
        <v>3433.85</v>
      </c>
      <c r="D2221" s="116">
        <v>3400.05</v>
      </c>
      <c r="E2221" s="116">
        <v>3418.05</v>
      </c>
      <c r="F2221" s="116">
        <v>3433.85</v>
      </c>
      <c r="G2221">
        <v>72194</v>
      </c>
      <c r="H2221" s="116"/>
      <c r="I2221" s="116"/>
      <c r="L2221" s="170">
        <v>45274</v>
      </c>
      <c r="M2221" s="116">
        <v>3433.1</v>
      </c>
      <c r="N2221" s="116">
        <v>3440</v>
      </c>
      <c r="O2221" s="116">
        <v>3400.1</v>
      </c>
      <c r="P2221" s="116">
        <v>3425.95</v>
      </c>
      <c r="Q2221" s="116">
        <v>3433.1</v>
      </c>
      <c r="R2221">
        <v>2425646</v>
      </c>
    </row>
    <row r="2222" spans="1:18" x14ac:dyDescent="0.25">
      <c r="A2222" s="170">
        <v>45275</v>
      </c>
      <c r="B2222" s="116">
        <v>3497.3</v>
      </c>
      <c r="C2222" s="116">
        <v>3486.85</v>
      </c>
      <c r="D2222" s="116">
        <v>3424.1</v>
      </c>
      <c r="E2222" s="116">
        <v>3424.1</v>
      </c>
      <c r="F2222" s="116">
        <v>3486.85</v>
      </c>
      <c r="G2222">
        <v>160510</v>
      </c>
      <c r="H2222" s="116"/>
      <c r="I2222" s="116"/>
      <c r="L2222" s="170">
        <v>45275</v>
      </c>
      <c r="M2222" s="116">
        <v>3488</v>
      </c>
      <c r="N2222" s="116">
        <v>3498.9</v>
      </c>
      <c r="O2222" s="116">
        <v>3432.85</v>
      </c>
      <c r="P2222" s="116">
        <v>3435.15</v>
      </c>
      <c r="Q2222" s="116">
        <v>3488</v>
      </c>
      <c r="R2222">
        <v>2632935</v>
      </c>
    </row>
    <row r="2223" spans="1:18" x14ac:dyDescent="0.25">
      <c r="A2223" s="170">
        <v>45278</v>
      </c>
      <c r="B2223" s="116">
        <v>3505.75</v>
      </c>
      <c r="C2223" s="116">
        <v>3491.2</v>
      </c>
      <c r="D2223" s="116">
        <v>3466</v>
      </c>
      <c r="E2223" s="116">
        <v>3499.95</v>
      </c>
      <c r="F2223" s="116">
        <v>3491.2</v>
      </c>
      <c r="G2223">
        <v>30370</v>
      </c>
      <c r="H2223" s="116"/>
      <c r="I2223" s="116"/>
      <c r="L2223" s="170">
        <v>45278</v>
      </c>
      <c r="M2223" s="116">
        <v>3491.6</v>
      </c>
      <c r="N2223" s="116">
        <v>3506</v>
      </c>
      <c r="O2223" s="116">
        <v>3466</v>
      </c>
      <c r="P2223" s="116">
        <v>3496</v>
      </c>
      <c r="Q2223" s="116">
        <v>3491.6</v>
      </c>
      <c r="R2223">
        <v>1767429</v>
      </c>
    </row>
    <row r="2224" spans="1:18" x14ac:dyDescent="0.25">
      <c r="A2224" s="170">
        <v>45279</v>
      </c>
      <c r="B2224" s="116">
        <v>3524.65</v>
      </c>
      <c r="C2224" s="116">
        <v>3498.9</v>
      </c>
      <c r="D2224" s="116">
        <v>3478.35</v>
      </c>
      <c r="E2224" s="116">
        <v>3494.15</v>
      </c>
      <c r="F2224" s="116">
        <v>3498.9</v>
      </c>
      <c r="G2224">
        <v>29299</v>
      </c>
      <c r="H2224" s="116"/>
      <c r="I2224" s="116"/>
      <c r="L2224" s="170">
        <v>45279</v>
      </c>
      <c r="M2224" s="116">
        <v>3498.95</v>
      </c>
      <c r="N2224" s="116">
        <v>3525</v>
      </c>
      <c r="O2224" s="116">
        <v>3476.05</v>
      </c>
      <c r="P2224" s="116">
        <v>3488.95</v>
      </c>
      <c r="Q2224" s="116">
        <v>3498.95</v>
      </c>
      <c r="R2224">
        <v>1311700</v>
      </c>
    </row>
    <row r="2225" spans="1:18" x14ac:dyDescent="0.25">
      <c r="A2225" s="170">
        <v>45280</v>
      </c>
      <c r="B2225" s="116">
        <v>3514.9</v>
      </c>
      <c r="C2225" s="116">
        <v>3420.25</v>
      </c>
      <c r="D2225" s="116">
        <v>3412</v>
      </c>
      <c r="E2225" s="116">
        <v>3506.7</v>
      </c>
      <c r="F2225" s="116">
        <v>3420.25</v>
      </c>
      <c r="G2225">
        <v>42716</v>
      </c>
      <c r="H2225" s="116"/>
      <c r="I2225" s="116"/>
      <c r="L2225" s="170">
        <v>45280</v>
      </c>
      <c r="M2225" s="116">
        <v>3418.5</v>
      </c>
      <c r="N2225" s="116">
        <v>3514.6</v>
      </c>
      <c r="O2225" s="116">
        <v>3412.55</v>
      </c>
      <c r="P2225" s="116">
        <v>3505</v>
      </c>
      <c r="Q2225" s="116">
        <v>3418.5</v>
      </c>
      <c r="R2225">
        <v>1876048</v>
      </c>
    </row>
    <row r="2226" spans="1:18" x14ac:dyDescent="0.25">
      <c r="A2226" s="170">
        <v>45281</v>
      </c>
      <c r="B2226" s="116">
        <v>3438.9</v>
      </c>
      <c r="C2226" s="116">
        <v>3425.15</v>
      </c>
      <c r="D2226" s="116">
        <v>3333</v>
      </c>
      <c r="E2226" s="116">
        <v>3386.05</v>
      </c>
      <c r="F2226" s="116">
        <v>3425.15</v>
      </c>
      <c r="G2226">
        <v>97412</v>
      </c>
      <c r="H2226" s="116"/>
      <c r="I2226" s="116"/>
      <c r="L2226" s="170">
        <v>45281</v>
      </c>
      <c r="M2226" s="116">
        <v>3424.15</v>
      </c>
      <c r="N2226" s="116">
        <v>3439.95</v>
      </c>
      <c r="O2226" s="116">
        <v>3333</v>
      </c>
      <c r="P2226" s="116">
        <v>3390.05</v>
      </c>
      <c r="Q2226" s="116">
        <v>3424.15</v>
      </c>
      <c r="R2226">
        <v>2292802</v>
      </c>
    </row>
    <row r="2227" spans="1:18" x14ac:dyDescent="0.25">
      <c r="A2227" s="170">
        <v>45282</v>
      </c>
      <c r="B2227" s="116">
        <v>3495.95</v>
      </c>
      <c r="C2227" s="116">
        <v>3476.3</v>
      </c>
      <c r="D2227" s="116">
        <v>3409.3</v>
      </c>
      <c r="E2227" s="116">
        <v>3426.65</v>
      </c>
      <c r="F2227" s="116">
        <v>3476.3</v>
      </c>
      <c r="G2227">
        <v>112973</v>
      </c>
      <c r="H2227" s="116"/>
      <c r="I2227" s="116"/>
      <c r="L2227" s="170">
        <v>45282</v>
      </c>
      <c r="M2227" s="116">
        <v>3477.95</v>
      </c>
      <c r="N2227" s="116">
        <v>3496</v>
      </c>
      <c r="O2227" s="116">
        <v>3408.6</v>
      </c>
      <c r="P2227" s="116">
        <v>3424</v>
      </c>
      <c r="Q2227" s="116">
        <v>3477.95</v>
      </c>
      <c r="R2227">
        <v>1681707</v>
      </c>
    </row>
    <row r="2228" spans="1:18" x14ac:dyDescent="0.25">
      <c r="A2228" s="170">
        <v>45286</v>
      </c>
      <c r="B2228" s="116">
        <v>3508.1</v>
      </c>
      <c r="C2228" s="116">
        <v>3489.2</v>
      </c>
      <c r="D2228" s="116">
        <v>3475</v>
      </c>
      <c r="E2228" s="116">
        <v>3475.3</v>
      </c>
      <c r="F2228" s="116">
        <v>3489.2</v>
      </c>
      <c r="G2228">
        <v>25616</v>
      </c>
      <c r="H2228" s="116"/>
      <c r="I2228" s="116"/>
      <c r="L2228" s="170">
        <v>45286</v>
      </c>
      <c r="M2228" s="116">
        <v>3490.05</v>
      </c>
      <c r="N2228" s="116">
        <v>3508.35</v>
      </c>
      <c r="O2228" s="116">
        <v>3477.95</v>
      </c>
      <c r="P2228" s="116">
        <v>3477.95</v>
      </c>
      <c r="Q2228" s="116">
        <v>3490.05</v>
      </c>
      <c r="R2228">
        <v>1072263</v>
      </c>
    </row>
    <row r="2229" spans="1:18" x14ac:dyDescent="0.25">
      <c r="A2229" s="170">
        <v>45287</v>
      </c>
      <c r="B2229" s="116">
        <v>3550</v>
      </c>
      <c r="C2229" s="116">
        <v>3543.6</v>
      </c>
      <c r="D2229" s="116">
        <v>3492.3</v>
      </c>
      <c r="E2229" s="116">
        <v>3492.3</v>
      </c>
      <c r="F2229" s="116">
        <v>3543.6</v>
      </c>
      <c r="G2229">
        <v>46210</v>
      </c>
      <c r="H2229" s="116"/>
      <c r="I2229" s="116"/>
      <c r="L2229" s="170">
        <v>45287</v>
      </c>
      <c r="M2229" s="116">
        <v>3544</v>
      </c>
      <c r="N2229" s="116">
        <v>3549</v>
      </c>
      <c r="O2229" s="116">
        <v>3504.15</v>
      </c>
      <c r="P2229" s="116">
        <v>3510</v>
      </c>
      <c r="Q2229" s="116">
        <v>3544</v>
      </c>
      <c r="R2229">
        <v>1389266</v>
      </c>
    </row>
    <row r="2230" spans="1:18" x14ac:dyDescent="0.25">
      <c r="A2230" s="170">
        <v>45288</v>
      </c>
      <c r="B2230" s="116">
        <v>3559.75</v>
      </c>
      <c r="C2230" s="116">
        <v>3518.05</v>
      </c>
      <c r="D2230" s="116">
        <v>3503.05</v>
      </c>
      <c r="E2230" s="116">
        <v>3544</v>
      </c>
      <c r="F2230" s="116">
        <v>3518.05</v>
      </c>
      <c r="G2230">
        <v>35768</v>
      </c>
      <c r="H2230" s="116"/>
      <c r="I2230" s="116"/>
      <c r="L2230" s="170">
        <v>45288</v>
      </c>
      <c r="M2230" s="116">
        <v>3518.05</v>
      </c>
      <c r="N2230" s="116">
        <v>3559.95</v>
      </c>
      <c r="O2230" s="116">
        <v>3500.5</v>
      </c>
      <c r="P2230" s="116">
        <v>3545</v>
      </c>
      <c r="Q2230" s="116">
        <v>3518.05</v>
      </c>
      <c r="R2230">
        <v>3371121</v>
      </c>
    </row>
    <row r="2231" spans="1:18" x14ac:dyDescent="0.25">
      <c r="A2231" s="170">
        <v>45289</v>
      </c>
      <c r="B2231" s="116">
        <v>3541.95</v>
      </c>
      <c r="C2231" s="116">
        <v>3527.05</v>
      </c>
      <c r="D2231" s="116">
        <v>3495</v>
      </c>
      <c r="E2231" s="116">
        <v>3527.2</v>
      </c>
      <c r="F2231" s="116">
        <v>3527.05</v>
      </c>
      <c r="G2231">
        <v>97535</v>
      </c>
      <c r="H2231" s="116"/>
      <c r="I2231" s="116"/>
      <c r="L2231" s="170">
        <v>45289</v>
      </c>
      <c r="M2231" s="116">
        <v>3526</v>
      </c>
      <c r="N2231" s="116">
        <v>3540</v>
      </c>
      <c r="O2231" s="116">
        <v>3495</v>
      </c>
      <c r="P2231" s="116">
        <v>3531</v>
      </c>
      <c r="Q2231" s="116">
        <v>3526</v>
      </c>
      <c r="R2231">
        <v>968577</v>
      </c>
    </row>
    <row r="2232" spans="1:18" x14ac:dyDescent="0.25">
      <c r="A2232" s="170">
        <v>45292</v>
      </c>
      <c r="B2232" s="116">
        <v>3536.95</v>
      </c>
      <c r="C2232" s="116">
        <v>3522.35</v>
      </c>
      <c r="D2232" s="116">
        <v>3497.25</v>
      </c>
      <c r="E2232" s="116">
        <v>3531.2</v>
      </c>
      <c r="F2232" s="116">
        <v>3522.35</v>
      </c>
      <c r="G2232">
        <v>44577</v>
      </c>
      <c r="H2232" s="116"/>
      <c r="I2232" s="116"/>
      <c r="L2232" s="170">
        <v>45292</v>
      </c>
      <c r="M2232" s="116">
        <v>3525.45</v>
      </c>
      <c r="N2232" s="116">
        <v>3538</v>
      </c>
      <c r="O2232" s="116">
        <v>3496.05</v>
      </c>
      <c r="P2232" s="116">
        <v>3538</v>
      </c>
      <c r="Q2232" s="116">
        <v>3525.45</v>
      </c>
      <c r="R2232">
        <v>777080</v>
      </c>
    </row>
    <row r="2233" spans="1:18" x14ac:dyDescent="0.25">
      <c r="A2233" s="170">
        <v>45293</v>
      </c>
      <c r="B2233" s="116">
        <v>3531.75</v>
      </c>
      <c r="C2233" s="116">
        <v>3439.1</v>
      </c>
      <c r="D2233" s="116">
        <v>3432.2</v>
      </c>
      <c r="E2233" s="116">
        <v>3531.75</v>
      </c>
      <c r="F2233" s="116">
        <v>3439.1</v>
      </c>
      <c r="G2233">
        <v>40377</v>
      </c>
      <c r="H2233" s="116"/>
      <c r="I2233" s="116"/>
      <c r="L2233" s="170">
        <v>45293</v>
      </c>
      <c r="M2233" s="116">
        <v>3438.1</v>
      </c>
      <c r="N2233" s="116">
        <v>3525.45</v>
      </c>
      <c r="O2233" s="116">
        <v>3432</v>
      </c>
      <c r="P2233" s="116">
        <v>3525.05</v>
      </c>
      <c r="Q2233" s="116">
        <v>3438.1</v>
      </c>
      <c r="R2233">
        <v>1511464</v>
      </c>
    </row>
    <row r="2234" spans="1:18" x14ac:dyDescent="0.25">
      <c r="A2234" s="170">
        <v>45294</v>
      </c>
      <c r="B2234" s="116">
        <v>3465.55</v>
      </c>
      <c r="C2234" s="116">
        <v>3441.05</v>
      </c>
      <c r="D2234" s="116">
        <v>3412.3</v>
      </c>
      <c r="E2234" s="116">
        <v>3437.85</v>
      </c>
      <c r="F2234" s="116">
        <v>3441.05</v>
      </c>
      <c r="G2234">
        <v>76717</v>
      </c>
      <c r="H2234" s="116"/>
      <c r="I2234" s="116"/>
      <c r="L2234" s="170">
        <v>45294</v>
      </c>
      <c r="M2234" s="116">
        <v>3440.35</v>
      </c>
      <c r="N2234" s="116">
        <v>3465.85</v>
      </c>
      <c r="O2234" s="116">
        <v>3411.6</v>
      </c>
      <c r="P2234" s="116">
        <v>3433</v>
      </c>
      <c r="Q2234" s="116">
        <v>3440.35</v>
      </c>
      <c r="R2234">
        <v>1283859</v>
      </c>
    </row>
    <row r="2235" spans="1:18" x14ac:dyDescent="0.25">
      <c r="A2235" s="170">
        <v>45295</v>
      </c>
      <c r="B2235" s="116">
        <v>3480</v>
      </c>
      <c r="C2235" s="116">
        <v>3459.15</v>
      </c>
      <c r="D2235" s="116">
        <v>3425</v>
      </c>
      <c r="E2235" s="116">
        <v>3443.85</v>
      </c>
      <c r="F2235" s="116">
        <v>3459.15</v>
      </c>
      <c r="G2235">
        <v>46086</v>
      </c>
      <c r="H2235" s="116"/>
      <c r="I2235" s="116"/>
      <c r="L2235" s="170">
        <v>45295</v>
      </c>
      <c r="M2235" s="116">
        <v>3458.7</v>
      </c>
      <c r="N2235" s="116">
        <v>3480.1</v>
      </c>
      <c r="O2235" s="116">
        <v>3423</v>
      </c>
      <c r="P2235" s="116">
        <v>3441.05</v>
      </c>
      <c r="Q2235" s="116">
        <v>3458.7</v>
      </c>
      <c r="R2235">
        <v>1651616</v>
      </c>
    </row>
    <row r="2236" spans="1:18" x14ac:dyDescent="0.25">
      <c r="A2236" s="170">
        <v>45296</v>
      </c>
      <c r="B2236" s="116">
        <v>3554.9</v>
      </c>
      <c r="C2236" s="116">
        <v>3515.05</v>
      </c>
      <c r="D2236" s="116">
        <v>3460.6</v>
      </c>
      <c r="E2236" s="116">
        <v>3468.45</v>
      </c>
      <c r="F2236" s="116">
        <v>3515.05</v>
      </c>
      <c r="G2236">
        <v>190234</v>
      </c>
      <c r="H2236" s="116"/>
      <c r="I2236" s="116"/>
      <c r="L2236" s="170">
        <v>45296</v>
      </c>
      <c r="M2236" s="116">
        <v>3521.9</v>
      </c>
      <c r="N2236" s="116">
        <v>3555</v>
      </c>
      <c r="O2236" s="116">
        <v>3460</v>
      </c>
      <c r="P2236" s="116">
        <v>3464.95</v>
      </c>
      <c r="Q2236" s="116">
        <v>3521.9</v>
      </c>
      <c r="R2236">
        <v>2069018</v>
      </c>
    </row>
    <row r="2237" spans="1:18" x14ac:dyDescent="0.25">
      <c r="A2237" s="170">
        <v>45299</v>
      </c>
      <c r="B2237" s="116">
        <v>3560</v>
      </c>
      <c r="C2237" s="116">
        <v>3500.25</v>
      </c>
      <c r="D2237" s="116">
        <v>3489</v>
      </c>
      <c r="E2237" s="116">
        <v>3543.55</v>
      </c>
      <c r="F2237" s="116">
        <v>3500.25</v>
      </c>
      <c r="G2237">
        <v>50424</v>
      </c>
      <c r="H2237" s="116"/>
      <c r="I2237" s="116"/>
      <c r="L2237" s="170">
        <v>45299</v>
      </c>
      <c r="M2237" s="116">
        <v>3501.1</v>
      </c>
      <c r="N2237" s="116">
        <v>3559.95</v>
      </c>
      <c r="O2237" s="116">
        <v>3490</v>
      </c>
      <c r="P2237" s="116">
        <v>3540</v>
      </c>
      <c r="Q2237" s="116">
        <v>3501.1</v>
      </c>
      <c r="R2237">
        <v>1993855</v>
      </c>
    </row>
    <row r="2238" spans="1:18" x14ac:dyDescent="0.25">
      <c r="A2238" s="170">
        <v>45300</v>
      </c>
      <c r="B2238" s="116">
        <v>3594.75</v>
      </c>
      <c r="C2238" s="116">
        <v>3554.35</v>
      </c>
      <c r="D2238" s="116">
        <v>3522.6</v>
      </c>
      <c r="E2238" s="116">
        <v>3525.1</v>
      </c>
      <c r="F2238" s="116">
        <v>3554.35</v>
      </c>
      <c r="G2238">
        <v>53204</v>
      </c>
      <c r="H2238" s="116"/>
      <c r="I2238" s="116"/>
      <c r="L2238" s="170">
        <v>45300</v>
      </c>
      <c r="M2238" s="116">
        <v>3555.95</v>
      </c>
      <c r="N2238" s="116">
        <v>3593.75</v>
      </c>
      <c r="O2238" s="116">
        <v>3520.1</v>
      </c>
      <c r="P2238" s="116">
        <v>3527.45</v>
      </c>
      <c r="Q2238" s="116">
        <v>3555.95</v>
      </c>
      <c r="R2238">
        <v>1807271</v>
      </c>
    </row>
    <row r="2239" spans="1:18" x14ac:dyDescent="0.25">
      <c r="A2239" s="170">
        <v>45301</v>
      </c>
      <c r="B2239" s="116">
        <v>3559.1</v>
      </c>
      <c r="C2239" s="116">
        <v>3547.05</v>
      </c>
      <c r="D2239" s="116">
        <v>3520</v>
      </c>
      <c r="E2239" s="116">
        <v>3554</v>
      </c>
      <c r="F2239" s="116">
        <v>3547.05</v>
      </c>
      <c r="G2239">
        <v>30257</v>
      </c>
      <c r="H2239" s="116"/>
      <c r="I2239" s="116"/>
      <c r="L2239" s="170">
        <v>45301</v>
      </c>
      <c r="M2239" s="116">
        <v>3545.5</v>
      </c>
      <c r="N2239" s="116">
        <v>3558.95</v>
      </c>
      <c r="O2239" s="116">
        <v>3520</v>
      </c>
      <c r="P2239" s="116">
        <v>3549.95</v>
      </c>
      <c r="Q2239" s="116">
        <v>3545.5</v>
      </c>
      <c r="R2239">
        <v>1534821</v>
      </c>
    </row>
    <row r="2240" spans="1:18" x14ac:dyDescent="0.25">
      <c r="A2240" s="170">
        <v>45302</v>
      </c>
      <c r="B2240" s="116">
        <v>3559.95</v>
      </c>
      <c r="C2240" s="116">
        <v>3505.2</v>
      </c>
      <c r="D2240" s="116">
        <v>3500.7</v>
      </c>
      <c r="E2240" s="116">
        <v>3554.75</v>
      </c>
      <c r="F2240" s="116">
        <v>3505.2</v>
      </c>
      <c r="G2240">
        <v>44351</v>
      </c>
      <c r="H2240" s="116"/>
      <c r="I2240" s="116"/>
      <c r="L2240" s="170">
        <v>45302</v>
      </c>
      <c r="M2240" s="116">
        <v>3504.85</v>
      </c>
      <c r="N2240" s="116">
        <v>3559.55</v>
      </c>
      <c r="O2240" s="116">
        <v>3500.55</v>
      </c>
      <c r="P2240" s="116">
        <v>3545.5</v>
      </c>
      <c r="Q2240" s="116">
        <v>3504.85</v>
      </c>
      <c r="R2240">
        <v>1105348</v>
      </c>
    </row>
    <row r="2241" spans="1:18" x14ac:dyDescent="0.25">
      <c r="A2241" s="170">
        <v>45303</v>
      </c>
      <c r="B2241" s="116">
        <v>3575.75</v>
      </c>
      <c r="C2241" s="116">
        <v>3565.95</v>
      </c>
      <c r="D2241" s="116">
        <v>3494.85</v>
      </c>
      <c r="E2241" s="116">
        <v>3519.8</v>
      </c>
      <c r="F2241" s="116">
        <v>3565.95</v>
      </c>
      <c r="G2241">
        <v>234995</v>
      </c>
      <c r="H2241" s="116"/>
      <c r="I2241" s="116"/>
      <c r="L2241" s="170">
        <v>45303</v>
      </c>
      <c r="M2241" s="116">
        <v>3568.8</v>
      </c>
      <c r="N2241" s="116">
        <v>3578.65</v>
      </c>
      <c r="O2241" s="116">
        <v>3494.05</v>
      </c>
      <c r="P2241" s="116">
        <v>3505.05</v>
      </c>
      <c r="Q2241" s="116">
        <v>3568.8</v>
      </c>
      <c r="R2241">
        <v>1782631</v>
      </c>
    </row>
    <row r="2242" spans="1:18" x14ac:dyDescent="0.25">
      <c r="A2242" s="170">
        <v>45306</v>
      </c>
      <c r="B2242" s="116">
        <v>3605.55</v>
      </c>
      <c r="C2242" s="116">
        <v>3542.5</v>
      </c>
      <c r="D2242" s="116">
        <v>3537.45</v>
      </c>
      <c r="E2242" s="116">
        <v>3575</v>
      </c>
      <c r="F2242" s="116">
        <v>3542.5</v>
      </c>
      <c r="G2242">
        <v>54708</v>
      </c>
      <c r="H2242" s="116"/>
      <c r="I2242" s="116"/>
      <c r="L2242" s="170">
        <v>45306</v>
      </c>
      <c r="M2242" s="116">
        <v>3543.05</v>
      </c>
      <c r="N2242" s="116">
        <v>3605.7</v>
      </c>
      <c r="O2242" s="116">
        <v>3538.05</v>
      </c>
      <c r="P2242" s="116">
        <v>3576.1</v>
      </c>
      <c r="Q2242" s="116">
        <v>3543.05</v>
      </c>
      <c r="R2242">
        <v>1783518</v>
      </c>
    </row>
    <row r="2243" spans="1:18" x14ac:dyDescent="0.25">
      <c r="A2243" s="170">
        <v>45307</v>
      </c>
      <c r="B2243" s="116">
        <v>3588</v>
      </c>
      <c r="C2243" s="116">
        <v>3573.8</v>
      </c>
      <c r="D2243" s="116">
        <v>3538.65</v>
      </c>
      <c r="E2243" s="116">
        <v>3544.15</v>
      </c>
      <c r="F2243" s="116">
        <v>3573.8</v>
      </c>
      <c r="G2243">
        <v>33919</v>
      </c>
      <c r="H2243" s="116"/>
      <c r="I2243" s="116"/>
      <c r="L2243" s="170">
        <v>45307</v>
      </c>
      <c r="M2243" s="116">
        <v>3573.5</v>
      </c>
      <c r="N2243" s="116">
        <v>3589</v>
      </c>
      <c r="O2243" s="116">
        <v>3538</v>
      </c>
      <c r="P2243" s="116">
        <v>3548</v>
      </c>
      <c r="Q2243" s="116">
        <v>3573.5</v>
      </c>
      <c r="R2243">
        <v>1791818</v>
      </c>
    </row>
    <row r="2244" spans="1:18" x14ac:dyDescent="0.25">
      <c r="A2244" s="170">
        <v>45308</v>
      </c>
      <c r="B2244" s="116">
        <v>3614</v>
      </c>
      <c r="C2244" s="116">
        <v>3571.7</v>
      </c>
      <c r="D2244" s="116">
        <v>3546.05</v>
      </c>
      <c r="E2244" s="116">
        <v>3569.9</v>
      </c>
      <c r="F2244" s="116">
        <v>3571.7</v>
      </c>
      <c r="G2244">
        <v>92700</v>
      </c>
      <c r="H2244" s="116"/>
      <c r="I2244" s="116"/>
      <c r="L2244" s="170">
        <v>45308</v>
      </c>
      <c r="M2244" s="116">
        <v>3570.95</v>
      </c>
      <c r="N2244" s="116">
        <v>3614.45</v>
      </c>
      <c r="O2244" s="116">
        <v>3547.7</v>
      </c>
      <c r="P2244" s="116">
        <v>3555</v>
      </c>
      <c r="Q2244" s="116">
        <v>3570.95</v>
      </c>
      <c r="R2244">
        <v>2699076</v>
      </c>
    </row>
    <row r="2245" spans="1:18" x14ac:dyDescent="0.25">
      <c r="A2245" s="170">
        <v>45309</v>
      </c>
      <c r="B2245" s="116">
        <v>3615.5</v>
      </c>
      <c r="C2245" s="116">
        <v>3596.6</v>
      </c>
      <c r="D2245" s="116">
        <v>3525.3</v>
      </c>
      <c r="E2245" s="116">
        <v>3574.4</v>
      </c>
      <c r="F2245" s="116">
        <v>3596.6</v>
      </c>
      <c r="G2245">
        <v>166788</v>
      </c>
      <c r="H2245" s="116"/>
      <c r="I2245" s="116"/>
      <c r="L2245" s="170">
        <v>45309</v>
      </c>
      <c r="M2245" s="116">
        <v>3596</v>
      </c>
      <c r="N2245" s="116">
        <v>3616.95</v>
      </c>
      <c r="O2245" s="116">
        <v>3525</v>
      </c>
      <c r="P2245" s="116">
        <v>3570.8</v>
      </c>
      <c r="Q2245" s="116">
        <v>3596</v>
      </c>
      <c r="R2245">
        <v>2148898</v>
      </c>
    </row>
    <row r="2246" spans="1:18" x14ac:dyDescent="0.25">
      <c r="A2246" s="170">
        <v>45310</v>
      </c>
      <c r="B2246" s="116">
        <v>3654</v>
      </c>
      <c r="C2246" s="116">
        <v>3645.9</v>
      </c>
      <c r="D2246" s="116">
        <v>3600</v>
      </c>
      <c r="E2246" s="116">
        <v>3600</v>
      </c>
      <c r="F2246" s="116">
        <v>3645.9</v>
      </c>
      <c r="G2246">
        <v>217113</v>
      </c>
      <c r="H2246" s="116"/>
      <c r="I2246" s="116"/>
      <c r="L2246" s="170">
        <v>45310</v>
      </c>
      <c r="M2246" s="116">
        <v>3646</v>
      </c>
      <c r="N2246" s="116">
        <v>3655.85</v>
      </c>
      <c r="O2246" s="116">
        <v>3603</v>
      </c>
      <c r="P2246" s="116">
        <v>3603</v>
      </c>
      <c r="Q2246" s="116">
        <v>3646</v>
      </c>
      <c r="R2246">
        <v>1913923</v>
      </c>
    </row>
    <row r="2247" spans="1:18" x14ac:dyDescent="0.25">
      <c r="A2247" s="170">
        <v>45311</v>
      </c>
      <c r="B2247" s="116">
        <v>3697.9</v>
      </c>
      <c r="C2247" s="116">
        <v>3633.7</v>
      </c>
      <c r="D2247" s="116">
        <v>3623.4</v>
      </c>
      <c r="E2247" s="116">
        <v>3697.9</v>
      </c>
      <c r="F2247" s="116">
        <v>3633.7</v>
      </c>
      <c r="G2247">
        <v>12985</v>
      </c>
      <c r="H2247" s="116"/>
      <c r="I2247" s="116"/>
      <c r="L2247" s="170">
        <v>45311</v>
      </c>
      <c r="M2247" s="116">
        <v>3634.5</v>
      </c>
      <c r="N2247" s="116">
        <v>3670</v>
      </c>
      <c r="O2247" s="116">
        <v>3621.05</v>
      </c>
      <c r="P2247" s="116">
        <v>3667</v>
      </c>
      <c r="Q2247" s="116">
        <v>3634.5</v>
      </c>
      <c r="R2247">
        <v>468514</v>
      </c>
    </row>
    <row r="2248" spans="1:18" x14ac:dyDescent="0.25">
      <c r="A2248" s="170">
        <v>45314</v>
      </c>
      <c r="B2248" s="116">
        <v>3660.5</v>
      </c>
      <c r="C2248" s="116">
        <v>3547.9</v>
      </c>
      <c r="D2248" s="116">
        <v>3538.1</v>
      </c>
      <c r="E2248" s="116">
        <v>3649.9</v>
      </c>
      <c r="F2248" s="116">
        <v>3547.9</v>
      </c>
      <c r="G2248">
        <v>40955</v>
      </c>
      <c r="H2248" s="116"/>
      <c r="I2248" s="116"/>
      <c r="L2248" s="170">
        <v>45314</v>
      </c>
      <c r="M2248" s="116">
        <v>3551</v>
      </c>
      <c r="N2248" s="116">
        <v>3661.35</v>
      </c>
      <c r="O2248" s="116">
        <v>3536.2</v>
      </c>
      <c r="P2248" s="116">
        <v>3637.6</v>
      </c>
      <c r="Q2248" s="116">
        <v>3551</v>
      </c>
      <c r="R2248">
        <v>1742142</v>
      </c>
    </row>
    <row r="2249" spans="1:18" x14ac:dyDescent="0.25">
      <c r="A2249" s="170">
        <v>45315</v>
      </c>
      <c r="B2249" s="116">
        <v>3618.5</v>
      </c>
      <c r="C2249" s="116">
        <v>3590.3</v>
      </c>
      <c r="D2249" s="116">
        <v>3522.45</v>
      </c>
      <c r="E2249" s="116">
        <v>3556.15</v>
      </c>
      <c r="F2249" s="116">
        <v>3590.3</v>
      </c>
      <c r="G2249">
        <v>55209</v>
      </c>
      <c r="H2249" s="116"/>
      <c r="I2249" s="116"/>
      <c r="L2249" s="170">
        <v>45315</v>
      </c>
      <c r="M2249" s="116">
        <v>3589.2</v>
      </c>
      <c r="N2249" s="116">
        <v>3617.95</v>
      </c>
      <c r="O2249" s="116">
        <v>3521.7</v>
      </c>
      <c r="P2249" s="116">
        <v>3570</v>
      </c>
      <c r="Q2249" s="116">
        <v>3589.2</v>
      </c>
      <c r="R2249">
        <v>3711521</v>
      </c>
    </row>
    <row r="2250" spans="1:18" x14ac:dyDescent="0.25">
      <c r="A2250" s="170">
        <v>45316</v>
      </c>
      <c r="B2250" s="116">
        <v>3617.8</v>
      </c>
      <c r="C2250" s="116">
        <v>3591.7</v>
      </c>
      <c r="D2250" s="116">
        <v>3563.2</v>
      </c>
      <c r="E2250" s="116">
        <v>3595.6</v>
      </c>
      <c r="F2250" s="116">
        <v>3591.7</v>
      </c>
      <c r="G2250">
        <v>157054</v>
      </c>
      <c r="H2250" s="116"/>
      <c r="I2250" s="116"/>
      <c r="L2250" s="170">
        <v>45316</v>
      </c>
      <c r="M2250" s="116">
        <v>3593.45</v>
      </c>
      <c r="N2250" s="116">
        <v>3618.25</v>
      </c>
      <c r="O2250" s="116">
        <v>3564.8</v>
      </c>
      <c r="P2250" s="116">
        <v>3599.9</v>
      </c>
      <c r="Q2250" s="116">
        <v>3593.45</v>
      </c>
      <c r="R2250">
        <v>2206540</v>
      </c>
    </row>
    <row r="2251" spans="1:18" x14ac:dyDescent="0.25">
      <c r="A2251" s="170">
        <v>45320</v>
      </c>
      <c r="B2251" s="116">
        <v>3733.1</v>
      </c>
      <c r="C2251" s="116">
        <v>3708.35</v>
      </c>
      <c r="D2251" s="116">
        <v>3596.6</v>
      </c>
      <c r="E2251" s="116">
        <v>3596.6</v>
      </c>
      <c r="F2251" s="116">
        <v>3708.35</v>
      </c>
      <c r="G2251">
        <v>50669</v>
      </c>
      <c r="H2251" s="116"/>
      <c r="I2251" s="116"/>
      <c r="L2251" s="170">
        <v>45320</v>
      </c>
      <c r="M2251" s="116">
        <v>3708</v>
      </c>
      <c r="N2251" s="116">
        <v>3733.85</v>
      </c>
      <c r="O2251" s="116">
        <v>3600.1</v>
      </c>
      <c r="P2251" s="116">
        <v>3604</v>
      </c>
      <c r="Q2251" s="116">
        <v>3708</v>
      </c>
      <c r="R2251">
        <v>2072982</v>
      </c>
    </row>
    <row r="2252" spans="1:18" x14ac:dyDescent="0.25">
      <c r="A2252" s="170">
        <v>45321</v>
      </c>
      <c r="B2252" s="116">
        <v>3738.9</v>
      </c>
      <c r="C2252" s="116">
        <v>3633.4</v>
      </c>
      <c r="D2252" s="116">
        <v>3625</v>
      </c>
      <c r="E2252" s="116">
        <v>3724.85</v>
      </c>
      <c r="F2252" s="116">
        <v>3633.4</v>
      </c>
      <c r="G2252">
        <v>72538</v>
      </c>
      <c r="H2252" s="116"/>
      <c r="I2252" s="116"/>
      <c r="L2252" s="170">
        <v>45321</v>
      </c>
      <c r="M2252" s="116">
        <v>3633.3</v>
      </c>
      <c r="N2252" s="116">
        <v>3737.9</v>
      </c>
      <c r="O2252" s="116">
        <v>3624.9</v>
      </c>
      <c r="P2252" s="116">
        <v>3715.95</v>
      </c>
      <c r="Q2252" s="116">
        <v>3633.3</v>
      </c>
      <c r="R2252">
        <v>1454989</v>
      </c>
    </row>
    <row r="2253" spans="1:18" x14ac:dyDescent="0.25">
      <c r="A2253" s="170">
        <v>45322</v>
      </c>
      <c r="B2253" s="116">
        <v>3539.2</v>
      </c>
      <c r="C2253" s="116">
        <v>3480.15</v>
      </c>
      <c r="D2253" s="116">
        <v>3387.4</v>
      </c>
      <c r="E2253" s="116">
        <v>3524.85</v>
      </c>
      <c r="F2253" s="116">
        <v>3480.15</v>
      </c>
      <c r="G2253">
        <v>364211</v>
      </c>
      <c r="H2253" s="116"/>
      <c r="I2253" s="116"/>
      <c r="L2253" s="170">
        <v>45322</v>
      </c>
      <c r="M2253" s="116">
        <v>3479.75</v>
      </c>
      <c r="N2253" s="116">
        <v>3538</v>
      </c>
      <c r="O2253" s="116">
        <v>3387.05</v>
      </c>
      <c r="P2253" s="116">
        <v>3520</v>
      </c>
      <c r="Q2253" s="116">
        <v>3479.75</v>
      </c>
      <c r="R2253">
        <v>9637606</v>
      </c>
    </row>
    <row r="2254" spans="1:18" x14ac:dyDescent="0.25">
      <c r="A2254" s="170">
        <v>45323</v>
      </c>
      <c r="B2254" s="116">
        <v>3493.85</v>
      </c>
      <c r="C2254" s="116">
        <v>3397.2</v>
      </c>
      <c r="D2254" s="116">
        <v>3371.2</v>
      </c>
      <c r="E2254" s="116">
        <v>3493.85</v>
      </c>
      <c r="F2254" s="116">
        <v>3397.2</v>
      </c>
      <c r="G2254">
        <v>475553</v>
      </c>
      <c r="H2254" s="116"/>
      <c r="I2254" s="116"/>
      <c r="L2254" s="170">
        <v>45323</v>
      </c>
      <c r="M2254" s="116">
        <v>3398</v>
      </c>
      <c r="N2254" s="116">
        <v>3493.75</v>
      </c>
      <c r="O2254" s="116">
        <v>3371</v>
      </c>
      <c r="P2254" s="116">
        <v>3480</v>
      </c>
      <c r="Q2254" s="116">
        <v>3398</v>
      </c>
      <c r="R2254">
        <v>6149780</v>
      </c>
    </row>
    <row r="2255" spans="1:18" x14ac:dyDescent="0.25">
      <c r="A2255" s="170">
        <v>45324</v>
      </c>
      <c r="B2255" s="116">
        <v>3435.8</v>
      </c>
      <c r="C2255" s="116">
        <v>3377.8</v>
      </c>
      <c r="D2255" s="116">
        <v>3361.25</v>
      </c>
      <c r="E2255" s="116">
        <v>3429.85</v>
      </c>
      <c r="F2255" s="116">
        <v>3377.8</v>
      </c>
      <c r="G2255">
        <v>222671</v>
      </c>
      <c r="H2255" s="116"/>
      <c r="I2255" s="116"/>
      <c r="L2255" s="170">
        <v>45324</v>
      </c>
      <c r="M2255" s="116">
        <v>3376.05</v>
      </c>
      <c r="N2255" s="116">
        <v>3436.35</v>
      </c>
      <c r="O2255" s="116">
        <v>3361</v>
      </c>
      <c r="P2255" s="116">
        <v>3402.7</v>
      </c>
      <c r="Q2255" s="116">
        <v>3376.05</v>
      </c>
      <c r="R2255">
        <v>7579802</v>
      </c>
    </row>
    <row r="2256" spans="1:18" x14ac:dyDescent="0.25">
      <c r="A2256" s="170">
        <v>45327</v>
      </c>
      <c r="B2256" s="116">
        <v>3405</v>
      </c>
      <c r="C2256" s="116">
        <v>3340.5</v>
      </c>
      <c r="D2256" s="116">
        <v>3320</v>
      </c>
      <c r="E2256" s="116">
        <v>3377.8</v>
      </c>
      <c r="F2256" s="116">
        <v>3340.5</v>
      </c>
      <c r="G2256">
        <v>167837</v>
      </c>
      <c r="H2256" s="116"/>
      <c r="I2256" s="116"/>
      <c r="L2256" s="170">
        <v>45327</v>
      </c>
      <c r="M2256" s="116">
        <v>3341.75</v>
      </c>
      <c r="N2256" s="116">
        <v>3407.95</v>
      </c>
      <c r="O2256" s="116">
        <v>3318.45</v>
      </c>
      <c r="P2256" s="116">
        <v>3375.5</v>
      </c>
      <c r="Q2256" s="116">
        <v>3341.75</v>
      </c>
      <c r="R2256">
        <v>2954238</v>
      </c>
    </row>
    <row r="2257" spans="1:18" x14ac:dyDescent="0.25">
      <c r="A2257" s="170">
        <v>45328</v>
      </c>
      <c r="B2257" s="116">
        <v>3426.65</v>
      </c>
      <c r="C2257" s="116">
        <v>3423.65</v>
      </c>
      <c r="D2257" s="116">
        <v>3337.35</v>
      </c>
      <c r="E2257" s="116">
        <v>3352.75</v>
      </c>
      <c r="F2257" s="116">
        <v>3423.65</v>
      </c>
      <c r="G2257">
        <v>106394</v>
      </c>
      <c r="H2257" s="116"/>
      <c r="I2257" s="116"/>
      <c r="L2257" s="170">
        <v>45328</v>
      </c>
      <c r="M2257" s="116">
        <v>3424.25</v>
      </c>
      <c r="N2257" s="116">
        <v>3427.75</v>
      </c>
      <c r="O2257" s="116">
        <v>3337.55</v>
      </c>
      <c r="P2257" s="116">
        <v>3346</v>
      </c>
      <c r="Q2257" s="116">
        <v>3424.25</v>
      </c>
      <c r="R2257">
        <v>2545192</v>
      </c>
    </row>
    <row r="2258" spans="1:18" x14ac:dyDescent="0.25">
      <c r="A2258" s="170">
        <v>45329</v>
      </c>
      <c r="B2258" s="116">
        <v>3458.75</v>
      </c>
      <c r="C2258" s="116">
        <v>3393.75</v>
      </c>
      <c r="D2258" s="116">
        <v>3390</v>
      </c>
      <c r="E2258" s="116">
        <v>3458.75</v>
      </c>
      <c r="F2258" s="116">
        <v>3393.75</v>
      </c>
      <c r="G2258">
        <v>41512</v>
      </c>
      <c r="H2258" s="116"/>
      <c r="I2258" s="116"/>
      <c r="L2258" s="170">
        <v>45329</v>
      </c>
      <c r="M2258" s="116">
        <v>3394.7</v>
      </c>
      <c r="N2258" s="116">
        <v>3447</v>
      </c>
      <c r="O2258" s="116">
        <v>3389</v>
      </c>
      <c r="P2258" s="116">
        <v>3445</v>
      </c>
      <c r="Q2258" s="116">
        <v>3394.7</v>
      </c>
      <c r="R2258">
        <v>2099940</v>
      </c>
    </row>
    <row r="2259" spans="1:18" x14ac:dyDescent="0.25">
      <c r="A2259" s="170">
        <v>45330</v>
      </c>
      <c r="B2259" s="116">
        <v>3424.95</v>
      </c>
      <c r="C2259" s="116">
        <v>3337.5</v>
      </c>
      <c r="D2259" s="116">
        <v>3295</v>
      </c>
      <c r="E2259" s="116">
        <v>3424.95</v>
      </c>
      <c r="F2259" s="116">
        <v>3337.5</v>
      </c>
      <c r="G2259">
        <v>57118</v>
      </c>
      <c r="H2259" s="116"/>
      <c r="I2259" s="116"/>
      <c r="L2259" s="170">
        <v>45330</v>
      </c>
      <c r="M2259" s="116">
        <v>3335.5</v>
      </c>
      <c r="N2259" s="116">
        <v>3417.8</v>
      </c>
      <c r="O2259" s="116">
        <v>3293.85</v>
      </c>
      <c r="P2259" s="116">
        <v>3413</v>
      </c>
      <c r="Q2259" s="116">
        <v>3335.5</v>
      </c>
      <c r="R2259">
        <v>3471727</v>
      </c>
    </row>
    <row r="2260" spans="1:18" x14ac:dyDescent="0.25">
      <c r="A2260" s="170">
        <v>45331</v>
      </c>
      <c r="B2260" s="116">
        <v>3351</v>
      </c>
      <c r="C2260" s="116">
        <v>3324.95</v>
      </c>
      <c r="D2260" s="116">
        <v>3310</v>
      </c>
      <c r="E2260" s="116">
        <v>3338.95</v>
      </c>
      <c r="F2260" s="116">
        <v>3324.95</v>
      </c>
      <c r="G2260">
        <v>217359</v>
      </c>
      <c r="H2260" s="116"/>
      <c r="I2260" s="116"/>
      <c r="L2260" s="170">
        <v>45331</v>
      </c>
      <c r="M2260" s="116">
        <v>3324.55</v>
      </c>
      <c r="N2260" s="116">
        <v>3390</v>
      </c>
      <c r="O2260" s="116">
        <v>3308.95</v>
      </c>
      <c r="P2260" s="116">
        <v>3336.25</v>
      </c>
      <c r="Q2260" s="116">
        <v>3324.55</v>
      </c>
      <c r="R2260">
        <v>3121873</v>
      </c>
    </row>
    <row r="2261" spans="1:18" x14ac:dyDescent="0.25">
      <c r="A2261" s="170">
        <v>45334</v>
      </c>
      <c r="B2261" s="116">
        <v>3338</v>
      </c>
      <c r="C2261" s="116">
        <v>3299.4</v>
      </c>
      <c r="D2261" s="116">
        <v>3288</v>
      </c>
      <c r="E2261" s="116">
        <v>3326.05</v>
      </c>
      <c r="F2261" s="116">
        <v>3299.4</v>
      </c>
      <c r="G2261">
        <v>67225</v>
      </c>
      <c r="H2261" s="116"/>
      <c r="I2261" s="116"/>
      <c r="L2261" s="170">
        <v>45334</v>
      </c>
      <c r="M2261" s="116">
        <v>3299.55</v>
      </c>
      <c r="N2261" s="116">
        <v>3339.15</v>
      </c>
      <c r="O2261" s="116">
        <v>3287</v>
      </c>
      <c r="P2261" s="116">
        <v>3330</v>
      </c>
      <c r="Q2261" s="116">
        <v>3299.55</v>
      </c>
      <c r="R2261">
        <v>1922273</v>
      </c>
    </row>
    <row r="2262" spans="1:18" x14ac:dyDescent="0.25">
      <c r="A2262" s="170">
        <v>45335</v>
      </c>
      <c r="B2262" s="116">
        <v>3339.55</v>
      </c>
      <c r="C2262" s="116">
        <v>3319.9</v>
      </c>
      <c r="D2262" s="116">
        <v>3284.55</v>
      </c>
      <c r="E2262" s="116">
        <v>3324.75</v>
      </c>
      <c r="F2262" s="116">
        <v>3319.9</v>
      </c>
      <c r="G2262">
        <v>28057</v>
      </c>
      <c r="H2262" s="116"/>
      <c r="I2262" s="116"/>
      <c r="L2262" s="170">
        <v>45335</v>
      </c>
      <c r="M2262" s="116">
        <v>3321.5</v>
      </c>
      <c r="N2262" s="116">
        <v>3338.55</v>
      </c>
      <c r="O2262" s="116">
        <v>3284.1</v>
      </c>
      <c r="P2262" s="116">
        <v>3312</v>
      </c>
      <c r="Q2262" s="116">
        <v>3321.5</v>
      </c>
      <c r="R2262">
        <v>2151493</v>
      </c>
    </row>
    <row r="2263" spans="1:18" x14ac:dyDescent="0.25">
      <c r="A2263" s="170">
        <v>45336</v>
      </c>
      <c r="B2263" s="116">
        <v>3315</v>
      </c>
      <c r="C2263" s="116">
        <v>3308.95</v>
      </c>
      <c r="D2263" s="116">
        <v>3264</v>
      </c>
      <c r="E2263" s="116">
        <v>3298.9</v>
      </c>
      <c r="F2263" s="116">
        <v>3308.95</v>
      </c>
      <c r="G2263">
        <v>37806</v>
      </c>
      <c r="H2263" s="116"/>
      <c r="I2263" s="116"/>
      <c r="L2263" s="170">
        <v>45336</v>
      </c>
      <c r="M2263" s="116">
        <v>3309</v>
      </c>
      <c r="N2263" s="116">
        <v>3316.95</v>
      </c>
      <c r="O2263" s="116">
        <v>3263.05</v>
      </c>
      <c r="P2263" s="116">
        <v>3290.05</v>
      </c>
      <c r="Q2263" s="116">
        <v>3309</v>
      </c>
      <c r="R2263">
        <v>2502138</v>
      </c>
    </row>
    <row r="2264" spans="1:18" x14ac:dyDescent="0.25">
      <c r="A2264" s="170">
        <v>45337</v>
      </c>
      <c r="B2264" s="116">
        <v>3330.75</v>
      </c>
      <c r="C2264" s="116">
        <v>3300.5</v>
      </c>
      <c r="D2264" s="116">
        <v>3290.55</v>
      </c>
      <c r="E2264" s="116">
        <v>3330.75</v>
      </c>
      <c r="F2264" s="116">
        <v>3300.5</v>
      </c>
      <c r="G2264">
        <v>26985</v>
      </c>
      <c r="H2264" s="116"/>
      <c r="I2264" s="116"/>
      <c r="L2264" s="170">
        <v>45337</v>
      </c>
      <c r="M2264" s="116">
        <v>3300.3</v>
      </c>
      <c r="N2264" s="116">
        <v>3321.95</v>
      </c>
      <c r="O2264" s="116">
        <v>3290.2</v>
      </c>
      <c r="P2264" s="116">
        <v>3309</v>
      </c>
      <c r="Q2264" s="116">
        <v>3300.3</v>
      </c>
      <c r="R2264">
        <v>1999189</v>
      </c>
    </row>
    <row r="2265" spans="1:18" x14ac:dyDescent="0.25">
      <c r="A2265" s="170">
        <v>45338</v>
      </c>
      <c r="B2265" s="116">
        <v>3398.35</v>
      </c>
      <c r="C2265" s="116">
        <v>3389</v>
      </c>
      <c r="D2265" s="116">
        <v>3300.9</v>
      </c>
      <c r="E2265" s="116">
        <v>3300.9</v>
      </c>
      <c r="F2265" s="116">
        <v>3389</v>
      </c>
      <c r="G2265">
        <v>274129</v>
      </c>
      <c r="H2265" s="116"/>
      <c r="I2265" s="116"/>
      <c r="L2265" s="170">
        <v>45338</v>
      </c>
      <c r="M2265" s="116">
        <v>3386.75</v>
      </c>
      <c r="N2265" s="116">
        <v>3398</v>
      </c>
      <c r="O2265" s="116">
        <v>3304.05</v>
      </c>
      <c r="P2265" s="116">
        <v>3304.95</v>
      </c>
      <c r="Q2265" s="116">
        <v>3386.75</v>
      </c>
      <c r="R2265">
        <v>2768329</v>
      </c>
    </row>
    <row r="2266" spans="1:18" x14ac:dyDescent="0.25">
      <c r="A2266" s="170">
        <v>45341</v>
      </c>
      <c r="B2266" s="116">
        <v>3409.75</v>
      </c>
      <c r="C2266" s="116">
        <v>3339.95</v>
      </c>
      <c r="D2266" s="116">
        <v>3336</v>
      </c>
      <c r="E2266" s="116">
        <v>3409.75</v>
      </c>
      <c r="F2266" s="116">
        <v>3339.95</v>
      </c>
      <c r="G2266">
        <v>65003</v>
      </c>
      <c r="H2266" s="116"/>
      <c r="I2266" s="116"/>
      <c r="L2266" s="170">
        <v>45341</v>
      </c>
      <c r="M2266" s="116">
        <v>3339.85</v>
      </c>
      <c r="N2266" s="116">
        <v>3408</v>
      </c>
      <c r="O2266" s="116">
        <v>3335.5</v>
      </c>
      <c r="P2266" s="116">
        <v>3400.55</v>
      </c>
      <c r="Q2266" s="116">
        <v>3339.85</v>
      </c>
      <c r="R2266">
        <v>1216447</v>
      </c>
    </row>
    <row r="2267" spans="1:18" x14ac:dyDescent="0.25">
      <c r="A2267" s="170">
        <v>45342</v>
      </c>
      <c r="B2267" s="116">
        <v>3365.85</v>
      </c>
      <c r="C2267" s="116">
        <v>3353.5</v>
      </c>
      <c r="D2267" s="116">
        <v>3329</v>
      </c>
      <c r="E2267" s="116">
        <v>3349.9</v>
      </c>
      <c r="F2267" s="116">
        <v>3353.5</v>
      </c>
      <c r="G2267">
        <v>56166</v>
      </c>
      <c r="H2267" s="116"/>
      <c r="I2267" s="116"/>
      <c r="L2267" s="170">
        <v>45342</v>
      </c>
      <c r="M2267" s="116">
        <v>3356.75</v>
      </c>
      <c r="N2267" s="116">
        <v>3367.75</v>
      </c>
      <c r="O2267" s="116">
        <v>3328.45</v>
      </c>
      <c r="P2267" s="116">
        <v>3339.85</v>
      </c>
      <c r="Q2267" s="116">
        <v>3356.75</v>
      </c>
      <c r="R2267">
        <v>1578162</v>
      </c>
    </row>
    <row r="2268" spans="1:18" x14ac:dyDescent="0.25">
      <c r="A2268" s="170">
        <v>45343</v>
      </c>
      <c r="B2268" s="116">
        <v>3361.95</v>
      </c>
      <c r="C2268" s="116">
        <v>3296.35</v>
      </c>
      <c r="D2268" s="116">
        <v>3290</v>
      </c>
      <c r="E2268" s="116">
        <v>3361.95</v>
      </c>
      <c r="F2268" s="116">
        <v>3296.35</v>
      </c>
      <c r="G2268">
        <v>36307</v>
      </c>
      <c r="H2268" s="116"/>
      <c r="I2268" s="116"/>
      <c r="L2268" s="170">
        <v>45343</v>
      </c>
      <c r="M2268" s="116">
        <v>3296.4</v>
      </c>
      <c r="N2268" s="116">
        <v>3356.9</v>
      </c>
      <c r="O2268" s="116">
        <v>3290.05</v>
      </c>
      <c r="P2268" s="116">
        <v>3356.9</v>
      </c>
      <c r="Q2268" s="116">
        <v>3296.4</v>
      </c>
      <c r="R2268">
        <v>2430672</v>
      </c>
    </row>
    <row r="2269" spans="1:18" x14ac:dyDescent="0.25">
      <c r="A2269" s="170">
        <v>45344</v>
      </c>
      <c r="B2269" s="116">
        <v>3369</v>
      </c>
      <c r="C2269" s="116">
        <v>3364.05</v>
      </c>
      <c r="D2269" s="116">
        <v>3277.05</v>
      </c>
      <c r="E2269" s="116">
        <v>3314.75</v>
      </c>
      <c r="F2269" s="116">
        <v>3364.05</v>
      </c>
      <c r="G2269">
        <v>46728</v>
      </c>
      <c r="H2269" s="116"/>
      <c r="I2269" s="116"/>
      <c r="L2269" s="170">
        <v>45344</v>
      </c>
      <c r="M2269" s="116">
        <v>3363.75</v>
      </c>
      <c r="N2269" s="116">
        <v>3369</v>
      </c>
      <c r="O2269" s="116">
        <v>3276.95</v>
      </c>
      <c r="P2269" s="116">
        <v>3310</v>
      </c>
      <c r="Q2269" s="116">
        <v>3363.75</v>
      </c>
      <c r="R2269">
        <v>2521388</v>
      </c>
    </row>
    <row r="2270" spans="1:18" x14ac:dyDescent="0.25">
      <c r="A2270" s="170">
        <v>45345</v>
      </c>
      <c r="B2270" s="116">
        <v>3400</v>
      </c>
      <c r="C2270" s="116">
        <v>3389.8</v>
      </c>
      <c r="D2270" s="116">
        <v>3341.15</v>
      </c>
      <c r="E2270" s="116">
        <v>3364</v>
      </c>
      <c r="F2270" s="116">
        <v>3389.8</v>
      </c>
      <c r="G2270">
        <v>293311</v>
      </c>
      <c r="H2270" s="116"/>
      <c r="I2270" s="116"/>
      <c r="L2270" s="170">
        <v>45345</v>
      </c>
      <c r="M2270" s="116">
        <v>3387.95</v>
      </c>
      <c r="N2270" s="116">
        <v>3399.9</v>
      </c>
      <c r="O2270" s="116">
        <v>3340.75</v>
      </c>
      <c r="P2270" s="116">
        <v>3363.75</v>
      </c>
      <c r="Q2270" s="116">
        <v>3387.95</v>
      </c>
      <c r="R2270">
        <v>2107176</v>
      </c>
    </row>
    <row r="2271" spans="1:18" x14ac:dyDescent="0.25">
      <c r="A2271" s="170">
        <v>45348</v>
      </c>
      <c r="B2271" s="116">
        <v>3490.95</v>
      </c>
      <c r="C2271" s="116">
        <v>3469.8</v>
      </c>
      <c r="D2271" s="116">
        <v>3395.05</v>
      </c>
      <c r="E2271" s="116">
        <v>3404.1</v>
      </c>
      <c r="F2271" s="116">
        <v>3469.8</v>
      </c>
      <c r="G2271">
        <v>252744</v>
      </c>
      <c r="H2271" s="116"/>
      <c r="I2271" s="116"/>
      <c r="L2271" s="170">
        <v>45348</v>
      </c>
      <c r="M2271" s="116">
        <v>3470.15</v>
      </c>
      <c r="N2271" s="116">
        <v>3491.65</v>
      </c>
      <c r="O2271" s="116">
        <v>3393</v>
      </c>
      <c r="P2271" s="116">
        <v>3400</v>
      </c>
      <c r="Q2271" s="116">
        <v>3470.15</v>
      </c>
      <c r="R2271">
        <v>4122419</v>
      </c>
    </row>
    <row r="2272" spans="1:18" x14ac:dyDescent="0.25">
      <c r="A2272" s="170">
        <v>45349</v>
      </c>
      <c r="B2272" s="116">
        <v>3511.95</v>
      </c>
      <c r="C2272" s="116">
        <v>3506.25</v>
      </c>
      <c r="D2272" s="116">
        <v>3453.8</v>
      </c>
      <c r="E2272" s="116">
        <v>3475.05</v>
      </c>
      <c r="F2272" s="116">
        <v>3506.25</v>
      </c>
      <c r="G2272">
        <v>46298</v>
      </c>
      <c r="H2272" s="116"/>
      <c r="I2272" s="116"/>
      <c r="L2272" s="170">
        <v>45349</v>
      </c>
      <c r="M2272" s="116">
        <v>3506.45</v>
      </c>
      <c r="N2272" s="116">
        <v>3512</v>
      </c>
      <c r="O2272" s="116">
        <v>3451.9</v>
      </c>
      <c r="P2272" s="116">
        <v>3475</v>
      </c>
      <c r="Q2272" s="116">
        <v>3506.45</v>
      </c>
      <c r="R2272">
        <v>2122286</v>
      </c>
    </row>
    <row r="2273" spans="1:18" x14ac:dyDescent="0.25">
      <c r="A2273" s="170">
        <v>45350</v>
      </c>
      <c r="B2273" s="116">
        <v>3510</v>
      </c>
      <c r="C2273" s="116">
        <v>3470.75</v>
      </c>
      <c r="D2273" s="116">
        <v>3448</v>
      </c>
      <c r="E2273" s="116">
        <v>3509.95</v>
      </c>
      <c r="F2273" s="116">
        <v>3470.75</v>
      </c>
      <c r="G2273">
        <v>36256</v>
      </c>
      <c r="H2273" s="116"/>
      <c r="I2273" s="116"/>
      <c r="L2273" s="170">
        <v>45350</v>
      </c>
      <c r="M2273" s="116">
        <v>3470.2</v>
      </c>
      <c r="N2273" s="116">
        <v>3513</v>
      </c>
      <c r="O2273" s="116">
        <v>3446.15</v>
      </c>
      <c r="P2273" s="116">
        <v>3505</v>
      </c>
      <c r="Q2273" s="116">
        <v>3470.2</v>
      </c>
      <c r="R2273">
        <v>1666903</v>
      </c>
    </row>
    <row r="2274" spans="1:18" x14ac:dyDescent="0.25">
      <c r="A2274" s="170">
        <v>45351</v>
      </c>
      <c r="B2274" s="116">
        <v>3496</v>
      </c>
      <c r="C2274" s="116">
        <v>3481.6</v>
      </c>
      <c r="D2274" s="116">
        <v>3436.35</v>
      </c>
      <c r="E2274" s="116">
        <v>3475.05</v>
      </c>
      <c r="F2274" s="116">
        <v>3481.6</v>
      </c>
      <c r="G2274">
        <v>106821</v>
      </c>
      <c r="H2274" s="116"/>
      <c r="I2274" s="116"/>
      <c r="L2274" s="170">
        <v>45351</v>
      </c>
      <c r="M2274" s="116">
        <v>3477.55</v>
      </c>
      <c r="N2274" s="116">
        <v>3496</v>
      </c>
      <c r="O2274" s="116">
        <v>3436.45</v>
      </c>
      <c r="P2274" s="116">
        <v>3485</v>
      </c>
      <c r="Q2274" s="116">
        <v>3477.55</v>
      </c>
      <c r="R2274">
        <v>2119512</v>
      </c>
    </row>
    <row r="2275" spans="1:18" x14ac:dyDescent="0.25">
      <c r="A2275" s="170">
        <v>45352</v>
      </c>
      <c r="B2275" s="116">
        <v>3658.1</v>
      </c>
      <c r="C2275" s="116">
        <v>3634.5</v>
      </c>
      <c r="D2275" s="116">
        <v>3491.05</v>
      </c>
      <c r="E2275" s="116">
        <v>3491.05</v>
      </c>
      <c r="F2275" s="116">
        <v>3634.5</v>
      </c>
      <c r="G2275">
        <v>385076</v>
      </c>
      <c r="H2275" s="116"/>
      <c r="I2275" s="116"/>
      <c r="L2275" s="170">
        <v>45352</v>
      </c>
      <c r="M2275" s="116">
        <v>3633.5</v>
      </c>
      <c r="N2275" s="116">
        <v>3658.35</v>
      </c>
      <c r="O2275" s="116">
        <v>3500</v>
      </c>
      <c r="P2275" s="116">
        <v>3501.65</v>
      </c>
      <c r="Q2275" s="116">
        <v>3633.5</v>
      </c>
      <c r="R2275">
        <v>4407803</v>
      </c>
    </row>
    <row r="2276" spans="1:18" x14ac:dyDescent="0.25">
      <c r="A2276" s="170">
        <v>45353</v>
      </c>
      <c r="B2276" s="116">
        <v>3679.7</v>
      </c>
      <c r="C2276" s="116">
        <v>3654.3</v>
      </c>
      <c r="D2276" s="116">
        <v>3645</v>
      </c>
      <c r="E2276" s="116">
        <v>3645</v>
      </c>
      <c r="F2276" s="116">
        <v>3654.3</v>
      </c>
      <c r="G2276">
        <v>25962</v>
      </c>
      <c r="H2276" s="116"/>
      <c r="I2276" s="116"/>
      <c r="L2276" s="170">
        <v>45353</v>
      </c>
      <c r="M2276" s="116">
        <v>3655.25</v>
      </c>
      <c r="N2276" s="116">
        <v>3690</v>
      </c>
      <c r="O2276" s="116">
        <v>3646.2</v>
      </c>
      <c r="P2276" s="116">
        <v>3647.9</v>
      </c>
      <c r="Q2276" s="116">
        <v>3655.25</v>
      </c>
      <c r="R2276">
        <v>246957</v>
      </c>
    </row>
    <row r="2277" spans="1:18" x14ac:dyDescent="0.25">
      <c r="A2277" s="170">
        <v>45355</v>
      </c>
      <c r="B2277" s="116">
        <v>3680.05</v>
      </c>
      <c r="C2277" s="116">
        <v>3643.95</v>
      </c>
      <c r="D2277" s="116">
        <v>3622.2</v>
      </c>
      <c r="E2277" s="116">
        <v>3672</v>
      </c>
      <c r="F2277" s="116">
        <v>3643.95</v>
      </c>
      <c r="G2277">
        <v>1246137</v>
      </c>
      <c r="H2277" s="116"/>
      <c r="I2277" s="116"/>
      <c r="L2277" s="170">
        <v>45355</v>
      </c>
      <c r="M2277" s="116">
        <v>3644.45</v>
      </c>
      <c r="N2277" s="116">
        <v>3679.8</v>
      </c>
      <c r="O2277" s="116">
        <v>3622.05</v>
      </c>
      <c r="P2277" s="116">
        <v>3670</v>
      </c>
      <c r="Q2277" s="116">
        <v>3644.45</v>
      </c>
      <c r="R2277">
        <v>1307501</v>
      </c>
    </row>
    <row r="2278" spans="1:18" x14ac:dyDescent="0.25">
      <c r="A2278" s="170">
        <v>45356</v>
      </c>
      <c r="B2278" s="116">
        <v>3644.95</v>
      </c>
      <c r="C2278" s="116">
        <v>3611.1</v>
      </c>
      <c r="D2278" s="116">
        <v>3591</v>
      </c>
      <c r="E2278" s="116">
        <v>3633.95</v>
      </c>
      <c r="F2278" s="116">
        <v>3611.1</v>
      </c>
      <c r="G2278">
        <v>27711</v>
      </c>
      <c r="H2278" s="116"/>
      <c r="I2278" s="116"/>
      <c r="L2278" s="170">
        <v>45356</v>
      </c>
      <c r="M2278" s="116">
        <v>3612.6</v>
      </c>
      <c r="N2278" s="116">
        <v>3644.45</v>
      </c>
      <c r="O2278" s="116">
        <v>3590.3</v>
      </c>
      <c r="P2278" s="116">
        <v>3631.2</v>
      </c>
      <c r="Q2278" s="116">
        <v>3612.6</v>
      </c>
      <c r="R2278">
        <v>1981370</v>
      </c>
    </row>
    <row r="2279" spans="1:18" x14ac:dyDescent="0.25">
      <c r="A2279" s="170">
        <v>45357</v>
      </c>
      <c r="B2279" s="116">
        <v>3653</v>
      </c>
      <c r="C2279" s="116">
        <v>3643.65</v>
      </c>
      <c r="D2279" s="116">
        <v>3586.25</v>
      </c>
      <c r="E2279" s="116">
        <v>3639.45</v>
      </c>
      <c r="F2279" s="116">
        <v>3643.65</v>
      </c>
      <c r="G2279">
        <v>38042</v>
      </c>
      <c r="H2279" s="116"/>
      <c r="I2279" s="116"/>
      <c r="L2279" s="170">
        <v>45357</v>
      </c>
      <c r="M2279" s="116">
        <v>3642.2</v>
      </c>
      <c r="N2279" s="116">
        <v>3652.45</v>
      </c>
      <c r="O2279" s="116">
        <v>3586.05</v>
      </c>
      <c r="P2279" s="116">
        <v>3618</v>
      </c>
      <c r="Q2279" s="116">
        <v>3642.2</v>
      </c>
      <c r="R2279">
        <v>1500196</v>
      </c>
    </row>
    <row r="2280" spans="1:18" x14ac:dyDescent="0.25">
      <c r="A2280" s="170">
        <v>45358</v>
      </c>
      <c r="B2280" s="116">
        <v>3705</v>
      </c>
      <c r="C2280" s="116">
        <v>3676.7</v>
      </c>
      <c r="D2280" s="116">
        <v>3643.05</v>
      </c>
      <c r="E2280" s="116">
        <v>3651.25</v>
      </c>
      <c r="F2280" s="116">
        <v>3676.7</v>
      </c>
      <c r="G2280">
        <v>171034</v>
      </c>
      <c r="H2280" s="116"/>
      <c r="I2280" s="116"/>
      <c r="L2280" s="170">
        <v>45358</v>
      </c>
      <c r="M2280" s="116">
        <v>3676.95</v>
      </c>
      <c r="N2280" s="116">
        <v>3705.15</v>
      </c>
      <c r="O2280" s="116">
        <v>3643.25</v>
      </c>
      <c r="P2280" s="116">
        <v>3660.75</v>
      </c>
      <c r="Q2280" s="116">
        <v>3676.95</v>
      </c>
      <c r="R2280">
        <v>2344401</v>
      </c>
    </row>
    <row r="2281" spans="1:18" x14ac:dyDescent="0.25">
      <c r="A2281" s="170">
        <v>45362</v>
      </c>
      <c r="B2281" s="116">
        <v>3701.7</v>
      </c>
      <c r="C2281" s="116">
        <v>3638.6</v>
      </c>
      <c r="D2281" s="116">
        <v>3632</v>
      </c>
      <c r="E2281" s="116">
        <v>3701.35</v>
      </c>
      <c r="F2281" s="116">
        <v>3638.6</v>
      </c>
      <c r="G2281">
        <v>29083</v>
      </c>
      <c r="H2281" s="116"/>
      <c r="I2281" s="116"/>
      <c r="L2281" s="170">
        <v>45362</v>
      </c>
      <c r="M2281" s="116">
        <v>3640.6</v>
      </c>
      <c r="N2281" s="116">
        <v>3700</v>
      </c>
      <c r="O2281" s="116">
        <v>3631.45</v>
      </c>
      <c r="P2281" s="116">
        <v>3700</v>
      </c>
      <c r="Q2281" s="116">
        <v>3640.6</v>
      </c>
      <c r="R2281">
        <v>1748541</v>
      </c>
    </row>
    <row r="2282" spans="1:18" x14ac:dyDescent="0.25">
      <c r="A2282" s="170">
        <v>45363</v>
      </c>
      <c r="B2282" s="116">
        <v>3671.95</v>
      </c>
      <c r="C2282" s="116">
        <v>3621.1</v>
      </c>
      <c r="D2282" s="116">
        <v>3614.4</v>
      </c>
      <c r="E2282" s="116">
        <v>3643.3</v>
      </c>
      <c r="F2282" s="116">
        <v>3621.1</v>
      </c>
      <c r="G2282">
        <v>26376</v>
      </c>
      <c r="H2282" s="116"/>
      <c r="I2282" s="116"/>
      <c r="L2282" s="170">
        <v>45363</v>
      </c>
      <c r="M2282" s="116">
        <v>3621.65</v>
      </c>
      <c r="N2282" s="116">
        <v>3672</v>
      </c>
      <c r="O2282" s="116">
        <v>3613.15</v>
      </c>
      <c r="P2282" s="116">
        <v>3639.05</v>
      </c>
      <c r="Q2282" s="116">
        <v>3621.65</v>
      </c>
      <c r="R2282">
        <v>1470377</v>
      </c>
    </row>
    <row r="2283" spans="1:18" x14ac:dyDescent="0.25">
      <c r="A2283" s="170">
        <v>45364</v>
      </c>
      <c r="B2283" s="116">
        <v>3636</v>
      </c>
      <c r="C2283" s="116">
        <v>3542.3</v>
      </c>
      <c r="D2283" s="116">
        <v>3511.4</v>
      </c>
      <c r="E2283" s="116">
        <v>3630.05</v>
      </c>
      <c r="F2283" s="116">
        <v>3542.3</v>
      </c>
      <c r="G2283">
        <v>147862</v>
      </c>
      <c r="H2283" s="116"/>
      <c r="I2283" s="116"/>
      <c r="L2283" s="170">
        <v>45364</v>
      </c>
      <c r="M2283" s="116">
        <v>3538.55</v>
      </c>
      <c r="N2283" s="116">
        <v>3636.8</v>
      </c>
      <c r="O2283" s="116">
        <v>3511.9</v>
      </c>
      <c r="P2283" s="116">
        <v>3634.9</v>
      </c>
      <c r="Q2283" s="116">
        <v>3538.55</v>
      </c>
      <c r="R2283">
        <v>2503293</v>
      </c>
    </row>
    <row r="2284" spans="1:18" x14ac:dyDescent="0.25">
      <c r="A2284" s="170">
        <v>45365</v>
      </c>
      <c r="B2284" s="116">
        <v>3635.15</v>
      </c>
      <c r="C2284" s="116">
        <v>3606.35</v>
      </c>
      <c r="D2284" s="116">
        <v>3515.4</v>
      </c>
      <c r="E2284" s="116">
        <v>3515.4</v>
      </c>
      <c r="F2284" s="116">
        <v>3606.35</v>
      </c>
      <c r="G2284">
        <v>72213</v>
      </c>
      <c r="H2284" s="116"/>
      <c r="I2284" s="116"/>
      <c r="L2284" s="170">
        <v>45365</v>
      </c>
      <c r="M2284" s="116">
        <v>3608.2</v>
      </c>
      <c r="N2284" s="116">
        <v>3636</v>
      </c>
      <c r="O2284" s="116">
        <v>3522</v>
      </c>
      <c r="P2284" s="116">
        <v>3527.05</v>
      </c>
      <c r="Q2284" s="116">
        <v>3608.2</v>
      </c>
      <c r="R2284">
        <v>4528490</v>
      </c>
    </row>
    <row r="2285" spans="1:18" x14ac:dyDescent="0.25">
      <c r="A2285" s="170">
        <v>45366</v>
      </c>
      <c r="B2285" s="116">
        <v>3605.75</v>
      </c>
      <c r="C2285" s="116">
        <v>3535.4</v>
      </c>
      <c r="D2285" s="116">
        <v>3525</v>
      </c>
      <c r="E2285" s="116">
        <v>3605.75</v>
      </c>
      <c r="F2285" s="116">
        <v>3535.4</v>
      </c>
      <c r="G2285">
        <v>138572</v>
      </c>
      <c r="H2285" s="116"/>
      <c r="I2285" s="116"/>
      <c r="L2285" s="170">
        <v>45366</v>
      </c>
      <c r="M2285" s="116">
        <v>3537.15</v>
      </c>
      <c r="N2285" s="116">
        <v>3603</v>
      </c>
      <c r="O2285" s="116">
        <v>3524.05</v>
      </c>
      <c r="P2285" s="116">
        <v>3598</v>
      </c>
      <c r="Q2285" s="116">
        <v>3537.15</v>
      </c>
      <c r="R2285">
        <v>4054210</v>
      </c>
    </row>
    <row r="2286" spans="1:18" x14ac:dyDescent="0.25">
      <c r="A2286" s="170">
        <v>45369</v>
      </c>
      <c r="B2286" s="116">
        <v>3573.95</v>
      </c>
      <c r="C2286" s="116">
        <v>3557.2</v>
      </c>
      <c r="D2286" s="116">
        <v>3527.7</v>
      </c>
      <c r="E2286" s="116">
        <v>3536</v>
      </c>
      <c r="F2286" s="116">
        <v>3557.2</v>
      </c>
      <c r="G2286">
        <v>69631</v>
      </c>
      <c r="H2286" s="116"/>
      <c r="I2286" s="116"/>
      <c r="L2286" s="170">
        <v>45369</v>
      </c>
      <c r="M2286" s="116">
        <v>3561.2</v>
      </c>
      <c r="N2286" s="116">
        <v>3572.2</v>
      </c>
      <c r="O2286" s="116">
        <v>3526.7</v>
      </c>
      <c r="P2286" s="116">
        <v>3537.15</v>
      </c>
      <c r="Q2286" s="116">
        <v>3561.2</v>
      </c>
      <c r="R2286">
        <v>1354787</v>
      </c>
    </row>
    <row r="2287" spans="1:18" x14ac:dyDescent="0.25">
      <c r="A2287" s="170">
        <v>45370</v>
      </c>
      <c r="B2287" s="116">
        <v>3549.4</v>
      </c>
      <c r="C2287" s="116">
        <v>3502.45</v>
      </c>
      <c r="D2287" s="116">
        <v>3481</v>
      </c>
      <c r="E2287" s="116">
        <v>3540.7</v>
      </c>
      <c r="F2287" s="116">
        <v>3502.45</v>
      </c>
      <c r="G2287">
        <v>81418</v>
      </c>
      <c r="H2287" s="116"/>
      <c r="I2287" s="116"/>
      <c r="L2287" s="170">
        <v>45370</v>
      </c>
      <c r="M2287" s="116">
        <v>3501.7</v>
      </c>
      <c r="N2287" s="116">
        <v>3549.5</v>
      </c>
      <c r="O2287" s="116">
        <v>3481</v>
      </c>
      <c r="P2287" s="116">
        <v>3541</v>
      </c>
      <c r="Q2287" s="116">
        <v>3501.7</v>
      </c>
      <c r="R2287">
        <v>1447405</v>
      </c>
    </row>
    <row r="2288" spans="1:18" x14ac:dyDescent="0.25">
      <c r="A2288" s="170">
        <v>45371</v>
      </c>
      <c r="B2288" s="116">
        <v>3524.2</v>
      </c>
      <c r="C2288" s="116">
        <v>3512</v>
      </c>
      <c r="D2288" s="116">
        <v>3487.65</v>
      </c>
      <c r="E2288" s="116">
        <v>3501.5</v>
      </c>
      <c r="F2288" s="116">
        <v>3512</v>
      </c>
      <c r="G2288">
        <v>115144</v>
      </c>
      <c r="H2288" s="116"/>
      <c r="I2288" s="116"/>
      <c r="L2288" s="170">
        <v>45371</v>
      </c>
      <c r="M2288" s="116">
        <v>3509.7</v>
      </c>
      <c r="N2288" s="116">
        <v>3524.95</v>
      </c>
      <c r="O2288" s="116">
        <v>3487.75</v>
      </c>
      <c r="P2288" s="116">
        <v>3502.75</v>
      </c>
      <c r="Q2288" s="116">
        <v>3509.7</v>
      </c>
      <c r="R2288">
        <v>1442811</v>
      </c>
    </row>
    <row r="2289" spans="1:18" x14ac:dyDescent="0.25">
      <c r="A2289" s="170">
        <v>45372</v>
      </c>
      <c r="B2289" s="116">
        <v>3595.65</v>
      </c>
      <c r="C2289" s="116">
        <v>3562.3</v>
      </c>
      <c r="D2289" s="116">
        <v>3518.4</v>
      </c>
      <c r="E2289" s="116">
        <v>3518.4</v>
      </c>
      <c r="F2289" s="116">
        <v>3562.3</v>
      </c>
      <c r="G2289">
        <v>53384</v>
      </c>
      <c r="H2289" s="116"/>
      <c r="I2289" s="116"/>
      <c r="L2289" s="170">
        <v>45372</v>
      </c>
      <c r="M2289" s="116">
        <v>3560</v>
      </c>
      <c r="N2289" s="116">
        <v>3596</v>
      </c>
      <c r="O2289" s="116">
        <v>3525.15</v>
      </c>
      <c r="P2289" s="116">
        <v>3525.15</v>
      </c>
      <c r="Q2289" s="116">
        <v>3560</v>
      </c>
      <c r="R2289">
        <v>2504962</v>
      </c>
    </row>
    <row r="2290" spans="1:18" x14ac:dyDescent="0.25">
      <c r="A2290" s="170">
        <v>45373</v>
      </c>
      <c r="B2290" s="116">
        <v>3645.9</v>
      </c>
      <c r="C2290" s="116">
        <v>3620.05</v>
      </c>
      <c r="D2290" s="116">
        <v>3522.05</v>
      </c>
      <c r="E2290" s="116">
        <v>3522.05</v>
      </c>
      <c r="F2290" s="116">
        <v>3620.05</v>
      </c>
      <c r="G2290">
        <v>195363</v>
      </c>
      <c r="H2290" s="116"/>
      <c r="I2290" s="116"/>
      <c r="L2290" s="170">
        <v>45373</v>
      </c>
      <c r="M2290" s="116">
        <v>3617.8</v>
      </c>
      <c r="N2290" s="116">
        <v>3647.3</v>
      </c>
      <c r="O2290" s="116">
        <v>3546.2</v>
      </c>
      <c r="P2290" s="116">
        <v>3546.2</v>
      </c>
      <c r="Q2290" s="116">
        <v>3617.8</v>
      </c>
      <c r="R2290">
        <v>3020545</v>
      </c>
    </row>
    <row r="2291" spans="1:18" x14ac:dyDescent="0.25">
      <c r="A2291" s="170">
        <v>45377</v>
      </c>
      <c r="B2291" s="116">
        <v>3676.15</v>
      </c>
      <c r="C2291" s="116">
        <v>3669.85</v>
      </c>
      <c r="D2291" s="116">
        <v>3600</v>
      </c>
      <c r="E2291" s="116">
        <v>3602.25</v>
      </c>
      <c r="F2291" s="116">
        <v>3669.85</v>
      </c>
      <c r="G2291">
        <v>600664</v>
      </c>
      <c r="H2291" s="116"/>
      <c r="I2291" s="116"/>
      <c r="L2291" s="170">
        <v>45377</v>
      </c>
      <c r="M2291" s="116">
        <v>3670.1</v>
      </c>
      <c r="N2291" s="116">
        <v>3676.9</v>
      </c>
      <c r="O2291" s="116">
        <v>3600</v>
      </c>
      <c r="P2291" s="116">
        <v>3605</v>
      </c>
      <c r="Q2291" s="116">
        <v>3670.1</v>
      </c>
      <c r="R2291">
        <v>2320963</v>
      </c>
    </row>
    <row r="2292" spans="1:18" x14ac:dyDescent="0.25">
      <c r="A2292" s="170">
        <v>45378</v>
      </c>
      <c r="B2292" s="116">
        <v>3726.9</v>
      </c>
      <c r="C2292" s="116">
        <v>3706.1</v>
      </c>
      <c r="D2292" s="116">
        <v>3670</v>
      </c>
      <c r="E2292" s="116">
        <v>3685</v>
      </c>
      <c r="F2292" s="116">
        <v>3706.1</v>
      </c>
      <c r="G2292">
        <v>39507</v>
      </c>
      <c r="H2292" s="116"/>
      <c r="I2292" s="116"/>
      <c r="L2292" s="170">
        <v>45378</v>
      </c>
      <c r="M2292" s="116">
        <v>3706.4</v>
      </c>
      <c r="N2292" s="116">
        <v>3727.2</v>
      </c>
      <c r="O2292" s="116">
        <v>3670.1</v>
      </c>
      <c r="P2292" s="116">
        <v>3683</v>
      </c>
      <c r="Q2292" s="116">
        <v>3706.4</v>
      </c>
      <c r="R2292">
        <v>2387693</v>
      </c>
    </row>
    <row r="2293" spans="1:18" x14ac:dyDescent="0.25">
      <c r="A2293" s="170">
        <v>45379</v>
      </c>
      <c r="B2293" s="116">
        <v>3812</v>
      </c>
      <c r="C2293" s="116">
        <v>3774.1</v>
      </c>
      <c r="D2293" s="116">
        <v>3699</v>
      </c>
      <c r="E2293" s="116">
        <v>3710.3</v>
      </c>
      <c r="F2293" s="116">
        <v>3774.1</v>
      </c>
      <c r="G2293">
        <v>164484</v>
      </c>
      <c r="H2293" s="116"/>
      <c r="I2293" s="116"/>
      <c r="L2293" s="170">
        <v>45379</v>
      </c>
      <c r="M2293" s="116">
        <v>3763.9</v>
      </c>
      <c r="N2293" s="116">
        <v>3813.35</v>
      </c>
      <c r="O2293" s="116">
        <v>3697.55</v>
      </c>
      <c r="P2293" s="116">
        <v>3706.55</v>
      </c>
      <c r="Q2293" s="116">
        <v>3763.9</v>
      </c>
      <c r="R2293">
        <v>4278668</v>
      </c>
    </row>
    <row r="2294" spans="1:18" x14ac:dyDescent="0.25">
      <c r="A2294" s="170">
        <v>45383</v>
      </c>
      <c r="B2294" s="116">
        <v>3851.1</v>
      </c>
      <c r="C2294" s="116">
        <v>3836.85</v>
      </c>
      <c r="D2294" s="116">
        <v>3780.65</v>
      </c>
      <c r="E2294" s="116">
        <v>3780.65</v>
      </c>
      <c r="F2294" s="116">
        <v>3836.85</v>
      </c>
      <c r="G2294">
        <v>86695</v>
      </c>
      <c r="H2294" s="116"/>
      <c r="I2294" s="116"/>
      <c r="L2294" s="170">
        <v>45383</v>
      </c>
      <c r="M2294" s="116">
        <v>3838</v>
      </c>
      <c r="N2294" s="116">
        <v>3851.85</v>
      </c>
      <c r="O2294" s="116">
        <v>3780.85</v>
      </c>
      <c r="P2294" s="116">
        <v>3780.85</v>
      </c>
      <c r="Q2294" s="116">
        <v>3838</v>
      </c>
      <c r="R2294">
        <v>1905190</v>
      </c>
    </row>
    <row r="2295" spans="1:18" x14ac:dyDescent="0.25">
      <c r="A2295" s="170">
        <v>45384</v>
      </c>
      <c r="B2295" s="116">
        <v>3859.65</v>
      </c>
      <c r="C2295" s="116">
        <v>3806.85</v>
      </c>
      <c r="D2295" s="116">
        <v>3772.85</v>
      </c>
      <c r="E2295" s="116">
        <v>3846.6</v>
      </c>
      <c r="F2295" s="116">
        <v>3806.85</v>
      </c>
      <c r="G2295">
        <v>48241</v>
      </c>
      <c r="H2295" s="116"/>
      <c r="I2295" s="116"/>
      <c r="L2295" s="170">
        <v>45384</v>
      </c>
      <c r="M2295" s="116">
        <v>3807.4</v>
      </c>
      <c r="N2295" s="116">
        <v>3860</v>
      </c>
      <c r="O2295" s="116">
        <v>3771.25</v>
      </c>
      <c r="P2295" s="116">
        <v>3849.8</v>
      </c>
      <c r="Q2295" s="116">
        <v>3807.4</v>
      </c>
      <c r="R2295">
        <v>3608162</v>
      </c>
    </row>
    <row r="2296" spans="1:18" x14ac:dyDescent="0.25">
      <c r="A2296" s="170">
        <v>45385</v>
      </c>
      <c r="B2296" s="116">
        <v>3804.8</v>
      </c>
      <c r="C2296" s="116">
        <v>3782.3</v>
      </c>
      <c r="D2296" s="116">
        <v>3770.55</v>
      </c>
      <c r="E2296" s="116">
        <v>3804.8</v>
      </c>
      <c r="F2296" s="116">
        <v>3782.3</v>
      </c>
      <c r="G2296">
        <v>20368</v>
      </c>
      <c r="H2296" s="116"/>
      <c r="I2296" s="116"/>
      <c r="L2296" s="170">
        <v>45385</v>
      </c>
      <c r="M2296" s="116">
        <v>3782.45</v>
      </c>
      <c r="N2296" s="116">
        <v>3799.7</v>
      </c>
      <c r="O2296" s="116">
        <v>3770.15</v>
      </c>
      <c r="P2296" s="116">
        <v>3799.7</v>
      </c>
      <c r="Q2296" s="116">
        <v>3782.45</v>
      </c>
      <c r="R2296">
        <v>1684618</v>
      </c>
    </row>
    <row r="2297" spans="1:18" x14ac:dyDescent="0.25">
      <c r="A2297" s="170">
        <v>45386</v>
      </c>
      <c r="B2297" s="116">
        <v>3818.6</v>
      </c>
      <c r="C2297" s="116">
        <v>3800</v>
      </c>
      <c r="D2297" s="116">
        <v>3732</v>
      </c>
      <c r="E2297" s="116">
        <v>3814.95</v>
      </c>
      <c r="F2297" s="116">
        <v>3800</v>
      </c>
      <c r="G2297">
        <v>30616</v>
      </c>
      <c r="H2297" s="116"/>
      <c r="I2297" s="116"/>
      <c r="L2297" s="170">
        <v>45386</v>
      </c>
      <c r="M2297" s="116">
        <v>3797.85</v>
      </c>
      <c r="N2297" s="116">
        <v>3819.75</v>
      </c>
      <c r="O2297" s="116">
        <v>3731.05</v>
      </c>
      <c r="P2297" s="116">
        <v>3804.9</v>
      </c>
      <c r="Q2297" s="116">
        <v>3797.85</v>
      </c>
      <c r="R2297">
        <v>2339529</v>
      </c>
    </row>
    <row r="2298" spans="1:18" x14ac:dyDescent="0.25">
      <c r="A2298" s="170">
        <v>45387</v>
      </c>
      <c r="B2298" s="116">
        <v>3780.85</v>
      </c>
      <c r="C2298" s="116">
        <v>3741.65</v>
      </c>
      <c r="D2298" s="116">
        <v>3716.5</v>
      </c>
      <c r="E2298" s="116">
        <v>3775</v>
      </c>
      <c r="F2298" s="116">
        <v>3741.65</v>
      </c>
      <c r="G2298">
        <v>143180</v>
      </c>
      <c r="H2298" s="116"/>
      <c r="I2298" s="116"/>
      <c r="L2298" s="170">
        <v>45387</v>
      </c>
      <c r="M2298" s="116">
        <v>3743.1</v>
      </c>
      <c r="N2298" s="116">
        <v>3790</v>
      </c>
      <c r="O2298" s="116">
        <v>3716.25</v>
      </c>
      <c r="P2298" s="116">
        <v>3770.1</v>
      </c>
      <c r="Q2298" s="116">
        <v>3743.1</v>
      </c>
      <c r="R2298">
        <v>1645597</v>
      </c>
    </row>
    <row r="2299" spans="1:18" x14ac:dyDescent="0.25">
      <c r="A2299" s="170">
        <v>45390</v>
      </c>
      <c r="B2299" s="116">
        <v>3820</v>
      </c>
      <c r="C2299" s="116">
        <v>3805.6</v>
      </c>
      <c r="D2299" s="116">
        <v>3741.65</v>
      </c>
      <c r="E2299" s="116">
        <v>3769.75</v>
      </c>
      <c r="F2299" s="116">
        <v>3805.6</v>
      </c>
      <c r="G2299">
        <v>43143</v>
      </c>
      <c r="H2299" s="116"/>
      <c r="I2299" s="116"/>
      <c r="L2299" s="170">
        <v>45390</v>
      </c>
      <c r="M2299" s="116">
        <v>3807.85</v>
      </c>
      <c r="N2299" s="116">
        <v>3819.8</v>
      </c>
      <c r="O2299" s="116">
        <v>3743.1</v>
      </c>
      <c r="P2299" s="116">
        <v>3745</v>
      </c>
      <c r="Q2299" s="116">
        <v>3807.85</v>
      </c>
      <c r="R2299">
        <v>1083395</v>
      </c>
    </row>
    <row r="2300" spans="1:18" x14ac:dyDescent="0.25">
      <c r="A2300" s="170">
        <v>45391</v>
      </c>
      <c r="B2300" s="116">
        <v>3827.9</v>
      </c>
      <c r="C2300" s="116">
        <v>3784.5</v>
      </c>
      <c r="D2300" s="116">
        <v>3775.15</v>
      </c>
      <c r="E2300" s="116">
        <v>3816.15</v>
      </c>
      <c r="F2300" s="116">
        <v>3784.5</v>
      </c>
      <c r="G2300">
        <v>24890</v>
      </c>
      <c r="H2300" s="116"/>
      <c r="I2300" s="116"/>
      <c r="L2300" s="170">
        <v>45391</v>
      </c>
      <c r="M2300" s="116">
        <v>3785.25</v>
      </c>
      <c r="N2300" s="116">
        <v>3827.95</v>
      </c>
      <c r="O2300" s="116">
        <v>3775</v>
      </c>
      <c r="P2300" s="116">
        <v>3820</v>
      </c>
      <c r="Q2300" s="116">
        <v>3785.25</v>
      </c>
      <c r="R2300">
        <v>1997057</v>
      </c>
    </row>
    <row r="2301" spans="1:18" x14ac:dyDescent="0.25">
      <c r="A2301" s="170">
        <v>45392</v>
      </c>
      <c r="B2301" s="116">
        <v>3800</v>
      </c>
      <c r="C2301" s="116">
        <v>3754.95</v>
      </c>
      <c r="D2301" s="116">
        <v>3750.25</v>
      </c>
      <c r="E2301" s="116">
        <v>3790.75</v>
      </c>
      <c r="F2301" s="116">
        <v>3754.95</v>
      </c>
      <c r="G2301">
        <v>24016</v>
      </c>
      <c r="H2301" s="116"/>
      <c r="I2301" s="116"/>
      <c r="L2301" s="170">
        <v>45392</v>
      </c>
      <c r="M2301" s="116">
        <v>3753.2</v>
      </c>
      <c r="N2301" s="116">
        <v>3800</v>
      </c>
      <c r="O2301" s="116">
        <v>3750.1</v>
      </c>
      <c r="P2301" s="116">
        <v>3800</v>
      </c>
      <c r="Q2301" s="116">
        <v>3753.2</v>
      </c>
      <c r="R2301">
        <v>1951581</v>
      </c>
    </row>
    <row r="2302" spans="1:18" x14ac:dyDescent="0.25">
      <c r="A2302" s="170">
        <v>45394</v>
      </c>
      <c r="B2302" s="116">
        <v>3802</v>
      </c>
      <c r="C2302" s="116">
        <v>3678.2</v>
      </c>
      <c r="D2302" s="116">
        <v>3662.5</v>
      </c>
      <c r="E2302" s="116">
        <v>3753.75</v>
      </c>
      <c r="F2302" s="116">
        <v>3678.2</v>
      </c>
      <c r="G2302">
        <v>261559</v>
      </c>
      <c r="H2302" s="116"/>
      <c r="I2302" s="116"/>
      <c r="L2302" s="170">
        <v>45394</v>
      </c>
      <c r="M2302" s="116">
        <v>3679.25</v>
      </c>
      <c r="N2302" s="116">
        <v>3802.1</v>
      </c>
      <c r="O2302" s="116">
        <v>3663.5</v>
      </c>
      <c r="P2302" s="116">
        <v>3749.95</v>
      </c>
      <c r="Q2302" s="116">
        <v>3679.25</v>
      </c>
      <c r="R2302">
        <v>3437544</v>
      </c>
    </row>
    <row r="2303" spans="1:18" x14ac:dyDescent="0.25">
      <c r="A2303" s="170">
        <v>45397</v>
      </c>
      <c r="B2303" s="116">
        <v>3679.25</v>
      </c>
      <c r="C2303" s="116">
        <v>3600.85</v>
      </c>
      <c r="D2303" s="116">
        <v>3587.35</v>
      </c>
      <c r="E2303" s="116">
        <v>3611</v>
      </c>
      <c r="F2303" s="116">
        <v>3600.85</v>
      </c>
      <c r="G2303">
        <v>48370</v>
      </c>
      <c r="H2303" s="116"/>
      <c r="I2303" s="116"/>
      <c r="L2303" s="170">
        <v>45397</v>
      </c>
      <c r="M2303" s="116">
        <v>3600.8</v>
      </c>
      <c r="N2303" s="116">
        <v>3679.85</v>
      </c>
      <c r="O2303" s="116">
        <v>3586.2</v>
      </c>
      <c r="P2303" s="116">
        <v>3626.05</v>
      </c>
      <c r="Q2303" s="116">
        <v>3600.8</v>
      </c>
      <c r="R2303">
        <v>1719910</v>
      </c>
    </row>
    <row r="2304" spans="1:18" x14ac:dyDescent="0.25">
      <c r="A2304" s="170">
        <v>45398</v>
      </c>
      <c r="B2304" s="116">
        <v>3598.75</v>
      </c>
      <c r="C2304" s="116">
        <v>3545.15</v>
      </c>
      <c r="D2304" s="116">
        <v>3530</v>
      </c>
      <c r="E2304" s="116">
        <v>3577.2</v>
      </c>
      <c r="F2304" s="116">
        <v>3545.15</v>
      </c>
      <c r="G2304">
        <v>106494</v>
      </c>
      <c r="H2304" s="116"/>
      <c r="I2304" s="116"/>
      <c r="L2304" s="170">
        <v>45398</v>
      </c>
      <c r="M2304" s="116">
        <v>3543.45</v>
      </c>
      <c r="N2304" s="116">
        <v>3598.15</v>
      </c>
      <c r="O2304" s="116">
        <v>3529.45</v>
      </c>
      <c r="P2304" s="116">
        <v>3580.05</v>
      </c>
      <c r="Q2304" s="116">
        <v>3543.45</v>
      </c>
      <c r="R2304">
        <v>2291042</v>
      </c>
    </row>
    <row r="2305" spans="1:18" x14ac:dyDescent="0.25">
      <c r="A2305" s="170">
        <v>45400</v>
      </c>
      <c r="B2305" s="116">
        <v>3617.95</v>
      </c>
      <c r="C2305" s="116">
        <v>3550.95</v>
      </c>
      <c r="D2305" s="116">
        <v>3541</v>
      </c>
      <c r="E2305" s="116">
        <v>3557.55</v>
      </c>
      <c r="F2305" s="116">
        <v>3550.95</v>
      </c>
      <c r="G2305">
        <v>140906</v>
      </c>
      <c r="H2305" s="116"/>
      <c r="I2305" s="116"/>
      <c r="L2305" s="170">
        <v>45400</v>
      </c>
      <c r="M2305" s="116">
        <v>3550.95</v>
      </c>
      <c r="N2305" s="116">
        <v>3617.65</v>
      </c>
      <c r="O2305" s="116">
        <v>3539.7</v>
      </c>
      <c r="P2305" s="116">
        <v>3561.95</v>
      </c>
      <c r="Q2305" s="116">
        <v>3550.95</v>
      </c>
      <c r="R2305">
        <v>3273257</v>
      </c>
    </row>
    <row r="2306" spans="1:18" x14ac:dyDescent="0.25">
      <c r="A2306" s="170">
        <v>45401</v>
      </c>
      <c r="B2306" s="116">
        <v>3544.1</v>
      </c>
      <c r="C2306" s="116">
        <v>3519.25</v>
      </c>
      <c r="D2306" s="116">
        <v>3474</v>
      </c>
      <c r="E2306" s="116">
        <v>3502.05</v>
      </c>
      <c r="F2306" s="116">
        <v>3519.25</v>
      </c>
      <c r="G2306">
        <v>221180</v>
      </c>
      <c r="H2306" s="116"/>
      <c r="I2306" s="116"/>
      <c r="L2306" s="170">
        <v>45401</v>
      </c>
      <c r="M2306" s="116">
        <v>3518.35</v>
      </c>
      <c r="N2306" s="116">
        <v>3542.9</v>
      </c>
      <c r="O2306" s="116">
        <v>3472.4</v>
      </c>
      <c r="P2306" s="116">
        <v>3525</v>
      </c>
      <c r="Q2306" s="116">
        <v>3518.35</v>
      </c>
      <c r="R2306">
        <v>2759031</v>
      </c>
    </row>
    <row r="2307" spans="1:18" x14ac:dyDescent="0.25">
      <c r="A2307" s="170">
        <v>45404</v>
      </c>
      <c r="B2307" s="116">
        <v>3621.75</v>
      </c>
      <c r="C2307" s="116">
        <v>3613.3</v>
      </c>
      <c r="D2307" s="116">
        <v>3540.05</v>
      </c>
      <c r="E2307" s="116">
        <v>3568</v>
      </c>
      <c r="F2307" s="116">
        <v>3613.3</v>
      </c>
      <c r="G2307">
        <v>115747</v>
      </c>
      <c r="H2307" s="116"/>
      <c r="I2307" s="116"/>
      <c r="L2307" s="170">
        <v>45404</v>
      </c>
      <c r="M2307" s="116">
        <v>3612.7</v>
      </c>
      <c r="N2307" s="116">
        <v>3620</v>
      </c>
      <c r="O2307" s="116">
        <v>3540.95</v>
      </c>
      <c r="P2307" s="116">
        <v>3568.75</v>
      </c>
      <c r="Q2307" s="116">
        <v>3612.7</v>
      </c>
      <c r="R2307">
        <v>2605754</v>
      </c>
    </row>
    <row r="2308" spans="1:18" x14ac:dyDescent="0.25">
      <c r="A2308" s="170">
        <v>45405</v>
      </c>
      <c r="B2308" s="116">
        <v>3632.2</v>
      </c>
      <c r="C2308" s="116">
        <v>3609.95</v>
      </c>
      <c r="D2308" s="116">
        <v>3588.05</v>
      </c>
      <c r="E2308" s="116">
        <v>3625.45</v>
      </c>
      <c r="F2308" s="116">
        <v>3609.95</v>
      </c>
      <c r="G2308">
        <v>52724</v>
      </c>
      <c r="H2308" s="116"/>
      <c r="I2308" s="116"/>
      <c r="L2308" s="170">
        <v>45405</v>
      </c>
      <c r="M2308" s="116">
        <v>3610.15</v>
      </c>
      <c r="N2308" s="116">
        <v>3632.75</v>
      </c>
      <c r="O2308" s="116">
        <v>3588</v>
      </c>
      <c r="P2308" s="116">
        <v>3632.75</v>
      </c>
      <c r="Q2308" s="116">
        <v>3610.15</v>
      </c>
      <c r="R2308">
        <v>1434580</v>
      </c>
    </row>
    <row r="2309" spans="1:18" x14ac:dyDescent="0.25">
      <c r="A2309" s="170">
        <v>45406</v>
      </c>
      <c r="B2309" s="116">
        <v>3655</v>
      </c>
      <c r="C2309" s="116">
        <v>3634.95</v>
      </c>
      <c r="D2309" s="116">
        <v>3602.25</v>
      </c>
      <c r="E2309" s="116">
        <v>3612.1</v>
      </c>
      <c r="F2309" s="116">
        <v>3634.95</v>
      </c>
      <c r="G2309">
        <v>45724</v>
      </c>
      <c r="H2309" s="116"/>
      <c r="I2309" s="116"/>
      <c r="L2309" s="170">
        <v>45406</v>
      </c>
      <c r="M2309" s="116">
        <v>3634.85</v>
      </c>
      <c r="N2309" s="116">
        <v>3654.95</v>
      </c>
      <c r="O2309" s="116">
        <v>3601.1</v>
      </c>
      <c r="P2309" s="116">
        <v>3616.55</v>
      </c>
      <c r="Q2309" s="116">
        <v>3634.85</v>
      </c>
      <c r="R2309">
        <v>1501234</v>
      </c>
    </row>
    <row r="2310" spans="1:18" x14ac:dyDescent="0.25">
      <c r="A2310" s="170">
        <v>45407</v>
      </c>
      <c r="B2310" s="116">
        <v>3665</v>
      </c>
      <c r="C2310" s="116">
        <v>3650.65</v>
      </c>
      <c r="D2310" s="116">
        <v>3611.5</v>
      </c>
      <c r="E2310" s="116">
        <v>3618.65</v>
      </c>
      <c r="F2310" s="116">
        <v>3650.65</v>
      </c>
      <c r="G2310">
        <v>76891</v>
      </c>
      <c r="H2310" s="116"/>
      <c r="I2310" s="116"/>
      <c r="L2310" s="170">
        <v>45407</v>
      </c>
      <c r="M2310" s="116">
        <v>3652.3</v>
      </c>
      <c r="N2310" s="116">
        <v>3666</v>
      </c>
      <c r="O2310" s="116">
        <v>3611.6</v>
      </c>
      <c r="P2310" s="116">
        <v>3616.1</v>
      </c>
      <c r="Q2310" s="116">
        <v>3652.3</v>
      </c>
      <c r="R2310">
        <v>2420380</v>
      </c>
    </row>
    <row r="2311" spans="1:18" x14ac:dyDescent="0.25">
      <c r="A2311" s="170">
        <v>45408</v>
      </c>
      <c r="B2311" s="116">
        <v>3660</v>
      </c>
      <c r="C2311" s="116">
        <v>3602.3</v>
      </c>
      <c r="D2311" s="116">
        <v>3583.3</v>
      </c>
      <c r="E2311" s="116">
        <v>3650.65</v>
      </c>
      <c r="F2311" s="116">
        <v>3602.3</v>
      </c>
      <c r="G2311">
        <v>131012</v>
      </c>
      <c r="H2311" s="116"/>
      <c r="I2311" s="116"/>
      <c r="L2311" s="170">
        <v>45408</v>
      </c>
      <c r="M2311" s="116">
        <v>3605.2</v>
      </c>
      <c r="N2311" s="116">
        <v>3660.9</v>
      </c>
      <c r="O2311" s="116">
        <v>3585</v>
      </c>
      <c r="P2311" s="116">
        <v>3652</v>
      </c>
      <c r="Q2311" s="116">
        <v>3605.2</v>
      </c>
      <c r="R2311">
        <v>1973113</v>
      </c>
    </row>
    <row r="2312" spans="1:18" x14ac:dyDescent="0.25">
      <c r="A2312" s="170">
        <v>45411</v>
      </c>
      <c r="B2312" s="116">
        <v>3649.95</v>
      </c>
      <c r="C2312" s="116">
        <v>3633.9</v>
      </c>
      <c r="D2312" s="116">
        <v>3604.15</v>
      </c>
      <c r="E2312" s="116">
        <v>3605</v>
      </c>
      <c r="F2312" s="116">
        <v>3633.9</v>
      </c>
      <c r="G2312">
        <v>42446</v>
      </c>
      <c r="H2312" s="116"/>
      <c r="I2312" s="116"/>
      <c r="L2312" s="170">
        <v>45411</v>
      </c>
      <c r="M2312" s="116">
        <v>3634.3</v>
      </c>
      <c r="N2312" s="116">
        <v>3649.9</v>
      </c>
      <c r="O2312" s="116">
        <v>3605.2</v>
      </c>
      <c r="P2312" s="116">
        <v>3606.1</v>
      </c>
      <c r="Q2312" s="116">
        <v>3634.3</v>
      </c>
      <c r="R2312">
        <v>1396979</v>
      </c>
    </row>
    <row r="2313" spans="1:18" x14ac:dyDescent="0.25">
      <c r="A2313" s="170">
        <v>45412</v>
      </c>
      <c r="B2313" s="116">
        <v>3648</v>
      </c>
      <c r="C2313" s="116">
        <v>3594.15</v>
      </c>
      <c r="D2313" s="116">
        <v>3584.15</v>
      </c>
      <c r="E2313" s="116">
        <v>3635.05</v>
      </c>
      <c r="F2313" s="116">
        <v>3594.15</v>
      </c>
      <c r="G2313">
        <v>18682</v>
      </c>
      <c r="H2313" s="116"/>
      <c r="I2313" s="116"/>
      <c r="L2313" s="170">
        <v>45412</v>
      </c>
      <c r="M2313" s="116">
        <v>3594.3</v>
      </c>
      <c r="N2313" s="116">
        <v>3648.95</v>
      </c>
      <c r="O2313" s="116">
        <v>3584.05</v>
      </c>
      <c r="P2313" s="116">
        <v>3639</v>
      </c>
      <c r="Q2313" s="116">
        <v>3594.3</v>
      </c>
      <c r="R2313">
        <v>1571996</v>
      </c>
    </row>
    <row r="2314" spans="1:18" x14ac:dyDescent="0.25">
      <c r="A2314" s="170">
        <v>45414</v>
      </c>
      <c r="B2314" s="116">
        <v>3634.1</v>
      </c>
      <c r="C2314" s="116">
        <v>3597.6</v>
      </c>
      <c r="D2314" s="116">
        <v>3576.7</v>
      </c>
      <c r="E2314" s="116">
        <v>3593.65</v>
      </c>
      <c r="F2314" s="116">
        <v>3597.6</v>
      </c>
      <c r="G2314">
        <v>55593</v>
      </c>
      <c r="H2314" s="116"/>
      <c r="I2314" s="116"/>
      <c r="L2314" s="170">
        <v>45414</v>
      </c>
      <c r="M2314" s="116">
        <v>3599.5</v>
      </c>
      <c r="N2314" s="116">
        <v>3634.15</v>
      </c>
      <c r="O2314" s="116">
        <v>3576.05</v>
      </c>
      <c r="P2314" s="116">
        <v>3590.05</v>
      </c>
      <c r="Q2314" s="116">
        <v>3599.5</v>
      </c>
      <c r="R2314">
        <v>3748847</v>
      </c>
    </row>
    <row r="2315" spans="1:18" x14ac:dyDescent="0.25">
      <c r="A2315" s="170">
        <v>45415</v>
      </c>
      <c r="B2315" s="116">
        <v>3613.7</v>
      </c>
      <c r="C2315" s="116">
        <v>3499.1</v>
      </c>
      <c r="D2315" s="116">
        <v>3487.75</v>
      </c>
      <c r="E2315" s="116">
        <v>3613.7</v>
      </c>
      <c r="F2315" s="116">
        <v>3499.1</v>
      </c>
      <c r="G2315">
        <v>144830</v>
      </c>
      <c r="H2315" s="116"/>
      <c r="I2315" s="116"/>
      <c r="L2315" s="170">
        <v>45415</v>
      </c>
      <c r="M2315" s="116">
        <v>3499.8</v>
      </c>
      <c r="N2315" s="116">
        <v>3622</v>
      </c>
      <c r="O2315" s="116">
        <v>3488.45</v>
      </c>
      <c r="P2315" s="116">
        <v>3610</v>
      </c>
      <c r="Q2315" s="116">
        <v>3499.8</v>
      </c>
      <c r="R2315">
        <v>4079696</v>
      </c>
    </row>
    <row r="2316" spans="1:18" x14ac:dyDescent="0.25">
      <c r="A2316" s="170">
        <v>45418</v>
      </c>
      <c r="B2316" s="116">
        <v>3531.8</v>
      </c>
      <c r="C2316" s="116">
        <v>3462.1</v>
      </c>
      <c r="D2316" s="116">
        <v>3420</v>
      </c>
      <c r="E2316" s="116">
        <v>3531.8</v>
      </c>
      <c r="F2316" s="116">
        <v>3462.1</v>
      </c>
      <c r="G2316">
        <v>1676171</v>
      </c>
      <c r="H2316" s="116"/>
      <c r="I2316" s="116"/>
      <c r="L2316" s="170">
        <v>45418</v>
      </c>
      <c r="M2316" s="116">
        <v>3463.3</v>
      </c>
      <c r="N2316" s="116">
        <v>3527</v>
      </c>
      <c r="O2316" s="116">
        <v>3441.1</v>
      </c>
      <c r="P2316" s="116">
        <v>3522.8</v>
      </c>
      <c r="Q2316" s="116">
        <v>3463.3</v>
      </c>
      <c r="R2316">
        <v>2614667</v>
      </c>
    </row>
    <row r="2317" spans="1:18" x14ac:dyDescent="0.25">
      <c r="A2317" s="170">
        <v>45419</v>
      </c>
      <c r="B2317" s="116">
        <v>3496.8</v>
      </c>
      <c r="C2317" s="116">
        <v>3432.8</v>
      </c>
      <c r="D2317" s="116">
        <v>3426</v>
      </c>
      <c r="E2317" s="116">
        <v>3479.05</v>
      </c>
      <c r="F2317" s="116">
        <v>3432.8</v>
      </c>
      <c r="G2317">
        <v>127851</v>
      </c>
      <c r="H2317" s="116"/>
      <c r="I2317" s="116"/>
      <c r="L2317" s="170">
        <v>45419</v>
      </c>
      <c r="M2317" s="116">
        <v>3427.75</v>
      </c>
      <c r="N2317" s="116">
        <v>3496</v>
      </c>
      <c r="O2317" s="116">
        <v>3425</v>
      </c>
      <c r="P2317" s="116">
        <v>3479.4</v>
      </c>
      <c r="Q2317" s="116">
        <v>3427.75</v>
      </c>
      <c r="R2317">
        <v>3376013</v>
      </c>
    </row>
    <row r="2318" spans="1:18" x14ac:dyDescent="0.25">
      <c r="A2318" s="170">
        <v>45420</v>
      </c>
      <c r="B2318" s="116">
        <v>3496.45</v>
      </c>
      <c r="C2318" s="116">
        <v>3485.2</v>
      </c>
      <c r="D2318" s="116">
        <v>3370</v>
      </c>
      <c r="E2318" s="116">
        <v>3432.8</v>
      </c>
      <c r="F2318" s="116">
        <v>3485.2</v>
      </c>
      <c r="G2318">
        <v>112381</v>
      </c>
      <c r="H2318" s="116"/>
      <c r="I2318" s="116"/>
      <c r="L2318" s="170">
        <v>45420</v>
      </c>
      <c r="M2318" s="116">
        <v>3486.85</v>
      </c>
      <c r="N2318" s="116">
        <v>3497.4</v>
      </c>
      <c r="O2318" s="116">
        <v>3367.8</v>
      </c>
      <c r="P2318" s="116">
        <v>3429</v>
      </c>
      <c r="Q2318" s="116">
        <v>3486.85</v>
      </c>
      <c r="R2318">
        <v>4116670</v>
      </c>
    </row>
    <row r="2319" spans="1:18" x14ac:dyDescent="0.25">
      <c r="A2319" s="170">
        <v>45421</v>
      </c>
      <c r="B2319" s="116">
        <v>3376.9</v>
      </c>
      <c r="C2319" s="116">
        <v>3276.15</v>
      </c>
      <c r="D2319" s="116">
        <v>3267.2</v>
      </c>
      <c r="E2319" s="116">
        <v>3359.95</v>
      </c>
      <c r="F2319" s="116">
        <v>3276.15</v>
      </c>
      <c r="G2319">
        <v>345757</v>
      </c>
      <c r="H2319" s="116"/>
      <c r="I2319" s="116"/>
      <c r="L2319" s="170">
        <v>45421</v>
      </c>
      <c r="M2319" s="116">
        <v>3275.45</v>
      </c>
      <c r="N2319" s="116">
        <v>3377</v>
      </c>
      <c r="O2319" s="116">
        <v>3266.65</v>
      </c>
      <c r="P2319" s="116">
        <v>3312.75</v>
      </c>
      <c r="Q2319" s="116">
        <v>3275.45</v>
      </c>
      <c r="R2319">
        <v>12120574</v>
      </c>
    </row>
    <row r="2320" spans="1:18" x14ac:dyDescent="0.25">
      <c r="A2320" s="170">
        <v>45422</v>
      </c>
      <c r="B2320" s="116">
        <v>3305.8</v>
      </c>
      <c r="C2320" s="116">
        <v>3271.35</v>
      </c>
      <c r="D2320" s="116">
        <v>3235.15</v>
      </c>
      <c r="E2320" s="116">
        <v>3284.6</v>
      </c>
      <c r="F2320" s="116">
        <v>3271.35</v>
      </c>
      <c r="G2320">
        <v>243704</v>
      </c>
      <c r="H2320" s="116"/>
      <c r="I2320" s="116"/>
      <c r="L2320" s="170">
        <v>45422</v>
      </c>
      <c r="M2320" s="116">
        <v>3271.45</v>
      </c>
      <c r="N2320" s="116">
        <v>3306.15</v>
      </c>
      <c r="O2320" s="116">
        <v>3234.6</v>
      </c>
      <c r="P2320" s="116">
        <v>3281.6</v>
      </c>
      <c r="Q2320" s="116">
        <v>3271.45</v>
      </c>
      <c r="R2320">
        <v>4132191</v>
      </c>
    </row>
    <row r="2321" spans="1:18" x14ac:dyDescent="0.25">
      <c r="A2321" s="170">
        <v>45425</v>
      </c>
      <c r="B2321" s="116">
        <v>3315.35</v>
      </c>
      <c r="C2321" s="116">
        <v>3295</v>
      </c>
      <c r="D2321" s="116">
        <v>3225.8</v>
      </c>
      <c r="E2321" s="116">
        <v>3271.95</v>
      </c>
      <c r="F2321" s="116">
        <v>3295</v>
      </c>
      <c r="G2321">
        <v>66402</v>
      </c>
      <c r="H2321" s="116"/>
      <c r="I2321" s="116"/>
      <c r="L2321" s="170">
        <v>45425</v>
      </c>
      <c r="M2321" s="116">
        <v>3293.85</v>
      </c>
      <c r="N2321" s="116">
        <v>3315</v>
      </c>
      <c r="O2321" s="116">
        <v>3225.2</v>
      </c>
      <c r="P2321" s="116">
        <v>3267.05</v>
      </c>
      <c r="Q2321" s="116">
        <v>3293.85</v>
      </c>
      <c r="R2321">
        <v>3557067</v>
      </c>
    </row>
    <row r="2322" spans="1:18" x14ac:dyDescent="0.25">
      <c r="A2322" s="170">
        <v>45426</v>
      </c>
      <c r="B2322" s="116">
        <v>3384.35</v>
      </c>
      <c r="C2322" s="116">
        <v>3378.8</v>
      </c>
      <c r="D2322" s="116">
        <v>3293.85</v>
      </c>
      <c r="E2322" s="116">
        <v>3303.05</v>
      </c>
      <c r="F2322" s="116">
        <v>3378.8</v>
      </c>
      <c r="G2322">
        <v>98069</v>
      </c>
      <c r="H2322" s="116"/>
      <c r="I2322" s="116"/>
      <c r="L2322" s="170">
        <v>45426</v>
      </c>
      <c r="M2322" s="116">
        <v>3379.45</v>
      </c>
      <c r="N2322" s="116">
        <v>3384.9</v>
      </c>
      <c r="O2322" s="116">
        <v>3293.4</v>
      </c>
      <c r="P2322" s="116">
        <v>3300</v>
      </c>
      <c r="Q2322" s="116">
        <v>3379.45</v>
      </c>
      <c r="R2322">
        <v>2870328</v>
      </c>
    </row>
    <row r="2323" spans="1:18" x14ac:dyDescent="0.25">
      <c r="A2323" s="170">
        <v>45427</v>
      </c>
      <c r="B2323" s="116">
        <v>3417.2</v>
      </c>
      <c r="C2323" s="116">
        <v>3410.15</v>
      </c>
      <c r="D2323" s="116">
        <v>3353.3</v>
      </c>
      <c r="E2323" s="116">
        <v>3393.85</v>
      </c>
      <c r="F2323" s="116">
        <v>3410.15</v>
      </c>
      <c r="G2323">
        <v>59173</v>
      </c>
      <c r="H2323" s="116"/>
      <c r="I2323" s="116"/>
      <c r="L2323" s="170">
        <v>45427</v>
      </c>
      <c r="M2323" s="116">
        <v>3411.3</v>
      </c>
      <c r="N2323" s="116">
        <v>3417.4</v>
      </c>
      <c r="O2323" s="116">
        <v>3353.15</v>
      </c>
      <c r="P2323" s="116">
        <v>3390</v>
      </c>
      <c r="Q2323" s="116">
        <v>3411.3</v>
      </c>
      <c r="R2323">
        <v>2718682</v>
      </c>
    </row>
    <row r="2324" spans="1:18" x14ac:dyDescent="0.25">
      <c r="A2324" s="170">
        <v>45428</v>
      </c>
      <c r="B2324" s="116">
        <v>3468.15</v>
      </c>
      <c r="C2324" s="116">
        <v>3459.45</v>
      </c>
      <c r="D2324" s="116">
        <v>3378.8</v>
      </c>
      <c r="E2324" s="116">
        <v>3434.95</v>
      </c>
      <c r="F2324" s="116">
        <v>3459.45</v>
      </c>
      <c r="G2324">
        <v>83731</v>
      </c>
      <c r="H2324" s="116"/>
      <c r="I2324" s="116"/>
      <c r="L2324" s="170">
        <v>45428</v>
      </c>
      <c r="M2324" s="116">
        <v>3460.6</v>
      </c>
      <c r="N2324" s="116">
        <v>3468.5</v>
      </c>
      <c r="O2324" s="116">
        <v>3378.7</v>
      </c>
      <c r="P2324" s="116">
        <v>3428.95</v>
      </c>
      <c r="Q2324" s="116">
        <v>3460.6</v>
      </c>
      <c r="R2324">
        <v>3398714</v>
      </c>
    </row>
    <row r="2325" spans="1:18" x14ac:dyDescent="0.25">
      <c r="A2325" s="170">
        <v>45429</v>
      </c>
      <c r="B2325" s="116">
        <v>3470</v>
      </c>
      <c r="C2325" s="116">
        <v>3450.05</v>
      </c>
      <c r="D2325" s="116">
        <v>3414</v>
      </c>
      <c r="E2325" s="116">
        <v>3465.3</v>
      </c>
      <c r="F2325" s="116">
        <v>3450.05</v>
      </c>
      <c r="G2325">
        <v>181770</v>
      </c>
      <c r="H2325" s="116"/>
      <c r="I2325" s="116"/>
      <c r="L2325" s="170">
        <v>45429</v>
      </c>
      <c r="M2325" s="116">
        <v>3450.75</v>
      </c>
      <c r="N2325" s="116">
        <v>3475.95</v>
      </c>
      <c r="O2325" s="116">
        <v>3412.15</v>
      </c>
      <c r="P2325" s="116">
        <v>3475.95</v>
      </c>
      <c r="Q2325" s="116">
        <v>3450.75</v>
      </c>
      <c r="R2325">
        <v>2676919</v>
      </c>
    </row>
    <row r="2326" spans="1:18" x14ac:dyDescent="0.25">
      <c r="A2326" s="170">
        <v>45430</v>
      </c>
      <c r="B2326" s="116">
        <v>3469.3</v>
      </c>
      <c r="C2326" s="116">
        <v>3464.25</v>
      </c>
      <c r="D2326" s="116">
        <v>3445.05</v>
      </c>
      <c r="E2326" s="116">
        <v>3465.95</v>
      </c>
      <c r="F2326" s="116">
        <v>3464.25</v>
      </c>
      <c r="G2326">
        <v>6903</v>
      </c>
      <c r="H2326" s="116"/>
      <c r="I2326" s="116"/>
      <c r="L2326" s="170">
        <v>45430</v>
      </c>
      <c r="M2326" s="116">
        <v>3464.2</v>
      </c>
      <c r="N2326" s="116">
        <v>3468</v>
      </c>
      <c r="O2326" s="116">
        <v>3445.8</v>
      </c>
      <c r="P2326" s="116">
        <v>3452</v>
      </c>
      <c r="Q2326" s="116">
        <v>3464.2</v>
      </c>
      <c r="R2326">
        <v>141462</v>
      </c>
    </row>
    <row r="2327" spans="1:18" x14ac:dyDescent="0.25">
      <c r="A2327" s="170">
        <v>45433</v>
      </c>
      <c r="B2327" s="116">
        <v>3470</v>
      </c>
      <c r="C2327" s="116">
        <v>3439.8</v>
      </c>
      <c r="D2327" s="116">
        <v>3434</v>
      </c>
      <c r="E2327" s="116">
        <v>3464.2</v>
      </c>
      <c r="F2327" s="116">
        <v>3439.8</v>
      </c>
      <c r="G2327">
        <v>119228</v>
      </c>
      <c r="H2327" s="116"/>
      <c r="I2327" s="116"/>
      <c r="L2327" s="170">
        <v>45433</v>
      </c>
      <c r="M2327" s="116">
        <v>3440.95</v>
      </c>
      <c r="N2327" s="116">
        <v>3470.3</v>
      </c>
      <c r="O2327" s="116">
        <v>3434</v>
      </c>
      <c r="P2327" s="116">
        <v>3458</v>
      </c>
      <c r="Q2327" s="116">
        <v>3440.95</v>
      </c>
      <c r="R2327">
        <v>2100848</v>
      </c>
    </row>
    <row r="2328" spans="1:18" x14ac:dyDescent="0.25">
      <c r="A2328" s="170">
        <v>45434</v>
      </c>
      <c r="B2328" s="116">
        <v>3473.7</v>
      </c>
      <c r="C2328" s="116">
        <v>3460.15</v>
      </c>
      <c r="D2328" s="116">
        <v>3435.25</v>
      </c>
      <c r="E2328" s="116">
        <v>3453.55</v>
      </c>
      <c r="F2328" s="116">
        <v>3460.15</v>
      </c>
      <c r="G2328">
        <v>44555</v>
      </c>
      <c r="H2328" s="116"/>
      <c r="I2328" s="116"/>
      <c r="L2328" s="170">
        <v>45434</v>
      </c>
      <c r="M2328" s="116">
        <v>3460.85</v>
      </c>
      <c r="N2328" s="116">
        <v>3472.7</v>
      </c>
      <c r="O2328" s="116">
        <v>3435.05</v>
      </c>
      <c r="P2328" s="116">
        <v>3450.05</v>
      </c>
      <c r="Q2328" s="116">
        <v>3460.85</v>
      </c>
      <c r="R2328">
        <v>1409992</v>
      </c>
    </row>
    <row r="2329" spans="1:18" x14ac:dyDescent="0.25">
      <c r="A2329" s="170">
        <v>45435</v>
      </c>
      <c r="B2329" s="116">
        <v>3600</v>
      </c>
      <c r="C2329" s="116">
        <v>3586.15</v>
      </c>
      <c r="D2329" s="116">
        <v>3460</v>
      </c>
      <c r="E2329" s="116">
        <v>3464.85</v>
      </c>
      <c r="F2329" s="116">
        <v>3586.15</v>
      </c>
      <c r="G2329">
        <v>82532</v>
      </c>
      <c r="H2329" s="116"/>
      <c r="I2329" s="116"/>
      <c r="L2329" s="170">
        <v>45435</v>
      </c>
      <c r="M2329" s="116">
        <v>3585.4</v>
      </c>
      <c r="N2329" s="116">
        <v>3601.65</v>
      </c>
      <c r="O2329" s="116">
        <v>3455</v>
      </c>
      <c r="P2329" s="116">
        <v>3460.9</v>
      </c>
      <c r="Q2329" s="116">
        <v>3585.4</v>
      </c>
      <c r="R2329">
        <v>4525637</v>
      </c>
    </row>
    <row r="2330" spans="1:18" x14ac:dyDescent="0.25">
      <c r="A2330" s="170">
        <v>45436</v>
      </c>
      <c r="B2330" s="116">
        <v>3658</v>
      </c>
      <c r="C2330" s="116">
        <v>3625.95</v>
      </c>
      <c r="D2330" s="116">
        <v>3585</v>
      </c>
      <c r="E2330" s="116">
        <v>3589.15</v>
      </c>
      <c r="F2330" s="116">
        <v>3625.95</v>
      </c>
      <c r="G2330">
        <v>249674</v>
      </c>
      <c r="H2330" s="116"/>
      <c r="I2330" s="116"/>
      <c r="L2330" s="170">
        <v>45436</v>
      </c>
      <c r="M2330" s="116">
        <v>3625.9</v>
      </c>
      <c r="N2330" s="116">
        <v>3659</v>
      </c>
      <c r="O2330" s="116">
        <v>3582.3</v>
      </c>
      <c r="P2330" s="116">
        <v>3586</v>
      </c>
      <c r="Q2330" s="116">
        <v>3625.9</v>
      </c>
      <c r="R2330">
        <v>2740360</v>
      </c>
    </row>
    <row r="2331" spans="1:18" x14ac:dyDescent="0.25">
      <c r="A2331" s="170">
        <v>45439</v>
      </c>
      <c r="B2331" s="116">
        <v>3694</v>
      </c>
      <c r="C2331" s="116">
        <v>3650.8</v>
      </c>
      <c r="D2331" s="116">
        <v>3599.45</v>
      </c>
      <c r="E2331" s="116">
        <v>3649.3</v>
      </c>
      <c r="F2331" s="116">
        <v>3650.8</v>
      </c>
      <c r="G2331">
        <v>119445</v>
      </c>
      <c r="H2331" s="116"/>
      <c r="I2331" s="116"/>
      <c r="L2331" s="170">
        <v>45439</v>
      </c>
      <c r="M2331" s="116">
        <v>3652</v>
      </c>
      <c r="N2331" s="116">
        <v>3695</v>
      </c>
      <c r="O2331" s="116">
        <v>3600</v>
      </c>
      <c r="P2331" s="116">
        <v>3644.9</v>
      </c>
      <c r="Q2331" s="116">
        <v>3652</v>
      </c>
      <c r="R2331">
        <v>2570708</v>
      </c>
    </row>
    <row r="2332" spans="1:18" x14ac:dyDescent="0.25">
      <c r="A2332" s="170">
        <v>45440</v>
      </c>
      <c r="B2332" s="116">
        <v>3685</v>
      </c>
      <c r="C2332" s="116">
        <v>3657.05</v>
      </c>
      <c r="D2332" s="116">
        <v>3646.45</v>
      </c>
      <c r="E2332" s="116">
        <v>3651.9</v>
      </c>
      <c r="F2332" s="116">
        <v>3657.05</v>
      </c>
      <c r="G2332">
        <v>24508</v>
      </c>
      <c r="H2332" s="116"/>
      <c r="I2332" s="116"/>
      <c r="L2332" s="170">
        <v>45440</v>
      </c>
      <c r="M2332" s="116">
        <v>3658.2</v>
      </c>
      <c r="N2332" s="116">
        <v>3685.25</v>
      </c>
      <c r="O2332" s="116">
        <v>3646.05</v>
      </c>
      <c r="P2332" s="116">
        <v>3652</v>
      </c>
      <c r="Q2332" s="116">
        <v>3658.2</v>
      </c>
      <c r="R2332">
        <v>1440187</v>
      </c>
    </row>
    <row r="2333" spans="1:18" x14ac:dyDescent="0.25">
      <c r="A2333" s="170">
        <v>45441</v>
      </c>
      <c r="B2333" s="116">
        <v>3661</v>
      </c>
      <c r="C2333" s="116">
        <v>3633.5</v>
      </c>
      <c r="D2333" s="116">
        <v>3609.85</v>
      </c>
      <c r="E2333" s="116">
        <v>3611</v>
      </c>
      <c r="F2333" s="116">
        <v>3633.5</v>
      </c>
      <c r="G2333">
        <v>26337</v>
      </c>
      <c r="H2333" s="116"/>
      <c r="I2333" s="116"/>
      <c r="L2333" s="170">
        <v>45441</v>
      </c>
      <c r="M2333" s="116">
        <v>3634.8</v>
      </c>
      <c r="N2333" s="116">
        <v>3661.85</v>
      </c>
      <c r="O2333" s="116">
        <v>3610.35</v>
      </c>
      <c r="P2333" s="116">
        <v>3611</v>
      </c>
      <c r="Q2333" s="116">
        <v>3634.8</v>
      </c>
      <c r="R2333">
        <v>1506146</v>
      </c>
    </row>
    <row r="2334" spans="1:18" x14ac:dyDescent="0.25">
      <c r="A2334" s="170">
        <v>45442</v>
      </c>
      <c r="B2334" s="116">
        <v>3643.8</v>
      </c>
      <c r="C2334" s="116">
        <v>3635.15</v>
      </c>
      <c r="D2334" s="116">
        <v>3606.55</v>
      </c>
      <c r="E2334" s="116">
        <v>3633.45</v>
      </c>
      <c r="F2334" s="116">
        <v>3635.15</v>
      </c>
      <c r="G2334">
        <v>24065</v>
      </c>
      <c r="H2334" s="116"/>
      <c r="I2334" s="116"/>
      <c r="L2334" s="170">
        <v>45442</v>
      </c>
      <c r="M2334" s="116">
        <v>3634.7</v>
      </c>
      <c r="N2334" s="116">
        <v>3643.95</v>
      </c>
      <c r="O2334" s="116">
        <v>3607.75</v>
      </c>
      <c r="P2334" s="116">
        <v>3626.05</v>
      </c>
      <c r="Q2334" s="116">
        <v>3634.7</v>
      </c>
      <c r="R2334">
        <v>2701849</v>
      </c>
    </row>
    <row r="2335" spans="1:18" x14ac:dyDescent="0.25">
      <c r="A2335" s="170">
        <v>45443</v>
      </c>
      <c r="B2335" s="116">
        <v>3745</v>
      </c>
      <c r="C2335" s="116">
        <v>3667.4</v>
      </c>
      <c r="D2335" s="116">
        <v>3639.9</v>
      </c>
      <c r="E2335" s="116">
        <v>3639.9</v>
      </c>
      <c r="F2335" s="116">
        <v>3667.4</v>
      </c>
      <c r="G2335">
        <v>697477</v>
      </c>
      <c r="H2335" s="116"/>
      <c r="I2335" s="116"/>
      <c r="L2335" s="170">
        <v>45443</v>
      </c>
      <c r="M2335" s="116">
        <v>3669.3</v>
      </c>
      <c r="N2335" s="116">
        <v>3744.8</v>
      </c>
      <c r="O2335" s="116">
        <v>3636.4</v>
      </c>
      <c r="P2335" s="116">
        <v>3636.4</v>
      </c>
      <c r="Q2335" s="116">
        <v>3669.3</v>
      </c>
      <c r="R2335">
        <v>6432341</v>
      </c>
    </row>
    <row r="2336" spans="1:18" x14ac:dyDescent="0.25">
      <c r="A2336" s="170">
        <v>45446</v>
      </c>
      <c r="B2336" s="116">
        <v>3948.6</v>
      </c>
      <c r="C2336" s="116">
        <v>3897.4</v>
      </c>
      <c r="D2336" s="116">
        <v>3801.7</v>
      </c>
      <c r="E2336" s="116">
        <v>3948.6</v>
      </c>
      <c r="F2336" s="116">
        <v>3897.4</v>
      </c>
      <c r="G2336">
        <v>150249</v>
      </c>
      <c r="H2336" s="116"/>
      <c r="I2336" s="116"/>
      <c r="L2336" s="170">
        <v>45446</v>
      </c>
      <c r="M2336" s="116">
        <v>3897.15</v>
      </c>
      <c r="N2336" s="116">
        <v>3919.9</v>
      </c>
      <c r="O2336" s="116">
        <v>3801.1</v>
      </c>
      <c r="P2336" s="116">
        <v>3855.4</v>
      </c>
      <c r="Q2336" s="116">
        <v>3897.15</v>
      </c>
      <c r="R2336">
        <v>5767666</v>
      </c>
    </row>
    <row r="2337" spans="1:18" x14ac:dyDescent="0.25">
      <c r="A2337" s="170">
        <v>45447</v>
      </c>
      <c r="B2337" s="116">
        <v>3895</v>
      </c>
      <c r="C2337" s="116">
        <v>3402.85</v>
      </c>
      <c r="D2337" s="116">
        <v>3322.05</v>
      </c>
      <c r="E2337" s="116">
        <v>3869.2</v>
      </c>
      <c r="F2337" s="116">
        <v>3402.85</v>
      </c>
      <c r="G2337">
        <v>1459904</v>
      </c>
      <c r="H2337" s="116"/>
      <c r="I2337" s="116"/>
      <c r="L2337" s="170">
        <v>45447</v>
      </c>
      <c r="M2337" s="116">
        <v>3403.2</v>
      </c>
      <c r="N2337" s="116">
        <v>3898</v>
      </c>
      <c r="O2337" s="116">
        <v>3320</v>
      </c>
      <c r="P2337" s="116">
        <v>3852</v>
      </c>
      <c r="Q2337" s="116">
        <v>3403.2</v>
      </c>
      <c r="R2337">
        <v>9920882</v>
      </c>
    </row>
    <row r="2338" spans="1:18" x14ac:dyDescent="0.25">
      <c r="A2338" s="170">
        <v>45448</v>
      </c>
      <c r="B2338" s="116">
        <v>3464.85</v>
      </c>
      <c r="C2338" s="116">
        <v>3409.6</v>
      </c>
      <c r="D2338" s="116">
        <v>3175.5</v>
      </c>
      <c r="E2338" s="116">
        <v>3464.85</v>
      </c>
      <c r="F2338" s="116">
        <v>3409.6</v>
      </c>
      <c r="G2338">
        <v>342176</v>
      </c>
      <c r="H2338" s="116"/>
      <c r="I2338" s="116"/>
      <c r="L2338" s="170">
        <v>45448</v>
      </c>
      <c r="M2338" s="116">
        <v>3409</v>
      </c>
      <c r="N2338" s="116">
        <v>3441.5</v>
      </c>
      <c r="O2338" s="116">
        <v>3175.05</v>
      </c>
      <c r="P2338" s="116">
        <v>3441.5</v>
      </c>
      <c r="Q2338" s="116">
        <v>3409</v>
      </c>
      <c r="R2338">
        <v>10372458</v>
      </c>
    </row>
    <row r="2339" spans="1:18" x14ac:dyDescent="0.25">
      <c r="A2339" s="170">
        <v>45449</v>
      </c>
      <c r="B2339" s="116">
        <v>3535.5</v>
      </c>
      <c r="C2339" s="116">
        <v>3485.85</v>
      </c>
      <c r="D2339" s="116">
        <v>3385</v>
      </c>
      <c r="E2339" s="116">
        <v>3444.55</v>
      </c>
      <c r="F2339" s="116">
        <v>3485.85</v>
      </c>
      <c r="G2339">
        <v>243307</v>
      </c>
      <c r="H2339" s="116"/>
      <c r="I2339" s="116"/>
      <c r="L2339" s="170">
        <v>45449</v>
      </c>
      <c r="M2339" s="116">
        <v>3482.55</v>
      </c>
      <c r="N2339" s="116">
        <v>3538.2</v>
      </c>
      <c r="O2339" s="116">
        <v>3385.3</v>
      </c>
      <c r="P2339" s="116">
        <v>3438</v>
      </c>
      <c r="Q2339" s="116">
        <v>3482.55</v>
      </c>
      <c r="R2339">
        <v>8374602</v>
      </c>
    </row>
    <row r="2340" spans="1:18" x14ac:dyDescent="0.25">
      <c r="A2340" s="170">
        <v>45450</v>
      </c>
      <c r="B2340" s="116">
        <v>3548</v>
      </c>
      <c r="C2340" s="116">
        <v>3532.9</v>
      </c>
      <c r="D2340" s="116">
        <v>3446.05</v>
      </c>
      <c r="E2340" s="116">
        <v>3475</v>
      </c>
      <c r="F2340" s="116">
        <v>3532.9</v>
      </c>
      <c r="G2340">
        <v>424483</v>
      </c>
      <c r="H2340" s="116"/>
      <c r="I2340" s="116"/>
      <c r="L2340" s="170">
        <v>45450</v>
      </c>
      <c r="M2340" s="116">
        <v>3532.5</v>
      </c>
      <c r="N2340" s="116">
        <v>3548</v>
      </c>
      <c r="O2340" s="116">
        <v>3446</v>
      </c>
      <c r="P2340" s="116">
        <v>3465.05</v>
      </c>
      <c r="Q2340" s="116">
        <v>3532.5</v>
      </c>
      <c r="R2340">
        <v>5879660</v>
      </c>
    </row>
    <row r="2341" spans="1:18" x14ac:dyDescent="0.25">
      <c r="A2341" s="170">
        <v>45453</v>
      </c>
      <c r="B2341" s="116">
        <v>3584.65</v>
      </c>
      <c r="C2341" s="116">
        <v>3542.15</v>
      </c>
      <c r="D2341" s="116">
        <v>3520</v>
      </c>
      <c r="E2341" s="116">
        <v>3532</v>
      </c>
      <c r="F2341" s="116">
        <v>3542.15</v>
      </c>
      <c r="G2341">
        <v>390614</v>
      </c>
      <c r="H2341" s="116"/>
      <c r="I2341" s="116"/>
      <c r="L2341" s="170">
        <v>45453</v>
      </c>
      <c r="M2341" s="116">
        <v>3543.75</v>
      </c>
      <c r="N2341" s="116">
        <v>3585</v>
      </c>
      <c r="O2341" s="116">
        <v>3521.05</v>
      </c>
      <c r="P2341" s="116">
        <v>3521.05</v>
      </c>
      <c r="Q2341" s="116">
        <v>3543.75</v>
      </c>
      <c r="R2341">
        <v>3151257</v>
      </c>
    </row>
    <row r="2342" spans="1:18" x14ac:dyDescent="0.25">
      <c r="A2342" s="170">
        <v>45454</v>
      </c>
      <c r="B2342" s="116">
        <v>3638.95</v>
      </c>
      <c r="C2342" s="116">
        <v>3600.35</v>
      </c>
      <c r="D2342" s="116">
        <v>3552.45</v>
      </c>
      <c r="E2342" s="116">
        <v>3566.5</v>
      </c>
      <c r="F2342" s="116">
        <v>3600.35</v>
      </c>
      <c r="G2342">
        <v>82148</v>
      </c>
      <c r="H2342" s="116"/>
      <c r="I2342" s="116"/>
      <c r="L2342" s="170">
        <v>45454</v>
      </c>
      <c r="M2342" s="116">
        <v>3598.7</v>
      </c>
      <c r="N2342" s="116">
        <v>3639</v>
      </c>
      <c r="O2342" s="116">
        <v>3551.2</v>
      </c>
      <c r="P2342" s="116">
        <v>3570</v>
      </c>
      <c r="Q2342" s="116">
        <v>3598.7</v>
      </c>
      <c r="R2342">
        <v>2548176</v>
      </c>
    </row>
    <row r="2343" spans="1:18" x14ac:dyDescent="0.25">
      <c r="A2343" s="170">
        <v>45455</v>
      </c>
      <c r="B2343" s="116">
        <v>3648.85</v>
      </c>
      <c r="C2343" s="116">
        <v>3629.35</v>
      </c>
      <c r="D2343" s="116">
        <v>3578.55</v>
      </c>
      <c r="E2343" s="116">
        <v>3616.8</v>
      </c>
      <c r="F2343" s="116">
        <v>3629.35</v>
      </c>
      <c r="G2343">
        <v>90834</v>
      </c>
      <c r="H2343" s="116"/>
      <c r="I2343" s="116"/>
      <c r="L2343" s="170">
        <v>45455</v>
      </c>
      <c r="M2343" s="116">
        <v>3630.3</v>
      </c>
      <c r="N2343" s="116">
        <v>3648.95</v>
      </c>
      <c r="O2343" s="116">
        <v>3578</v>
      </c>
      <c r="P2343" s="116">
        <v>3615</v>
      </c>
      <c r="Q2343" s="116">
        <v>3630.3</v>
      </c>
      <c r="R2343">
        <v>2242274</v>
      </c>
    </row>
    <row r="2344" spans="1:18" x14ac:dyDescent="0.25">
      <c r="A2344" s="170">
        <v>45456</v>
      </c>
      <c r="B2344" s="116">
        <v>3716.8</v>
      </c>
      <c r="C2344" s="116">
        <v>3704.25</v>
      </c>
      <c r="D2344" s="116">
        <v>3637</v>
      </c>
      <c r="E2344" s="116">
        <v>3652.55</v>
      </c>
      <c r="F2344" s="116">
        <v>3704.25</v>
      </c>
      <c r="G2344">
        <v>68550</v>
      </c>
      <c r="H2344" s="116"/>
      <c r="I2344" s="116"/>
      <c r="L2344" s="170">
        <v>45456</v>
      </c>
      <c r="M2344" s="116">
        <v>3703.65</v>
      </c>
      <c r="N2344" s="116">
        <v>3715.9</v>
      </c>
      <c r="O2344" s="116">
        <v>3635</v>
      </c>
      <c r="P2344" s="116">
        <v>3665.5</v>
      </c>
      <c r="Q2344" s="116">
        <v>3703.65</v>
      </c>
      <c r="R2344">
        <v>2965500</v>
      </c>
    </row>
    <row r="2345" spans="1:18" x14ac:dyDescent="0.25">
      <c r="A2345" s="170">
        <v>45457</v>
      </c>
      <c r="B2345" s="116">
        <v>3720</v>
      </c>
      <c r="C2345" s="116">
        <v>3686.75</v>
      </c>
      <c r="D2345" s="116">
        <v>3673.7</v>
      </c>
      <c r="E2345" s="116">
        <v>3711.25</v>
      </c>
      <c r="F2345" s="116">
        <v>3686.75</v>
      </c>
      <c r="G2345">
        <v>118712</v>
      </c>
      <c r="H2345" s="116"/>
      <c r="I2345" s="116"/>
      <c r="L2345" s="170">
        <v>45457</v>
      </c>
      <c r="M2345" s="116">
        <v>3687.8</v>
      </c>
      <c r="N2345" s="116">
        <v>3720</v>
      </c>
      <c r="O2345" s="116">
        <v>3675</v>
      </c>
      <c r="P2345" s="116">
        <v>3718</v>
      </c>
      <c r="Q2345" s="116">
        <v>3687.8</v>
      </c>
      <c r="R2345">
        <v>1746508</v>
      </c>
    </row>
    <row r="2346" spans="1:18" x14ac:dyDescent="0.25">
      <c r="A2346" s="170">
        <v>45461</v>
      </c>
      <c r="B2346" s="116">
        <v>3710</v>
      </c>
      <c r="C2346" s="116">
        <v>3688.7</v>
      </c>
      <c r="D2346" s="116">
        <v>3675.25</v>
      </c>
      <c r="E2346" s="116">
        <v>3710</v>
      </c>
      <c r="F2346" s="116">
        <v>3688.7</v>
      </c>
      <c r="G2346">
        <v>31691</v>
      </c>
      <c r="H2346" s="116"/>
      <c r="I2346" s="116"/>
      <c r="L2346" s="170">
        <v>45461</v>
      </c>
      <c r="M2346" s="116">
        <v>3689.2</v>
      </c>
      <c r="N2346" s="116">
        <v>3710</v>
      </c>
      <c r="O2346" s="116">
        <v>3675</v>
      </c>
      <c r="P2346" s="116">
        <v>3708</v>
      </c>
      <c r="Q2346" s="116">
        <v>3689.2</v>
      </c>
      <c r="R2346">
        <v>1936792</v>
      </c>
    </row>
    <row r="2347" spans="1:18" x14ac:dyDescent="0.25">
      <c r="A2347" s="170">
        <v>45462</v>
      </c>
      <c r="B2347" s="116">
        <v>3692.75</v>
      </c>
      <c r="C2347" s="116">
        <v>3590.4</v>
      </c>
      <c r="D2347" s="116">
        <v>3574</v>
      </c>
      <c r="E2347" s="116">
        <v>3690.95</v>
      </c>
      <c r="F2347" s="116">
        <v>3590.4</v>
      </c>
      <c r="G2347">
        <v>72986</v>
      </c>
      <c r="H2347" s="116"/>
      <c r="I2347" s="116"/>
      <c r="L2347" s="170">
        <v>45462</v>
      </c>
      <c r="M2347" s="116">
        <v>3589.95</v>
      </c>
      <c r="N2347" s="116">
        <v>3699</v>
      </c>
      <c r="O2347" s="116">
        <v>3575</v>
      </c>
      <c r="P2347" s="116">
        <v>3690</v>
      </c>
      <c r="Q2347" s="116">
        <v>3589.95</v>
      </c>
      <c r="R2347">
        <v>2936151</v>
      </c>
    </row>
    <row r="2348" spans="1:18" x14ac:dyDescent="0.25">
      <c r="A2348" s="170">
        <v>45463</v>
      </c>
      <c r="B2348" s="116">
        <v>3615.65</v>
      </c>
      <c r="C2348" s="116">
        <v>3597.1</v>
      </c>
      <c r="D2348" s="116">
        <v>3564.05</v>
      </c>
      <c r="E2348" s="116">
        <v>3590.4</v>
      </c>
      <c r="F2348" s="116">
        <v>3597.1</v>
      </c>
      <c r="G2348">
        <v>169966</v>
      </c>
      <c r="H2348" s="116"/>
      <c r="I2348" s="116"/>
      <c r="L2348" s="170">
        <v>45463</v>
      </c>
      <c r="M2348" s="116">
        <v>3594.45</v>
      </c>
      <c r="N2348" s="116">
        <v>3613.3</v>
      </c>
      <c r="O2348" s="116">
        <v>3564.6</v>
      </c>
      <c r="P2348" s="116">
        <v>3584.95</v>
      </c>
      <c r="Q2348" s="116">
        <v>3594.45</v>
      </c>
      <c r="R2348">
        <v>2618715</v>
      </c>
    </row>
    <row r="2349" spans="1:18" x14ac:dyDescent="0.25">
      <c r="A2349" s="170">
        <v>45464</v>
      </c>
      <c r="B2349" s="116">
        <v>3608.8</v>
      </c>
      <c r="C2349" s="116">
        <v>3533.1</v>
      </c>
      <c r="D2349" s="116">
        <v>3520</v>
      </c>
      <c r="E2349" s="116">
        <v>3600.4</v>
      </c>
      <c r="F2349" s="116">
        <v>3533.1</v>
      </c>
      <c r="G2349">
        <v>419552</v>
      </c>
      <c r="H2349" s="116"/>
      <c r="I2349" s="116"/>
      <c r="L2349" s="170">
        <v>45464</v>
      </c>
      <c r="M2349" s="116">
        <v>3535</v>
      </c>
      <c r="N2349" s="116">
        <v>3610</v>
      </c>
      <c r="O2349" s="116">
        <v>3516</v>
      </c>
      <c r="P2349" s="116">
        <v>3604.05</v>
      </c>
      <c r="Q2349" s="116">
        <v>3535</v>
      </c>
      <c r="R2349">
        <v>4508508</v>
      </c>
    </row>
    <row r="2350" spans="1:18" x14ac:dyDescent="0.25">
      <c r="A2350" s="170">
        <v>45467</v>
      </c>
      <c r="B2350" s="116">
        <v>3567.45</v>
      </c>
      <c r="C2350" s="116">
        <v>3531.95</v>
      </c>
      <c r="D2350" s="116">
        <v>3505.35</v>
      </c>
      <c r="E2350" s="116">
        <v>3516.75</v>
      </c>
      <c r="F2350" s="116">
        <v>3531.95</v>
      </c>
      <c r="G2350">
        <v>99288</v>
      </c>
      <c r="H2350" s="116"/>
      <c r="I2350" s="116"/>
      <c r="L2350" s="170">
        <v>45467</v>
      </c>
      <c r="M2350" s="116">
        <v>3531.6</v>
      </c>
      <c r="N2350" s="116">
        <v>3567</v>
      </c>
      <c r="O2350" s="116">
        <v>3505</v>
      </c>
      <c r="P2350" s="116">
        <v>3520.35</v>
      </c>
      <c r="Q2350" s="116">
        <v>3531.6</v>
      </c>
      <c r="R2350">
        <v>2330559</v>
      </c>
    </row>
    <row r="2351" spans="1:18" x14ac:dyDescent="0.25">
      <c r="A2351" s="170">
        <v>45468</v>
      </c>
      <c r="B2351" s="116">
        <v>3590.7</v>
      </c>
      <c r="C2351" s="116">
        <v>3587.15</v>
      </c>
      <c r="D2351" s="116">
        <v>3529.8</v>
      </c>
      <c r="E2351" s="116">
        <v>3552</v>
      </c>
      <c r="F2351" s="116">
        <v>3587.15</v>
      </c>
      <c r="G2351">
        <v>123745</v>
      </c>
      <c r="H2351" s="116"/>
      <c r="I2351" s="116"/>
      <c r="L2351" s="170">
        <v>45468</v>
      </c>
      <c r="M2351" s="116">
        <v>3587.8</v>
      </c>
      <c r="N2351" s="116">
        <v>3591.95</v>
      </c>
      <c r="O2351" s="116">
        <v>3528</v>
      </c>
      <c r="P2351" s="116">
        <v>3556.5</v>
      </c>
      <c r="Q2351" s="116">
        <v>3587.8</v>
      </c>
      <c r="R2351">
        <v>2158039</v>
      </c>
    </row>
    <row r="2352" spans="1:18" x14ac:dyDescent="0.25">
      <c r="A2352" s="170">
        <v>45469</v>
      </c>
      <c r="B2352" s="116">
        <v>3625.8</v>
      </c>
      <c r="C2352" s="116">
        <v>3605.85</v>
      </c>
      <c r="D2352" s="116">
        <v>3590.45</v>
      </c>
      <c r="E2352" s="116">
        <v>3590.45</v>
      </c>
      <c r="F2352" s="116">
        <v>3605.85</v>
      </c>
      <c r="G2352">
        <v>32690</v>
      </c>
      <c r="H2352" s="116"/>
      <c r="I2352" s="116"/>
      <c r="L2352" s="170">
        <v>45469</v>
      </c>
      <c r="M2352" s="116">
        <v>3602.95</v>
      </c>
      <c r="N2352" s="116">
        <v>3624.9</v>
      </c>
      <c r="O2352" s="116">
        <v>3592.25</v>
      </c>
      <c r="P2352" s="116">
        <v>3601</v>
      </c>
      <c r="Q2352" s="116">
        <v>3602.95</v>
      </c>
      <c r="R2352">
        <v>2480187</v>
      </c>
    </row>
    <row r="2353" spans="1:18" x14ac:dyDescent="0.25">
      <c r="A2353" s="170">
        <v>45470</v>
      </c>
      <c r="B2353" s="116">
        <v>3602.95</v>
      </c>
      <c r="C2353" s="116">
        <v>3565</v>
      </c>
      <c r="D2353" s="116">
        <v>3550.25</v>
      </c>
      <c r="E2353" s="116">
        <v>3602.95</v>
      </c>
      <c r="F2353" s="116">
        <v>3565</v>
      </c>
      <c r="G2353">
        <v>164661</v>
      </c>
      <c r="H2353" s="116"/>
      <c r="I2353" s="116"/>
      <c r="L2353" s="170">
        <v>45470</v>
      </c>
      <c r="M2353" s="116">
        <v>3564.4</v>
      </c>
      <c r="N2353" s="116">
        <v>3601.3</v>
      </c>
      <c r="O2353" s="116">
        <v>3550</v>
      </c>
      <c r="P2353" s="116">
        <v>3597.45</v>
      </c>
      <c r="Q2353" s="116">
        <v>3564.4</v>
      </c>
      <c r="R2353">
        <v>5519875</v>
      </c>
    </row>
    <row r="2354" spans="1:18" x14ac:dyDescent="0.25">
      <c r="A2354" s="170">
        <v>45471</v>
      </c>
      <c r="B2354" s="116">
        <v>3576.9</v>
      </c>
      <c r="C2354" s="116">
        <v>3549.4</v>
      </c>
      <c r="D2354" s="116">
        <v>3536.3</v>
      </c>
      <c r="E2354" s="116">
        <v>3544.95</v>
      </c>
      <c r="F2354" s="116">
        <v>3549.4</v>
      </c>
      <c r="G2354">
        <v>247562</v>
      </c>
      <c r="H2354" s="116"/>
      <c r="I2354" s="116"/>
      <c r="L2354" s="170">
        <v>45471</v>
      </c>
      <c r="M2354" s="116">
        <v>3548.45</v>
      </c>
      <c r="N2354" s="116">
        <v>3575.95</v>
      </c>
      <c r="O2354" s="116">
        <v>3538.1</v>
      </c>
      <c r="P2354" s="116">
        <v>3540</v>
      </c>
      <c r="Q2354" s="116">
        <v>3548.45</v>
      </c>
      <c r="R2354">
        <v>3141514</v>
      </c>
    </row>
    <row r="2355" spans="1:18" x14ac:dyDescent="0.25">
      <c r="A2355" s="170">
        <v>45474</v>
      </c>
      <c r="B2355" s="116">
        <v>3539.95</v>
      </c>
      <c r="C2355" s="116">
        <v>3527.65</v>
      </c>
      <c r="D2355" s="116">
        <v>3515</v>
      </c>
      <c r="E2355" s="116">
        <v>3538</v>
      </c>
      <c r="F2355" s="116">
        <v>3527.65</v>
      </c>
      <c r="G2355">
        <v>891896</v>
      </c>
      <c r="H2355" s="116"/>
      <c r="I2355" s="116"/>
      <c r="L2355" s="170">
        <v>45474</v>
      </c>
      <c r="M2355" s="116">
        <v>3526.55</v>
      </c>
      <c r="N2355" s="116">
        <v>3541.4</v>
      </c>
      <c r="O2355" s="116">
        <v>3514</v>
      </c>
      <c r="P2355" s="116">
        <v>3535.2</v>
      </c>
      <c r="Q2355" s="116">
        <v>3526.55</v>
      </c>
      <c r="R2355">
        <v>2961120</v>
      </c>
    </row>
    <row r="2356" spans="1:18" x14ac:dyDescent="0.25">
      <c r="A2356" s="170">
        <v>45475</v>
      </c>
      <c r="B2356" s="116">
        <v>3634</v>
      </c>
      <c r="C2356" s="116">
        <v>3624.25</v>
      </c>
      <c r="D2356" s="116">
        <v>3536.4</v>
      </c>
      <c r="E2356" s="116">
        <v>3547.95</v>
      </c>
      <c r="F2356" s="116">
        <v>3624.25</v>
      </c>
      <c r="G2356">
        <v>201459</v>
      </c>
      <c r="H2356" s="116"/>
      <c r="I2356" s="116"/>
      <c r="L2356" s="170">
        <v>45475</v>
      </c>
      <c r="M2356" s="116">
        <v>3626.5</v>
      </c>
      <c r="N2356" s="116">
        <v>3634</v>
      </c>
      <c r="O2356" s="116">
        <v>3535.05</v>
      </c>
      <c r="P2356" s="116">
        <v>3535.05</v>
      </c>
      <c r="Q2356" s="116">
        <v>3626.5</v>
      </c>
      <c r="R2356">
        <v>5087748</v>
      </c>
    </row>
    <row r="2357" spans="1:18" x14ac:dyDescent="0.25">
      <c r="A2357" s="170">
        <v>45476</v>
      </c>
      <c r="B2357" s="116">
        <v>3665.55</v>
      </c>
      <c r="C2357" s="116">
        <v>3614.8</v>
      </c>
      <c r="D2357" s="116">
        <v>3606</v>
      </c>
      <c r="E2357" s="116">
        <v>3665.55</v>
      </c>
      <c r="F2357" s="116">
        <v>3614.8</v>
      </c>
      <c r="G2357">
        <v>80370</v>
      </c>
      <c r="H2357" s="116"/>
      <c r="I2357" s="116"/>
      <c r="L2357" s="170">
        <v>45476</v>
      </c>
      <c r="M2357" s="116">
        <v>3614.35</v>
      </c>
      <c r="N2357" s="116">
        <v>3650.5</v>
      </c>
      <c r="O2357" s="116">
        <v>3605</v>
      </c>
      <c r="P2357" s="116">
        <v>3650.35</v>
      </c>
      <c r="Q2357" s="116">
        <v>3614.35</v>
      </c>
      <c r="R2357">
        <v>1923801</v>
      </c>
    </row>
    <row r="2358" spans="1:18" x14ac:dyDescent="0.25">
      <c r="A2358" s="170">
        <v>45477</v>
      </c>
      <c r="B2358" s="116">
        <v>3643.45</v>
      </c>
      <c r="C2358" s="116">
        <v>3574.2</v>
      </c>
      <c r="D2358" s="116">
        <v>3567</v>
      </c>
      <c r="E2358" s="116">
        <v>3623.95</v>
      </c>
      <c r="F2358" s="116">
        <v>3574.2</v>
      </c>
      <c r="G2358">
        <v>139999</v>
      </c>
      <c r="H2358" s="116"/>
      <c r="I2358" s="116"/>
      <c r="L2358" s="170">
        <v>45477</v>
      </c>
      <c r="M2358" s="116">
        <v>3573.3</v>
      </c>
      <c r="N2358" s="116">
        <v>3644</v>
      </c>
      <c r="O2358" s="116">
        <v>3565.8</v>
      </c>
      <c r="P2358" s="116">
        <v>3616.1</v>
      </c>
      <c r="Q2358" s="116">
        <v>3573.3</v>
      </c>
      <c r="R2358">
        <v>1851947</v>
      </c>
    </row>
    <row r="2359" spans="1:18" x14ac:dyDescent="0.25">
      <c r="A2359" s="170">
        <v>45478</v>
      </c>
      <c r="B2359" s="116">
        <v>3637</v>
      </c>
      <c r="C2359" s="116">
        <v>3628.45</v>
      </c>
      <c r="D2359" s="116">
        <v>3570.7</v>
      </c>
      <c r="E2359" s="116">
        <v>3589.6</v>
      </c>
      <c r="F2359" s="116">
        <v>3628.45</v>
      </c>
      <c r="G2359">
        <v>243381</v>
      </c>
      <c r="H2359" s="116"/>
      <c r="I2359" s="116"/>
      <c r="L2359" s="170">
        <v>45478</v>
      </c>
      <c r="M2359" s="116">
        <v>3627.15</v>
      </c>
      <c r="N2359" s="116">
        <v>3638</v>
      </c>
      <c r="O2359" s="116">
        <v>3568</v>
      </c>
      <c r="P2359" s="116">
        <v>3573.3</v>
      </c>
      <c r="Q2359" s="116">
        <v>3627.15</v>
      </c>
      <c r="R2359">
        <v>1635209</v>
      </c>
    </row>
    <row r="2360" spans="1:18" x14ac:dyDescent="0.25">
      <c r="A2360" s="170">
        <v>45481</v>
      </c>
      <c r="B2360" s="116">
        <v>3645.05</v>
      </c>
      <c r="C2360" s="116">
        <v>3630.6</v>
      </c>
      <c r="D2360" s="116">
        <v>3594.9</v>
      </c>
      <c r="E2360" s="116">
        <v>3640</v>
      </c>
      <c r="F2360" s="116">
        <v>3630.6</v>
      </c>
      <c r="G2360">
        <v>122328</v>
      </c>
      <c r="H2360" s="116"/>
      <c r="I2360" s="116"/>
      <c r="L2360" s="170">
        <v>45481</v>
      </c>
      <c r="M2360" s="116">
        <v>3632</v>
      </c>
      <c r="N2360" s="116">
        <v>3645.7</v>
      </c>
      <c r="O2360" s="116">
        <v>3594</v>
      </c>
      <c r="P2360" s="116">
        <v>3640.1</v>
      </c>
      <c r="Q2360" s="116">
        <v>3632</v>
      </c>
      <c r="R2360">
        <v>1706210</v>
      </c>
    </row>
    <row r="2361" spans="1:18" x14ac:dyDescent="0.25">
      <c r="A2361" s="170">
        <v>45482</v>
      </c>
      <c r="B2361" s="116">
        <v>3685</v>
      </c>
      <c r="C2361" s="116">
        <v>3664.5</v>
      </c>
      <c r="D2361" s="116">
        <v>3638.85</v>
      </c>
      <c r="E2361" s="116">
        <v>3657</v>
      </c>
      <c r="F2361" s="116">
        <v>3664.5</v>
      </c>
      <c r="G2361">
        <v>62651</v>
      </c>
      <c r="H2361" s="116"/>
      <c r="I2361" s="116"/>
      <c r="L2361" s="170">
        <v>45482</v>
      </c>
      <c r="M2361" s="116">
        <v>3666.1</v>
      </c>
      <c r="N2361" s="116">
        <v>3685</v>
      </c>
      <c r="O2361" s="116">
        <v>3646.1</v>
      </c>
      <c r="P2361" s="116">
        <v>3650</v>
      </c>
      <c r="Q2361" s="116">
        <v>3666.1</v>
      </c>
      <c r="R2361">
        <v>2425176</v>
      </c>
    </row>
    <row r="2362" spans="1:18" x14ac:dyDescent="0.25">
      <c r="A2362" s="170">
        <v>45483</v>
      </c>
      <c r="B2362" s="116">
        <v>3693.25</v>
      </c>
      <c r="C2362" s="116">
        <v>3649.1</v>
      </c>
      <c r="D2362" s="116">
        <v>3601.75</v>
      </c>
      <c r="E2362" s="116">
        <v>3687.85</v>
      </c>
      <c r="F2362" s="116">
        <v>3649.1</v>
      </c>
      <c r="G2362">
        <v>48482</v>
      </c>
      <c r="H2362" s="116"/>
      <c r="I2362" s="116"/>
      <c r="L2362" s="170">
        <v>45483</v>
      </c>
      <c r="M2362" s="116">
        <v>3650.05</v>
      </c>
      <c r="N2362" s="116">
        <v>3694</v>
      </c>
      <c r="O2362" s="116">
        <v>3601</v>
      </c>
      <c r="P2362" s="116">
        <v>3685.05</v>
      </c>
      <c r="Q2362" s="116">
        <v>3650.05</v>
      </c>
      <c r="R2362">
        <v>2231438</v>
      </c>
    </row>
    <row r="2363" spans="1:18" x14ac:dyDescent="0.25">
      <c r="A2363" s="170">
        <v>45484</v>
      </c>
      <c r="B2363" s="116">
        <v>3684.4</v>
      </c>
      <c r="C2363" s="116">
        <v>3621.45</v>
      </c>
      <c r="D2363" s="116">
        <v>3604</v>
      </c>
      <c r="E2363" s="116">
        <v>3660.5</v>
      </c>
      <c r="F2363" s="116">
        <v>3621.45</v>
      </c>
      <c r="G2363">
        <v>66725</v>
      </c>
      <c r="H2363" s="116"/>
      <c r="I2363" s="116"/>
      <c r="L2363" s="170">
        <v>45484</v>
      </c>
      <c r="M2363" s="116">
        <v>3621.1</v>
      </c>
      <c r="N2363" s="116">
        <v>3684.6</v>
      </c>
      <c r="O2363" s="116">
        <v>3603</v>
      </c>
      <c r="P2363" s="116">
        <v>3660</v>
      </c>
      <c r="Q2363" s="116">
        <v>3621.1</v>
      </c>
      <c r="R2363">
        <v>2942924</v>
      </c>
    </row>
    <row r="2364" spans="1:18" x14ac:dyDescent="0.25">
      <c r="A2364" s="170">
        <v>45485</v>
      </c>
      <c r="B2364" s="116">
        <v>3667</v>
      </c>
      <c r="C2364" s="116">
        <v>3648</v>
      </c>
      <c r="D2364" s="116">
        <v>3611.3</v>
      </c>
      <c r="E2364" s="116">
        <v>3622.3</v>
      </c>
      <c r="F2364" s="116">
        <v>3648</v>
      </c>
      <c r="G2364">
        <v>342205</v>
      </c>
      <c r="H2364" s="116"/>
      <c r="I2364" s="116"/>
      <c r="L2364" s="170">
        <v>45485</v>
      </c>
      <c r="M2364" s="116">
        <v>3649.35</v>
      </c>
      <c r="N2364" s="116">
        <v>3667.7</v>
      </c>
      <c r="O2364" s="116">
        <v>3612.7</v>
      </c>
      <c r="P2364" s="116">
        <v>3630</v>
      </c>
      <c r="Q2364" s="116">
        <v>3649.35</v>
      </c>
      <c r="R2364">
        <v>2001185</v>
      </c>
    </row>
    <row r="2365" spans="1:18" x14ac:dyDescent="0.25">
      <c r="A2365" s="170">
        <v>45488</v>
      </c>
      <c r="B2365" s="116">
        <v>3672</v>
      </c>
      <c r="C2365" s="116">
        <v>3650.45</v>
      </c>
      <c r="D2365" s="116">
        <v>3637.2</v>
      </c>
      <c r="E2365" s="116">
        <v>3661.35</v>
      </c>
      <c r="F2365" s="116">
        <v>3650.45</v>
      </c>
      <c r="G2365">
        <v>36763</v>
      </c>
      <c r="H2365" s="116"/>
      <c r="I2365" s="116"/>
      <c r="L2365" s="170">
        <v>45488</v>
      </c>
      <c r="M2365" s="116">
        <v>3651.6</v>
      </c>
      <c r="N2365" s="116">
        <v>3674</v>
      </c>
      <c r="O2365" s="116">
        <v>3637</v>
      </c>
      <c r="P2365" s="116">
        <v>3670</v>
      </c>
      <c r="Q2365" s="116">
        <v>3651.6</v>
      </c>
      <c r="R2365">
        <v>943302</v>
      </c>
    </row>
    <row r="2366" spans="1:18" x14ac:dyDescent="0.25">
      <c r="A2366" s="170">
        <v>45489</v>
      </c>
      <c r="B2366" s="116">
        <v>3649.95</v>
      </c>
      <c r="C2366" s="116">
        <v>3636.55</v>
      </c>
      <c r="D2366" s="116">
        <v>3619.75</v>
      </c>
      <c r="E2366" s="116">
        <v>3649.95</v>
      </c>
      <c r="F2366" s="116">
        <v>3636.55</v>
      </c>
      <c r="G2366">
        <v>47188</v>
      </c>
      <c r="H2366" s="116"/>
      <c r="I2366" s="116"/>
      <c r="L2366" s="170">
        <v>45489</v>
      </c>
      <c r="M2366" s="116">
        <v>3636.55</v>
      </c>
      <c r="N2366" s="116">
        <v>3651.6</v>
      </c>
      <c r="O2366" s="116">
        <v>3621</v>
      </c>
      <c r="P2366" s="116">
        <v>3646.1</v>
      </c>
      <c r="Q2366" s="116">
        <v>3636.55</v>
      </c>
      <c r="R2366">
        <v>2220953</v>
      </c>
    </row>
    <row r="2367" spans="1:18" x14ac:dyDescent="0.25">
      <c r="A2367" s="170">
        <v>45491</v>
      </c>
      <c r="B2367" s="116">
        <v>3678.8</v>
      </c>
      <c r="C2367" s="116">
        <v>3653.75</v>
      </c>
      <c r="D2367" s="116">
        <v>3598</v>
      </c>
      <c r="E2367" s="116">
        <v>3637</v>
      </c>
      <c r="F2367" s="116">
        <v>3653.75</v>
      </c>
      <c r="G2367">
        <v>140817</v>
      </c>
      <c r="H2367" s="116"/>
      <c r="I2367" s="116"/>
      <c r="L2367" s="170">
        <v>45491</v>
      </c>
      <c r="M2367" s="116">
        <v>3656.2</v>
      </c>
      <c r="N2367" s="116">
        <v>3679.25</v>
      </c>
      <c r="O2367" s="116">
        <v>3598.65</v>
      </c>
      <c r="P2367" s="116">
        <v>3640</v>
      </c>
      <c r="Q2367" s="116">
        <v>3656.2</v>
      </c>
      <c r="R2367">
        <v>3240772</v>
      </c>
    </row>
    <row r="2368" spans="1:18" x14ac:dyDescent="0.25">
      <c r="A2368" s="170">
        <v>45492</v>
      </c>
      <c r="B2368" s="116">
        <v>3659.4</v>
      </c>
      <c r="C2368" s="116">
        <v>3618.55</v>
      </c>
      <c r="D2368" s="116">
        <v>3610</v>
      </c>
      <c r="E2368" s="116">
        <v>3653.5</v>
      </c>
      <c r="F2368" s="116">
        <v>3618.55</v>
      </c>
      <c r="G2368">
        <v>335791</v>
      </c>
      <c r="H2368" s="116"/>
      <c r="I2368" s="116"/>
      <c r="L2368" s="170">
        <v>45492</v>
      </c>
      <c r="M2368" s="116">
        <v>3618.5</v>
      </c>
      <c r="N2368" s="116">
        <v>3658.95</v>
      </c>
      <c r="O2368" s="116">
        <v>3610</v>
      </c>
      <c r="P2368" s="116">
        <v>3651</v>
      </c>
      <c r="Q2368" s="116">
        <v>3618.5</v>
      </c>
      <c r="R2368">
        <v>2432533</v>
      </c>
    </row>
    <row r="2369" spans="1:18" x14ac:dyDescent="0.25">
      <c r="A2369" s="170">
        <v>45495</v>
      </c>
      <c r="B2369" s="116">
        <v>3660.25</v>
      </c>
      <c r="C2369" s="116">
        <v>3651.45</v>
      </c>
      <c r="D2369" s="116">
        <v>3567</v>
      </c>
      <c r="E2369" s="116">
        <v>3615</v>
      </c>
      <c r="F2369" s="116">
        <v>3651.45</v>
      </c>
      <c r="G2369">
        <v>191910</v>
      </c>
      <c r="H2369" s="116"/>
      <c r="I2369" s="116"/>
      <c r="L2369" s="170">
        <v>45495</v>
      </c>
      <c r="M2369" s="116">
        <v>3651.45</v>
      </c>
      <c r="N2369" s="116">
        <v>3661.85</v>
      </c>
      <c r="O2369" s="116">
        <v>3567.6</v>
      </c>
      <c r="P2369" s="116">
        <v>3617.9</v>
      </c>
      <c r="Q2369" s="116">
        <v>3651.45</v>
      </c>
      <c r="R2369">
        <v>3639057</v>
      </c>
    </row>
    <row r="2370" spans="1:18" x14ac:dyDescent="0.25">
      <c r="A2370" s="170">
        <v>45496</v>
      </c>
      <c r="B2370" s="116">
        <v>3714</v>
      </c>
      <c r="C2370" s="116">
        <v>3538.4</v>
      </c>
      <c r="D2370" s="116">
        <v>3461</v>
      </c>
      <c r="E2370" s="116">
        <v>3665.45</v>
      </c>
      <c r="F2370" s="116">
        <v>3538.4</v>
      </c>
      <c r="G2370">
        <v>483315</v>
      </c>
      <c r="H2370" s="116"/>
      <c r="I2370" s="116"/>
      <c r="L2370" s="170">
        <v>45496</v>
      </c>
      <c r="M2370" s="116">
        <v>3538.05</v>
      </c>
      <c r="N2370" s="116">
        <v>3714</v>
      </c>
      <c r="O2370" s="116">
        <v>3460</v>
      </c>
      <c r="P2370" s="116">
        <v>3669.6</v>
      </c>
      <c r="Q2370" s="116">
        <v>3538.05</v>
      </c>
      <c r="R2370">
        <v>6957691</v>
      </c>
    </row>
    <row r="2371" spans="1:18" x14ac:dyDescent="0.25">
      <c r="A2371" s="170">
        <v>45497</v>
      </c>
      <c r="B2371" s="116">
        <v>3562.8</v>
      </c>
      <c r="C2371" s="116">
        <v>3519.4</v>
      </c>
      <c r="D2371" s="116">
        <v>3501</v>
      </c>
      <c r="E2371" s="116">
        <v>3562.8</v>
      </c>
      <c r="F2371" s="116">
        <v>3519.4</v>
      </c>
      <c r="G2371">
        <v>192338</v>
      </c>
      <c r="H2371" s="116"/>
      <c r="I2371" s="116"/>
      <c r="L2371" s="170">
        <v>45497</v>
      </c>
      <c r="M2371" s="116">
        <v>3519.45</v>
      </c>
      <c r="N2371" s="116">
        <v>3557.95</v>
      </c>
      <c r="O2371" s="116">
        <v>3501</v>
      </c>
      <c r="P2371" s="116">
        <v>3549</v>
      </c>
      <c r="Q2371" s="116">
        <v>3519.45</v>
      </c>
      <c r="R2371">
        <v>3184060</v>
      </c>
    </row>
    <row r="2372" spans="1:18" x14ac:dyDescent="0.25">
      <c r="A2372" s="170">
        <v>45498</v>
      </c>
      <c r="B2372" s="116">
        <v>3630.55</v>
      </c>
      <c r="C2372" s="116">
        <v>3620.4</v>
      </c>
      <c r="D2372" s="116">
        <v>3536.15</v>
      </c>
      <c r="E2372" s="116">
        <v>3548.95</v>
      </c>
      <c r="F2372" s="116">
        <v>3620.4</v>
      </c>
      <c r="G2372">
        <v>122562</v>
      </c>
      <c r="H2372" s="116"/>
      <c r="I2372" s="116"/>
      <c r="L2372" s="170">
        <v>45498</v>
      </c>
      <c r="M2372" s="116">
        <v>3619.15</v>
      </c>
      <c r="N2372" s="116">
        <v>3630.9</v>
      </c>
      <c r="O2372" s="116">
        <v>3532.05</v>
      </c>
      <c r="P2372" s="116">
        <v>3539</v>
      </c>
      <c r="Q2372" s="116">
        <v>3619.15</v>
      </c>
      <c r="R2372">
        <v>4691483</v>
      </c>
    </row>
    <row r="2373" spans="1:18" x14ac:dyDescent="0.25">
      <c r="A2373" s="170">
        <v>45499</v>
      </c>
      <c r="B2373" s="116">
        <v>3702.7</v>
      </c>
      <c r="C2373" s="116">
        <v>3673.3</v>
      </c>
      <c r="D2373" s="116">
        <v>3596.5</v>
      </c>
      <c r="E2373" s="116">
        <v>3639.9</v>
      </c>
      <c r="F2373" s="116">
        <v>3673.3</v>
      </c>
      <c r="G2373">
        <v>393178</v>
      </c>
      <c r="H2373" s="116"/>
      <c r="I2373" s="116"/>
      <c r="L2373" s="170">
        <v>45499</v>
      </c>
      <c r="M2373" s="116">
        <v>3679.9</v>
      </c>
      <c r="N2373" s="116">
        <v>3701</v>
      </c>
      <c r="O2373" s="116">
        <v>3596.1</v>
      </c>
      <c r="P2373" s="116">
        <v>3629</v>
      </c>
      <c r="Q2373" s="116">
        <v>3679.9</v>
      </c>
      <c r="R2373">
        <v>2617659</v>
      </c>
    </row>
    <row r="2374" spans="1:18" x14ac:dyDescent="0.25">
      <c r="A2374" s="170">
        <v>45502</v>
      </c>
      <c r="B2374" s="116">
        <v>3789.85</v>
      </c>
      <c r="C2374" s="116">
        <v>3774.9</v>
      </c>
      <c r="D2374" s="116">
        <v>3686.8</v>
      </c>
      <c r="E2374" s="116">
        <v>3700</v>
      </c>
      <c r="F2374" s="116">
        <v>3774.9</v>
      </c>
      <c r="G2374">
        <v>139958</v>
      </c>
      <c r="H2374" s="116"/>
      <c r="I2374" s="116"/>
      <c r="L2374" s="170">
        <v>45502</v>
      </c>
      <c r="M2374" s="116">
        <v>3774.95</v>
      </c>
      <c r="N2374" s="116">
        <v>3790</v>
      </c>
      <c r="O2374" s="116">
        <v>3686.6</v>
      </c>
      <c r="P2374" s="116">
        <v>3701</v>
      </c>
      <c r="Q2374" s="116">
        <v>3774.95</v>
      </c>
      <c r="R2374">
        <v>4159919</v>
      </c>
    </row>
    <row r="2375" spans="1:18" x14ac:dyDescent="0.25">
      <c r="A2375" s="170">
        <v>45503</v>
      </c>
      <c r="B2375" s="116">
        <v>3794.7</v>
      </c>
      <c r="C2375" s="116">
        <v>3785.1</v>
      </c>
      <c r="D2375" s="116">
        <v>3740</v>
      </c>
      <c r="E2375" s="116">
        <v>3784.7</v>
      </c>
      <c r="F2375" s="116">
        <v>3785.1</v>
      </c>
      <c r="G2375">
        <v>55288</v>
      </c>
      <c r="H2375" s="116"/>
      <c r="I2375" s="116"/>
      <c r="L2375" s="170">
        <v>45503</v>
      </c>
      <c r="M2375" s="116">
        <v>3784.65</v>
      </c>
      <c r="N2375" s="116">
        <v>3795</v>
      </c>
      <c r="O2375" s="116">
        <v>3738.6</v>
      </c>
      <c r="P2375" s="116">
        <v>3774.85</v>
      </c>
      <c r="Q2375" s="116">
        <v>3784.65</v>
      </c>
      <c r="R2375">
        <v>1979989</v>
      </c>
    </row>
    <row r="2376" spans="1:18" x14ac:dyDescent="0.25">
      <c r="A2376" s="170">
        <v>45504</v>
      </c>
      <c r="B2376" s="116">
        <v>3819.9</v>
      </c>
      <c r="C2376" s="116">
        <v>3812.55</v>
      </c>
      <c r="D2376" s="116">
        <v>3763.55</v>
      </c>
      <c r="E2376" s="116">
        <v>3784.15</v>
      </c>
      <c r="F2376" s="116">
        <v>3812.55</v>
      </c>
      <c r="G2376">
        <v>171101</v>
      </c>
      <c r="H2376" s="116"/>
      <c r="I2376" s="116"/>
      <c r="L2376" s="170">
        <v>45504</v>
      </c>
      <c r="M2376" s="116">
        <v>3815</v>
      </c>
      <c r="N2376" s="116">
        <v>3822</v>
      </c>
      <c r="O2376" s="116">
        <v>3763.1</v>
      </c>
      <c r="P2376" s="116">
        <v>3777.05</v>
      </c>
      <c r="Q2376" s="116">
        <v>3815</v>
      </c>
      <c r="R2376">
        <v>2703636</v>
      </c>
    </row>
    <row r="2377" spans="1:18" x14ac:dyDescent="0.25">
      <c r="A2377" s="170">
        <v>45505</v>
      </c>
      <c r="B2377" s="116">
        <v>3838</v>
      </c>
      <c r="C2377" s="116">
        <v>3776.4</v>
      </c>
      <c r="D2377" s="116">
        <v>3766.6</v>
      </c>
      <c r="E2377" s="116">
        <v>3814.95</v>
      </c>
      <c r="F2377" s="116">
        <v>3776.4</v>
      </c>
      <c r="G2377">
        <v>63826</v>
      </c>
      <c r="H2377" s="116"/>
      <c r="I2377" s="116"/>
      <c r="L2377" s="170">
        <v>45505</v>
      </c>
      <c r="M2377" s="116">
        <v>3779.3</v>
      </c>
      <c r="N2377" s="116">
        <v>3838.95</v>
      </c>
      <c r="O2377" s="116">
        <v>3765.85</v>
      </c>
      <c r="P2377" s="116">
        <v>3810</v>
      </c>
      <c r="Q2377" s="116">
        <v>3779.3</v>
      </c>
      <c r="R2377">
        <v>1998663</v>
      </c>
    </row>
    <row r="2378" spans="1:18" x14ac:dyDescent="0.25">
      <c r="A2378" s="170">
        <v>45506</v>
      </c>
      <c r="B2378" s="116">
        <v>3746.45</v>
      </c>
      <c r="C2378" s="116">
        <v>3666.35</v>
      </c>
      <c r="D2378" s="116">
        <v>3654.35</v>
      </c>
      <c r="E2378" s="116">
        <v>3739.65</v>
      </c>
      <c r="F2378" s="116">
        <v>3666.35</v>
      </c>
      <c r="G2378">
        <v>264134</v>
      </c>
      <c r="H2378" s="116"/>
      <c r="I2378" s="116"/>
      <c r="L2378" s="170">
        <v>45506</v>
      </c>
      <c r="M2378" s="116">
        <v>3665.7</v>
      </c>
      <c r="N2378" s="116">
        <v>3748.9</v>
      </c>
      <c r="O2378" s="116">
        <v>3657.1</v>
      </c>
      <c r="P2378" s="116">
        <v>3730.35</v>
      </c>
      <c r="Q2378" s="116">
        <v>3665.7</v>
      </c>
      <c r="R2378">
        <v>2512525</v>
      </c>
    </row>
    <row r="2379" spans="1:18" x14ac:dyDescent="0.25">
      <c r="A2379" s="170">
        <v>45509</v>
      </c>
      <c r="B2379" s="116">
        <v>3607.55</v>
      </c>
      <c r="C2379" s="116">
        <v>3527.95</v>
      </c>
      <c r="D2379" s="116">
        <v>3401.05</v>
      </c>
      <c r="E2379" s="116">
        <v>3401.05</v>
      </c>
      <c r="F2379" s="116">
        <v>3527.95</v>
      </c>
      <c r="G2379">
        <v>276750</v>
      </c>
      <c r="H2379" s="116"/>
      <c r="I2379" s="116"/>
      <c r="L2379" s="170">
        <v>45509</v>
      </c>
      <c r="M2379" s="116">
        <v>3528</v>
      </c>
      <c r="N2379" s="116">
        <v>3607.9</v>
      </c>
      <c r="O2379" s="116">
        <v>3511.5</v>
      </c>
      <c r="P2379" s="116">
        <v>3597</v>
      </c>
      <c r="Q2379" s="116">
        <v>3528</v>
      </c>
      <c r="R2379">
        <v>2900685</v>
      </c>
    </row>
    <row r="2380" spans="1:18" x14ac:dyDescent="0.25">
      <c r="A2380" s="170">
        <v>45510</v>
      </c>
      <c r="B2380" s="116">
        <v>3633.75</v>
      </c>
      <c r="C2380" s="116">
        <v>3578.7</v>
      </c>
      <c r="D2380" s="116">
        <v>3531.6</v>
      </c>
      <c r="E2380" s="116">
        <v>3531.6</v>
      </c>
      <c r="F2380" s="116">
        <v>3578.7</v>
      </c>
      <c r="G2380">
        <v>130930</v>
      </c>
      <c r="H2380" s="116"/>
      <c r="I2380" s="116"/>
      <c r="L2380" s="170">
        <v>45510</v>
      </c>
      <c r="M2380" s="116">
        <v>3576.2</v>
      </c>
      <c r="N2380" s="116">
        <v>3634.9</v>
      </c>
      <c r="O2380" s="116">
        <v>3546</v>
      </c>
      <c r="P2380" s="116">
        <v>3548</v>
      </c>
      <c r="Q2380" s="116">
        <v>3576.2</v>
      </c>
      <c r="R2380">
        <v>2125532</v>
      </c>
    </row>
    <row r="2381" spans="1:18" x14ac:dyDescent="0.25">
      <c r="A2381" s="170">
        <v>45511</v>
      </c>
      <c r="B2381" s="116">
        <v>3656</v>
      </c>
      <c r="C2381" s="116">
        <v>3645</v>
      </c>
      <c r="D2381" s="116">
        <v>3610.05</v>
      </c>
      <c r="E2381" s="116">
        <v>3610.05</v>
      </c>
      <c r="F2381" s="116">
        <v>3645</v>
      </c>
      <c r="G2381">
        <v>88564</v>
      </c>
      <c r="H2381" s="116"/>
      <c r="I2381" s="116"/>
      <c r="L2381" s="170">
        <v>45511</v>
      </c>
      <c r="M2381" s="116">
        <v>3638.25</v>
      </c>
      <c r="N2381" s="116">
        <v>3655.75</v>
      </c>
      <c r="O2381" s="116">
        <v>3610.35</v>
      </c>
      <c r="P2381" s="116">
        <v>3630</v>
      </c>
      <c r="Q2381" s="116">
        <v>3638.25</v>
      </c>
      <c r="R2381">
        <v>1613097</v>
      </c>
    </row>
    <row r="2382" spans="1:18" x14ac:dyDescent="0.25">
      <c r="A2382" s="170">
        <v>45512</v>
      </c>
      <c r="B2382" s="116">
        <v>3634.25</v>
      </c>
      <c r="C2382" s="116">
        <v>3552.7</v>
      </c>
      <c r="D2382" s="116">
        <v>3548</v>
      </c>
      <c r="E2382" s="116">
        <v>3634.25</v>
      </c>
      <c r="F2382" s="116">
        <v>3552.7</v>
      </c>
      <c r="G2382">
        <v>116608</v>
      </c>
      <c r="H2382" s="116"/>
      <c r="I2382" s="116"/>
      <c r="L2382" s="170">
        <v>45512</v>
      </c>
      <c r="M2382" s="116">
        <v>3553.55</v>
      </c>
      <c r="N2382" s="116">
        <v>3628.75</v>
      </c>
      <c r="O2382" s="116">
        <v>3547.45</v>
      </c>
      <c r="P2382" s="116">
        <v>3621</v>
      </c>
      <c r="Q2382" s="116">
        <v>3553.55</v>
      </c>
      <c r="R2382">
        <v>2038088</v>
      </c>
    </row>
    <row r="2383" spans="1:18" x14ac:dyDescent="0.25">
      <c r="A2383" s="170">
        <v>45513</v>
      </c>
      <c r="B2383" s="116">
        <v>3608.5</v>
      </c>
      <c r="C2383" s="116">
        <v>3592.4</v>
      </c>
      <c r="D2383" s="116">
        <v>3577</v>
      </c>
      <c r="E2383" s="116">
        <v>3608.5</v>
      </c>
      <c r="F2383" s="116">
        <v>3592.4</v>
      </c>
      <c r="G2383">
        <v>103335</v>
      </c>
      <c r="H2383" s="116"/>
      <c r="I2383" s="116"/>
      <c r="L2383" s="170">
        <v>45513</v>
      </c>
      <c r="M2383" s="116">
        <v>3592.05</v>
      </c>
      <c r="N2383" s="116">
        <v>3605.55</v>
      </c>
      <c r="O2383" s="116">
        <v>3575.7</v>
      </c>
      <c r="P2383" s="116">
        <v>3600</v>
      </c>
      <c r="Q2383" s="116">
        <v>3592.05</v>
      </c>
      <c r="R2383">
        <v>848232</v>
      </c>
    </row>
    <row r="2384" spans="1:18" x14ac:dyDescent="0.25">
      <c r="A2384" s="170">
        <v>45516</v>
      </c>
      <c r="B2384" s="116">
        <v>3610</v>
      </c>
      <c r="C2384" s="116">
        <v>3570.7</v>
      </c>
      <c r="D2384" s="116">
        <v>3561.35</v>
      </c>
      <c r="E2384" s="116">
        <v>3563.55</v>
      </c>
      <c r="F2384" s="116">
        <v>3570.7</v>
      </c>
      <c r="G2384">
        <v>53221</v>
      </c>
      <c r="H2384" s="116"/>
      <c r="I2384" s="116"/>
      <c r="L2384" s="170">
        <v>45516</v>
      </c>
      <c r="M2384" s="116">
        <v>3571.95</v>
      </c>
      <c r="N2384" s="116">
        <v>3611</v>
      </c>
      <c r="O2384" s="116">
        <v>3563</v>
      </c>
      <c r="P2384" s="116">
        <v>3579</v>
      </c>
      <c r="Q2384" s="116">
        <v>3571.95</v>
      </c>
      <c r="R2384">
        <v>1965035</v>
      </c>
    </row>
    <row r="2385" spans="1:18" x14ac:dyDescent="0.25">
      <c r="A2385" s="170">
        <v>45517</v>
      </c>
      <c r="B2385" s="116">
        <v>3605.8</v>
      </c>
      <c r="C2385" s="116">
        <v>3551.25</v>
      </c>
      <c r="D2385" s="116">
        <v>3547</v>
      </c>
      <c r="E2385" s="116">
        <v>3575.6</v>
      </c>
      <c r="F2385" s="116">
        <v>3551.25</v>
      </c>
      <c r="G2385">
        <v>53618</v>
      </c>
      <c r="H2385" s="116"/>
      <c r="I2385" s="116"/>
      <c r="L2385" s="170">
        <v>45517</v>
      </c>
      <c r="M2385" s="116">
        <v>3551.8</v>
      </c>
      <c r="N2385" s="116">
        <v>3607</v>
      </c>
      <c r="O2385" s="116">
        <v>3545.2</v>
      </c>
      <c r="P2385" s="116">
        <v>3580</v>
      </c>
      <c r="Q2385" s="116">
        <v>3551.8</v>
      </c>
      <c r="R2385">
        <v>1316218</v>
      </c>
    </row>
    <row r="2386" spans="1:18" x14ac:dyDescent="0.25">
      <c r="A2386" s="170">
        <v>45518</v>
      </c>
      <c r="B2386" s="116">
        <v>3578.45</v>
      </c>
      <c r="C2386" s="116">
        <v>3544.35</v>
      </c>
      <c r="D2386" s="116">
        <v>3537.85</v>
      </c>
      <c r="E2386" s="116">
        <v>3551.5</v>
      </c>
      <c r="F2386" s="116">
        <v>3544.35</v>
      </c>
      <c r="G2386">
        <v>39254</v>
      </c>
      <c r="H2386" s="116"/>
      <c r="I2386" s="116"/>
      <c r="L2386" s="170">
        <v>45518</v>
      </c>
      <c r="M2386" s="116">
        <v>3545.2</v>
      </c>
      <c r="N2386" s="116">
        <v>3578.7</v>
      </c>
      <c r="O2386" s="116">
        <v>3536.5</v>
      </c>
      <c r="P2386" s="116">
        <v>3558.95</v>
      </c>
      <c r="Q2386" s="116">
        <v>3545.2</v>
      </c>
      <c r="R2386">
        <v>1584372</v>
      </c>
    </row>
    <row r="2387" spans="1:18" x14ac:dyDescent="0.25">
      <c r="A2387" s="170">
        <v>45520</v>
      </c>
      <c r="B2387" s="116">
        <v>3580</v>
      </c>
      <c r="C2387" s="116">
        <v>3568.1</v>
      </c>
      <c r="D2387" s="116">
        <v>3532.8</v>
      </c>
      <c r="E2387" s="116">
        <v>3578.65</v>
      </c>
      <c r="F2387" s="116">
        <v>3568.1</v>
      </c>
      <c r="G2387">
        <v>142217</v>
      </c>
      <c r="H2387" s="116"/>
      <c r="I2387" s="116"/>
      <c r="L2387" s="170">
        <v>45520</v>
      </c>
      <c r="M2387" s="116">
        <v>3568.35</v>
      </c>
      <c r="N2387" s="116">
        <v>3580.9</v>
      </c>
      <c r="O2387" s="116">
        <v>3533</v>
      </c>
      <c r="P2387" s="116">
        <v>3578</v>
      </c>
      <c r="Q2387" s="116">
        <v>3568.35</v>
      </c>
      <c r="R2387">
        <v>2808865</v>
      </c>
    </row>
    <row r="2388" spans="1:18" x14ac:dyDescent="0.25">
      <c r="A2388" s="170">
        <v>45523</v>
      </c>
      <c r="B2388" s="116">
        <v>3600</v>
      </c>
      <c r="C2388" s="116">
        <v>3556.35</v>
      </c>
      <c r="D2388" s="116">
        <v>3547.8</v>
      </c>
      <c r="E2388" s="116">
        <v>3586.95</v>
      </c>
      <c r="F2388" s="116">
        <v>3556.35</v>
      </c>
      <c r="G2388">
        <v>66205</v>
      </c>
      <c r="H2388" s="116"/>
      <c r="I2388" s="116"/>
      <c r="L2388" s="170">
        <v>45523</v>
      </c>
      <c r="M2388" s="116">
        <v>3555.05</v>
      </c>
      <c r="N2388" s="116">
        <v>3599.9</v>
      </c>
      <c r="O2388" s="116">
        <v>3547</v>
      </c>
      <c r="P2388" s="116">
        <v>3599.85</v>
      </c>
      <c r="Q2388" s="116">
        <v>3555.05</v>
      </c>
      <c r="R2388">
        <v>1898535</v>
      </c>
    </row>
    <row r="2389" spans="1:18" x14ac:dyDescent="0.25">
      <c r="A2389" s="170">
        <v>45524</v>
      </c>
      <c r="B2389" s="116">
        <v>3580.25</v>
      </c>
      <c r="C2389" s="116">
        <v>3574.2</v>
      </c>
      <c r="D2389" s="116">
        <v>3548.4</v>
      </c>
      <c r="E2389" s="116">
        <v>3565</v>
      </c>
      <c r="F2389" s="116">
        <v>3574.2</v>
      </c>
      <c r="G2389">
        <v>68781</v>
      </c>
      <c r="H2389" s="116"/>
      <c r="I2389" s="116"/>
      <c r="L2389" s="170">
        <v>45524</v>
      </c>
      <c r="M2389" s="116">
        <v>3572.7</v>
      </c>
      <c r="N2389" s="116">
        <v>3580</v>
      </c>
      <c r="O2389" s="116">
        <v>3548</v>
      </c>
      <c r="P2389" s="116">
        <v>3562</v>
      </c>
      <c r="Q2389" s="116">
        <v>3572.7</v>
      </c>
      <c r="R2389">
        <v>1285569</v>
      </c>
    </row>
    <row r="2390" spans="1:18" x14ac:dyDescent="0.25">
      <c r="A2390" s="170">
        <v>45525</v>
      </c>
      <c r="B2390" s="116">
        <v>3615</v>
      </c>
      <c r="C2390" s="116">
        <v>3595.85</v>
      </c>
      <c r="D2390" s="116">
        <v>3580.5</v>
      </c>
      <c r="E2390" s="116">
        <v>3589</v>
      </c>
      <c r="F2390" s="116">
        <v>3595.85</v>
      </c>
      <c r="G2390">
        <v>63816</v>
      </c>
      <c r="H2390" s="116"/>
      <c r="I2390" s="116"/>
      <c r="L2390" s="170">
        <v>45525</v>
      </c>
      <c r="M2390" s="116">
        <v>3596.05</v>
      </c>
      <c r="N2390" s="116">
        <v>3615.3</v>
      </c>
      <c r="O2390" s="116">
        <v>3581.9</v>
      </c>
      <c r="P2390" s="116">
        <v>3590</v>
      </c>
      <c r="Q2390" s="116">
        <v>3596.05</v>
      </c>
      <c r="R2390">
        <v>1714248</v>
      </c>
    </row>
    <row r="2391" spans="1:18" x14ac:dyDescent="0.25">
      <c r="A2391" s="170">
        <v>45526</v>
      </c>
      <c r="B2391" s="116">
        <v>3611.65</v>
      </c>
      <c r="C2391" s="116">
        <v>3606</v>
      </c>
      <c r="D2391" s="116">
        <v>3584.7</v>
      </c>
      <c r="E2391" s="116">
        <v>3611.65</v>
      </c>
      <c r="F2391" s="116">
        <v>3606</v>
      </c>
      <c r="G2391">
        <v>31557</v>
      </c>
      <c r="H2391" s="116"/>
      <c r="I2391" s="116"/>
      <c r="L2391" s="170">
        <v>45526</v>
      </c>
      <c r="M2391" s="116">
        <v>3606.5</v>
      </c>
      <c r="N2391" s="116">
        <v>3612.15</v>
      </c>
      <c r="O2391" s="116">
        <v>3583.95</v>
      </c>
      <c r="P2391" s="116">
        <v>3607.05</v>
      </c>
      <c r="Q2391" s="116">
        <v>3606.5</v>
      </c>
      <c r="R2391">
        <v>1734927</v>
      </c>
    </row>
    <row r="2392" spans="1:18" x14ac:dyDescent="0.25">
      <c r="A2392" s="170">
        <v>45527</v>
      </c>
      <c r="B2392" s="116">
        <v>3621.6</v>
      </c>
      <c r="C2392" s="116">
        <v>3597.5</v>
      </c>
      <c r="D2392" s="116">
        <v>3586.6</v>
      </c>
      <c r="E2392" s="116">
        <v>3606</v>
      </c>
      <c r="F2392" s="116">
        <v>3597.5</v>
      </c>
      <c r="G2392">
        <v>127510</v>
      </c>
      <c r="H2392" s="116"/>
      <c r="I2392" s="116"/>
      <c r="L2392" s="170">
        <v>45527</v>
      </c>
      <c r="M2392" s="116">
        <v>3598.55</v>
      </c>
      <c r="N2392" s="116">
        <v>3622</v>
      </c>
      <c r="O2392" s="116">
        <v>3587.05</v>
      </c>
      <c r="P2392" s="116">
        <v>3606.5</v>
      </c>
      <c r="Q2392" s="116">
        <v>3598.55</v>
      </c>
      <c r="R2392">
        <v>1825180</v>
      </c>
    </row>
    <row r="2393" spans="1:18" x14ac:dyDescent="0.25">
      <c r="A2393" s="170">
        <v>45530</v>
      </c>
      <c r="B2393" s="116">
        <v>3647.5</v>
      </c>
      <c r="C2393" s="116">
        <v>3640.1</v>
      </c>
      <c r="D2393" s="116">
        <v>3595.55</v>
      </c>
      <c r="E2393" s="116">
        <v>3608.85</v>
      </c>
      <c r="F2393" s="116">
        <v>3640.1</v>
      </c>
      <c r="G2393">
        <v>31010</v>
      </c>
      <c r="H2393" s="116"/>
      <c r="I2393" s="116"/>
      <c r="L2393" s="170">
        <v>45530</v>
      </c>
      <c r="M2393" s="116">
        <v>3641.9</v>
      </c>
      <c r="N2393" s="116">
        <v>3648</v>
      </c>
      <c r="O2393" s="116">
        <v>3594.7</v>
      </c>
      <c r="P2393" s="116">
        <v>3611</v>
      </c>
      <c r="Q2393" s="116">
        <v>3641.9</v>
      </c>
      <c r="R2393">
        <v>1606911</v>
      </c>
    </row>
    <row r="2394" spans="1:18" x14ac:dyDescent="0.25">
      <c r="A2394" s="170">
        <v>45531</v>
      </c>
      <c r="B2394" s="116">
        <v>3736</v>
      </c>
      <c r="C2394" s="116">
        <v>3702.4</v>
      </c>
      <c r="D2394" s="116">
        <v>3641.9</v>
      </c>
      <c r="E2394" s="116">
        <v>3641.9</v>
      </c>
      <c r="F2394" s="116">
        <v>3702.4</v>
      </c>
      <c r="G2394">
        <v>72840</v>
      </c>
      <c r="H2394" s="116"/>
      <c r="I2394" s="116"/>
      <c r="L2394" s="170">
        <v>45531</v>
      </c>
      <c r="M2394" s="116">
        <v>3702.7</v>
      </c>
      <c r="N2394" s="116">
        <v>3737</v>
      </c>
      <c r="O2394" s="116">
        <v>3636</v>
      </c>
      <c r="P2394" s="116">
        <v>3642.65</v>
      </c>
      <c r="Q2394" s="116">
        <v>3702.7</v>
      </c>
      <c r="R2394">
        <v>3315435</v>
      </c>
    </row>
    <row r="2395" spans="1:18" x14ac:dyDescent="0.25">
      <c r="A2395" s="170">
        <v>45532</v>
      </c>
      <c r="B2395" s="116">
        <v>3723.1</v>
      </c>
      <c r="C2395" s="116">
        <v>3688.8</v>
      </c>
      <c r="D2395" s="116">
        <v>3685.5</v>
      </c>
      <c r="E2395" s="116">
        <v>3705.35</v>
      </c>
      <c r="F2395" s="116">
        <v>3688.8</v>
      </c>
      <c r="G2395">
        <v>86549</v>
      </c>
      <c r="H2395" s="116"/>
      <c r="I2395" s="116"/>
      <c r="L2395" s="170">
        <v>45532</v>
      </c>
      <c r="M2395" s="116">
        <v>3689.05</v>
      </c>
      <c r="N2395" s="116">
        <v>3724.4</v>
      </c>
      <c r="O2395" s="116">
        <v>3685</v>
      </c>
      <c r="P2395" s="116">
        <v>3705</v>
      </c>
      <c r="Q2395" s="116">
        <v>3689.05</v>
      </c>
      <c r="R2395">
        <v>1278175</v>
      </c>
    </row>
    <row r="2396" spans="1:18" x14ac:dyDescent="0.25">
      <c r="A2396" s="170">
        <v>45533</v>
      </c>
      <c r="B2396" s="116">
        <v>3710.4</v>
      </c>
      <c r="C2396" s="116">
        <v>3682.4</v>
      </c>
      <c r="D2396" s="116">
        <v>3652</v>
      </c>
      <c r="E2396" s="116">
        <v>3699.65</v>
      </c>
      <c r="F2396" s="116">
        <v>3682.4</v>
      </c>
      <c r="G2396">
        <v>44154</v>
      </c>
      <c r="H2396" s="116"/>
      <c r="I2396" s="116"/>
      <c r="L2396" s="170">
        <v>45533</v>
      </c>
      <c r="M2396" s="116">
        <v>3683.45</v>
      </c>
      <c r="N2396" s="116">
        <v>3710</v>
      </c>
      <c r="O2396" s="116">
        <v>3651.55</v>
      </c>
      <c r="P2396" s="116">
        <v>3690.5</v>
      </c>
      <c r="Q2396" s="116">
        <v>3683.45</v>
      </c>
      <c r="R2396">
        <v>2165489</v>
      </c>
    </row>
    <row r="2397" spans="1:18" x14ac:dyDescent="0.25">
      <c r="A2397" s="170">
        <v>45534</v>
      </c>
      <c r="B2397" s="116">
        <v>3740.8</v>
      </c>
      <c r="C2397" s="116">
        <v>3703.1</v>
      </c>
      <c r="D2397" s="116">
        <v>3666.6</v>
      </c>
      <c r="E2397" s="116">
        <v>3711</v>
      </c>
      <c r="F2397" s="116">
        <v>3703.1</v>
      </c>
      <c r="G2397">
        <v>170451</v>
      </c>
      <c r="H2397" s="116"/>
      <c r="I2397" s="116"/>
      <c r="L2397" s="170">
        <v>45534</v>
      </c>
      <c r="M2397" s="116">
        <v>3704.65</v>
      </c>
      <c r="N2397" s="116">
        <v>3745</v>
      </c>
      <c r="O2397" s="116">
        <v>3666.4</v>
      </c>
      <c r="P2397" s="116">
        <v>3718.35</v>
      </c>
      <c r="Q2397" s="116">
        <v>3704.65</v>
      </c>
      <c r="R2397">
        <v>2592912</v>
      </c>
    </row>
    <row r="2398" spans="1:18" x14ac:dyDescent="0.25">
      <c r="A2398" s="170">
        <v>45537</v>
      </c>
      <c r="B2398" s="116">
        <v>3720</v>
      </c>
      <c r="C2398" s="116">
        <v>3681.15</v>
      </c>
      <c r="D2398" s="116">
        <v>3667.4</v>
      </c>
      <c r="E2398" s="116">
        <v>3709.6</v>
      </c>
      <c r="F2398" s="116">
        <v>3681.15</v>
      </c>
      <c r="G2398">
        <v>76655</v>
      </c>
      <c r="H2398" s="116"/>
      <c r="I2398" s="116"/>
      <c r="L2398" s="170">
        <v>45537</v>
      </c>
      <c r="M2398" s="116">
        <v>3683.1</v>
      </c>
      <c r="N2398" s="116">
        <v>3721.95</v>
      </c>
      <c r="O2398" s="116">
        <v>3666.35</v>
      </c>
      <c r="P2398" s="116">
        <v>3706</v>
      </c>
      <c r="Q2398" s="116">
        <v>3683.1</v>
      </c>
      <c r="R2398">
        <v>1277813</v>
      </c>
    </row>
    <row r="2399" spans="1:18" x14ac:dyDescent="0.25">
      <c r="A2399" s="170">
        <v>45538</v>
      </c>
      <c r="B2399" s="116">
        <v>3712</v>
      </c>
      <c r="C2399" s="116">
        <v>3689.8</v>
      </c>
      <c r="D2399" s="116">
        <v>3667.4</v>
      </c>
      <c r="E2399" s="116">
        <v>3681.6</v>
      </c>
      <c r="F2399" s="116">
        <v>3689.8</v>
      </c>
      <c r="G2399">
        <v>22088</v>
      </c>
      <c r="H2399" s="116"/>
      <c r="I2399" s="116"/>
      <c r="L2399" s="170">
        <v>45538</v>
      </c>
      <c r="M2399" s="116">
        <v>3690.15</v>
      </c>
      <c r="N2399" s="116">
        <v>3713.95</v>
      </c>
      <c r="O2399" s="116">
        <v>3666.9</v>
      </c>
      <c r="P2399" s="116">
        <v>3693.95</v>
      </c>
      <c r="Q2399" s="116">
        <v>3690.15</v>
      </c>
      <c r="R2399">
        <v>1211993</v>
      </c>
    </row>
    <row r="2400" spans="1:18" x14ac:dyDescent="0.25">
      <c r="A2400" s="170">
        <v>45539</v>
      </c>
      <c r="B2400" s="116">
        <v>3678.75</v>
      </c>
      <c r="C2400" s="116">
        <v>3652.5</v>
      </c>
      <c r="D2400" s="116">
        <v>3633</v>
      </c>
      <c r="E2400" s="116">
        <v>3669.05</v>
      </c>
      <c r="F2400" s="116">
        <v>3652.5</v>
      </c>
      <c r="G2400">
        <v>168388</v>
      </c>
      <c r="H2400" s="116"/>
      <c r="I2400" s="116"/>
      <c r="L2400" s="170">
        <v>45539</v>
      </c>
      <c r="M2400" s="116">
        <v>3650.8</v>
      </c>
      <c r="N2400" s="116">
        <v>3681</v>
      </c>
      <c r="O2400" s="116">
        <v>3631.1</v>
      </c>
      <c r="P2400" s="116">
        <v>3650</v>
      </c>
      <c r="Q2400" s="116">
        <v>3650.8</v>
      </c>
      <c r="R2400">
        <v>1930121</v>
      </c>
    </row>
    <row r="2401" spans="1:18" x14ac:dyDescent="0.25">
      <c r="A2401" s="170">
        <v>45540</v>
      </c>
      <c r="B2401" s="116">
        <v>3661.9</v>
      </c>
      <c r="C2401" s="116">
        <v>3623.3</v>
      </c>
      <c r="D2401" s="116">
        <v>3609</v>
      </c>
      <c r="E2401" s="116">
        <v>3652.7</v>
      </c>
      <c r="F2401" s="116">
        <v>3623.3</v>
      </c>
      <c r="G2401">
        <v>74330</v>
      </c>
      <c r="H2401" s="116"/>
      <c r="I2401" s="116"/>
      <c r="L2401" s="170">
        <v>45540</v>
      </c>
      <c r="M2401" s="116">
        <v>3624.15</v>
      </c>
      <c r="N2401" s="116">
        <v>3668</v>
      </c>
      <c r="O2401" s="116">
        <v>3608.4</v>
      </c>
      <c r="P2401" s="116">
        <v>3668</v>
      </c>
      <c r="Q2401" s="116">
        <v>3624.15</v>
      </c>
      <c r="R2401">
        <v>2958770</v>
      </c>
    </row>
    <row r="2402" spans="1:18" x14ac:dyDescent="0.25">
      <c r="A2402" s="170">
        <v>45541</v>
      </c>
      <c r="B2402" s="116">
        <v>3622.85</v>
      </c>
      <c r="C2402" s="116">
        <v>3574.15</v>
      </c>
      <c r="D2402" s="116">
        <v>3536.05</v>
      </c>
      <c r="E2402" s="116">
        <v>3619.8</v>
      </c>
      <c r="F2402" s="116">
        <v>3574.15</v>
      </c>
      <c r="G2402">
        <v>340812</v>
      </c>
      <c r="H2402" s="116"/>
      <c r="I2402" s="116"/>
      <c r="L2402" s="170">
        <v>45541</v>
      </c>
      <c r="M2402" s="116">
        <v>3574.75</v>
      </c>
      <c r="N2402" s="116">
        <v>3623.8</v>
      </c>
      <c r="O2402" s="116">
        <v>3536.2</v>
      </c>
      <c r="P2402" s="116">
        <v>3615.1</v>
      </c>
      <c r="Q2402" s="116">
        <v>3574.75</v>
      </c>
      <c r="R2402">
        <v>3096557</v>
      </c>
    </row>
    <row r="2403" spans="1:18" x14ac:dyDescent="0.25">
      <c r="A2403" s="170">
        <v>45544</v>
      </c>
      <c r="B2403" s="116">
        <v>3593.15</v>
      </c>
      <c r="C2403" s="116">
        <v>3577.75</v>
      </c>
      <c r="D2403" s="116">
        <v>3554.25</v>
      </c>
      <c r="E2403" s="116">
        <v>3575.05</v>
      </c>
      <c r="F2403" s="116">
        <v>3577.75</v>
      </c>
      <c r="G2403">
        <v>25785</v>
      </c>
      <c r="H2403" s="116"/>
      <c r="I2403" s="116"/>
      <c r="L2403" s="170">
        <v>45544</v>
      </c>
      <c r="M2403" s="116">
        <v>3578.3</v>
      </c>
      <c r="N2403" s="116">
        <v>3594</v>
      </c>
      <c r="O2403" s="116">
        <v>3553.85</v>
      </c>
      <c r="P2403" s="116">
        <v>3584</v>
      </c>
      <c r="Q2403" s="116">
        <v>3578.3</v>
      </c>
      <c r="R2403">
        <v>1454589</v>
      </c>
    </row>
    <row r="2404" spans="1:18" x14ac:dyDescent="0.25">
      <c r="A2404" s="170">
        <v>45545</v>
      </c>
      <c r="B2404" s="116">
        <v>3624.95</v>
      </c>
      <c r="C2404" s="116">
        <v>3595.45</v>
      </c>
      <c r="D2404" s="116">
        <v>3570.75</v>
      </c>
      <c r="E2404" s="116">
        <v>3581.3</v>
      </c>
      <c r="F2404" s="116">
        <v>3595.45</v>
      </c>
      <c r="G2404">
        <v>44160</v>
      </c>
      <c r="H2404" s="116"/>
      <c r="I2404" s="116"/>
      <c r="L2404" s="170">
        <v>45545</v>
      </c>
      <c r="M2404" s="116">
        <v>3596.15</v>
      </c>
      <c r="N2404" s="116">
        <v>3625</v>
      </c>
      <c r="O2404" s="116">
        <v>3571</v>
      </c>
      <c r="P2404" s="116">
        <v>3585</v>
      </c>
      <c r="Q2404" s="116">
        <v>3596.15</v>
      </c>
      <c r="R2404">
        <v>1203483</v>
      </c>
    </row>
    <row r="2405" spans="1:18" x14ac:dyDescent="0.25">
      <c r="A2405" s="170">
        <v>45546</v>
      </c>
      <c r="B2405" s="116">
        <v>3600</v>
      </c>
      <c r="C2405" s="116">
        <v>3536.9</v>
      </c>
      <c r="D2405" s="116">
        <v>3518</v>
      </c>
      <c r="E2405" s="116">
        <v>3591</v>
      </c>
      <c r="F2405" s="116">
        <v>3536.9</v>
      </c>
      <c r="G2405">
        <v>53466</v>
      </c>
      <c r="H2405" s="116"/>
      <c r="I2405" s="116"/>
      <c r="L2405" s="170">
        <v>45546</v>
      </c>
      <c r="M2405" s="116">
        <v>3536.95</v>
      </c>
      <c r="N2405" s="116">
        <v>3603.95</v>
      </c>
      <c r="O2405" s="116">
        <v>3516.4</v>
      </c>
      <c r="P2405" s="116">
        <v>3595</v>
      </c>
      <c r="Q2405" s="116">
        <v>3536.95</v>
      </c>
      <c r="R2405">
        <v>1865165</v>
      </c>
    </row>
    <row r="2406" spans="1:18" x14ac:dyDescent="0.25">
      <c r="A2406" s="170">
        <v>45547</v>
      </c>
      <c r="B2406" s="116">
        <v>3638.35</v>
      </c>
      <c r="C2406" s="116">
        <v>3622.8</v>
      </c>
      <c r="D2406" s="116">
        <v>3535</v>
      </c>
      <c r="E2406" s="116">
        <v>3567.5</v>
      </c>
      <c r="F2406" s="116">
        <v>3622.8</v>
      </c>
      <c r="G2406">
        <v>215649</v>
      </c>
      <c r="H2406" s="116"/>
      <c r="I2406" s="116"/>
      <c r="L2406" s="170">
        <v>45547</v>
      </c>
      <c r="M2406" s="116">
        <v>3622</v>
      </c>
      <c r="N2406" s="116">
        <v>3638.05</v>
      </c>
      <c r="O2406" s="116">
        <v>3534</v>
      </c>
      <c r="P2406" s="116">
        <v>3558</v>
      </c>
      <c r="Q2406" s="116">
        <v>3622</v>
      </c>
      <c r="R2406">
        <v>3751523</v>
      </c>
    </row>
    <row r="2407" spans="1:18" x14ac:dyDescent="0.25">
      <c r="A2407" s="170">
        <v>45548</v>
      </c>
      <c r="B2407" s="116">
        <v>3634.9</v>
      </c>
      <c r="C2407" s="116">
        <v>3613.75</v>
      </c>
      <c r="D2407" s="116">
        <v>3600</v>
      </c>
      <c r="E2407" s="116">
        <v>3610.4</v>
      </c>
      <c r="F2407" s="116">
        <v>3613.75</v>
      </c>
      <c r="G2407">
        <v>147075</v>
      </c>
      <c r="H2407" s="116"/>
      <c r="I2407" s="116"/>
      <c r="L2407" s="170">
        <v>45548</v>
      </c>
      <c r="M2407" s="116">
        <v>3613</v>
      </c>
      <c r="N2407" s="116">
        <v>3634.75</v>
      </c>
      <c r="O2407" s="116">
        <v>3600.05</v>
      </c>
      <c r="P2407" s="116">
        <v>3622</v>
      </c>
      <c r="Q2407" s="116">
        <v>3613</v>
      </c>
      <c r="R2407">
        <v>1752455</v>
      </c>
    </row>
    <row r="2408" spans="1:18" x14ac:dyDescent="0.25">
      <c r="A2408" s="170">
        <v>45551</v>
      </c>
      <c r="B2408" s="116">
        <v>3668.95</v>
      </c>
      <c r="C2408" s="116">
        <v>3662.45</v>
      </c>
      <c r="D2408" s="116">
        <v>3608.65</v>
      </c>
      <c r="E2408" s="116">
        <v>3608.65</v>
      </c>
      <c r="F2408" s="116">
        <v>3662.45</v>
      </c>
      <c r="G2408">
        <v>68600</v>
      </c>
      <c r="H2408" s="116"/>
      <c r="I2408" s="116"/>
      <c r="L2408" s="170">
        <v>45551</v>
      </c>
      <c r="M2408" s="116">
        <v>3662.25</v>
      </c>
      <c r="N2408" s="116">
        <v>3670</v>
      </c>
      <c r="O2408" s="116">
        <v>3613</v>
      </c>
      <c r="P2408" s="116">
        <v>3619.15</v>
      </c>
      <c r="Q2408" s="116">
        <v>3662.25</v>
      </c>
      <c r="R2408">
        <v>1045964</v>
      </c>
    </row>
    <row r="2409" spans="1:18" x14ac:dyDescent="0.25">
      <c r="A2409" s="170">
        <v>45552</v>
      </c>
      <c r="B2409" s="116">
        <v>3704</v>
      </c>
      <c r="C2409" s="116">
        <v>3692.95</v>
      </c>
      <c r="D2409" s="116">
        <v>3640.3</v>
      </c>
      <c r="E2409" s="116">
        <v>3640.3</v>
      </c>
      <c r="F2409" s="116">
        <v>3692.95</v>
      </c>
      <c r="G2409">
        <v>80452</v>
      </c>
      <c r="H2409" s="116"/>
      <c r="I2409" s="116"/>
      <c r="L2409" s="170">
        <v>45552</v>
      </c>
      <c r="M2409" s="116">
        <v>3695.2</v>
      </c>
      <c r="N2409" s="116">
        <v>3705</v>
      </c>
      <c r="O2409" s="116">
        <v>3659.7</v>
      </c>
      <c r="P2409" s="116">
        <v>3668</v>
      </c>
      <c r="Q2409" s="116">
        <v>3695.2</v>
      </c>
      <c r="R2409">
        <v>1289060</v>
      </c>
    </row>
    <row r="2410" spans="1:18" x14ac:dyDescent="0.25">
      <c r="A2410" s="170">
        <v>45553</v>
      </c>
      <c r="B2410" s="116">
        <v>3756.15</v>
      </c>
      <c r="C2410" s="116">
        <v>3729.65</v>
      </c>
      <c r="D2410" s="116">
        <v>3685</v>
      </c>
      <c r="E2410" s="116">
        <v>3686.35</v>
      </c>
      <c r="F2410" s="116">
        <v>3729.65</v>
      </c>
      <c r="G2410">
        <v>50521</v>
      </c>
      <c r="H2410" s="116"/>
      <c r="I2410" s="116"/>
      <c r="L2410" s="170">
        <v>45553</v>
      </c>
      <c r="M2410" s="116">
        <v>3730.45</v>
      </c>
      <c r="N2410" s="116">
        <v>3757.95</v>
      </c>
      <c r="O2410" s="116">
        <v>3684.2</v>
      </c>
      <c r="P2410" s="116">
        <v>3689</v>
      </c>
      <c r="Q2410" s="116">
        <v>3730.45</v>
      </c>
      <c r="R2410">
        <v>2249929</v>
      </c>
    </row>
    <row r="2411" spans="1:18" x14ac:dyDescent="0.25">
      <c r="A2411" s="170">
        <v>45554</v>
      </c>
      <c r="B2411" s="116">
        <v>3751</v>
      </c>
      <c r="C2411" s="116">
        <v>3682.5</v>
      </c>
      <c r="D2411" s="116">
        <v>3673.35</v>
      </c>
      <c r="E2411" s="116">
        <v>3741.35</v>
      </c>
      <c r="F2411" s="116">
        <v>3682.5</v>
      </c>
      <c r="G2411">
        <v>29497</v>
      </c>
      <c r="H2411" s="116"/>
      <c r="I2411" s="116"/>
      <c r="L2411" s="170">
        <v>45554</v>
      </c>
      <c r="M2411" s="116">
        <v>3683.7</v>
      </c>
      <c r="N2411" s="116">
        <v>3750.4</v>
      </c>
      <c r="O2411" s="116">
        <v>3674</v>
      </c>
      <c r="P2411" s="116">
        <v>3750</v>
      </c>
      <c r="Q2411" s="116">
        <v>3683.7</v>
      </c>
      <c r="R2411">
        <v>1711564</v>
      </c>
    </row>
    <row r="2412" spans="1:18" x14ac:dyDescent="0.25">
      <c r="A2412" s="170">
        <v>45555</v>
      </c>
      <c r="B2412" s="116">
        <v>3809</v>
      </c>
      <c r="C2412" s="116">
        <v>3795.55</v>
      </c>
      <c r="D2412" s="116">
        <v>3680</v>
      </c>
      <c r="E2412" s="116">
        <v>3700</v>
      </c>
      <c r="F2412" s="116">
        <v>3795.55</v>
      </c>
      <c r="G2412">
        <v>396958</v>
      </c>
      <c r="H2412" s="116"/>
      <c r="I2412" s="116"/>
      <c r="L2412" s="170">
        <v>45555</v>
      </c>
      <c r="M2412" s="116">
        <v>3793.9</v>
      </c>
      <c r="N2412" s="116">
        <v>3809.9</v>
      </c>
      <c r="O2412" s="116">
        <v>3680.25</v>
      </c>
      <c r="P2412" s="116">
        <v>3700</v>
      </c>
      <c r="Q2412" s="116">
        <v>3793.9</v>
      </c>
      <c r="R2412">
        <v>5401701</v>
      </c>
    </row>
    <row r="2413" spans="1:18" x14ac:dyDescent="0.25">
      <c r="A2413" s="170">
        <v>45558</v>
      </c>
      <c r="B2413" s="116">
        <v>3837.95</v>
      </c>
      <c r="C2413" s="116">
        <v>3787.45</v>
      </c>
      <c r="D2413" s="116">
        <v>3749.85</v>
      </c>
      <c r="E2413" s="116">
        <v>3795.55</v>
      </c>
      <c r="F2413" s="116">
        <v>3787.45</v>
      </c>
      <c r="G2413">
        <v>73132</v>
      </c>
      <c r="H2413" s="116"/>
      <c r="I2413" s="116"/>
      <c r="L2413" s="170">
        <v>45558</v>
      </c>
      <c r="M2413" s="116">
        <v>3787.7</v>
      </c>
      <c r="N2413" s="116">
        <v>3838.8</v>
      </c>
      <c r="O2413" s="116">
        <v>3749</v>
      </c>
      <c r="P2413" s="116">
        <v>3800</v>
      </c>
      <c r="Q2413" s="116">
        <v>3787.7</v>
      </c>
      <c r="R2413">
        <v>1937874</v>
      </c>
    </row>
    <row r="2414" spans="1:18" x14ac:dyDescent="0.25">
      <c r="A2414" s="170">
        <v>45559</v>
      </c>
      <c r="B2414" s="116">
        <v>3830</v>
      </c>
      <c r="C2414" s="116">
        <v>3791.5</v>
      </c>
      <c r="D2414" s="116">
        <v>3780.2</v>
      </c>
      <c r="E2414" s="116">
        <v>3786</v>
      </c>
      <c r="F2414" s="116">
        <v>3791.5</v>
      </c>
      <c r="G2414">
        <v>70910</v>
      </c>
      <c r="H2414" s="116"/>
      <c r="I2414" s="116"/>
      <c r="L2414" s="170">
        <v>45559</v>
      </c>
      <c r="M2414" s="116">
        <v>3791.6</v>
      </c>
      <c r="N2414" s="116">
        <v>3831.8</v>
      </c>
      <c r="O2414" s="116">
        <v>3775</v>
      </c>
      <c r="P2414" s="116">
        <v>3787.7</v>
      </c>
      <c r="Q2414" s="116">
        <v>3791.6</v>
      </c>
      <c r="R2414">
        <v>2676546</v>
      </c>
    </row>
    <row r="2415" spans="1:18" x14ac:dyDescent="0.25">
      <c r="A2415" s="170">
        <v>45560</v>
      </c>
      <c r="B2415" s="116">
        <v>3813.6</v>
      </c>
      <c r="C2415" s="116">
        <v>3796.05</v>
      </c>
      <c r="D2415" s="116">
        <v>3779.05</v>
      </c>
      <c r="E2415" s="116">
        <v>3791.45</v>
      </c>
      <c r="F2415" s="116">
        <v>3796.05</v>
      </c>
      <c r="G2415">
        <v>62922</v>
      </c>
      <c r="H2415" s="116"/>
      <c r="I2415" s="116"/>
      <c r="L2415" s="170">
        <v>45560</v>
      </c>
      <c r="M2415" s="116">
        <v>3793.85</v>
      </c>
      <c r="N2415" s="116">
        <v>3813.2</v>
      </c>
      <c r="O2415" s="116">
        <v>3778</v>
      </c>
      <c r="P2415" s="116">
        <v>3787.55</v>
      </c>
      <c r="Q2415" s="116">
        <v>3793.85</v>
      </c>
      <c r="R2415">
        <v>2113862</v>
      </c>
    </row>
    <row r="2416" spans="1:18" x14ac:dyDescent="0.25">
      <c r="A2416" s="170">
        <v>45561</v>
      </c>
      <c r="B2416" s="116">
        <v>3800</v>
      </c>
      <c r="C2416" s="116">
        <v>3761.7</v>
      </c>
      <c r="D2416" s="116">
        <v>3736.4</v>
      </c>
      <c r="E2416" s="116">
        <v>3795.1</v>
      </c>
      <c r="F2416" s="116">
        <v>3761.7</v>
      </c>
      <c r="G2416">
        <v>59493</v>
      </c>
      <c r="H2416" s="116"/>
      <c r="I2416" s="116"/>
      <c r="L2416" s="170">
        <v>45561</v>
      </c>
      <c r="M2416" s="116">
        <v>3762.15</v>
      </c>
      <c r="N2416" s="116">
        <v>3802.95</v>
      </c>
      <c r="O2416" s="116">
        <v>3736.4</v>
      </c>
      <c r="P2416" s="116">
        <v>3801</v>
      </c>
      <c r="Q2416" s="116">
        <v>3762.15</v>
      </c>
      <c r="R2416">
        <v>2750597</v>
      </c>
    </row>
    <row r="2417" spans="1:18" x14ac:dyDescent="0.25">
      <c r="A2417" s="170">
        <v>45562</v>
      </c>
      <c r="B2417" s="116">
        <v>3740</v>
      </c>
      <c r="C2417" s="116">
        <v>3705.8</v>
      </c>
      <c r="D2417" s="116">
        <v>3650</v>
      </c>
      <c r="E2417" s="116">
        <v>3740</v>
      </c>
      <c r="F2417" s="116">
        <v>3705.8</v>
      </c>
      <c r="G2417">
        <v>198425</v>
      </c>
      <c r="H2417" s="116"/>
      <c r="I2417" s="116"/>
      <c r="L2417" s="170">
        <v>45562</v>
      </c>
      <c r="M2417" s="116">
        <v>3705.65</v>
      </c>
      <c r="N2417" s="116">
        <v>3738</v>
      </c>
      <c r="O2417" s="116">
        <v>3651</v>
      </c>
      <c r="P2417" s="116">
        <v>3738</v>
      </c>
      <c r="Q2417" s="116">
        <v>3705.65</v>
      </c>
      <c r="R2417">
        <v>4095425</v>
      </c>
    </row>
    <row r="2418" spans="1:18" x14ac:dyDescent="0.25">
      <c r="A2418" s="170">
        <v>45565</v>
      </c>
      <c r="B2418" s="116">
        <v>3717.3</v>
      </c>
      <c r="C2418" s="116">
        <v>3675.5</v>
      </c>
      <c r="D2418" s="116">
        <v>3665</v>
      </c>
      <c r="E2418" s="116">
        <v>3700</v>
      </c>
      <c r="F2418" s="116">
        <v>3675.5</v>
      </c>
      <c r="G2418">
        <v>156311</v>
      </c>
      <c r="H2418" s="116"/>
      <c r="I2418" s="116"/>
      <c r="L2418" s="170">
        <v>45565</v>
      </c>
      <c r="M2418" s="116">
        <v>3675.55</v>
      </c>
      <c r="N2418" s="116">
        <v>3715.65</v>
      </c>
      <c r="O2418" s="116">
        <v>3665</v>
      </c>
      <c r="P2418" s="116">
        <v>3699</v>
      </c>
      <c r="Q2418" s="116">
        <v>3675.55</v>
      </c>
      <c r="R2418">
        <v>1837697</v>
      </c>
    </row>
    <row r="2419" spans="1:18" x14ac:dyDescent="0.25">
      <c r="A2419" s="170">
        <v>45566</v>
      </c>
      <c r="B2419" s="116">
        <v>3724</v>
      </c>
      <c r="C2419" s="116">
        <v>3651.5</v>
      </c>
      <c r="D2419" s="116">
        <v>3640</v>
      </c>
      <c r="E2419" s="116">
        <v>3674.95</v>
      </c>
      <c r="F2419" s="116">
        <v>3651.5</v>
      </c>
      <c r="G2419">
        <v>114790</v>
      </c>
      <c r="H2419" s="116"/>
      <c r="I2419" s="116"/>
      <c r="L2419" s="170">
        <v>45566</v>
      </c>
      <c r="M2419" s="116">
        <v>3653.5</v>
      </c>
      <c r="N2419" s="116">
        <v>3724</v>
      </c>
      <c r="O2419" s="116">
        <v>3639.35</v>
      </c>
      <c r="P2419" s="116">
        <v>3667</v>
      </c>
      <c r="Q2419" s="116">
        <v>3653.5</v>
      </c>
      <c r="R2419">
        <v>1674100</v>
      </c>
    </row>
    <row r="2420" spans="1:18" x14ac:dyDescent="0.25">
      <c r="A2420" s="170">
        <v>45568</v>
      </c>
      <c r="B2420" s="116">
        <v>3614.95</v>
      </c>
      <c r="C2420" s="116">
        <v>3498.8</v>
      </c>
      <c r="D2420" s="116">
        <v>3487.05</v>
      </c>
      <c r="E2420" s="116">
        <v>3560.35</v>
      </c>
      <c r="F2420" s="116">
        <v>3498.8</v>
      </c>
      <c r="G2420">
        <v>167570</v>
      </c>
      <c r="H2420" s="116"/>
      <c r="I2420" s="116"/>
      <c r="L2420" s="170">
        <v>45568</v>
      </c>
      <c r="M2420" s="116">
        <v>3497.65</v>
      </c>
      <c r="N2420" s="116">
        <v>3617</v>
      </c>
      <c r="O2420" s="116">
        <v>3485.4</v>
      </c>
      <c r="P2420" s="116">
        <v>3582.5</v>
      </c>
      <c r="Q2420" s="116">
        <v>3497.65</v>
      </c>
      <c r="R2420">
        <v>5315877</v>
      </c>
    </row>
    <row r="2421" spans="1:18" x14ac:dyDescent="0.25">
      <c r="A2421" s="170">
        <v>45569</v>
      </c>
      <c r="B2421" s="116">
        <v>3554.8</v>
      </c>
      <c r="C2421" s="116">
        <v>3490.75</v>
      </c>
      <c r="D2421" s="116">
        <v>3468.1</v>
      </c>
      <c r="E2421" s="116">
        <v>3505.6</v>
      </c>
      <c r="F2421" s="116">
        <v>3490.75</v>
      </c>
      <c r="G2421">
        <v>304944</v>
      </c>
      <c r="H2421" s="116"/>
      <c r="I2421" s="116"/>
      <c r="L2421" s="170">
        <v>45569</v>
      </c>
      <c r="M2421" s="116">
        <v>3493.95</v>
      </c>
      <c r="N2421" s="116">
        <v>3553.55</v>
      </c>
      <c r="O2421" s="116">
        <v>3468.5</v>
      </c>
      <c r="P2421" s="116">
        <v>3515</v>
      </c>
      <c r="Q2421" s="116">
        <v>3493.95</v>
      </c>
      <c r="R2421">
        <v>3445879</v>
      </c>
    </row>
    <row r="2422" spans="1:18" x14ac:dyDescent="0.25">
      <c r="A2422" s="170">
        <v>45572</v>
      </c>
      <c r="B2422" s="116">
        <v>3510.6</v>
      </c>
      <c r="C2422" s="116">
        <v>3469.6</v>
      </c>
      <c r="D2422" s="116">
        <v>3430.5</v>
      </c>
      <c r="E2422" s="116">
        <v>3497.25</v>
      </c>
      <c r="F2422" s="116">
        <v>3469.6</v>
      </c>
      <c r="G2422">
        <v>104418</v>
      </c>
      <c r="H2422" s="116"/>
      <c r="I2422" s="116"/>
      <c r="L2422" s="170">
        <v>45572</v>
      </c>
      <c r="M2422" s="116">
        <v>3468.35</v>
      </c>
      <c r="N2422" s="116">
        <v>3512.95</v>
      </c>
      <c r="O2422" s="116">
        <v>3429</v>
      </c>
      <c r="P2422" s="116">
        <v>3505</v>
      </c>
      <c r="Q2422" s="116">
        <v>3468.35</v>
      </c>
      <c r="R2422">
        <v>2304227</v>
      </c>
    </row>
    <row r="2423" spans="1:18" x14ac:dyDescent="0.25">
      <c r="A2423" s="170">
        <v>45573</v>
      </c>
      <c r="B2423" s="116">
        <v>3537</v>
      </c>
      <c r="C2423" s="116">
        <v>3533.25</v>
      </c>
      <c r="D2423" s="116">
        <v>3470</v>
      </c>
      <c r="E2423" s="116">
        <v>3480.05</v>
      </c>
      <c r="F2423" s="116">
        <v>3533.25</v>
      </c>
      <c r="G2423">
        <v>87543</v>
      </c>
      <c r="H2423" s="116"/>
      <c r="I2423" s="116"/>
      <c r="L2423" s="170">
        <v>45573</v>
      </c>
      <c r="M2423" s="116">
        <v>3532.4</v>
      </c>
      <c r="N2423" s="116">
        <v>3538.5</v>
      </c>
      <c r="O2423" s="116">
        <v>3469</v>
      </c>
      <c r="P2423" s="116">
        <v>3492.95</v>
      </c>
      <c r="Q2423" s="116">
        <v>3532.4</v>
      </c>
      <c r="R2423">
        <v>2249452</v>
      </c>
    </row>
    <row r="2424" spans="1:18" x14ac:dyDescent="0.25">
      <c r="A2424" s="170">
        <v>45574</v>
      </c>
      <c r="B2424" s="116">
        <v>3557.9</v>
      </c>
      <c r="C2424" s="116">
        <v>3486.6</v>
      </c>
      <c r="D2424" s="116">
        <v>3480.25</v>
      </c>
      <c r="E2424" s="116">
        <v>3547.95</v>
      </c>
      <c r="F2424" s="116">
        <v>3486.6</v>
      </c>
      <c r="G2424">
        <v>93966</v>
      </c>
      <c r="H2424" s="116"/>
      <c r="I2424" s="116"/>
      <c r="L2424" s="170">
        <v>45574</v>
      </c>
      <c r="M2424" s="116">
        <v>3487.1</v>
      </c>
      <c r="N2424" s="116">
        <v>3557.7</v>
      </c>
      <c r="O2424" s="116">
        <v>3481</v>
      </c>
      <c r="P2424" s="116">
        <v>3542.05</v>
      </c>
      <c r="Q2424" s="116">
        <v>3487.1</v>
      </c>
      <c r="R2424">
        <v>1645791</v>
      </c>
    </row>
    <row r="2425" spans="1:18" x14ac:dyDescent="0.25">
      <c r="A2425" s="170">
        <v>45575</v>
      </c>
      <c r="B2425" s="116">
        <v>3553.9</v>
      </c>
      <c r="C2425" s="116">
        <v>3460.8</v>
      </c>
      <c r="D2425" s="116">
        <v>3455.7</v>
      </c>
      <c r="E2425" s="116">
        <v>3523.85</v>
      </c>
      <c r="F2425" s="116">
        <v>3460.8</v>
      </c>
      <c r="G2425">
        <v>48948</v>
      </c>
      <c r="H2425" s="116"/>
      <c r="I2425" s="116"/>
      <c r="L2425" s="170">
        <v>45575</v>
      </c>
      <c r="M2425" s="116">
        <v>3460.35</v>
      </c>
      <c r="N2425" s="116">
        <v>3554.9</v>
      </c>
      <c r="O2425" s="116">
        <v>3455.5</v>
      </c>
      <c r="P2425" s="116">
        <v>3515</v>
      </c>
      <c r="Q2425" s="116">
        <v>3460.35</v>
      </c>
      <c r="R2425">
        <v>2686116</v>
      </c>
    </row>
    <row r="2426" spans="1:18" x14ac:dyDescent="0.25">
      <c r="A2426" s="170">
        <v>45576</v>
      </c>
      <c r="B2426" s="116">
        <v>3497.55</v>
      </c>
      <c r="C2426" s="116">
        <v>3482.95</v>
      </c>
      <c r="D2426" s="116">
        <v>3447.3</v>
      </c>
      <c r="E2426" s="116">
        <v>3465</v>
      </c>
      <c r="F2426" s="116">
        <v>3482.95</v>
      </c>
      <c r="G2426">
        <v>172942</v>
      </c>
      <c r="H2426" s="116"/>
      <c r="I2426" s="116"/>
      <c r="L2426" s="170">
        <v>45576</v>
      </c>
      <c r="M2426" s="116">
        <v>3482.55</v>
      </c>
      <c r="N2426" s="116">
        <v>3497.1</v>
      </c>
      <c r="O2426" s="116">
        <v>3447</v>
      </c>
      <c r="P2426" s="116">
        <v>3469.4</v>
      </c>
      <c r="Q2426" s="116">
        <v>3482.55</v>
      </c>
      <c r="R2426">
        <v>1280465</v>
      </c>
    </row>
    <row r="2427" spans="1:18" x14ac:dyDescent="0.25">
      <c r="A2427" s="170">
        <v>45579</v>
      </c>
      <c r="B2427" s="116">
        <v>3573.75</v>
      </c>
      <c r="C2427" s="116">
        <v>3553.35</v>
      </c>
      <c r="D2427" s="116">
        <v>3501</v>
      </c>
      <c r="E2427" s="116">
        <v>3501</v>
      </c>
      <c r="F2427" s="116">
        <v>3553.35</v>
      </c>
      <c r="G2427">
        <v>88436</v>
      </c>
      <c r="H2427" s="116"/>
      <c r="I2427" s="116"/>
      <c r="L2427" s="170">
        <v>45579</v>
      </c>
      <c r="M2427" s="116">
        <v>3555.05</v>
      </c>
      <c r="N2427" s="116">
        <v>3573.85</v>
      </c>
      <c r="O2427" s="116">
        <v>3501.3</v>
      </c>
      <c r="P2427" s="116">
        <v>3510</v>
      </c>
      <c r="Q2427" s="116">
        <v>3555.05</v>
      </c>
      <c r="R2427">
        <v>1974378</v>
      </c>
    </row>
    <row r="2428" spans="1:18" x14ac:dyDescent="0.25">
      <c r="A2428" s="170">
        <v>45580</v>
      </c>
      <c r="B2428" s="116">
        <v>3566.95</v>
      </c>
      <c r="C2428" s="116">
        <v>3552.5</v>
      </c>
      <c r="D2428" s="116">
        <v>3521</v>
      </c>
      <c r="E2428" s="116">
        <v>3562.35</v>
      </c>
      <c r="F2428" s="116">
        <v>3552.5</v>
      </c>
      <c r="G2428">
        <v>131401</v>
      </c>
      <c r="H2428" s="116"/>
      <c r="I2428" s="116"/>
      <c r="L2428" s="170">
        <v>45580</v>
      </c>
      <c r="M2428" s="116">
        <v>3551.9</v>
      </c>
      <c r="N2428" s="116">
        <v>3570</v>
      </c>
      <c r="O2428" s="116">
        <v>3520.15</v>
      </c>
      <c r="P2428" s="116">
        <v>3570</v>
      </c>
      <c r="Q2428" s="116">
        <v>3551.9</v>
      </c>
      <c r="R2428">
        <v>1231552</v>
      </c>
    </row>
    <row r="2429" spans="1:18" x14ac:dyDescent="0.25">
      <c r="A2429" s="170">
        <v>45581</v>
      </c>
      <c r="B2429" s="116">
        <v>3581.95</v>
      </c>
      <c r="C2429" s="116">
        <v>3531.15</v>
      </c>
      <c r="D2429" s="116">
        <v>3514</v>
      </c>
      <c r="E2429" s="116">
        <v>3554.65</v>
      </c>
      <c r="F2429" s="116">
        <v>3531.15</v>
      </c>
      <c r="G2429">
        <v>165107</v>
      </c>
      <c r="H2429" s="116"/>
      <c r="I2429" s="116"/>
      <c r="L2429" s="170">
        <v>45581</v>
      </c>
      <c r="M2429" s="116">
        <v>3532.6</v>
      </c>
      <c r="N2429" s="116">
        <v>3581.9</v>
      </c>
      <c r="O2429" s="116">
        <v>3513.55</v>
      </c>
      <c r="P2429" s="116">
        <v>3550</v>
      </c>
      <c r="Q2429" s="116">
        <v>3532.6</v>
      </c>
      <c r="R2429">
        <v>1961835</v>
      </c>
    </row>
    <row r="2430" spans="1:18" x14ac:dyDescent="0.25">
      <c r="A2430" s="170">
        <v>45582</v>
      </c>
      <c r="B2430" s="116">
        <v>3582.05</v>
      </c>
      <c r="C2430" s="116">
        <v>3570.9</v>
      </c>
      <c r="D2430" s="116">
        <v>3521.95</v>
      </c>
      <c r="E2430" s="116">
        <v>3559.95</v>
      </c>
      <c r="F2430" s="116">
        <v>3570.9</v>
      </c>
      <c r="G2430">
        <v>37587</v>
      </c>
      <c r="H2430" s="116"/>
      <c r="I2430" s="116"/>
      <c r="L2430" s="170">
        <v>45582</v>
      </c>
      <c r="M2430" s="116">
        <v>3570.3</v>
      </c>
      <c r="N2430" s="116">
        <v>3583</v>
      </c>
      <c r="O2430" s="116">
        <v>3521.8</v>
      </c>
      <c r="P2430" s="116">
        <v>3549.9</v>
      </c>
      <c r="Q2430" s="116">
        <v>3570.3</v>
      </c>
      <c r="R2430">
        <v>2968537</v>
      </c>
    </row>
    <row r="2431" spans="1:18" x14ac:dyDescent="0.25">
      <c r="A2431" s="170">
        <v>45583</v>
      </c>
      <c r="B2431" s="116">
        <v>3592.85</v>
      </c>
      <c r="C2431" s="116">
        <v>3576.25</v>
      </c>
      <c r="D2431" s="116">
        <v>3539.4</v>
      </c>
      <c r="E2431" s="116">
        <v>3558.95</v>
      </c>
      <c r="F2431" s="116">
        <v>3576.25</v>
      </c>
      <c r="G2431">
        <v>140537</v>
      </c>
      <c r="H2431" s="116"/>
      <c r="I2431" s="116"/>
      <c r="L2431" s="170">
        <v>45583</v>
      </c>
      <c r="M2431" s="116">
        <v>3577.8</v>
      </c>
      <c r="N2431" s="116">
        <v>3592.45</v>
      </c>
      <c r="O2431" s="116">
        <v>3540.25</v>
      </c>
      <c r="P2431" s="116">
        <v>3569.95</v>
      </c>
      <c r="Q2431" s="116">
        <v>3577.8</v>
      </c>
      <c r="R2431">
        <v>2102609</v>
      </c>
    </row>
    <row r="2432" spans="1:18" x14ac:dyDescent="0.25">
      <c r="A2432" s="170">
        <v>45586</v>
      </c>
      <c r="B2432" s="116">
        <v>3620</v>
      </c>
      <c r="C2432" s="116">
        <v>3586.3</v>
      </c>
      <c r="D2432" s="116">
        <v>3570.5</v>
      </c>
      <c r="E2432" s="116">
        <v>3576.25</v>
      </c>
      <c r="F2432" s="116">
        <v>3586.3</v>
      </c>
      <c r="G2432">
        <v>102606</v>
      </c>
      <c r="H2432" s="116"/>
      <c r="I2432" s="116"/>
      <c r="L2432" s="170">
        <v>45586</v>
      </c>
      <c r="M2432" s="116">
        <v>3585.6</v>
      </c>
      <c r="N2432" s="116">
        <v>3621.95</v>
      </c>
      <c r="O2432" s="116">
        <v>3571.3</v>
      </c>
      <c r="P2432" s="116">
        <v>3580</v>
      </c>
      <c r="Q2432" s="116">
        <v>3585.6</v>
      </c>
      <c r="R2432">
        <v>1750549</v>
      </c>
    </row>
    <row r="2433" spans="1:18" x14ac:dyDescent="0.25">
      <c r="A2433" s="170">
        <v>45587</v>
      </c>
      <c r="B2433" s="116">
        <v>3591.4</v>
      </c>
      <c r="C2433" s="116">
        <v>3510</v>
      </c>
      <c r="D2433" s="116">
        <v>3497.95</v>
      </c>
      <c r="E2433" s="116">
        <v>3580.25</v>
      </c>
      <c r="F2433" s="116">
        <v>3510</v>
      </c>
      <c r="G2433">
        <v>114906</v>
      </c>
      <c r="H2433" s="116"/>
      <c r="I2433" s="116"/>
      <c r="L2433" s="170">
        <v>45587</v>
      </c>
      <c r="M2433" s="116">
        <v>3511.9</v>
      </c>
      <c r="N2433" s="116">
        <v>3591.65</v>
      </c>
      <c r="O2433" s="116">
        <v>3500</v>
      </c>
      <c r="P2433" s="116">
        <v>3585</v>
      </c>
      <c r="Q2433" s="116">
        <v>3511.9</v>
      </c>
      <c r="R2433">
        <v>1363574</v>
      </c>
    </row>
    <row r="2434" spans="1:18" x14ac:dyDescent="0.25">
      <c r="A2434" s="170">
        <v>45588</v>
      </c>
      <c r="B2434" s="116">
        <v>3512.95</v>
      </c>
      <c r="C2434" s="116">
        <v>3455.35</v>
      </c>
      <c r="D2434" s="116">
        <v>3443</v>
      </c>
      <c r="E2434" s="116">
        <v>3508.95</v>
      </c>
      <c r="F2434" s="116">
        <v>3455.35</v>
      </c>
      <c r="G2434">
        <v>53701</v>
      </c>
      <c r="H2434" s="116"/>
      <c r="I2434" s="116"/>
      <c r="L2434" s="170">
        <v>45588</v>
      </c>
      <c r="M2434" s="116">
        <v>3455.4</v>
      </c>
      <c r="N2434" s="116">
        <v>3513.95</v>
      </c>
      <c r="O2434" s="116">
        <v>3443</v>
      </c>
      <c r="P2434" s="116">
        <v>3501.05</v>
      </c>
      <c r="Q2434" s="116">
        <v>3455.4</v>
      </c>
      <c r="R2434">
        <v>2125268</v>
      </c>
    </row>
    <row r="2435" spans="1:18" x14ac:dyDescent="0.25">
      <c r="A2435" s="170">
        <v>45589</v>
      </c>
      <c r="B2435" s="116">
        <v>3471</v>
      </c>
      <c r="C2435" s="116">
        <v>3443.1</v>
      </c>
      <c r="D2435" s="116">
        <v>3417.05</v>
      </c>
      <c r="E2435" s="116">
        <v>3455</v>
      </c>
      <c r="F2435" s="116">
        <v>3443.1</v>
      </c>
      <c r="G2435">
        <v>24527</v>
      </c>
      <c r="H2435" s="116"/>
      <c r="I2435" s="116"/>
      <c r="L2435" s="170">
        <v>45589</v>
      </c>
      <c r="M2435" s="116">
        <v>3442.65</v>
      </c>
      <c r="N2435" s="116">
        <v>3474.6</v>
      </c>
      <c r="O2435" s="116">
        <v>3416.75</v>
      </c>
      <c r="P2435" s="116">
        <v>3444</v>
      </c>
      <c r="Q2435" s="116">
        <v>3442.65</v>
      </c>
      <c r="R2435">
        <v>1924421</v>
      </c>
    </row>
    <row r="2436" spans="1:18" x14ac:dyDescent="0.25">
      <c r="A2436" s="170">
        <v>45590</v>
      </c>
      <c r="B2436" s="116">
        <v>3434.95</v>
      </c>
      <c r="C2436" s="116">
        <v>3327.8</v>
      </c>
      <c r="D2436" s="116">
        <v>3315.15</v>
      </c>
      <c r="E2436" s="116">
        <v>3434.95</v>
      </c>
      <c r="F2436" s="116">
        <v>3327.8</v>
      </c>
      <c r="G2436">
        <v>233225</v>
      </c>
      <c r="H2436" s="116"/>
      <c r="I2436" s="116"/>
      <c r="L2436" s="170">
        <v>45590</v>
      </c>
      <c r="M2436" s="116">
        <v>3326.4</v>
      </c>
      <c r="N2436" s="116">
        <v>3435</v>
      </c>
      <c r="O2436" s="116">
        <v>3315.05</v>
      </c>
      <c r="P2436" s="116">
        <v>3425</v>
      </c>
      <c r="Q2436" s="116">
        <v>3326.4</v>
      </c>
      <c r="R2436">
        <v>3236774</v>
      </c>
    </row>
    <row r="2437" spans="1:18" x14ac:dyDescent="0.25">
      <c r="A2437" s="170">
        <v>45593</v>
      </c>
      <c r="B2437" s="116">
        <v>3372.1</v>
      </c>
      <c r="C2437" s="116">
        <v>3340.1</v>
      </c>
      <c r="D2437" s="116">
        <v>3262.95</v>
      </c>
      <c r="E2437" s="116">
        <v>3326</v>
      </c>
      <c r="F2437" s="116">
        <v>3340.1</v>
      </c>
      <c r="G2437">
        <v>96112</v>
      </c>
      <c r="H2437" s="116"/>
      <c r="I2437" s="116"/>
      <c r="L2437" s="170">
        <v>45593</v>
      </c>
      <c r="M2437" s="116">
        <v>3340.8</v>
      </c>
      <c r="N2437" s="116">
        <v>3373</v>
      </c>
      <c r="O2437" s="116">
        <v>3262.55</v>
      </c>
      <c r="P2437" s="116">
        <v>3316</v>
      </c>
      <c r="Q2437" s="116">
        <v>3340.8</v>
      </c>
      <c r="R2437">
        <v>2991674</v>
      </c>
    </row>
    <row r="2438" spans="1:18" x14ac:dyDescent="0.25">
      <c r="A2438" s="170">
        <v>45594</v>
      </c>
      <c r="B2438" s="116">
        <v>3384.45</v>
      </c>
      <c r="C2438" s="116">
        <v>3380.9</v>
      </c>
      <c r="D2438" s="116">
        <v>3320</v>
      </c>
      <c r="E2438" s="116">
        <v>3329.8</v>
      </c>
      <c r="F2438" s="116">
        <v>3380.9</v>
      </c>
      <c r="G2438">
        <v>56204</v>
      </c>
      <c r="H2438" s="116"/>
      <c r="I2438" s="116"/>
      <c r="L2438" s="170">
        <v>45594</v>
      </c>
      <c r="M2438" s="116">
        <v>3380.9</v>
      </c>
      <c r="N2438" s="116">
        <v>3384.4</v>
      </c>
      <c r="O2438" s="116">
        <v>3316</v>
      </c>
      <c r="P2438" s="116">
        <v>3316</v>
      </c>
      <c r="Q2438" s="116">
        <v>3380.9</v>
      </c>
      <c r="R2438">
        <v>2253467</v>
      </c>
    </row>
    <row r="2439" spans="1:18" x14ac:dyDescent="0.25">
      <c r="A2439" s="170">
        <v>45595</v>
      </c>
      <c r="B2439" s="116">
        <v>3438</v>
      </c>
      <c r="C2439" s="116">
        <v>3407.1</v>
      </c>
      <c r="D2439" s="116">
        <v>3351.7</v>
      </c>
      <c r="E2439" s="116">
        <v>3388.95</v>
      </c>
      <c r="F2439" s="116">
        <v>3407.1</v>
      </c>
      <c r="G2439">
        <v>65440</v>
      </c>
      <c r="H2439" s="116"/>
      <c r="I2439" s="116"/>
      <c r="L2439" s="170">
        <v>45595</v>
      </c>
      <c r="M2439" s="116">
        <v>3408.35</v>
      </c>
      <c r="N2439" s="116">
        <v>3438.4</v>
      </c>
      <c r="O2439" s="116">
        <v>3353</v>
      </c>
      <c r="P2439" s="116">
        <v>3379.95</v>
      </c>
      <c r="Q2439" s="116">
        <v>3408.35</v>
      </c>
      <c r="R2439">
        <v>1785128</v>
      </c>
    </row>
    <row r="2440" spans="1:18" x14ac:dyDescent="0.25">
      <c r="A2440" s="170">
        <v>45596</v>
      </c>
      <c r="B2440" s="116">
        <v>3654.95</v>
      </c>
      <c r="C2440" s="116">
        <v>3624.4</v>
      </c>
      <c r="D2440" s="116">
        <v>3512.2</v>
      </c>
      <c r="E2440" s="116">
        <v>3547</v>
      </c>
      <c r="F2440" s="116">
        <v>3624.4</v>
      </c>
      <c r="G2440">
        <v>373735</v>
      </c>
      <c r="H2440" s="116"/>
      <c r="I2440" s="116"/>
      <c r="L2440" s="170">
        <v>45596</v>
      </c>
      <c r="M2440" s="116">
        <v>3622.3</v>
      </c>
      <c r="N2440" s="116">
        <v>3654.95</v>
      </c>
      <c r="O2440" s="116">
        <v>3508.35</v>
      </c>
      <c r="P2440" s="116">
        <v>3530</v>
      </c>
      <c r="Q2440" s="116">
        <v>3622.3</v>
      </c>
      <c r="R2440">
        <v>7637083</v>
      </c>
    </row>
    <row r="2441" spans="1:18" x14ac:dyDescent="0.25">
      <c r="A2441" s="170">
        <v>45597</v>
      </c>
      <c r="B2441" s="116">
        <v>3641.15</v>
      </c>
      <c r="C2441" s="116">
        <v>3626.3</v>
      </c>
      <c r="D2441" s="116">
        <v>3621</v>
      </c>
      <c r="E2441" s="116">
        <v>3633</v>
      </c>
      <c r="F2441" s="116">
        <v>3626.3</v>
      </c>
      <c r="G2441">
        <v>25530</v>
      </c>
      <c r="H2441" s="116"/>
      <c r="I2441" s="116"/>
      <c r="L2441" s="170">
        <v>45597</v>
      </c>
      <c r="M2441" s="116">
        <v>3626.35</v>
      </c>
      <c r="N2441" s="116">
        <v>3641.9</v>
      </c>
      <c r="O2441" s="116">
        <v>3620</v>
      </c>
      <c r="P2441" s="116">
        <v>3624.95</v>
      </c>
      <c r="Q2441" s="116">
        <v>3626.35</v>
      </c>
      <c r="R2441">
        <v>212796</v>
      </c>
    </row>
    <row r="2442" spans="1:18" x14ac:dyDescent="0.25">
      <c r="A2442" s="170">
        <v>45600</v>
      </c>
      <c r="B2442" s="116">
        <v>3622.1</v>
      </c>
      <c r="C2442" s="116">
        <v>3573.6</v>
      </c>
      <c r="D2442" s="116">
        <v>3531.05</v>
      </c>
      <c r="E2442" s="116">
        <v>3622.1</v>
      </c>
      <c r="F2442" s="116">
        <v>3573.6</v>
      </c>
      <c r="G2442">
        <v>57838</v>
      </c>
      <c r="H2442" s="116"/>
      <c r="I2442" s="116"/>
      <c r="L2442" s="170">
        <v>45600</v>
      </c>
      <c r="M2442" s="116">
        <v>3574.45</v>
      </c>
      <c r="N2442" s="116">
        <v>3624.95</v>
      </c>
      <c r="O2442" s="116">
        <v>3530.9</v>
      </c>
      <c r="P2442" s="116">
        <v>3624.95</v>
      </c>
      <c r="Q2442" s="116">
        <v>3574.45</v>
      </c>
      <c r="R2442">
        <v>1724189</v>
      </c>
    </row>
    <row r="2443" spans="1:18" x14ac:dyDescent="0.25">
      <c r="A2443" s="170">
        <v>45601</v>
      </c>
      <c r="B2443" s="116">
        <v>3583.6</v>
      </c>
      <c r="C2443" s="116">
        <v>3575.4</v>
      </c>
      <c r="D2443" s="116">
        <v>3542.35</v>
      </c>
      <c r="E2443" s="116">
        <v>3548.35</v>
      </c>
      <c r="F2443" s="116">
        <v>3575.4</v>
      </c>
      <c r="G2443">
        <v>59363</v>
      </c>
      <c r="H2443" s="116"/>
      <c r="I2443" s="116"/>
      <c r="L2443" s="170">
        <v>45601</v>
      </c>
      <c r="M2443" s="116">
        <v>3574.8</v>
      </c>
      <c r="N2443" s="116">
        <v>3585</v>
      </c>
      <c r="O2443" s="116">
        <v>3541.9</v>
      </c>
      <c r="P2443" s="116">
        <v>3556</v>
      </c>
      <c r="Q2443" s="116">
        <v>3574.8</v>
      </c>
      <c r="R2443">
        <v>1251506</v>
      </c>
    </row>
    <row r="2444" spans="1:18" x14ac:dyDescent="0.25">
      <c r="A2444" s="170">
        <v>45602</v>
      </c>
      <c r="B2444" s="116">
        <v>3659</v>
      </c>
      <c r="C2444" s="116">
        <v>3646.65</v>
      </c>
      <c r="D2444" s="116">
        <v>3556.35</v>
      </c>
      <c r="E2444" s="116">
        <v>3596.9</v>
      </c>
      <c r="F2444" s="116">
        <v>3646.65</v>
      </c>
      <c r="G2444">
        <v>2089374</v>
      </c>
      <c r="H2444" s="116"/>
      <c r="I2444" s="116"/>
      <c r="L2444" s="170">
        <v>45602</v>
      </c>
      <c r="M2444" s="116">
        <v>3645.45</v>
      </c>
      <c r="N2444" s="116">
        <v>3659.9</v>
      </c>
      <c r="O2444" s="116">
        <v>3557.4</v>
      </c>
      <c r="P2444" s="116">
        <v>3594</v>
      </c>
      <c r="Q2444" s="116">
        <v>3645.45</v>
      </c>
      <c r="R2444">
        <v>1819732</v>
      </c>
    </row>
    <row r="2445" spans="1:18" x14ac:dyDescent="0.25">
      <c r="A2445" s="170">
        <v>45603</v>
      </c>
      <c r="B2445" s="116">
        <v>3663</v>
      </c>
      <c r="C2445" s="116">
        <v>3645.15</v>
      </c>
      <c r="D2445" s="116">
        <v>3620</v>
      </c>
      <c r="E2445" s="116">
        <v>3659.95</v>
      </c>
      <c r="F2445" s="116">
        <v>3645.15</v>
      </c>
      <c r="G2445">
        <v>57518</v>
      </c>
      <c r="H2445" s="116"/>
      <c r="I2445" s="116"/>
      <c r="L2445" s="170">
        <v>45603</v>
      </c>
      <c r="M2445" s="116">
        <v>3646.55</v>
      </c>
      <c r="N2445" s="116">
        <v>3663</v>
      </c>
      <c r="O2445" s="116">
        <v>3620</v>
      </c>
      <c r="P2445" s="116">
        <v>3647.35</v>
      </c>
      <c r="Q2445" s="116">
        <v>3646.55</v>
      </c>
      <c r="R2445">
        <v>1581009</v>
      </c>
    </row>
    <row r="2446" spans="1:18" x14ac:dyDescent="0.25">
      <c r="A2446" s="170">
        <v>45604</v>
      </c>
      <c r="B2446" s="116">
        <v>3670.05</v>
      </c>
      <c r="C2446" s="116">
        <v>3661.15</v>
      </c>
      <c r="D2446" s="116">
        <v>3620.8</v>
      </c>
      <c r="E2446" s="116">
        <v>3644.95</v>
      </c>
      <c r="F2446" s="116">
        <v>3661.15</v>
      </c>
      <c r="G2446">
        <v>113047</v>
      </c>
      <c r="H2446" s="116"/>
      <c r="I2446" s="116"/>
      <c r="L2446" s="170">
        <v>45604</v>
      </c>
      <c r="M2446" s="116">
        <v>3660.3</v>
      </c>
      <c r="N2446" s="116">
        <v>3667</v>
      </c>
      <c r="O2446" s="116">
        <v>3620.65</v>
      </c>
      <c r="P2446" s="116">
        <v>3640.4</v>
      </c>
      <c r="Q2446" s="116">
        <v>3660.3</v>
      </c>
      <c r="R2446">
        <v>1622142</v>
      </c>
    </row>
    <row r="2447" spans="1:18" x14ac:dyDescent="0.25">
      <c r="A2447" s="170">
        <v>45607</v>
      </c>
      <c r="B2447" s="116">
        <v>3661.8</v>
      </c>
      <c r="C2447" s="116">
        <v>3627.35</v>
      </c>
      <c r="D2447" s="116">
        <v>3605.25</v>
      </c>
      <c r="E2447" s="116">
        <v>3653.45</v>
      </c>
      <c r="F2447" s="116">
        <v>3627.35</v>
      </c>
      <c r="G2447">
        <v>50413</v>
      </c>
      <c r="H2447" s="116"/>
      <c r="I2447" s="116"/>
      <c r="L2447" s="170">
        <v>45607</v>
      </c>
      <c r="M2447" s="116">
        <v>3628.85</v>
      </c>
      <c r="N2447" s="116">
        <v>3661</v>
      </c>
      <c r="O2447" s="116">
        <v>3606</v>
      </c>
      <c r="P2447" s="116">
        <v>3646</v>
      </c>
      <c r="Q2447" s="116">
        <v>3628.85</v>
      </c>
      <c r="R2447">
        <v>926127</v>
      </c>
    </row>
    <row r="2448" spans="1:18" x14ac:dyDescent="0.25">
      <c r="A2448" s="170">
        <v>45608</v>
      </c>
      <c r="B2448" s="116">
        <v>3649.55</v>
      </c>
      <c r="C2448" s="116">
        <v>3590.55</v>
      </c>
      <c r="D2448" s="116">
        <v>3580</v>
      </c>
      <c r="E2448" s="116">
        <v>3630</v>
      </c>
      <c r="F2448" s="116">
        <v>3590.55</v>
      </c>
      <c r="G2448">
        <v>41284</v>
      </c>
      <c r="H2448" s="116"/>
      <c r="I2448" s="116"/>
      <c r="L2448" s="170">
        <v>45608</v>
      </c>
      <c r="M2448" s="116">
        <v>3591.35</v>
      </c>
      <c r="N2448" s="116">
        <v>3651</v>
      </c>
      <c r="O2448" s="116">
        <v>3580</v>
      </c>
      <c r="P2448" s="116">
        <v>3650</v>
      </c>
      <c r="Q2448" s="116">
        <v>3591.35</v>
      </c>
      <c r="R2448">
        <v>1116206</v>
      </c>
    </row>
    <row r="2449" spans="1:18" x14ac:dyDescent="0.25">
      <c r="A2449" s="170">
        <v>45609</v>
      </c>
      <c r="B2449" s="116">
        <v>3602.5</v>
      </c>
      <c r="C2449" s="116">
        <v>3547.65</v>
      </c>
      <c r="D2449" s="116">
        <v>3536</v>
      </c>
      <c r="E2449" s="116">
        <v>3589.3</v>
      </c>
      <c r="F2449" s="116">
        <v>3547.65</v>
      </c>
      <c r="G2449">
        <v>71351</v>
      </c>
      <c r="H2449" s="116"/>
      <c r="I2449" s="116"/>
      <c r="L2449" s="170">
        <v>45609</v>
      </c>
      <c r="M2449" s="116">
        <v>3547.95</v>
      </c>
      <c r="N2449" s="116">
        <v>3604.85</v>
      </c>
      <c r="O2449" s="116">
        <v>3535.65</v>
      </c>
      <c r="P2449" s="116">
        <v>3585</v>
      </c>
      <c r="Q2449" s="116">
        <v>3547.95</v>
      </c>
      <c r="R2449">
        <v>1568694</v>
      </c>
    </row>
    <row r="2450" spans="1:18" x14ac:dyDescent="0.25">
      <c r="A2450" s="170">
        <v>45610</v>
      </c>
      <c r="B2450" s="116">
        <v>3562.7</v>
      </c>
      <c r="C2450" s="116">
        <v>3526.7</v>
      </c>
      <c r="D2450" s="116">
        <v>3500.25</v>
      </c>
      <c r="E2450" s="116">
        <v>3552.35</v>
      </c>
      <c r="F2450" s="116">
        <v>3526.7</v>
      </c>
      <c r="G2450">
        <v>135154</v>
      </c>
      <c r="H2450" s="116"/>
      <c r="I2450" s="116"/>
      <c r="L2450" s="170">
        <v>45610</v>
      </c>
      <c r="M2450" s="116">
        <v>3526.25</v>
      </c>
      <c r="N2450" s="116">
        <v>3565.75</v>
      </c>
      <c r="O2450" s="116">
        <v>3500.15</v>
      </c>
      <c r="P2450" s="116">
        <v>3558</v>
      </c>
      <c r="Q2450" s="116">
        <v>3526.25</v>
      </c>
      <c r="R2450">
        <v>1291765</v>
      </c>
    </row>
    <row r="2451" spans="1:18" x14ac:dyDescent="0.25">
      <c r="A2451" s="170">
        <v>45614</v>
      </c>
      <c r="B2451" s="116">
        <v>3568</v>
      </c>
      <c r="C2451" s="116">
        <v>3541.2</v>
      </c>
      <c r="D2451" s="116">
        <v>3509.35</v>
      </c>
      <c r="E2451" s="116">
        <v>3525</v>
      </c>
      <c r="F2451" s="116">
        <v>3541.2</v>
      </c>
      <c r="G2451">
        <v>58950</v>
      </c>
      <c r="H2451" s="116"/>
      <c r="I2451" s="116"/>
      <c r="L2451" s="170">
        <v>45614</v>
      </c>
      <c r="M2451" s="116">
        <v>3542.15</v>
      </c>
      <c r="N2451" s="116">
        <v>3568.3</v>
      </c>
      <c r="O2451" s="116">
        <v>3510.85</v>
      </c>
      <c r="P2451" s="116">
        <v>3521.1</v>
      </c>
      <c r="Q2451" s="116">
        <v>3542.15</v>
      </c>
      <c r="R2451">
        <v>1233217</v>
      </c>
    </row>
    <row r="2452" spans="1:18" x14ac:dyDescent="0.25">
      <c r="A2452" s="170">
        <v>45615</v>
      </c>
      <c r="B2452" s="116">
        <v>3605</v>
      </c>
      <c r="C2452" s="116">
        <v>3505.6</v>
      </c>
      <c r="D2452" s="116">
        <v>3494.4</v>
      </c>
      <c r="E2452" s="116">
        <v>3568.95</v>
      </c>
      <c r="F2452" s="116">
        <v>3505.6</v>
      </c>
      <c r="G2452">
        <v>27992</v>
      </c>
      <c r="H2452" s="116"/>
      <c r="I2452" s="116"/>
      <c r="L2452" s="170">
        <v>45615</v>
      </c>
      <c r="M2452" s="116">
        <v>3505.9</v>
      </c>
      <c r="N2452" s="116">
        <v>3607</v>
      </c>
      <c r="O2452" s="116">
        <v>3495</v>
      </c>
      <c r="P2452" s="116">
        <v>3559.9</v>
      </c>
      <c r="Q2452" s="116">
        <v>3505.9</v>
      </c>
      <c r="R2452">
        <v>1826460</v>
      </c>
    </row>
    <row r="2453" spans="1:18" x14ac:dyDescent="0.25">
      <c r="A2453" s="170">
        <v>45617</v>
      </c>
      <c r="B2453" s="116">
        <v>3516</v>
      </c>
      <c r="C2453" s="116">
        <v>3482.5</v>
      </c>
      <c r="D2453" s="116">
        <v>3452.95</v>
      </c>
      <c r="E2453" s="116">
        <v>3515</v>
      </c>
      <c r="F2453" s="116">
        <v>3482.5</v>
      </c>
      <c r="G2453">
        <v>26624</v>
      </c>
      <c r="H2453" s="116"/>
      <c r="I2453" s="116"/>
      <c r="L2453" s="170">
        <v>45617</v>
      </c>
      <c r="M2453" s="116">
        <v>3483.5</v>
      </c>
      <c r="N2453" s="116">
        <v>3530.55</v>
      </c>
      <c r="O2453" s="116">
        <v>3452.45</v>
      </c>
      <c r="P2453" s="116">
        <v>3530</v>
      </c>
      <c r="Q2453" s="116">
        <v>3483.5</v>
      </c>
      <c r="R2453">
        <v>1510581</v>
      </c>
    </row>
    <row r="2454" spans="1:18" x14ac:dyDescent="0.25">
      <c r="A2454" s="170">
        <v>45618</v>
      </c>
      <c r="B2454" s="116">
        <v>3615</v>
      </c>
      <c r="C2454" s="116">
        <v>3604.55</v>
      </c>
      <c r="D2454" s="116">
        <v>3472.15</v>
      </c>
      <c r="E2454" s="116">
        <v>3521.95</v>
      </c>
      <c r="F2454" s="116">
        <v>3604.55</v>
      </c>
      <c r="G2454">
        <v>141001</v>
      </c>
      <c r="H2454" s="116"/>
      <c r="I2454" s="116"/>
      <c r="L2454" s="170">
        <v>45618</v>
      </c>
      <c r="M2454" s="116">
        <v>3603.5</v>
      </c>
      <c r="N2454" s="116">
        <v>3613.5</v>
      </c>
      <c r="O2454" s="116">
        <v>3473.1</v>
      </c>
      <c r="P2454" s="116">
        <v>3500</v>
      </c>
      <c r="Q2454" s="116">
        <v>3603.5</v>
      </c>
      <c r="R2454">
        <v>2534018</v>
      </c>
    </row>
    <row r="2455" spans="1:18" x14ac:dyDescent="0.25">
      <c r="A2455" s="170">
        <v>45621</v>
      </c>
      <c r="B2455" s="116">
        <v>3759.95</v>
      </c>
      <c r="C2455" s="116">
        <v>3753.25</v>
      </c>
      <c r="D2455" s="116">
        <v>3655.8</v>
      </c>
      <c r="E2455" s="116">
        <v>3655.8</v>
      </c>
      <c r="F2455" s="116">
        <v>3753.25</v>
      </c>
      <c r="G2455">
        <v>209359</v>
      </c>
      <c r="H2455" s="116"/>
      <c r="I2455" s="116"/>
      <c r="L2455" s="170">
        <v>45621</v>
      </c>
      <c r="M2455" s="116">
        <v>3753</v>
      </c>
      <c r="N2455" s="116">
        <v>3761</v>
      </c>
      <c r="O2455" s="116">
        <v>3654</v>
      </c>
      <c r="P2455" s="116">
        <v>3660</v>
      </c>
      <c r="Q2455" s="116">
        <v>3753</v>
      </c>
      <c r="R2455">
        <v>4753829</v>
      </c>
    </row>
    <row r="2456" spans="1:18" x14ac:dyDescent="0.25">
      <c r="A2456" s="170">
        <v>45622</v>
      </c>
      <c r="B2456" s="116">
        <v>3754.8</v>
      </c>
      <c r="C2456" s="116">
        <v>3702.1</v>
      </c>
      <c r="D2456" s="116">
        <v>3689.4</v>
      </c>
      <c r="E2456" s="116">
        <v>3753</v>
      </c>
      <c r="F2456" s="116">
        <v>3702.1</v>
      </c>
      <c r="G2456">
        <v>82981</v>
      </c>
      <c r="H2456" s="116"/>
      <c r="I2456" s="116"/>
      <c r="L2456" s="170">
        <v>45622</v>
      </c>
      <c r="M2456" s="116">
        <v>3702.6</v>
      </c>
      <c r="N2456" s="116">
        <v>3754.9</v>
      </c>
      <c r="O2456" s="116">
        <v>3690</v>
      </c>
      <c r="P2456" s="116">
        <v>3754.9</v>
      </c>
      <c r="Q2456" s="116">
        <v>3702.6</v>
      </c>
      <c r="R2456">
        <v>1141534</v>
      </c>
    </row>
    <row r="2457" spans="1:18" x14ac:dyDescent="0.25">
      <c r="A2457" s="170">
        <v>45623</v>
      </c>
      <c r="B2457" s="116">
        <v>3718</v>
      </c>
      <c r="C2457" s="116">
        <v>3697.55</v>
      </c>
      <c r="D2457" s="116">
        <v>3689.2</v>
      </c>
      <c r="E2457" s="116">
        <v>3713.95</v>
      </c>
      <c r="F2457" s="116">
        <v>3697.55</v>
      </c>
      <c r="G2457">
        <v>38386</v>
      </c>
      <c r="H2457" s="116"/>
      <c r="I2457" s="116"/>
      <c r="L2457" s="170">
        <v>45623</v>
      </c>
      <c r="M2457" s="116">
        <v>3698.7</v>
      </c>
      <c r="N2457" s="116">
        <v>3720</v>
      </c>
      <c r="O2457" s="116">
        <v>3685</v>
      </c>
      <c r="P2457" s="116">
        <v>3704</v>
      </c>
      <c r="Q2457" s="116">
        <v>3698.7</v>
      </c>
      <c r="R2457">
        <v>971816</v>
      </c>
    </row>
    <row r="2458" spans="1:18" x14ac:dyDescent="0.25">
      <c r="A2458" s="170">
        <v>45624</v>
      </c>
      <c r="B2458" s="116">
        <v>3717.7</v>
      </c>
      <c r="C2458" s="116">
        <v>3667.65</v>
      </c>
      <c r="D2458" s="116">
        <v>3649.2</v>
      </c>
      <c r="E2458" s="116">
        <v>3711.85</v>
      </c>
      <c r="F2458" s="116">
        <v>3667.65</v>
      </c>
      <c r="G2458">
        <v>46307</v>
      </c>
      <c r="H2458" s="116"/>
      <c r="I2458" s="116"/>
      <c r="L2458" s="170">
        <v>45624</v>
      </c>
      <c r="M2458" s="116">
        <v>3666.05</v>
      </c>
      <c r="N2458" s="116">
        <v>3720.5</v>
      </c>
      <c r="O2458" s="116">
        <v>3648</v>
      </c>
      <c r="P2458" s="116">
        <v>3700</v>
      </c>
      <c r="Q2458" s="116">
        <v>3666.05</v>
      </c>
      <c r="R2458">
        <v>2124283</v>
      </c>
    </row>
    <row r="2459" spans="1:18" x14ac:dyDescent="0.25">
      <c r="A2459" s="170">
        <v>45625</v>
      </c>
      <c r="B2459" s="116">
        <v>3749</v>
      </c>
      <c r="C2459" s="116">
        <v>3725.9</v>
      </c>
      <c r="D2459" s="116">
        <v>3645</v>
      </c>
      <c r="E2459" s="116">
        <v>3648</v>
      </c>
      <c r="F2459" s="116">
        <v>3725.9</v>
      </c>
      <c r="G2459">
        <v>144884</v>
      </c>
      <c r="H2459" s="116"/>
      <c r="I2459" s="116"/>
      <c r="L2459" s="170">
        <v>45625</v>
      </c>
      <c r="M2459" s="116">
        <v>3724.8</v>
      </c>
      <c r="N2459" s="116">
        <v>3750</v>
      </c>
      <c r="O2459" s="116">
        <v>3635.1</v>
      </c>
      <c r="P2459" s="116">
        <v>3635.1</v>
      </c>
      <c r="Q2459" s="116">
        <v>3724.8</v>
      </c>
      <c r="R2459">
        <v>2094305</v>
      </c>
    </row>
    <row r="2460" spans="1:18" x14ac:dyDescent="0.25">
      <c r="A2460" s="170">
        <v>45628</v>
      </c>
      <c r="B2460" s="116">
        <v>3715</v>
      </c>
      <c r="C2460" s="116">
        <v>3704.55</v>
      </c>
      <c r="D2460" s="116">
        <v>3663.4</v>
      </c>
      <c r="E2460" s="116">
        <v>3663.4</v>
      </c>
      <c r="F2460" s="116">
        <v>3704.55</v>
      </c>
      <c r="G2460">
        <v>56679</v>
      </c>
      <c r="H2460" s="116"/>
      <c r="I2460" s="116"/>
      <c r="L2460" s="170">
        <v>45628</v>
      </c>
      <c r="M2460" s="116">
        <v>3704.05</v>
      </c>
      <c r="N2460" s="116">
        <v>3717.85</v>
      </c>
      <c r="O2460" s="116">
        <v>3672.9</v>
      </c>
      <c r="P2460" s="116">
        <v>3706.85</v>
      </c>
      <c r="Q2460" s="116">
        <v>3704.05</v>
      </c>
      <c r="R2460">
        <v>1158369</v>
      </c>
    </row>
    <row r="2461" spans="1:18" x14ac:dyDescent="0.25">
      <c r="A2461" s="170">
        <v>45629</v>
      </c>
      <c r="B2461" s="116">
        <v>3797.45</v>
      </c>
      <c r="C2461" s="116">
        <v>3783.15</v>
      </c>
      <c r="D2461" s="116">
        <v>3702</v>
      </c>
      <c r="E2461" s="116">
        <v>3718</v>
      </c>
      <c r="F2461" s="116">
        <v>3783.15</v>
      </c>
      <c r="G2461">
        <v>108302</v>
      </c>
      <c r="H2461" s="116"/>
      <c r="I2461" s="116"/>
      <c r="L2461" s="170">
        <v>45629</v>
      </c>
      <c r="M2461" s="116">
        <v>3787.05</v>
      </c>
      <c r="N2461" s="116">
        <v>3798.85</v>
      </c>
      <c r="O2461" s="116">
        <v>3701.5</v>
      </c>
      <c r="P2461" s="116">
        <v>3721</v>
      </c>
      <c r="Q2461" s="116">
        <v>3787.05</v>
      </c>
      <c r="R2461">
        <v>3252670</v>
      </c>
    </row>
    <row r="2462" spans="1:18" x14ac:dyDescent="0.25">
      <c r="A2462" s="170">
        <v>45630</v>
      </c>
      <c r="B2462" s="116">
        <v>3834.95</v>
      </c>
      <c r="C2462" s="116">
        <v>3799</v>
      </c>
      <c r="D2462" s="116">
        <v>3759</v>
      </c>
      <c r="E2462" s="116">
        <v>3782.95</v>
      </c>
      <c r="F2462" s="116">
        <v>3799</v>
      </c>
      <c r="G2462">
        <v>287851</v>
      </c>
      <c r="H2462" s="116"/>
      <c r="I2462" s="116"/>
      <c r="L2462" s="170">
        <v>45630</v>
      </c>
      <c r="M2462" s="116">
        <v>3789.9</v>
      </c>
      <c r="N2462" s="116">
        <v>3835</v>
      </c>
      <c r="O2462" s="116">
        <v>3758.05</v>
      </c>
      <c r="P2462" s="116">
        <v>3775</v>
      </c>
      <c r="Q2462" s="116">
        <v>3789.9</v>
      </c>
      <c r="R2462">
        <v>2510166</v>
      </c>
    </row>
    <row r="2463" spans="1:18" x14ac:dyDescent="0.25">
      <c r="A2463" s="170">
        <v>45631</v>
      </c>
      <c r="B2463" s="116">
        <v>3882.6</v>
      </c>
      <c r="C2463" s="116">
        <v>3830.25</v>
      </c>
      <c r="D2463" s="116">
        <v>3760</v>
      </c>
      <c r="E2463" s="116">
        <v>3814.95</v>
      </c>
      <c r="F2463" s="116">
        <v>3830.25</v>
      </c>
      <c r="G2463">
        <v>135676</v>
      </c>
      <c r="H2463" s="116"/>
      <c r="I2463" s="116"/>
      <c r="L2463" s="170">
        <v>45631</v>
      </c>
      <c r="M2463" s="116">
        <v>3831.55</v>
      </c>
      <c r="N2463" s="116">
        <v>3884</v>
      </c>
      <c r="O2463" s="116">
        <v>3760</v>
      </c>
      <c r="P2463" s="116">
        <v>3810</v>
      </c>
      <c r="Q2463" s="116">
        <v>3831.55</v>
      </c>
      <c r="R2463">
        <v>2765170</v>
      </c>
    </row>
    <row r="2464" spans="1:18" x14ac:dyDescent="0.25">
      <c r="A2464" s="170">
        <v>45632</v>
      </c>
      <c r="B2464" s="116">
        <v>3882</v>
      </c>
      <c r="C2464" s="116">
        <v>3865.8</v>
      </c>
      <c r="D2464" s="116">
        <v>3800</v>
      </c>
      <c r="E2464" s="116">
        <v>3843.9</v>
      </c>
      <c r="F2464" s="116">
        <v>3865.8</v>
      </c>
      <c r="G2464">
        <v>113208</v>
      </c>
      <c r="H2464" s="116"/>
      <c r="I2464" s="116"/>
      <c r="L2464" s="170">
        <v>45632</v>
      </c>
      <c r="M2464" s="116">
        <v>3866.7</v>
      </c>
      <c r="N2464" s="116">
        <v>3883.95</v>
      </c>
      <c r="O2464" s="116">
        <v>3800</v>
      </c>
      <c r="P2464" s="116">
        <v>3832</v>
      </c>
      <c r="Q2464" s="116">
        <v>3866.7</v>
      </c>
      <c r="R2464">
        <v>1856562</v>
      </c>
    </row>
    <row r="2465" spans="1:18" x14ac:dyDescent="0.25">
      <c r="A2465" s="170">
        <v>45635</v>
      </c>
      <c r="B2465" s="116">
        <v>3959.35</v>
      </c>
      <c r="C2465" s="116">
        <v>3947.8</v>
      </c>
      <c r="D2465" s="116">
        <v>3867.35</v>
      </c>
      <c r="E2465" s="116">
        <v>3870</v>
      </c>
      <c r="F2465" s="116">
        <v>3947.8</v>
      </c>
      <c r="G2465">
        <v>98874</v>
      </c>
      <c r="H2465" s="116"/>
      <c r="I2465" s="116"/>
      <c r="L2465" s="170">
        <v>45635</v>
      </c>
      <c r="M2465" s="116">
        <v>3947.3</v>
      </c>
      <c r="N2465" s="116">
        <v>3959</v>
      </c>
      <c r="O2465" s="116">
        <v>3867.5</v>
      </c>
      <c r="P2465" s="116">
        <v>3867.5</v>
      </c>
      <c r="Q2465" s="116">
        <v>3947.3</v>
      </c>
      <c r="R2465">
        <v>3332753</v>
      </c>
    </row>
    <row r="2466" spans="1:18" x14ac:dyDescent="0.25">
      <c r="A2466" s="170">
        <v>45636</v>
      </c>
      <c r="B2466" s="116">
        <v>3963</v>
      </c>
      <c r="C2466" s="116">
        <v>3921.4</v>
      </c>
      <c r="D2466" s="116">
        <v>3902.45</v>
      </c>
      <c r="E2466" s="116">
        <v>3959.95</v>
      </c>
      <c r="F2466" s="116">
        <v>3921.4</v>
      </c>
      <c r="G2466">
        <v>69825</v>
      </c>
      <c r="H2466" s="116"/>
      <c r="I2466" s="116"/>
      <c r="L2466" s="170">
        <v>45636</v>
      </c>
      <c r="M2466" s="116">
        <v>3923.15</v>
      </c>
      <c r="N2466" s="116">
        <v>3963.5</v>
      </c>
      <c r="O2466" s="116">
        <v>3901.3</v>
      </c>
      <c r="P2466" s="116">
        <v>3955</v>
      </c>
      <c r="Q2466" s="116">
        <v>3923.15</v>
      </c>
      <c r="R2466">
        <v>2349493</v>
      </c>
    </row>
    <row r="2467" spans="1:18" x14ac:dyDescent="0.25">
      <c r="A2467" s="170">
        <v>45637</v>
      </c>
      <c r="B2467" s="116">
        <v>3948</v>
      </c>
      <c r="C2467" s="116">
        <v>3916</v>
      </c>
      <c r="D2467" s="116">
        <v>3901</v>
      </c>
      <c r="E2467" s="116">
        <v>3927.45</v>
      </c>
      <c r="F2467" s="116">
        <v>3916</v>
      </c>
      <c r="G2467">
        <v>26224</v>
      </c>
      <c r="H2467" s="116"/>
      <c r="I2467" s="116"/>
      <c r="L2467" s="170">
        <v>45637</v>
      </c>
      <c r="M2467" s="116">
        <v>3916.75</v>
      </c>
      <c r="N2467" s="116">
        <v>3947.65</v>
      </c>
      <c r="O2467" s="116">
        <v>3902</v>
      </c>
      <c r="P2467" s="116">
        <v>3923.15</v>
      </c>
      <c r="Q2467" s="116">
        <v>3916.75</v>
      </c>
      <c r="R2467">
        <v>1237958</v>
      </c>
    </row>
    <row r="2468" spans="1:18" x14ac:dyDescent="0.25">
      <c r="A2468" s="170">
        <v>45638</v>
      </c>
      <c r="B2468" s="116">
        <v>3950</v>
      </c>
      <c r="C2468" s="116">
        <v>3862.85</v>
      </c>
      <c r="D2468" s="116">
        <v>3848.05</v>
      </c>
      <c r="E2468" s="116">
        <v>3925.05</v>
      </c>
      <c r="F2468" s="116">
        <v>3862.85</v>
      </c>
      <c r="G2468">
        <v>69253</v>
      </c>
      <c r="H2468" s="116"/>
      <c r="I2468" s="116"/>
      <c r="L2468" s="170">
        <v>45638</v>
      </c>
      <c r="M2468" s="116">
        <v>3859.9</v>
      </c>
      <c r="N2468" s="116">
        <v>3959</v>
      </c>
      <c r="O2468" s="116">
        <v>3846.95</v>
      </c>
      <c r="P2468" s="116">
        <v>3930</v>
      </c>
      <c r="Q2468" s="116">
        <v>3859.9</v>
      </c>
      <c r="R2468">
        <v>1899867</v>
      </c>
    </row>
    <row r="2469" spans="1:18" x14ac:dyDescent="0.25">
      <c r="A2469" s="170">
        <v>45639</v>
      </c>
      <c r="B2469" s="116">
        <v>3897.9</v>
      </c>
      <c r="C2469" s="116">
        <v>3890.2</v>
      </c>
      <c r="D2469" s="116">
        <v>3795</v>
      </c>
      <c r="E2469" s="116">
        <v>3863</v>
      </c>
      <c r="F2469" s="116">
        <v>3890.2</v>
      </c>
      <c r="G2469">
        <v>109107</v>
      </c>
      <c r="H2469" s="116"/>
      <c r="I2469" s="116"/>
      <c r="L2469" s="170">
        <v>45639</v>
      </c>
      <c r="M2469" s="116">
        <v>3887</v>
      </c>
      <c r="N2469" s="116">
        <v>3898</v>
      </c>
      <c r="O2469" s="116">
        <v>3794.2</v>
      </c>
      <c r="P2469" s="116">
        <v>3859</v>
      </c>
      <c r="Q2469" s="116">
        <v>3887</v>
      </c>
      <c r="R2469">
        <v>2300361</v>
      </c>
    </row>
    <row r="2470" spans="1:18" x14ac:dyDescent="0.25">
      <c r="A2470" s="170">
        <v>45642</v>
      </c>
      <c r="B2470" s="116">
        <v>3914.95</v>
      </c>
      <c r="C2470" s="116">
        <v>3877.25</v>
      </c>
      <c r="D2470" s="116">
        <v>3857.35</v>
      </c>
      <c r="E2470" s="116">
        <v>3881.2</v>
      </c>
      <c r="F2470" s="116">
        <v>3877.25</v>
      </c>
      <c r="G2470">
        <v>41986</v>
      </c>
      <c r="H2470" s="116"/>
      <c r="I2470" s="116"/>
      <c r="L2470" s="170">
        <v>45642</v>
      </c>
      <c r="M2470" s="116">
        <v>3877.85</v>
      </c>
      <c r="N2470" s="116">
        <v>3914.4</v>
      </c>
      <c r="O2470" s="116">
        <v>3857.25</v>
      </c>
      <c r="P2470" s="116">
        <v>3882</v>
      </c>
      <c r="Q2470" s="116">
        <v>3877.85</v>
      </c>
      <c r="R2470">
        <v>918660</v>
      </c>
    </row>
    <row r="2471" spans="1:18" x14ac:dyDescent="0.25">
      <c r="A2471" s="170">
        <v>45643</v>
      </c>
      <c r="B2471" s="116">
        <v>3875</v>
      </c>
      <c r="C2471" s="116">
        <v>3807.3</v>
      </c>
      <c r="D2471" s="116">
        <v>3798</v>
      </c>
      <c r="E2471" s="116">
        <v>3875</v>
      </c>
      <c r="F2471" s="116">
        <v>3807.3</v>
      </c>
      <c r="G2471">
        <v>30270</v>
      </c>
      <c r="H2471" s="116"/>
      <c r="I2471" s="116"/>
      <c r="L2471" s="170">
        <v>45643</v>
      </c>
      <c r="M2471" s="116">
        <v>3807.2</v>
      </c>
      <c r="N2471" s="116">
        <v>3875.4</v>
      </c>
      <c r="O2471" s="116">
        <v>3797</v>
      </c>
      <c r="P2471" s="116">
        <v>3863.05</v>
      </c>
      <c r="Q2471" s="116">
        <v>3807.2</v>
      </c>
      <c r="R2471">
        <v>1690180</v>
      </c>
    </row>
    <row r="2472" spans="1:18" x14ac:dyDescent="0.25">
      <c r="A2472" s="170">
        <v>45644</v>
      </c>
      <c r="B2472" s="116">
        <v>3808.9</v>
      </c>
      <c r="C2472" s="116">
        <v>3757.85</v>
      </c>
      <c r="D2472" s="116">
        <v>3745.75</v>
      </c>
      <c r="E2472" s="116">
        <v>3800.5</v>
      </c>
      <c r="F2472" s="116">
        <v>3757.85</v>
      </c>
      <c r="G2472">
        <v>174107</v>
      </c>
      <c r="H2472" s="116"/>
      <c r="I2472" s="116"/>
      <c r="L2472" s="170">
        <v>45644</v>
      </c>
      <c r="M2472" s="116">
        <v>3758.15</v>
      </c>
      <c r="N2472" s="116">
        <v>3819</v>
      </c>
      <c r="O2472" s="116">
        <v>3745</v>
      </c>
      <c r="P2472" s="116">
        <v>3807.2</v>
      </c>
      <c r="Q2472" s="116">
        <v>3758.15</v>
      </c>
      <c r="R2472">
        <v>1318341</v>
      </c>
    </row>
    <row r="2473" spans="1:18" x14ac:dyDescent="0.25">
      <c r="A2473" s="170">
        <v>45645</v>
      </c>
      <c r="B2473" s="116">
        <v>3758.25</v>
      </c>
      <c r="C2473" s="116">
        <v>3712.95</v>
      </c>
      <c r="D2473" s="116">
        <v>3702</v>
      </c>
      <c r="E2473" s="116">
        <v>3702.2</v>
      </c>
      <c r="F2473" s="116">
        <v>3712.95</v>
      </c>
      <c r="G2473">
        <v>21238</v>
      </c>
      <c r="H2473" s="116"/>
      <c r="I2473" s="116"/>
      <c r="L2473" s="170">
        <v>45645</v>
      </c>
      <c r="M2473" s="116">
        <v>3716.35</v>
      </c>
      <c r="N2473" s="116">
        <v>3762.2</v>
      </c>
      <c r="O2473" s="116">
        <v>3700</v>
      </c>
      <c r="P2473" s="116">
        <v>3702.15</v>
      </c>
      <c r="Q2473" s="116">
        <v>3716.35</v>
      </c>
      <c r="R2473">
        <v>1856838</v>
      </c>
    </row>
    <row r="2474" spans="1:18" x14ac:dyDescent="0.25">
      <c r="A2474" s="170">
        <v>45646</v>
      </c>
      <c r="B2474" s="116">
        <v>3725.65</v>
      </c>
      <c r="C2474" s="116">
        <v>3630.6</v>
      </c>
      <c r="D2474" s="116">
        <v>3611.85</v>
      </c>
      <c r="E2474" s="116">
        <v>3725.65</v>
      </c>
      <c r="F2474" s="116">
        <v>3630.6</v>
      </c>
      <c r="G2474">
        <v>102177</v>
      </c>
      <c r="H2474" s="116"/>
      <c r="I2474" s="116"/>
      <c r="L2474" s="170">
        <v>45646</v>
      </c>
      <c r="M2474" s="116">
        <v>3629.85</v>
      </c>
      <c r="N2474" s="116">
        <v>3725</v>
      </c>
      <c r="O2474" s="116">
        <v>3607.1</v>
      </c>
      <c r="P2474" s="116">
        <v>3716.35</v>
      </c>
      <c r="Q2474" s="116">
        <v>3629.85</v>
      </c>
      <c r="R2474">
        <v>2796593</v>
      </c>
    </row>
    <row r="2475" spans="1:18" x14ac:dyDescent="0.25">
      <c r="A2475" s="170">
        <v>45649</v>
      </c>
      <c r="B2475" s="116">
        <v>3690</v>
      </c>
      <c r="C2475" s="116">
        <v>3640.65</v>
      </c>
      <c r="D2475" s="116">
        <v>3618.55</v>
      </c>
      <c r="E2475" s="116">
        <v>3673.8</v>
      </c>
      <c r="F2475" s="116">
        <v>3640.65</v>
      </c>
      <c r="G2475">
        <v>39493</v>
      </c>
      <c r="H2475" s="116"/>
      <c r="I2475" s="116"/>
      <c r="L2475" s="170">
        <v>45649</v>
      </c>
      <c r="M2475" s="116">
        <v>3640.5</v>
      </c>
      <c r="N2475" s="116">
        <v>3700</v>
      </c>
      <c r="O2475" s="116">
        <v>3617.05</v>
      </c>
      <c r="P2475" s="116">
        <v>3670</v>
      </c>
      <c r="Q2475" s="116">
        <v>3640.5</v>
      </c>
      <c r="R2475">
        <v>1217612</v>
      </c>
    </row>
    <row r="2476" spans="1:18" x14ac:dyDescent="0.25">
      <c r="A2476" s="170">
        <v>45650</v>
      </c>
      <c r="B2476" s="116">
        <v>3678.6</v>
      </c>
      <c r="C2476" s="116">
        <v>3642.3</v>
      </c>
      <c r="D2476" s="116">
        <v>3633</v>
      </c>
      <c r="E2476" s="116">
        <v>3644</v>
      </c>
      <c r="F2476" s="116">
        <v>3642.3</v>
      </c>
      <c r="G2476">
        <v>29513</v>
      </c>
      <c r="H2476" s="116"/>
      <c r="I2476" s="116"/>
      <c r="L2476" s="170">
        <v>45650</v>
      </c>
      <c r="M2476" s="116">
        <v>3639.75</v>
      </c>
      <c r="N2476" s="116">
        <v>3679</v>
      </c>
      <c r="O2476" s="116">
        <v>3632.4</v>
      </c>
      <c r="P2476" s="116">
        <v>3647.95</v>
      </c>
      <c r="Q2476" s="116">
        <v>3639.75</v>
      </c>
      <c r="R2476">
        <v>627922</v>
      </c>
    </row>
    <row r="2477" spans="1:18" x14ac:dyDescent="0.25">
      <c r="A2477" s="170">
        <v>45652</v>
      </c>
      <c r="B2477" s="116">
        <v>3664</v>
      </c>
      <c r="C2477" s="116">
        <v>3628.25</v>
      </c>
      <c r="D2477" s="116">
        <v>3611</v>
      </c>
      <c r="E2477" s="116">
        <v>3650</v>
      </c>
      <c r="F2477" s="116">
        <v>3628.25</v>
      </c>
      <c r="G2477">
        <v>27328</v>
      </c>
      <c r="H2477" s="116"/>
      <c r="I2477" s="116"/>
      <c r="L2477" s="170">
        <v>45652</v>
      </c>
      <c r="M2477" s="116">
        <v>3629.5</v>
      </c>
      <c r="N2477" s="116">
        <v>3665.15</v>
      </c>
      <c r="O2477" s="116">
        <v>3610.35</v>
      </c>
      <c r="P2477" s="116">
        <v>3658</v>
      </c>
      <c r="Q2477" s="116">
        <v>3629.5</v>
      </c>
      <c r="R2477">
        <v>1124705</v>
      </c>
    </row>
    <row r="2478" spans="1:18" x14ac:dyDescent="0.25">
      <c r="A2478" s="170">
        <v>45653</v>
      </c>
      <c r="B2478" s="116">
        <v>3643.2</v>
      </c>
      <c r="C2478" s="116">
        <v>3608.3</v>
      </c>
      <c r="D2478" s="116">
        <v>3602.55</v>
      </c>
      <c r="E2478" s="116">
        <v>3625.1</v>
      </c>
      <c r="F2478" s="116">
        <v>3608.3</v>
      </c>
      <c r="G2478">
        <v>47213</v>
      </c>
      <c r="H2478" s="116"/>
      <c r="I2478" s="116"/>
      <c r="L2478" s="170">
        <v>45653</v>
      </c>
      <c r="M2478" s="116">
        <v>3608.1</v>
      </c>
      <c r="N2478" s="116">
        <v>3643.65</v>
      </c>
      <c r="O2478" s="116">
        <v>3603.5</v>
      </c>
      <c r="P2478" s="116">
        <v>3632.4</v>
      </c>
      <c r="Q2478" s="116">
        <v>3608.1</v>
      </c>
      <c r="R2478">
        <v>1309122</v>
      </c>
    </row>
    <row r="2479" spans="1:18" x14ac:dyDescent="0.25">
      <c r="A2479" s="170">
        <v>45656</v>
      </c>
      <c r="B2479" s="116">
        <v>3622.45</v>
      </c>
      <c r="C2479" s="116">
        <v>3582.35</v>
      </c>
      <c r="D2479" s="116">
        <v>3567</v>
      </c>
      <c r="E2479" s="116">
        <v>3604.1</v>
      </c>
      <c r="F2479" s="116">
        <v>3582.35</v>
      </c>
      <c r="G2479">
        <v>40098</v>
      </c>
      <c r="H2479" s="116"/>
      <c r="I2479" s="116"/>
      <c r="L2479" s="170">
        <v>45656</v>
      </c>
      <c r="M2479" s="116">
        <v>3578.95</v>
      </c>
      <c r="N2479" s="116">
        <v>3623</v>
      </c>
      <c r="O2479" s="116">
        <v>3566</v>
      </c>
      <c r="P2479" s="116">
        <v>3607.9</v>
      </c>
      <c r="Q2479" s="116">
        <v>3578.95</v>
      </c>
      <c r="R2479">
        <v>1591690</v>
      </c>
    </row>
    <row r="2480" spans="1:18" x14ac:dyDescent="0.25">
      <c r="A2480" s="170">
        <v>45657</v>
      </c>
      <c r="B2480" s="116">
        <v>3620</v>
      </c>
      <c r="C2480" s="116">
        <v>3608</v>
      </c>
      <c r="D2480" s="116">
        <v>3552.35</v>
      </c>
      <c r="E2480" s="116">
        <v>3562.2</v>
      </c>
      <c r="F2480" s="116">
        <v>3608</v>
      </c>
      <c r="G2480">
        <v>26001</v>
      </c>
      <c r="H2480" s="116"/>
      <c r="I2480" s="116"/>
      <c r="L2480" s="170">
        <v>45657</v>
      </c>
      <c r="M2480" s="116">
        <v>3607.65</v>
      </c>
      <c r="N2480" s="116">
        <v>3620.6</v>
      </c>
      <c r="O2480" s="116">
        <v>3550</v>
      </c>
      <c r="P2480" s="116">
        <v>3562.55</v>
      </c>
      <c r="Q2480" s="116">
        <v>3607.65</v>
      </c>
      <c r="R2480">
        <v>1267628</v>
      </c>
    </row>
    <row r="2481" spans="1:18" x14ac:dyDescent="0.25">
      <c r="A2481" s="170">
        <v>45658</v>
      </c>
      <c r="B2481" s="116">
        <v>3687.95</v>
      </c>
      <c r="C2481" s="116">
        <v>3667.2</v>
      </c>
      <c r="D2481" s="116">
        <v>3605</v>
      </c>
      <c r="E2481" s="116">
        <v>3609.95</v>
      </c>
      <c r="F2481" s="116">
        <v>3667.2</v>
      </c>
      <c r="G2481">
        <v>37611</v>
      </c>
      <c r="H2481" s="116"/>
      <c r="I2481" s="116"/>
      <c r="L2481" s="170">
        <v>45658</v>
      </c>
      <c r="M2481" s="116">
        <v>3667.5</v>
      </c>
      <c r="N2481" s="116">
        <v>3689</v>
      </c>
      <c r="O2481" s="116">
        <v>3599.95</v>
      </c>
      <c r="P2481" s="116">
        <v>3600</v>
      </c>
      <c r="Q2481" s="116">
        <v>3667.5</v>
      </c>
      <c r="R2481">
        <v>1202029</v>
      </c>
    </row>
    <row r="2482" spans="1:18" x14ac:dyDescent="0.25">
      <c r="A2482" s="170">
        <v>45659</v>
      </c>
      <c r="B2482" s="116">
        <v>3724</v>
      </c>
      <c r="C2482" s="116">
        <v>3713.85</v>
      </c>
      <c r="D2482" s="116">
        <v>3651</v>
      </c>
      <c r="E2482" s="116">
        <v>3680</v>
      </c>
      <c r="F2482" s="116">
        <v>3713.85</v>
      </c>
      <c r="G2482">
        <v>34555</v>
      </c>
      <c r="H2482" s="116"/>
      <c r="I2482" s="116"/>
      <c r="L2482" s="170">
        <v>45659</v>
      </c>
      <c r="M2482" s="116">
        <v>3713.5</v>
      </c>
      <c r="N2482" s="116">
        <v>3724.1</v>
      </c>
      <c r="O2482" s="116">
        <v>3650.05</v>
      </c>
      <c r="P2482" s="116">
        <v>3676.6</v>
      </c>
      <c r="Q2482" s="116">
        <v>3713.5</v>
      </c>
      <c r="R2482">
        <v>1882900</v>
      </c>
    </row>
    <row r="2483" spans="1:18" x14ac:dyDescent="0.25">
      <c r="A2483" s="170">
        <v>45660</v>
      </c>
      <c r="B2483" s="116">
        <v>3720</v>
      </c>
      <c r="C2483" s="116">
        <v>3660.95</v>
      </c>
      <c r="D2483" s="116">
        <v>3652</v>
      </c>
      <c r="E2483" s="116">
        <v>3715</v>
      </c>
      <c r="F2483" s="116">
        <v>3660.95</v>
      </c>
      <c r="G2483">
        <v>163723</v>
      </c>
      <c r="H2483" s="116"/>
      <c r="I2483" s="116"/>
      <c r="L2483" s="170">
        <v>45660</v>
      </c>
      <c r="M2483" s="116">
        <v>3659.9</v>
      </c>
      <c r="N2483" s="116">
        <v>3719.9</v>
      </c>
      <c r="O2483" s="116">
        <v>3651.45</v>
      </c>
      <c r="P2483" s="116">
        <v>3708</v>
      </c>
      <c r="Q2483" s="116">
        <v>3659.9</v>
      </c>
      <c r="R2483">
        <v>1290107</v>
      </c>
    </row>
    <row r="2484" spans="1:18" x14ac:dyDescent="0.25">
      <c r="A2484" s="170">
        <v>45663</v>
      </c>
      <c r="B2484" s="116">
        <v>3691.95</v>
      </c>
      <c r="C2484" s="116">
        <v>3603.05</v>
      </c>
      <c r="D2484" s="116">
        <v>3585</v>
      </c>
      <c r="E2484" s="116">
        <v>3665.05</v>
      </c>
      <c r="F2484" s="116">
        <v>3603.05</v>
      </c>
      <c r="G2484">
        <v>89248</v>
      </c>
      <c r="H2484" s="116"/>
      <c r="I2484" s="116"/>
      <c r="L2484" s="170">
        <v>45663</v>
      </c>
      <c r="M2484" s="116">
        <v>3603.2</v>
      </c>
      <c r="N2484" s="116">
        <v>3692.25</v>
      </c>
      <c r="O2484" s="116">
        <v>3585.5</v>
      </c>
      <c r="P2484" s="116">
        <v>3684.75</v>
      </c>
      <c r="Q2484" s="116">
        <v>3603.2</v>
      </c>
      <c r="R2484">
        <v>1212012</v>
      </c>
    </row>
    <row r="2485" spans="1:18" x14ac:dyDescent="0.25">
      <c r="A2485" s="170">
        <v>45664</v>
      </c>
      <c r="B2485" s="116">
        <v>3649.5</v>
      </c>
      <c r="C2485" s="116">
        <v>3641.9</v>
      </c>
      <c r="D2485" s="116">
        <v>3595.05</v>
      </c>
      <c r="E2485" s="116">
        <v>3603.45</v>
      </c>
      <c r="F2485" s="116">
        <v>3641.9</v>
      </c>
      <c r="G2485">
        <v>100269</v>
      </c>
      <c r="H2485" s="116"/>
      <c r="I2485" s="116"/>
      <c r="L2485" s="170">
        <v>45664</v>
      </c>
      <c r="M2485" s="116">
        <v>3643.3</v>
      </c>
      <c r="N2485" s="116">
        <v>3649.85</v>
      </c>
      <c r="O2485" s="116">
        <v>3595.7</v>
      </c>
      <c r="P2485" s="116">
        <v>3607.1</v>
      </c>
      <c r="Q2485" s="116">
        <v>3643.3</v>
      </c>
      <c r="R2485">
        <v>1453540</v>
      </c>
    </row>
    <row r="2486" spans="1:18" x14ac:dyDescent="0.25">
      <c r="A2486" s="170">
        <v>45665</v>
      </c>
      <c r="B2486" s="116">
        <v>3668.75</v>
      </c>
      <c r="C2486" s="116">
        <v>3596.15</v>
      </c>
      <c r="D2486" s="116">
        <v>3591.5</v>
      </c>
      <c r="E2486" s="116">
        <v>3668.75</v>
      </c>
      <c r="F2486" s="116">
        <v>3596.15</v>
      </c>
      <c r="G2486">
        <v>51106</v>
      </c>
      <c r="H2486" s="116"/>
      <c r="I2486" s="116"/>
      <c r="L2486" s="170">
        <v>45665</v>
      </c>
      <c r="M2486" s="116">
        <v>3596.35</v>
      </c>
      <c r="N2486" s="116">
        <v>3663.85</v>
      </c>
      <c r="O2486" s="116">
        <v>3590</v>
      </c>
      <c r="P2486" s="116">
        <v>3662</v>
      </c>
      <c r="Q2486" s="116">
        <v>3596.35</v>
      </c>
      <c r="R2486">
        <v>1813201</v>
      </c>
    </row>
    <row r="2487" spans="1:18" x14ac:dyDescent="0.25">
      <c r="A2487" s="170">
        <v>45666</v>
      </c>
      <c r="B2487" s="116">
        <v>3605</v>
      </c>
      <c r="C2487" s="116">
        <v>3528.65</v>
      </c>
      <c r="D2487" s="116">
        <v>3486</v>
      </c>
      <c r="E2487" s="116">
        <v>3604.65</v>
      </c>
      <c r="F2487" s="116">
        <v>3528.65</v>
      </c>
      <c r="G2487">
        <v>82027</v>
      </c>
      <c r="H2487" s="116"/>
      <c r="I2487" s="116"/>
      <c r="L2487" s="170">
        <v>45666</v>
      </c>
      <c r="M2487" s="116">
        <v>3527.9</v>
      </c>
      <c r="N2487" s="116">
        <v>3606.3</v>
      </c>
      <c r="O2487" s="116">
        <v>3486</v>
      </c>
      <c r="P2487" s="116">
        <v>3599.9</v>
      </c>
      <c r="Q2487" s="116">
        <v>3527.9</v>
      </c>
      <c r="R2487">
        <v>2921681</v>
      </c>
    </row>
    <row r="2488" spans="1:18" x14ac:dyDescent="0.25">
      <c r="A2488" s="170">
        <v>45667</v>
      </c>
      <c r="B2488" s="116">
        <v>3551</v>
      </c>
      <c r="C2488" s="116">
        <v>3535.25</v>
      </c>
      <c r="D2488" s="116">
        <v>3483.1</v>
      </c>
      <c r="E2488" s="116">
        <v>3483.1</v>
      </c>
      <c r="F2488" s="116">
        <v>3535.25</v>
      </c>
      <c r="G2488">
        <v>189958</v>
      </c>
      <c r="H2488" s="116"/>
      <c r="I2488" s="116"/>
      <c r="L2488" s="170">
        <v>45667</v>
      </c>
      <c r="M2488" s="116">
        <v>3536.15</v>
      </c>
      <c r="N2488" s="116">
        <v>3552.2</v>
      </c>
      <c r="O2488" s="116">
        <v>3492.3</v>
      </c>
      <c r="P2488" s="116">
        <v>3499.95</v>
      </c>
      <c r="Q2488" s="116">
        <v>3536.15</v>
      </c>
      <c r="R2488">
        <v>1794238</v>
      </c>
    </row>
    <row r="2489" spans="1:18" x14ac:dyDescent="0.25">
      <c r="A2489" s="170">
        <v>45670</v>
      </c>
      <c r="B2489" s="116">
        <v>3534.75</v>
      </c>
      <c r="C2489" s="116">
        <v>3463.75</v>
      </c>
      <c r="D2489" s="116">
        <v>3448.3</v>
      </c>
      <c r="E2489" s="116">
        <v>3509.95</v>
      </c>
      <c r="F2489" s="116">
        <v>3463.75</v>
      </c>
      <c r="G2489">
        <v>72125</v>
      </c>
      <c r="H2489" s="116"/>
      <c r="I2489" s="116"/>
      <c r="L2489" s="170">
        <v>45670</v>
      </c>
      <c r="M2489" s="116">
        <v>3464.3</v>
      </c>
      <c r="N2489" s="116">
        <v>3534.5</v>
      </c>
      <c r="O2489" s="116">
        <v>3448.6</v>
      </c>
      <c r="P2489" s="116">
        <v>3505.55</v>
      </c>
      <c r="Q2489" s="116">
        <v>3464.3</v>
      </c>
      <c r="R2489">
        <v>2137212</v>
      </c>
    </row>
    <row r="2490" spans="1:18" x14ac:dyDescent="0.25">
      <c r="A2490" s="170">
        <v>45671</v>
      </c>
      <c r="B2490" s="116">
        <v>3492</v>
      </c>
      <c r="C2490" s="116">
        <v>3465.35</v>
      </c>
      <c r="D2490" s="116">
        <v>3449.55</v>
      </c>
      <c r="E2490" s="116">
        <v>3451.05</v>
      </c>
      <c r="F2490" s="116">
        <v>3465.35</v>
      </c>
      <c r="G2490">
        <v>98171</v>
      </c>
      <c r="H2490" s="116"/>
      <c r="I2490" s="116"/>
      <c r="L2490" s="170">
        <v>45671</v>
      </c>
      <c r="M2490" s="116">
        <v>3462.6</v>
      </c>
      <c r="N2490" s="116">
        <v>3491.95</v>
      </c>
      <c r="O2490" s="116">
        <v>3448.6</v>
      </c>
      <c r="P2490" s="116">
        <v>3465.85</v>
      </c>
      <c r="Q2490" s="116">
        <v>3462.6</v>
      </c>
      <c r="R2490">
        <v>2924491</v>
      </c>
    </row>
    <row r="2491" spans="1:18" x14ac:dyDescent="0.25">
      <c r="A2491" s="170">
        <v>45672</v>
      </c>
      <c r="B2491" s="116">
        <v>3525.65</v>
      </c>
      <c r="C2491" s="116">
        <v>3501.15</v>
      </c>
      <c r="D2491" s="116">
        <v>3470.75</v>
      </c>
      <c r="E2491" s="116">
        <v>3477.85</v>
      </c>
      <c r="F2491" s="116">
        <v>3501.15</v>
      </c>
      <c r="G2491">
        <v>28463</v>
      </c>
      <c r="H2491" s="116"/>
      <c r="I2491" s="116"/>
      <c r="L2491" s="170">
        <v>45672</v>
      </c>
      <c r="M2491" s="116">
        <v>3501.4</v>
      </c>
      <c r="N2491" s="116">
        <v>3526.15</v>
      </c>
      <c r="O2491" s="116">
        <v>3471.3</v>
      </c>
      <c r="P2491" s="116">
        <v>3471.3</v>
      </c>
      <c r="Q2491" s="116">
        <v>3501.4</v>
      </c>
      <c r="R2491">
        <v>1155446</v>
      </c>
    </row>
    <row r="2492" spans="1:18" x14ac:dyDescent="0.25">
      <c r="A2492" s="170">
        <v>45673</v>
      </c>
      <c r="B2492" s="116">
        <v>3550.8</v>
      </c>
      <c r="C2492" s="116">
        <v>3512.4</v>
      </c>
      <c r="D2492" s="116">
        <v>3484.2</v>
      </c>
      <c r="E2492" s="116">
        <v>3550.8</v>
      </c>
      <c r="F2492" s="116">
        <v>3512.4</v>
      </c>
      <c r="G2492">
        <v>59839</v>
      </c>
      <c r="H2492" s="116"/>
      <c r="I2492" s="116"/>
      <c r="L2492" s="170">
        <v>45673</v>
      </c>
      <c r="M2492" s="116">
        <v>3507.9</v>
      </c>
      <c r="N2492" s="116">
        <v>3543.45</v>
      </c>
      <c r="O2492" s="116">
        <v>3483.75</v>
      </c>
      <c r="P2492" s="116">
        <v>3535</v>
      </c>
      <c r="Q2492" s="116">
        <v>3507.9</v>
      </c>
      <c r="R2492">
        <v>2305460</v>
      </c>
    </row>
    <row r="2493" spans="1:18" x14ac:dyDescent="0.25">
      <c r="A2493" s="170">
        <v>45674</v>
      </c>
      <c r="B2493" s="116">
        <v>3579.35</v>
      </c>
      <c r="C2493" s="116">
        <v>3568.5</v>
      </c>
      <c r="D2493" s="116">
        <v>3511.3</v>
      </c>
      <c r="E2493" s="116">
        <v>3513.5</v>
      </c>
      <c r="F2493" s="116">
        <v>3568.5</v>
      </c>
      <c r="G2493">
        <v>42164</v>
      </c>
      <c r="H2493" s="116"/>
      <c r="I2493" s="116"/>
      <c r="L2493" s="170">
        <v>45674</v>
      </c>
      <c r="M2493" s="116">
        <v>3568.65</v>
      </c>
      <c r="N2493" s="116">
        <v>3579.85</v>
      </c>
      <c r="O2493" s="116">
        <v>3511.95</v>
      </c>
      <c r="P2493" s="116">
        <v>3524</v>
      </c>
      <c r="Q2493" s="116">
        <v>3568.65</v>
      </c>
      <c r="R2493">
        <v>1600246</v>
      </c>
    </row>
    <row r="2494" spans="1:18" x14ac:dyDescent="0.25">
      <c r="A2494" s="170">
        <v>45677</v>
      </c>
      <c r="B2494" s="116">
        <v>3615.75</v>
      </c>
      <c r="C2494" s="116">
        <v>3586.4</v>
      </c>
      <c r="D2494" s="116">
        <v>3558.75</v>
      </c>
      <c r="E2494" s="116">
        <v>3576</v>
      </c>
      <c r="F2494" s="116">
        <v>3586.4</v>
      </c>
      <c r="G2494">
        <v>98298</v>
      </c>
      <c r="H2494" s="116"/>
      <c r="I2494" s="116"/>
      <c r="L2494" s="170">
        <v>45677</v>
      </c>
      <c r="M2494" s="116">
        <v>3593</v>
      </c>
      <c r="N2494" s="116">
        <v>3617.15</v>
      </c>
      <c r="O2494" s="116">
        <v>3556.5</v>
      </c>
      <c r="P2494" s="116">
        <v>3574.9</v>
      </c>
      <c r="Q2494" s="116">
        <v>3593</v>
      </c>
      <c r="R2494">
        <v>1593334</v>
      </c>
    </row>
    <row r="2495" spans="1:18" x14ac:dyDescent="0.25">
      <c r="A2495" s="170">
        <v>45678</v>
      </c>
      <c r="B2495" s="116">
        <v>3643.55</v>
      </c>
      <c r="C2495" s="116">
        <v>3536.05</v>
      </c>
      <c r="D2495" s="116">
        <v>3529.9</v>
      </c>
      <c r="E2495" s="116">
        <v>3600.15</v>
      </c>
      <c r="F2495" s="116">
        <v>3536.05</v>
      </c>
      <c r="G2495">
        <v>222519</v>
      </c>
      <c r="H2495" s="116"/>
      <c r="I2495" s="116"/>
      <c r="L2495" s="170">
        <v>45678</v>
      </c>
      <c r="M2495" s="116">
        <v>3541.1</v>
      </c>
      <c r="N2495" s="116">
        <v>3643.3</v>
      </c>
      <c r="O2495" s="116">
        <v>3528.1</v>
      </c>
      <c r="P2495" s="116">
        <v>3612.75</v>
      </c>
      <c r="Q2495" s="116">
        <v>3541.1</v>
      </c>
      <c r="R2495">
        <v>2576596</v>
      </c>
    </row>
    <row r="2496" spans="1:18" x14ac:dyDescent="0.25">
      <c r="A2496" s="170">
        <v>45679</v>
      </c>
      <c r="B2496" s="116">
        <v>3582</v>
      </c>
      <c r="C2496" s="116">
        <v>3516.7</v>
      </c>
      <c r="D2496" s="116">
        <v>3491</v>
      </c>
      <c r="E2496" s="116">
        <v>3552.2</v>
      </c>
      <c r="F2496" s="116">
        <v>3516.7</v>
      </c>
      <c r="G2496">
        <v>25954</v>
      </c>
      <c r="H2496" s="116"/>
      <c r="I2496" s="116"/>
      <c r="L2496" s="170">
        <v>45679</v>
      </c>
      <c r="M2496" s="116">
        <v>3518.2</v>
      </c>
      <c r="N2496" s="116">
        <v>3582.35</v>
      </c>
      <c r="O2496" s="116">
        <v>3490.1</v>
      </c>
      <c r="P2496" s="116">
        <v>3563</v>
      </c>
      <c r="Q2496" s="116">
        <v>3518.2</v>
      </c>
      <c r="R2496">
        <v>1626055</v>
      </c>
    </row>
    <row r="2497" spans="1:18" x14ac:dyDescent="0.25">
      <c r="A2497" s="170">
        <v>45680</v>
      </c>
      <c r="B2497" s="116">
        <v>3525.65</v>
      </c>
      <c r="C2497" s="116">
        <v>3503.7</v>
      </c>
      <c r="D2497" s="116">
        <v>3460.05</v>
      </c>
      <c r="E2497" s="116">
        <v>3515</v>
      </c>
      <c r="F2497" s="116">
        <v>3503.7</v>
      </c>
      <c r="G2497">
        <v>34120</v>
      </c>
      <c r="H2497" s="116"/>
      <c r="I2497" s="116"/>
      <c r="L2497" s="170">
        <v>45680</v>
      </c>
      <c r="M2497" s="116">
        <v>3503.25</v>
      </c>
      <c r="N2497" s="116">
        <v>3527.8</v>
      </c>
      <c r="O2497" s="116">
        <v>3460.6</v>
      </c>
      <c r="P2497" s="116">
        <v>3492</v>
      </c>
      <c r="Q2497" s="116">
        <v>3503.25</v>
      </c>
      <c r="R2497">
        <v>1993204</v>
      </c>
    </row>
    <row r="2498" spans="1:18" x14ac:dyDescent="0.25">
      <c r="A2498" s="170">
        <v>45681</v>
      </c>
      <c r="B2498" s="116">
        <v>3523.55</v>
      </c>
      <c r="C2498" s="116">
        <v>3457.75</v>
      </c>
      <c r="D2498" s="116">
        <v>3446.6</v>
      </c>
      <c r="E2498" s="116">
        <v>3523.55</v>
      </c>
      <c r="F2498" s="116">
        <v>3457.75</v>
      </c>
      <c r="G2498">
        <v>42953</v>
      </c>
      <c r="H2498" s="116"/>
      <c r="I2498" s="116"/>
      <c r="L2498" s="170">
        <v>45681</v>
      </c>
      <c r="M2498" s="116">
        <v>3458.2</v>
      </c>
      <c r="N2498" s="116">
        <v>3521.1</v>
      </c>
      <c r="O2498" s="116">
        <v>3446.05</v>
      </c>
      <c r="P2498" s="116">
        <v>3514.5</v>
      </c>
      <c r="Q2498" s="116">
        <v>3458.2</v>
      </c>
      <c r="R2498">
        <v>1206454</v>
      </c>
    </row>
    <row r="2499" spans="1:18" x14ac:dyDescent="0.25">
      <c r="A2499" s="170">
        <v>45684</v>
      </c>
      <c r="B2499" s="116">
        <v>3493</v>
      </c>
      <c r="C2499" s="116">
        <v>3460.15</v>
      </c>
      <c r="D2499" s="116">
        <v>3402</v>
      </c>
      <c r="E2499" s="116">
        <v>3454.6</v>
      </c>
      <c r="F2499" s="116">
        <v>3460.15</v>
      </c>
      <c r="G2499">
        <v>34274</v>
      </c>
      <c r="H2499" s="116"/>
      <c r="I2499" s="116"/>
      <c r="L2499" s="170">
        <v>45684</v>
      </c>
      <c r="M2499" s="116">
        <v>3457.65</v>
      </c>
      <c r="N2499" s="116">
        <v>3493.9</v>
      </c>
      <c r="O2499" s="116">
        <v>3401.15</v>
      </c>
      <c r="P2499" s="116">
        <v>3447.2</v>
      </c>
      <c r="Q2499" s="116">
        <v>3457.65</v>
      </c>
      <c r="R2499">
        <v>1552938</v>
      </c>
    </row>
    <row r="2500" spans="1:18" x14ac:dyDescent="0.25">
      <c r="A2500" s="170">
        <v>45685</v>
      </c>
      <c r="B2500" s="116">
        <v>3480</v>
      </c>
      <c r="C2500" s="116">
        <v>3414.35</v>
      </c>
      <c r="D2500" s="116">
        <v>3404.7</v>
      </c>
      <c r="E2500" s="116">
        <v>3460.15</v>
      </c>
      <c r="F2500" s="116">
        <v>3414.35</v>
      </c>
      <c r="G2500">
        <v>74732</v>
      </c>
      <c r="H2500" s="116"/>
      <c r="I2500" s="116"/>
      <c r="L2500" s="170">
        <v>45685</v>
      </c>
      <c r="M2500" s="116">
        <v>3413.9</v>
      </c>
      <c r="N2500" s="116">
        <v>3482.15</v>
      </c>
      <c r="O2500" s="116">
        <v>3404.05</v>
      </c>
      <c r="P2500" s="116">
        <v>3464.95</v>
      </c>
      <c r="Q2500" s="116">
        <v>3413.9</v>
      </c>
      <c r="R2500">
        <v>1657689</v>
      </c>
    </row>
    <row r="2501" spans="1:18" x14ac:dyDescent="0.25">
      <c r="A2501" s="170">
        <v>45686</v>
      </c>
      <c r="B2501" s="116">
        <v>3452</v>
      </c>
      <c r="C2501" s="116">
        <v>3449.15</v>
      </c>
      <c r="D2501" s="116">
        <v>3410.55</v>
      </c>
      <c r="E2501" s="116">
        <v>3430</v>
      </c>
      <c r="F2501" s="116">
        <v>3449.15</v>
      </c>
      <c r="G2501">
        <v>33848</v>
      </c>
      <c r="H2501" s="116"/>
      <c r="I2501" s="116"/>
      <c r="L2501" s="170">
        <v>45686</v>
      </c>
      <c r="M2501" s="116">
        <v>3449.7</v>
      </c>
      <c r="N2501" s="116">
        <v>3455</v>
      </c>
      <c r="O2501" s="116">
        <v>3412</v>
      </c>
      <c r="P2501" s="116">
        <v>3431</v>
      </c>
      <c r="Q2501" s="116">
        <v>3449.7</v>
      </c>
      <c r="R2501">
        <v>1238704</v>
      </c>
    </row>
    <row r="2502" spans="1:18" x14ac:dyDescent="0.25">
      <c r="A2502" s="170">
        <v>45687</v>
      </c>
      <c r="B2502" s="116">
        <v>3517.5</v>
      </c>
      <c r="C2502" s="116">
        <v>3419.8</v>
      </c>
      <c r="D2502" s="116">
        <v>3396.05</v>
      </c>
      <c r="E2502" s="116">
        <v>3493.95</v>
      </c>
      <c r="F2502" s="116">
        <v>3419.8</v>
      </c>
      <c r="G2502">
        <v>76611</v>
      </c>
      <c r="H2502" s="116"/>
      <c r="I2502" s="116"/>
      <c r="L2502" s="170">
        <v>45687</v>
      </c>
      <c r="M2502" s="116">
        <v>3420.95</v>
      </c>
      <c r="N2502" s="116">
        <v>3517.8</v>
      </c>
      <c r="O2502" s="116">
        <v>3395</v>
      </c>
      <c r="P2502" s="116">
        <v>3455</v>
      </c>
      <c r="Q2502" s="116">
        <v>3420.95</v>
      </c>
      <c r="R2502">
        <v>2717740</v>
      </c>
    </row>
    <row r="2503" spans="1:18" x14ac:dyDescent="0.25">
      <c r="A2503" s="170">
        <v>45688</v>
      </c>
      <c r="B2503" s="116">
        <v>3588.85</v>
      </c>
      <c r="C2503" s="116">
        <v>3567.2</v>
      </c>
      <c r="D2503" s="116">
        <v>3484</v>
      </c>
      <c r="E2503" s="116">
        <v>3484</v>
      </c>
      <c r="F2503" s="116">
        <v>3567.2</v>
      </c>
      <c r="G2503">
        <v>78142</v>
      </c>
      <c r="H2503" s="116"/>
      <c r="I2503" s="116"/>
      <c r="L2503" s="170">
        <v>45688</v>
      </c>
      <c r="M2503" s="116">
        <v>3567.4</v>
      </c>
      <c r="N2503" s="116">
        <v>3590</v>
      </c>
      <c r="O2503" s="116">
        <v>3481.05</v>
      </c>
      <c r="P2503" s="116">
        <v>3501.05</v>
      </c>
      <c r="Q2503" s="116">
        <v>3567.4</v>
      </c>
      <c r="R2503">
        <v>3995513</v>
      </c>
    </row>
    <row r="2504" spans="1:18" x14ac:dyDescent="0.25">
      <c r="A2504" s="170">
        <v>45689</v>
      </c>
      <c r="B2504" s="116">
        <v>3628.8</v>
      </c>
      <c r="C2504" s="116">
        <v>3447.3</v>
      </c>
      <c r="D2504" s="116">
        <v>3404.95</v>
      </c>
      <c r="E2504" s="116">
        <v>3599.85</v>
      </c>
      <c r="F2504" s="116">
        <v>3447.3</v>
      </c>
      <c r="G2504">
        <v>159210</v>
      </c>
      <c r="H2504" s="116"/>
      <c r="I2504" s="116"/>
      <c r="L2504" s="170">
        <v>45689</v>
      </c>
      <c r="M2504" s="116">
        <v>3447.5</v>
      </c>
      <c r="N2504" s="116">
        <v>3629.2</v>
      </c>
      <c r="O2504" s="116">
        <v>3402</v>
      </c>
      <c r="P2504" s="116">
        <v>3578</v>
      </c>
      <c r="Q2504" s="116">
        <v>3447.5</v>
      </c>
      <c r="R2504">
        <v>4752505</v>
      </c>
    </row>
    <row r="2505" spans="1:18" x14ac:dyDescent="0.25">
      <c r="A2505" s="170">
        <v>45691</v>
      </c>
      <c r="B2505" s="116">
        <v>3447.5</v>
      </c>
      <c r="C2505" s="116">
        <v>3287.25</v>
      </c>
      <c r="D2505" s="116">
        <v>3270.2</v>
      </c>
      <c r="E2505" s="116">
        <v>3447.5</v>
      </c>
      <c r="F2505" s="116">
        <v>3287.25</v>
      </c>
      <c r="G2505">
        <v>148590</v>
      </c>
      <c r="H2505" s="116"/>
      <c r="I2505" s="116"/>
      <c r="L2505" s="170">
        <v>45691</v>
      </c>
      <c r="M2505" s="116">
        <v>3289.2</v>
      </c>
      <c r="N2505" s="116">
        <v>3420</v>
      </c>
      <c r="O2505" s="116">
        <v>3270</v>
      </c>
      <c r="P2505" s="116">
        <v>3420</v>
      </c>
      <c r="Q2505" s="116">
        <v>3289.2</v>
      </c>
      <c r="R2505">
        <v>6077580</v>
      </c>
    </row>
    <row r="2506" spans="1:18" x14ac:dyDescent="0.25">
      <c r="A2506" s="170">
        <v>45692</v>
      </c>
      <c r="B2506" s="116">
        <v>3449.9</v>
      </c>
      <c r="C2506" s="116">
        <v>3443.6</v>
      </c>
      <c r="D2506" s="116">
        <v>3311.75</v>
      </c>
      <c r="E2506" s="116">
        <v>3319.95</v>
      </c>
      <c r="F2506" s="116">
        <v>3443.6</v>
      </c>
      <c r="G2506">
        <v>116198</v>
      </c>
      <c r="H2506" s="116"/>
      <c r="I2506" s="116"/>
      <c r="L2506" s="170">
        <v>45692</v>
      </c>
      <c r="M2506" s="116">
        <v>3439.15</v>
      </c>
      <c r="N2506" s="116">
        <v>3449</v>
      </c>
      <c r="O2506" s="116">
        <v>3307.25</v>
      </c>
      <c r="P2506" s="116">
        <v>3316</v>
      </c>
      <c r="Q2506" s="116">
        <v>3439.15</v>
      </c>
      <c r="R2506">
        <v>4742516</v>
      </c>
    </row>
    <row r="2507" spans="1:18" x14ac:dyDescent="0.25">
      <c r="A2507" s="170">
        <v>45693</v>
      </c>
      <c r="B2507" s="116">
        <v>3467.8</v>
      </c>
      <c r="C2507" s="116">
        <v>3384.4</v>
      </c>
      <c r="D2507" s="116">
        <v>3380.9</v>
      </c>
      <c r="E2507" s="116">
        <v>3467.8</v>
      </c>
      <c r="F2507" s="116">
        <v>3384.4</v>
      </c>
      <c r="G2507">
        <v>111063</v>
      </c>
      <c r="H2507" s="116"/>
      <c r="I2507" s="116"/>
      <c r="L2507" s="170">
        <v>45693</v>
      </c>
      <c r="M2507" s="116">
        <v>3383.2</v>
      </c>
      <c r="N2507" s="116">
        <v>3450.95</v>
      </c>
      <c r="O2507" s="116">
        <v>3379.45</v>
      </c>
      <c r="P2507" s="116">
        <v>3444.65</v>
      </c>
      <c r="Q2507" s="116">
        <v>3383.2</v>
      </c>
      <c r="R2507">
        <v>2670316</v>
      </c>
    </row>
    <row r="2508" spans="1:18" x14ac:dyDescent="0.25">
      <c r="A2508" s="170">
        <v>45694</v>
      </c>
      <c r="B2508" s="116">
        <v>3404</v>
      </c>
      <c r="C2508" s="116">
        <v>3352.9</v>
      </c>
      <c r="D2508" s="116">
        <v>3343</v>
      </c>
      <c r="E2508" s="116">
        <v>3400.4</v>
      </c>
      <c r="F2508" s="116">
        <v>3352.9</v>
      </c>
      <c r="G2508">
        <v>132873</v>
      </c>
      <c r="H2508" s="116"/>
      <c r="I2508" s="116"/>
      <c r="L2508" s="170">
        <v>45694</v>
      </c>
      <c r="M2508" s="116">
        <v>3352.75</v>
      </c>
      <c r="N2508" s="116">
        <v>3404</v>
      </c>
      <c r="O2508" s="116">
        <v>3342.7</v>
      </c>
      <c r="P2508" s="116">
        <v>3404</v>
      </c>
      <c r="Q2508" s="116">
        <v>3352.75</v>
      </c>
      <c r="R2508">
        <v>2874856</v>
      </c>
    </row>
    <row r="2509" spans="1:18" x14ac:dyDescent="0.25">
      <c r="A2509" s="170">
        <v>45695</v>
      </c>
      <c r="B2509" s="116">
        <v>3397.85</v>
      </c>
      <c r="C2509" s="116">
        <v>3337.4</v>
      </c>
      <c r="D2509" s="116">
        <v>3312</v>
      </c>
      <c r="E2509" s="116">
        <v>3397.85</v>
      </c>
      <c r="F2509" s="116">
        <v>3337.4</v>
      </c>
      <c r="G2509">
        <v>101140</v>
      </c>
      <c r="H2509" s="116"/>
      <c r="I2509" s="116"/>
      <c r="L2509" s="170">
        <v>45695</v>
      </c>
      <c r="M2509" s="116">
        <v>3336.9</v>
      </c>
      <c r="N2509" s="116">
        <v>3369.95</v>
      </c>
      <c r="O2509" s="116">
        <v>3311.1</v>
      </c>
      <c r="P2509" s="116">
        <v>3367</v>
      </c>
      <c r="Q2509" s="116">
        <v>3336.9</v>
      </c>
      <c r="R2509">
        <v>1722789</v>
      </c>
    </row>
    <row r="2510" spans="1:18" x14ac:dyDescent="0.25">
      <c r="A2510" s="170">
        <v>45698</v>
      </c>
      <c r="B2510" s="116">
        <v>3347.8</v>
      </c>
      <c r="C2510" s="116">
        <v>3328.6</v>
      </c>
      <c r="D2510" s="116">
        <v>3295</v>
      </c>
      <c r="E2510" s="116">
        <v>3343.85</v>
      </c>
      <c r="F2510" s="116">
        <v>3328.6</v>
      </c>
      <c r="G2510">
        <v>72524</v>
      </c>
      <c r="H2510" s="116"/>
      <c r="I2510" s="116"/>
      <c r="L2510" s="170">
        <v>45698</v>
      </c>
      <c r="M2510" s="116">
        <v>3328.65</v>
      </c>
      <c r="N2510" s="116">
        <v>3349</v>
      </c>
      <c r="O2510" s="116">
        <v>3294.05</v>
      </c>
      <c r="P2510" s="116">
        <v>3347.8</v>
      </c>
      <c r="Q2510" s="116">
        <v>3328.65</v>
      </c>
      <c r="R2510">
        <v>1236663</v>
      </c>
    </row>
    <row r="2511" spans="1:18" x14ac:dyDescent="0.25">
      <c r="A2511" s="170">
        <v>45699</v>
      </c>
      <c r="B2511" s="116">
        <v>3375</v>
      </c>
      <c r="C2511" s="116">
        <v>3240.25</v>
      </c>
      <c r="D2511" s="116">
        <v>3231.1</v>
      </c>
      <c r="E2511" s="116">
        <v>3375</v>
      </c>
      <c r="F2511" s="116">
        <v>3240.25</v>
      </c>
      <c r="G2511">
        <v>119427</v>
      </c>
      <c r="H2511" s="116"/>
      <c r="I2511" s="116"/>
      <c r="L2511" s="170">
        <v>45699</v>
      </c>
      <c r="M2511" s="116">
        <v>3239.65</v>
      </c>
      <c r="N2511" s="116">
        <v>3361</v>
      </c>
      <c r="O2511" s="116">
        <v>3231</v>
      </c>
      <c r="P2511" s="116">
        <v>3360.95</v>
      </c>
      <c r="Q2511" s="116">
        <v>3239.65</v>
      </c>
      <c r="R2511">
        <v>2593537</v>
      </c>
    </row>
    <row r="2512" spans="1:18" x14ac:dyDescent="0.25">
      <c r="A2512" s="170">
        <v>45700</v>
      </c>
      <c r="B2512" s="116">
        <v>3300</v>
      </c>
      <c r="C2512" s="116">
        <v>3289.3</v>
      </c>
      <c r="D2512" s="116">
        <v>3220.05</v>
      </c>
      <c r="E2512" s="116">
        <v>3250.25</v>
      </c>
      <c r="F2512" s="116">
        <v>3289.3</v>
      </c>
      <c r="G2512">
        <v>83917</v>
      </c>
      <c r="H2512" s="116"/>
      <c r="I2512" s="116"/>
      <c r="L2512" s="170">
        <v>45700</v>
      </c>
      <c r="M2512" s="116">
        <v>3289.65</v>
      </c>
      <c r="N2512" s="116">
        <v>3300</v>
      </c>
      <c r="O2512" s="116">
        <v>3222.25</v>
      </c>
      <c r="P2512" s="116">
        <v>3259</v>
      </c>
      <c r="Q2512" s="116">
        <v>3289.65</v>
      </c>
      <c r="R2512">
        <v>1632415</v>
      </c>
    </row>
    <row r="2513" spans="1:18" x14ac:dyDescent="0.25">
      <c r="A2513" s="170">
        <v>45701</v>
      </c>
      <c r="B2513" s="116">
        <v>3318.95</v>
      </c>
      <c r="C2513" s="116">
        <v>3268.7</v>
      </c>
      <c r="D2513" s="116">
        <v>3252.55</v>
      </c>
      <c r="E2513" s="116">
        <v>3318.95</v>
      </c>
      <c r="F2513" s="116">
        <v>3268.7</v>
      </c>
      <c r="G2513">
        <v>64738</v>
      </c>
      <c r="H2513" s="116"/>
      <c r="I2513" s="116"/>
      <c r="L2513" s="170">
        <v>45701</v>
      </c>
      <c r="M2513" s="116">
        <v>3263.65</v>
      </c>
      <c r="N2513" s="116">
        <v>3314.9</v>
      </c>
      <c r="O2513" s="116">
        <v>3252.95</v>
      </c>
      <c r="P2513" s="116">
        <v>3289.65</v>
      </c>
      <c r="Q2513" s="116">
        <v>3263.65</v>
      </c>
      <c r="R2513">
        <v>2127644</v>
      </c>
    </row>
    <row r="2514" spans="1:18" x14ac:dyDescent="0.25">
      <c r="A2514" s="170">
        <v>45702</v>
      </c>
      <c r="B2514" s="116">
        <v>3284.65</v>
      </c>
      <c r="C2514" s="116">
        <v>3238.1</v>
      </c>
      <c r="D2514" s="116">
        <v>3223.4</v>
      </c>
      <c r="E2514" s="116">
        <v>3272.05</v>
      </c>
      <c r="F2514" s="116">
        <v>3238.1</v>
      </c>
      <c r="G2514">
        <v>25223</v>
      </c>
      <c r="H2514" s="116"/>
      <c r="I2514" s="116"/>
      <c r="L2514" s="170">
        <v>45702</v>
      </c>
      <c r="M2514" s="116">
        <v>3237.65</v>
      </c>
      <c r="N2514" s="116">
        <v>3285.8</v>
      </c>
      <c r="O2514" s="116">
        <v>3221.55</v>
      </c>
      <c r="P2514" s="116">
        <v>3275.05</v>
      </c>
      <c r="Q2514" s="116">
        <v>3237.65</v>
      </c>
      <c r="R2514">
        <v>1378340</v>
      </c>
    </row>
    <row r="2515" spans="1:18" x14ac:dyDescent="0.25">
      <c r="A2515" s="170">
        <v>45705</v>
      </c>
      <c r="B2515" s="116">
        <v>3238.1</v>
      </c>
      <c r="C2515" s="116">
        <v>3221.55</v>
      </c>
      <c r="D2515" s="116">
        <v>3193.25</v>
      </c>
      <c r="E2515" s="116">
        <v>3203.05</v>
      </c>
      <c r="F2515" s="116">
        <v>3221.55</v>
      </c>
      <c r="G2515">
        <v>64986</v>
      </c>
      <c r="H2515" s="116"/>
      <c r="I2515" s="116"/>
      <c r="L2515" s="170">
        <v>45705</v>
      </c>
      <c r="M2515" s="116">
        <v>3221.85</v>
      </c>
      <c r="N2515" s="116">
        <v>3239.4</v>
      </c>
      <c r="O2515" s="116">
        <v>3194.55</v>
      </c>
      <c r="P2515" s="116">
        <v>3213.55</v>
      </c>
      <c r="Q2515" s="116">
        <v>3221.85</v>
      </c>
      <c r="R2515">
        <v>1966689</v>
      </c>
    </row>
    <row r="2516" spans="1:18" x14ac:dyDescent="0.25">
      <c r="A2516" s="170">
        <v>45706</v>
      </c>
      <c r="B2516" s="116">
        <v>3237.25</v>
      </c>
      <c r="C2516" s="116">
        <v>3220.75</v>
      </c>
      <c r="D2516" s="116">
        <v>3183.25</v>
      </c>
      <c r="E2516" s="116">
        <v>3229.95</v>
      </c>
      <c r="F2516" s="116">
        <v>3220.75</v>
      </c>
      <c r="G2516">
        <v>69823</v>
      </c>
      <c r="H2516" s="116"/>
      <c r="I2516" s="116"/>
      <c r="L2516" s="170">
        <v>45706</v>
      </c>
      <c r="M2516" s="116">
        <v>3220.15</v>
      </c>
      <c r="N2516" s="116">
        <v>3241</v>
      </c>
      <c r="O2516" s="116">
        <v>3183</v>
      </c>
      <c r="P2516" s="116">
        <v>3227</v>
      </c>
      <c r="Q2516" s="116">
        <v>3220.15</v>
      </c>
      <c r="R2516">
        <v>2428215</v>
      </c>
    </row>
    <row r="2517" spans="1:18" x14ac:dyDescent="0.25">
      <c r="A2517" s="170">
        <v>45707</v>
      </c>
      <c r="B2517" s="116">
        <v>3302</v>
      </c>
      <c r="C2517" s="116">
        <v>3277.75</v>
      </c>
      <c r="D2517" s="116">
        <v>3211.3</v>
      </c>
      <c r="E2517" s="116">
        <v>3224.3</v>
      </c>
      <c r="F2517" s="116">
        <v>3277.75</v>
      </c>
      <c r="G2517">
        <v>87221</v>
      </c>
      <c r="H2517" s="116"/>
      <c r="I2517" s="116"/>
      <c r="L2517" s="170">
        <v>45707</v>
      </c>
      <c r="M2517" s="116">
        <v>3275.9</v>
      </c>
      <c r="N2517" s="116">
        <v>3302.85</v>
      </c>
      <c r="O2517" s="116">
        <v>3211.6</v>
      </c>
      <c r="P2517" s="116">
        <v>3220.15</v>
      </c>
      <c r="Q2517" s="116">
        <v>3275.9</v>
      </c>
      <c r="R2517">
        <v>1677978</v>
      </c>
    </row>
    <row r="2518" spans="1:18" x14ac:dyDescent="0.25">
      <c r="A2518" s="170">
        <v>45708</v>
      </c>
      <c r="B2518" s="116">
        <v>3286.7</v>
      </c>
      <c r="C2518" s="116">
        <v>3275.4</v>
      </c>
      <c r="D2518" s="116">
        <v>3247.6</v>
      </c>
      <c r="E2518" s="116">
        <v>3273.7</v>
      </c>
      <c r="F2518" s="116">
        <v>3275.4</v>
      </c>
      <c r="G2518">
        <v>51004</v>
      </c>
      <c r="H2518" s="116"/>
      <c r="I2518" s="116"/>
      <c r="L2518" s="170">
        <v>45708</v>
      </c>
      <c r="M2518" s="116">
        <v>3275.8</v>
      </c>
      <c r="N2518" s="116">
        <v>3285.45</v>
      </c>
      <c r="O2518" s="116">
        <v>3247.75</v>
      </c>
      <c r="P2518" s="116">
        <v>3260.05</v>
      </c>
      <c r="Q2518" s="116">
        <v>3275.8</v>
      </c>
      <c r="R2518">
        <v>1236693</v>
      </c>
    </row>
    <row r="2519" spans="1:18" x14ac:dyDescent="0.25">
      <c r="A2519" s="170">
        <v>45709</v>
      </c>
      <c r="B2519" s="116">
        <v>3325</v>
      </c>
      <c r="C2519" s="116">
        <v>3314.6</v>
      </c>
      <c r="D2519" s="116">
        <v>3275</v>
      </c>
      <c r="E2519" s="116">
        <v>3279.25</v>
      </c>
      <c r="F2519" s="116">
        <v>3314.6</v>
      </c>
      <c r="G2519">
        <v>52867</v>
      </c>
      <c r="H2519" s="116"/>
      <c r="I2519" s="116"/>
      <c r="L2519" s="170">
        <v>45709</v>
      </c>
      <c r="M2519" s="116">
        <v>3315.1</v>
      </c>
      <c r="N2519" s="116">
        <v>3324.9</v>
      </c>
      <c r="O2519" s="116">
        <v>3270.9</v>
      </c>
      <c r="P2519" s="116">
        <v>3275.8</v>
      </c>
      <c r="Q2519" s="116">
        <v>3315.1</v>
      </c>
      <c r="R2519">
        <v>1706850</v>
      </c>
    </row>
    <row r="2520" spans="1:18" x14ac:dyDescent="0.25">
      <c r="A2520" s="170">
        <v>45712</v>
      </c>
      <c r="B2520" s="116">
        <v>3326.1</v>
      </c>
      <c r="C2520" s="116">
        <v>3257</v>
      </c>
      <c r="D2520" s="116">
        <v>3250.05</v>
      </c>
      <c r="E2520" s="116">
        <v>3309.85</v>
      </c>
      <c r="F2520" s="116">
        <v>3257</v>
      </c>
      <c r="G2520">
        <v>88703</v>
      </c>
      <c r="H2520" s="116"/>
      <c r="I2520" s="116"/>
      <c r="L2520" s="170">
        <v>45712</v>
      </c>
      <c r="M2520" s="116">
        <v>3257.7</v>
      </c>
      <c r="N2520" s="116">
        <v>3325.5</v>
      </c>
      <c r="O2520" s="116">
        <v>3250</v>
      </c>
      <c r="P2520" s="116">
        <v>3289.7</v>
      </c>
      <c r="Q2520" s="116">
        <v>3257.7</v>
      </c>
      <c r="R2520">
        <v>1512844</v>
      </c>
    </row>
    <row r="2521" spans="1:18" x14ac:dyDescent="0.25">
      <c r="A2521" s="170">
        <v>45713</v>
      </c>
      <c r="B2521" s="116">
        <v>3247.2</v>
      </c>
      <c r="C2521" s="116">
        <v>3226.6</v>
      </c>
      <c r="D2521" s="116">
        <v>3207.45</v>
      </c>
      <c r="E2521" s="116">
        <v>3239.95</v>
      </c>
      <c r="F2521" s="116">
        <v>3226.6</v>
      </c>
      <c r="G2521">
        <v>154051</v>
      </c>
      <c r="H2521" s="116"/>
      <c r="I2521" s="116"/>
      <c r="L2521" s="170">
        <v>45713</v>
      </c>
      <c r="M2521" s="116">
        <v>3225.9</v>
      </c>
      <c r="N2521" s="116">
        <v>3248.95</v>
      </c>
      <c r="O2521" s="116">
        <v>3206.4</v>
      </c>
      <c r="P2521" s="116">
        <v>3233</v>
      </c>
      <c r="Q2521" s="116">
        <v>3225.9</v>
      </c>
      <c r="R2521">
        <v>2529084</v>
      </c>
    </row>
    <row r="2522" spans="1:18" x14ac:dyDescent="0.25">
      <c r="A2522" s="170">
        <v>45715</v>
      </c>
      <c r="B2522" s="116">
        <v>3258.4</v>
      </c>
      <c r="C2522" s="116">
        <v>3209.65</v>
      </c>
      <c r="D2522" s="116">
        <v>3185.05</v>
      </c>
      <c r="E2522" s="116">
        <v>3256.8</v>
      </c>
      <c r="F2522" s="116">
        <v>3209.65</v>
      </c>
      <c r="G2522">
        <v>86909</v>
      </c>
      <c r="H2522" s="116"/>
      <c r="I2522" s="116"/>
      <c r="L2522" s="170">
        <v>45715</v>
      </c>
      <c r="M2522" s="116">
        <v>3209.5</v>
      </c>
      <c r="N2522" s="116">
        <v>3258.5</v>
      </c>
      <c r="O2522" s="116">
        <v>3184</v>
      </c>
      <c r="P2522" s="116">
        <v>3238</v>
      </c>
      <c r="Q2522" s="116">
        <v>3209.5</v>
      </c>
      <c r="R2522">
        <v>2572065</v>
      </c>
    </row>
    <row r="2523" spans="1:18" x14ac:dyDescent="0.25">
      <c r="A2523" s="170">
        <v>45716</v>
      </c>
      <c r="B2523" s="116">
        <v>3200</v>
      </c>
      <c r="C2523" s="116">
        <v>3164.75</v>
      </c>
      <c r="D2523" s="116">
        <v>3141.3</v>
      </c>
      <c r="E2523" s="116">
        <v>3200</v>
      </c>
      <c r="F2523" s="116">
        <v>3164.75</v>
      </c>
      <c r="G2523">
        <v>93797</v>
      </c>
      <c r="H2523" s="116"/>
      <c r="I2523" s="116"/>
      <c r="L2523" s="170">
        <v>45716</v>
      </c>
      <c r="M2523" s="116">
        <v>3163.85</v>
      </c>
      <c r="N2523" s="116">
        <v>3199.8</v>
      </c>
      <c r="O2523" s="116">
        <v>3141</v>
      </c>
      <c r="P2523" s="116">
        <v>3199.8</v>
      </c>
      <c r="Q2523" s="116">
        <v>3163.85</v>
      </c>
      <c r="R2523">
        <v>2494680</v>
      </c>
    </row>
    <row r="2524" spans="1:18" x14ac:dyDescent="0.25">
      <c r="A2524" s="170">
        <v>45719</v>
      </c>
      <c r="B2524" s="116">
        <v>3226.9</v>
      </c>
      <c r="C2524" s="116">
        <v>3198.35</v>
      </c>
      <c r="D2524" s="116">
        <v>3161</v>
      </c>
      <c r="E2524" s="116">
        <v>3161.25</v>
      </c>
      <c r="F2524" s="116">
        <v>3198.35</v>
      </c>
      <c r="G2524">
        <v>122261</v>
      </c>
      <c r="H2524" s="116"/>
      <c r="I2524" s="116"/>
      <c r="L2524" s="170">
        <v>45719</v>
      </c>
      <c r="M2524" s="116">
        <v>3197.3</v>
      </c>
      <c r="N2524" s="116">
        <v>3227</v>
      </c>
      <c r="O2524" s="116">
        <v>3160</v>
      </c>
      <c r="P2524" s="116">
        <v>3165.95</v>
      </c>
      <c r="Q2524" s="116">
        <v>3197.3</v>
      </c>
      <c r="R2524">
        <v>1352460</v>
      </c>
    </row>
    <row r="2525" spans="1:18" x14ac:dyDescent="0.25">
      <c r="A2525" s="170">
        <v>45720</v>
      </c>
      <c r="B2525" s="116">
        <v>3220</v>
      </c>
      <c r="C2525" s="116">
        <v>3213.3</v>
      </c>
      <c r="D2525" s="116">
        <v>3168.05</v>
      </c>
      <c r="E2525" s="116">
        <v>3189.95</v>
      </c>
      <c r="F2525" s="116">
        <v>3213.3</v>
      </c>
      <c r="G2525">
        <v>56914</v>
      </c>
      <c r="H2525" s="116"/>
      <c r="I2525" s="116"/>
      <c r="L2525" s="170">
        <v>45720</v>
      </c>
      <c r="M2525" s="116">
        <v>3213</v>
      </c>
      <c r="N2525" s="116">
        <v>3221</v>
      </c>
      <c r="O2525" s="116">
        <v>3167.8</v>
      </c>
      <c r="P2525" s="116">
        <v>3171.05</v>
      </c>
      <c r="Q2525" s="116">
        <v>3213</v>
      </c>
      <c r="R2525">
        <v>1442098</v>
      </c>
    </row>
    <row r="2526" spans="1:18" x14ac:dyDescent="0.25">
      <c r="A2526" s="170">
        <v>45721</v>
      </c>
      <c r="B2526" s="116">
        <v>3245</v>
      </c>
      <c r="C2526" s="116">
        <v>3239.15</v>
      </c>
      <c r="D2526" s="116">
        <v>3190</v>
      </c>
      <c r="E2526" s="116">
        <v>3212.6</v>
      </c>
      <c r="F2526" s="116">
        <v>3239.15</v>
      </c>
      <c r="G2526">
        <v>100900</v>
      </c>
      <c r="H2526" s="116"/>
      <c r="I2526" s="116"/>
      <c r="L2526" s="170">
        <v>45721</v>
      </c>
      <c r="M2526" s="116">
        <v>3239.65</v>
      </c>
      <c r="N2526" s="116">
        <v>3245</v>
      </c>
      <c r="O2526" s="116">
        <v>3187.85</v>
      </c>
      <c r="P2526" s="116">
        <v>3213</v>
      </c>
      <c r="Q2526" s="116">
        <v>3239.65</v>
      </c>
      <c r="R2526">
        <v>1945855</v>
      </c>
    </row>
    <row r="2527" spans="1:18" x14ac:dyDescent="0.25">
      <c r="A2527" s="170">
        <v>45722</v>
      </c>
      <c r="B2527" s="116">
        <v>3266.8</v>
      </c>
      <c r="C2527" s="116">
        <v>3259.8</v>
      </c>
      <c r="D2527" s="116">
        <v>3215.1</v>
      </c>
      <c r="E2527" s="116">
        <v>3264.45</v>
      </c>
      <c r="F2527" s="116">
        <v>3259.8</v>
      </c>
      <c r="G2527">
        <v>26310</v>
      </c>
      <c r="H2527" s="116"/>
      <c r="I2527" s="116"/>
      <c r="L2527" s="170">
        <v>45722</v>
      </c>
      <c r="M2527" s="116">
        <v>3259.9</v>
      </c>
      <c r="N2527" s="116">
        <v>3266.45</v>
      </c>
      <c r="O2527" s="116">
        <v>3215</v>
      </c>
      <c r="P2527" s="116">
        <v>3250.1</v>
      </c>
      <c r="Q2527" s="116">
        <v>3259.9</v>
      </c>
      <c r="R2527">
        <v>1854837</v>
      </c>
    </row>
    <row r="2528" spans="1:18" x14ac:dyDescent="0.25">
      <c r="A2528" s="170">
        <v>45723</v>
      </c>
      <c r="B2528" s="116">
        <v>3289.5</v>
      </c>
      <c r="C2528" s="116">
        <v>3245.55</v>
      </c>
      <c r="D2528" s="116">
        <v>3241.5</v>
      </c>
      <c r="E2528" s="116">
        <v>3264.95</v>
      </c>
      <c r="F2528" s="116">
        <v>3245.55</v>
      </c>
      <c r="G2528">
        <v>27860</v>
      </c>
      <c r="H2528" s="116"/>
      <c r="I2528" s="116"/>
      <c r="L2528" s="170">
        <v>45723</v>
      </c>
      <c r="M2528" s="116">
        <v>3244.7</v>
      </c>
      <c r="N2528" s="116">
        <v>3289</v>
      </c>
      <c r="O2528" s="116">
        <v>3240.1</v>
      </c>
      <c r="P2528" s="116">
        <v>3259.9</v>
      </c>
      <c r="Q2528" s="116">
        <v>3244.7</v>
      </c>
      <c r="R2528">
        <v>930240</v>
      </c>
    </row>
    <row r="2529" spans="1:18" x14ac:dyDescent="0.25">
      <c r="A2529" s="170">
        <v>45726</v>
      </c>
      <c r="B2529" s="116">
        <v>3268.25</v>
      </c>
      <c r="C2529" s="116">
        <v>3177.45</v>
      </c>
      <c r="D2529" s="116">
        <v>3169.8</v>
      </c>
      <c r="E2529" s="116">
        <v>3268.25</v>
      </c>
      <c r="F2529" s="116">
        <v>3177.45</v>
      </c>
      <c r="G2529">
        <v>85437</v>
      </c>
      <c r="H2529" s="116"/>
      <c r="I2529" s="116"/>
      <c r="L2529" s="170">
        <v>45726</v>
      </c>
      <c r="M2529" s="116">
        <v>3177.7</v>
      </c>
      <c r="N2529" s="116">
        <v>3246.3</v>
      </c>
      <c r="O2529" s="116">
        <v>3169.05</v>
      </c>
      <c r="P2529" s="116">
        <v>3246</v>
      </c>
      <c r="Q2529" s="116">
        <v>3177.7</v>
      </c>
      <c r="R2529">
        <v>1777752</v>
      </c>
    </row>
    <row r="2530" spans="1:18" x14ac:dyDescent="0.25">
      <c r="A2530" s="170">
        <v>45727</v>
      </c>
      <c r="B2530" s="116">
        <v>3202.5</v>
      </c>
      <c r="C2530" s="116">
        <v>3194.25</v>
      </c>
      <c r="D2530" s="116">
        <v>3160</v>
      </c>
      <c r="E2530" s="116">
        <v>3161.2</v>
      </c>
      <c r="F2530" s="116">
        <v>3194.25</v>
      </c>
      <c r="G2530">
        <v>53754</v>
      </c>
      <c r="H2530" s="116"/>
      <c r="I2530" s="116"/>
      <c r="L2530" s="170">
        <v>45727</v>
      </c>
      <c r="M2530" s="116">
        <v>3195.45</v>
      </c>
      <c r="N2530" s="116">
        <v>3204.4</v>
      </c>
      <c r="O2530" s="116">
        <v>3161.1</v>
      </c>
      <c r="P2530" s="116">
        <v>3170.3</v>
      </c>
      <c r="Q2530" s="116">
        <v>3195.45</v>
      </c>
      <c r="R2530">
        <v>1274649</v>
      </c>
    </row>
    <row r="2531" spans="1:18" x14ac:dyDescent="0.25">
      <c r="A2531" s="170">
        <v>45728</v>
      </c>
      <c r="B2531" s="116">
        <v>3220</v>
      </c>
      <c r="C2531" s="116">
        <v>3193.9</v>
      </c>
      <c r="D2531" s="116">
        <v>3153.65</v>
      </c>
      <c r="E2531" s="116">
        <v>3219.1</v>
      </c>
      <c r="F2531" s="116">
        <v>3193.9</v>
      </c>
      <c r="G2531">
        <v>118133</v>
      </c>
      <c r="H2531" s="116"/>
      <c r="I2531" s="116"/>
      <c r="L2531" s="170">
        <v>45728</v>
      </c>
      <c r="M2531" s="116">
        <v>3193.65</v>
      </c>
      <c r="N2531" s="116">
        <v>3221.95</v>
      </c>
      <c r="O2531" s="116">
        <v>3153.05</v>
      </c>
      <c r="P2531" s="116">
        <v>3205</v>
      </c>
      <c r="Q2531" s="116">
        <v>3193.65</v>
      </c>
      <c r="R2531">
        <v>1360149</v>
      </c>
    </row>
    <row r="2532" spans="1:18" x14ac:dyDescent="0.25">
      <c r="A2532" s="170">
        <v>45729</v>
      </c>
      <c r="B2532" s="116">
        <v>3233.95</v>
      </c>
      <c r="C2532" s="116">
        <v>3188.4</v>
      </c>
      <c r="D2532" s="116">
        <v>3179.25</v>
      </c>
      <c r="E2532" s="116">
        <v>3213.7</v>
      </c>
      <c r="F2532" s="116">
        <v>3188.4</v>
      </c>
      <c r="G2532">
        <v>222818</v>
      </c>
      <c r="H2532" s="116"/>
      <c r="I2532" s="116"/>
      <c r="L2532" s="170">
        <v>45729</v>
      </c>
      <c r="M2532" s="116">
        <v>3187.3</v>
      </c>
      <c r="N2532" s="116">
        <v>3233.15</v>
      </c>
      <c r="O2532" s="116">
        <v>3178.05</v>
      </c>
      <c r="P2532" s="116">
        <v>3202.25</v>
      </c>
      <c r="Q2532" s="116">
        <v>3187.3</v>
      </c>
      <c r="R2532">
        <v>1414376</v>
      </c>
    </row>
    <row r="2533" spans="1:18" x14ac:dyDescent="0.25">
      <c r="A2533" s="170">
        <v>45733</v>
      </c>
      <c r="B2533" s="116">
        <v>3240</v>
      </c>
      <c r="C2533" s="116">
        <v>3182.9</v>
      </c>
      <c r="D2533" s="116">
        <v>3161</v>
      </c>
      <c r="E2533" s="116">
        <v>3189</v>
      </c>
      <c r="F2533" s="116">
        <v>3182.9</v>
      </c>
      <c r="G2533">
        <v>146094</v>
      </c>
      <c r="H2533" s="116"/>
      <c r="I2533" s="116"/>
      <c r="L2533" s="170">
        <v>45733</v>
      </c>
      <c r="M2533" s="116">
        <v>3173.45</v>
      </c>
      <c r="N2533" s="116">
        <v>3240.05</v>
      </c>
      <c r="O2533" s="116">
        <v>3159</v>
      </c>
      <c r="P2533" s="116">
        <v>3190</v>
      </c>
      <c r="Q2533" s="116">
        <v>3173.45</v>
      </c>
      <c r="R2533">
        <v>2805790</v>
      </c>
    </row>
    <row r="2534" spans="1:18" x14ac:dyDescent="0.25">
      <c r="A2534" s="170">
        <v>45734</v>
      </c>
      <c r="B2534" s="116">
        <v>3278.7</v>
      </c>
      <c r="C2534" s="116">
        <v>3271.05</v>
      </c>
      <c r="D2534" s="116">
        <v>3190.75</v>
      </c>
      <c r="E2534" s="116">
        <v>3190.75</v>
      </c>
      <c r="F2534" s="116">
        <v>3271.05</v>
      </c>
      <c r="G2534">
        <v>161054</v>
      </c>
      <c r="H2534" s="116"/>
      <c r="I2534" s="116"/>
      <c r="L2534" s="170">
        <v>45734</v>
      </c>
      <c r="M2534" s="116">
        <v>3270.7</v>
      </c>
      <c r="N2534" s="116">
        <v>3278.65</v>
      </c>
      <c r="O2534" s="116">
        <v>3189.3</v>
      </c>
      <c r="P2534" s="116">
        <v>3194</v>
      </c>
      <c r="Q2534" s="116">
        <v>3270.7</v>
      </c>
      <c r="R2534">
        <v>2029984</v>
      </c>
    </row>
    <row r="2535" spans="1:18" x14ac:dyDescent="0.25">
      <c r="A2535" s="170">
        <v>45735</v>
      </c>
      <c r="B2535" s="116">
        <v>3326</v>
      </c>
      <c r="C2535" s="116">
        <v>3318.8</v>
      </c>
      <c r="D2535" s="116">
        <v>3269.55</v>
      </c>
      <c r="E2535" s="116">
        <v>3278</v>
      </c>
      <c r="F2535" s="116">
        <v>3318.8</v>
      </c>
      <c r="G2535">
        <v>81314</v>
      </c>
      <c r="H2535" s="116"/>
      <c r="I2535" s="116"/>
      <c r="L2535" s="170">
        <v>45735</v>
      </c>
      <c r="M2535" s="116">
        <v>3319.55</v>
      </c>
      <c r="N2535" s="116">
        <v>3326.6</v>
      </c>
      <c r="O2535" s="116">
        <v>3268.5</v>
      </c>
      <c r="P2535" s="116">
        <v>3275</v>
      </c>
      <c r="Q2535" s="116">
        <v>3319.55</v>
      </c>
      <c r="R2535">
        <v>1616312</v>
      </c>
    </row>
    <row r="2536" spans="1:18" x14ac:dyDescent="0.25">
      <c r="A2536" s="170">
        <v>45736</v>
      </c>
      <c r="B2536" s="116">
        <v>3359</v>
      </c>
      <c r="C2536" s="116">
        <v>3349.2</v>
      </c>
      <c r="D2536" s="116">
        <v>3278</v>
      </c>
      <c r="E2536" s="116">
        <v>3347.95</v>
      </c>
      <c r="F2536" s="116">
        <v>3349.2</v>
      </c>
      <c r="G2536">
        <v>58959</v>
      </c>
      <c r="H2536" s="116"/>
      <c r="I2536" s="116"/>
      <c r="L2536" s="170">
        <v>45736</v>
      </c>
      <c r="M2536" s="116">
        <v>3351.05</v>
      </c>
      <c r="N2536" s="116">
        <v>3358.9</v>
      </c>
      <c r="O2536" s="116">
        <v>3276.9</v>
      </c>
      <c r="P2536" s="116">
        <v>3335.25</v>
      </c>
      <c r="Q2536" s="116">
        <v>3351.05</v>
      </c>
      <c r="R2536">
        <v>2434722</v>
      </c>
    </row>
    <row r="2537" spans="1:18" x14ac:dyDescent="0.25">
      <c r="A2537" s="170">
        <v>45737</v>
      </c>
      <c r="B2537" s="116">
        <v>3454.4</v>
      </c>
      <c r="C2537" s="116">
        <v>3417.35</v>
      </c>
      <c r="D2537" s="116">
        <v>3333.1</v>
      </c>
      <c r="E2537" s="116">
        <v>3350.3</v>
      </c>
      <c r="F2537" s="116">
        <v>3417.35</v>
      </c>
      <c r="G2537">
        <v>137726</v>
      </c>
      <c r="H2537" s="116"/>
      <c r="I2537" s="116"/>
      <c r="L2537" s="170">
        <v>45737</v>
      </c>
      <c r="M2537" s="116">
        <v>3415.95</v>
      </c>
      <c r="N2537" s="116">
        <v>3455</v>
      </c>
      <c r="O2537" s="116">
        <v>3332.75</v>
      </c>
      <c r="P2537" s="116">
        <v>3357</v>
      </c>
      <c r="Q2537" s="116">
        <v>3415.95</v>
      </c>
      <c r="R2537">
        <v>3042073</v>
      </c>
    </row>
    <row r="2538" spans="1:18" x14ac:dyDescent="0.25">
      <c r="A2538" s="170">
        <v>45740</v>
      </c>
      <c r="B2538" s="116">
        <v>3515.9</v>
      </c>
      <c r="C2538" s="116">
        <v>3481.1</v>
      </c>
      <c r="D2538" s="116">
        <v>3438.6</v>
      </c>
      <c r="E2538" s="116">
        <v>3464.35</v>
      </c>
      <c r="F2538" s="116">
        <v>3481.1</v>
      </c>
      <c r="G2538">
        <v>165299</v>
      </c>
      <c r="H2538" s="116"/>
      <c r="I2538" s="116"/>
      <c r="L2538" s="170">
        <v>45740</v>
      </c>
      <c r="M2538" s="116">
        <v>3481.85</v>
      </c>
      <c r="N2538" s="116">
        <v>3517</v>
      </c>
      <c r="O2538" s="116">
        <v>3446</v>
      </c>
      <c r="P2538" s="116">
        <v>3449</v>
      </c>
      <c r="Q2538" s="116">
        <v>3481.85</v>
      </c>
      <c r="R2538">
        <v>1955564</v>
      </c>
    </row>
    <row r="2539" spans="1:18" x14ac:dyDescent="0.25">
      <c r="A2539" s="170">
        <v>45741</v>
      </c>
      <c r="B2539" s="116">
        <v>3525.65</v>
      </c>
      <c r="C2539" s="116">
        <v>3469.7</v>
      </c>
      <c r="D2539" s="116">
        <v>3436.6</v>
      </c>
      <c r="E2539" s="116">
        <v>3507</v>
      </c>
      <c r="F2539" s="116">
        <v>3469.7</v>
      </c>
      <c r="G2539">
        <v>151959</v>
      </c>
      <c r="H2539" s="116"/>
      <c r="I2539" s="116"/>
      <c r="L2539" s="170">
        <v>45741</v>
      </c>
      <c r="M2539" s="116">
        <v>3469.6</v>
      </c>
      <c r="N2539" s="116">
        <v>3525</v>
      </c>
      <c r="O2539" s="116">
        <v>3435.35</v>
      </c>
      <c r="P2539" s="116">
        <v>3505</v>
      </c>
      <c r="Q2539" s="116">
        <v>3469.6</v>
      </c>
      <c r="R2539">
        <v>4235900</v>
      </c>
    </row>
    <row r="2540" spans="1:18" x14ac:dyDescent="0.25">
      <c r="A2540" s="170">
        <v>45742</v>
      </c>
      <c r="B2540" s="116">
        <v>3495.7</v>
      </c>
      <c r="C2540" s="116">
        <v>3442.6</v>
      </c>
      <c r="D2540" s="116">
        <v>3418.8</v>
      </c>
      <c r="E2540" s="116">
        <v>3469.7</v>
      </c>
      <c r="F2540" s="116">
        <v>3442.6</v>
      </c>
      <c r="G2540">
        <v>103136</v>
      </c>
      <c r="H2540" s="116"/>
      <c r="I2540" s="116"/>
      <c r="L2540" s="170">
        <v>45742</v>
      </c>
      <c r="M2540" s="116">
        <v>3444.8</v>
      </c>
      <c r="N2540" s="116">
        <v>3496.8</v>
      </c>
      <c r="O2540" s="116">
        <v>3418.5</v>
      </c>
      <c r="P2540" s="116">
        <v>3473</v>
      </c>
      <c r="Q2540" s="116">
        <v>3444.8</v>
      </c>
      <c r="R2540">
        <v>2315715</v>
      </c>
    </row>
    <row r="2541" spans="1:18" x14ac:dyDescent="0.25">
      <c r="A2541" s="170">
        <v>45743</v>
      </c>
      <c r="B2541" s="116">
        <v>3528</v>
      </c>
      <c r="C2541" s="116">
        <v>3503.3</v>
      </c>
      <c r="D2541" s="116">
        <v>3452.55</v>
      </c>
      <c r="E2541" s="116">
        <v>3455.05</v>
      </c>
      <c r="F2541" s="116">
        <v>3503.3</v>
      </c>
      <c r="G2541">
        <v>150171</v>
      </c>
      <c r="H2541" s="116"/>
      <c r="I2541" s="116"/>
      <c r="L2541" s="170">
        <v>45743</v>
      </c>
      <c r="M2541" s="116">
        <v>3501.6</v>
      </c>
      <c r="N2541" s="116">
        <v>3528</v>
      </c>
      <c r="O2541" s="116">
        <v>3451</v>
      </c>
      <c r="P2541" s="116">
        <v>3460</v>
      </c>
      <c r="Q2541" s="116">
        <v>3501.6</v>
      </c>
      <c r="R2541">
        <v>3467864</v>
      </c>
    </row>
    <row r="2542" spans="1:18" x14ac:dyDescent="0.25">
      <c r="A2542" s="170">
        <v>45744</v>
      </c>
      <c r="B2542" s="116">
        <v>3519</v>
      </c>
      <c r="C2542" s="116">
        <v>3491</v>
      </c>
      <c r="D2542" s="116">
        <v>3473.5</v>
      </c>
      <c r="E2542" s="116">
        <v>3519</v>
      </c>
      <c r="F2542" s="116">
        <v>3491</v>
      </c>
      <c r="G2542">
        <v>83079</v>
      </c>
      <c r="H2542" s="116"/>
      <c r="I2542" s="116"/>
      <c r="L2542" s="170">
        <v>45744</v>
      </c>
      <c r="M2542" s="116">
        <v>3492.3</v>
      </c>
      <c r="N2542" s="116">
        <v>3514</v>
      </c>
      <c r="O2542" s="116">
        <v>3472.55</v>
      </c>
      <c r="P2542" s="116">
        <v>3509.9</v>
      </c>
      <c r="Q2542" s="116">
        <v>3492.3</v>
      </c>
      <c r="R2542">
        <v>1348143</v>
      </c>
    </row>
    <row r="2543" spans="1:18" x14ac:dyDescent="0.25">
      <c r="A2543" s="170">
        <v>45748</v>
      </c>
      <c r="B2543" s="116">
        <v>3500.35</v>
      </c>
      <c r="C2543" s="116">
        <v>3435.85</v>
      </c>
      <c r="D2543" s="116">
        <v>3430.6</v>
      </c>
      <c r="E2543" s="116">
        <v>3485</v>
      </c>
      <c r="F2543" s="116">
        <v>3435.85</v>
      </c>
      <c r="G2543">
        <v>118774</v>
      </c>
      <c r="H2543" s="116"/>
      <c r="I2543" s="116"/>
      <c r="L2543" s="170">
        <v>45748</v>
      </c>
      <c r="M2543" s="116">
        <v>3436.8</v>
      </c>
      <c r="N2543" s="116">
        <v>3501.6</v>
      </c>
      <c r="O2543" s="116">
        <v>3430</v>
      </c>
      <c r="P2543" s="116">
        <v>3480</v>
      </c>
      <c r="Q2543" s="116">
        <v>3436.8</v>
      </c>
      <c r="R2543">
        <v>1935147</v>
      </c>
    </row>
    <row r="2544" spans="1:18" x14ac:dyDescent="0.25">
      <c r="A2544" s="170">
        <v>45749</v>
      </c>
      <c r="B2544" s="116">
        <v>3456.1</v>
      </c>
      <c r="C2544" s="116">
        <v>3421.65</v>
      </c>
      <c r="D2544" s="116">
        <v>3410</v>
      </c>
      <c r="E2544" s="116">
        <v>3434.8</v>
      </c>
      <c r="F2544" s="116">
        <v>3421.65</v>
      </c>
      <c r="G2544">
        <v>39723</v>
      </c>
      <c r="H2544" s="116"/>
      <c r="I2544" s="116"/>
      <c r="L2544" s="170">
        <v>45749</v>
      </c>
      <c r="M2544" s="116">
        <v>3419.9</v>
      </c>
      <c r="N2544" s="116">
        <v>3457.75</v>
      </c>
      <c r="O2544" s="116">
        <v>3408</v>
      </c>
      <c r="P2544" s="116">
        <v>3433</v>
      </c>
      <c r="Q2544" s="116">
        <v>3419.9</v>
      </c>
      <c r="R2544">
        <v>1338839</v>
      </c>
    </row>
    <row r="2545" spans="1:18" x14ac:dyDescent="0.25">
      <c r="A2545" s="170">
        <v>45750</v>
      </c>
      <c r="B2545" s="116">
        <v>3463.3</v>
      </c>
      <c r="C2545" s="116">
        <v>3418.7</v>
      </c>
      <c r="D2545" s="116">
        <v>3395</v>
      </c>
      <c r="E2545" s="116">
        <v>3397</v>
      </c>
      <c r="F2545" s="116">
        <v>3418.7</v>
      </c>
      <c r="G2545">
        <v>68896</v>
      </c>
      <c r="H2545" s="116"/>
      <c r="I2545" s="116"/>
      <c r="L2545" s="170">
        <v>45750</v>
      </c>
      <c r="M2545" s="116">
        <v>3420.15</v>
      </c>
      <c r="N2545" s="116">
        <v>3463</v>
      </c>
      <c r="O2545" s="116">
        <v>3393</v>
      </c>
      <c r="P2545" s="116">
        <v>3400</v>
      </c>
      <c r="Q2545" s="116">
        <v>3420.15</v>
      </c>
      <c r="R2545">
        <v>1200631</v>
      </c>
    </row>
    <row r="2546" spans="1:18" x14ac:dyDescent="0.25">
      <c r="A2546" s="170">
        <v>45751</v>
      </c>
      <c r="B2546" s="116">
        <v>3413.75</v>
      </c>
      <c r="C2546" s="116">
        <v>3259.2</v>
      </c>
      <c r="D2546" s="116">
        <v>3238</v>
      </c>
      <c r="E2546" s="116">
        <v>3413.75</v>
      </c>
      <c r="F2546" s="116">
        <v>3259.2</v>
      </c>
      <c r="G2546">
        <v>123658</v>
      </c>
      <c r="H2546" s="116"/>
      <c r="I2546" s="116"/>
      <c r="L2546" s="170">
        <v>45751</v>
      </c>
      <c r="M2546" s="116">
        <v>3260.15</v>
      </c>
      <c r="N2546" s="116">
        <v>3403.8</v>
      </c>
      <c r="O2546" s="116">
        <v>3237.3</v>
      </c>
      <c r="P2546" s="116">
        <v>3400</v>
      </c>
      <c r="Q2546" s="116">
        <v>3260.15</v>
      </c>
      <c r="R2546">
        <v>2366979</v>
      </c>
    </row>
    <row r="2547" spans="1:18" x14ac:dyDescent="0.25">
      <c r="A2547" s="170">
        <v>45754</v>
      </c>
      <c r="B2547" s="116">
        <v>3099.95</v>
      </c>
      <c r="C2547" s="116">
        <v>3070.85</v>
      </c>
      <c r="D2547" s="116">
        <v>2967.65</v>
      </c>
      <c r="E2547" s="116">
        <v>3099.95</v>
      </c>
      <c r="F2547" s="116">
        <v>3070.85</v>
      </c>
      <c r="G2547">
        <v>180364</v>
      </c>
      <c r="H2547" s="116"/>
      <c r="I2547" s="116"/>
      <c r="L2547" s="170">
        <v>45754</v>
      </c>
      <c r="M2547" s="116">
        <v>3068.5</v>
      </c>
      <c r="N2547" s="116">
        <v>3090.6</v>
      </c>
      <c r="O2547" s="116">
        <v>2965.3</v>
      </c>
      <c r="P2547" s="116">
        <v>3049.05</v>
      </c>
      <c r="Q2547" s="116">
        <v>3068.5</v>
      </c>
      <c r="R2547">
        <v>4953864</v>
      </c>
    </row>
    <row r="2548" spans="1:18" x14ac:dyDescent="0.25">
      <c r="A2548" s="170">
        <v>45755</v>
      </c>
      <c r="B2548" s="116">
        <v>3194.25</v>
      </c>
      <c r="C2548" s="116">
        <v>3161.2</v>
      </c>
      <c r="D2548" s="116">
        <v>3092.05</v>
      </c>
      <c r="E2548" s="116">
        <v>3120.05</v>
      </c>
      <c r="F2548" s="116">
        <v>3161.2</v>
      </c>
      <c r="G2548">
        <v>263621</v>
      </c>
      <c r="H2548" s="116"/>
      <c r="I2548" s="116"/>
      <c r="L2548" s="170">
        <v>45755</v>
      </c>
      <c r="M2548" s="116">
        <v>3161.1</v>
      </c>
      <c r="N2548" s="116">
        <v>3193.9</v>
      </c>
      <c r="O2548" s="116">
        <v>3092.7</v>
      </c>
      <c r="P2548" s="116">
        <v>3124.95</v>
      </c>
      <c r="Q2548" s="116">
        <v>3161.1</v>
      </c>
      <c r="R2548">
        <v>2877816</v>
      </c>
    </row>
    <row r="2549" spans="1:18" x14ac:dyDescent="0.25">
      <c r="A2549" s="170">
        <v>45756</v>
      </c>
      <c r="B2549" s="116">
        <v>3158</v>
      </c>
      <c r="C2549" s="116">
        <v>3059.1</v>
      </c>
      <c r="D2549" s="116">
        <v>3049.8</v>
      </c>
      <c r="E2549" s="116">
        <v>3155.15</v>
      </c>
      <c r="F2549" s="116">
        <v>3059.1</v>
      </c>
      <c r="G2549">
        <v>229371</v>
      </c>
      <c r="H2549" s="116"/>
      <c r="I2549" s="116"/>
      <c r="L2549" s="170">
        <v>45756</v>
      </c>
      <c r="M2549" s="116">
        <v>3054.15</v>
      </c>
      <c r="N2549" s="116">
        <v>3158.8</v>
      </c>
      <c r="O2549" s="116">
        <v>3048</v>
      </c>
      <c r="P2549" s="116">
        <v>3158.8</v>
      </c>
      <c r="Q2549" s="116">
        <v>3054.15</v>
      </c>
      <c r="R2549">
        <v>4451381</v>
      </c>
    </row>
    <row r="2550" spans="1:18" x14ac:dyDescent="0.25">
      <c r="A2550" s="170">
        <v>45758</v>
      </c>
      <c r="B2550" s="116">
        <v>3156</v>
      </c>
      <c r="C2550" s="116">
        <v>3117.05</v>
      </c>
      <c r="D2550" s="116">
        <v>3100.1</v>
      </c>
      <c r="E2550" s="116">
        <v>3149.95</v>
      </c>
      <c r="F2550" s="116">
        <v>3117.05</v>
      </c>
      <c r="G2550">
        <v>134582</v>
      </c>
      <c r="H2550" s="116"/>
      <c r="I2550" s="116"/>
      <c r="L2550" s="170">
        <v>45758</v>
      </c>
      <c r="M2550" s="116">
        <v>3115.95</v>
      </c>
      <c r="N2550" s="116">
        <v>3157</v>
      </c>
      <c r="O2550" s="116">
        <v>3100.15</v>
      </c>
      <c r="P2550" s="116">
        <v>3114</v>
      </c>
      <c r="Q2550" s="116">
        <v>3115.95</v>
      </c>
      <c r="R2550">
        <v>3979116</v>
      </c>
    </row>
    <row r="2551" spans="1:18" x14ac:dyDescent="0.25">
      <c r="A2551" s="170">
        <v>45762</v>
      </c>
      <c r="B2551" s="116">
        <v>3271.9</v>
      </c>
      <c r="C2551" s="116">
        <v>3257.4</v>
      </c>
      <c r="D2551" s="116">
        <v>3170.15</v>
      </c>
      <c r="E2551" s="116">
        <v>3170.15</v>
      </c>
      <c r="F2551" s="116">
        <v>3257.4</v>
      </c>
      <c r="G2551">
        <v>139144</v>
      </c>
      <c r="H2551" s="116"/>
      <c r="I2551" s="116"/>
      <c r="L2551" s="170">
        <v>45762</v>
      </c>
      <c r="M2551" s="116">
        <v>3257.6</v>
      </c>
      <c r="N2551" s="116">
        <v>3272</v>
      </c>
      <c r="O2551" s="116">
        <v>3176.1</v>
      </c>
      <c r="P2551" s="116">
        <v>3180</v>
      </c>
      <c r="Q2551" s="116">
        <v>3257.6</v>
      </c>
      <c r="R2551">
        <v>2161492</v>
      </c>
    </row>
    <row r="2552" spans="1:18" x14ac:dyDescent="0.25">
      <c r="A2552" s="170">
        <v>45763</v>
      </c>
      <c r="B2552" s="116">
        <v>3276</v>
      </c>
      <c r="C2552" s="116">
        <v>3228.15</v>
      </c>
      <c r="D2552" s="116">
        <v>3223.7</v>
      </c>
      <c r="E2552" s="116">
        <v>3260.2</v>
      </c>
      <c r="F2552" s="116">
        <v>3228.15</v>
      </c>
      <c r="G2552">
        <v>102951</v>
      </c>
      <c r="H2552" s="116"/>
      <c r="I2552" s="116"/>
      <c r="L2552" s="170">
        <v>45763</v>
      </c>
      <c r="M2552" s="116">
        <v>3227.7</v>
      </c>
      <c r="N2552" s="116">
        <v>3276.8</v>
      </c>
      <c r="O2552" s="116">
        <v>3224.1</v>
      </c>
      <c r="P2552" s="116">
        <v>3270</v>
      </c>
      <c r="Q2552" s="116">
        <v>3227.7</v>
      </c>
      <c r="R2552">
        <v>1578260</v>
      </c>
    </row>
    <row r="2553" spans="1:18" x14ac:dyDescent="0.25">
      <c r="A2553" s="170">
        <v>45764</v>
      </c>
      <c r="B2553" s="116">
        <v>3250</v>
      </c>
      <c r="C2553" s="116">
        <v>3246.5</v>
      </c>
      <c r="D2553" s="116">
        <v>3163.6</v>
      </c>
      <c r="E2553" s="116">
        <v>3228.15</v>
      </c>
      <c r="F2553" s="116">
        <v>3246.5</v>
      </c>
      <c r="G2553">
        <v>100208</v>
      </c>
      <c r="H2553" s="116"/>
      <c r="I2553" s="116"/>
      <c r="L2553" s="170">
        <v>45764</v>
      </c>
      <c r="M2553" s="116">
        <v>3247.3</v>
      </c>
      <c r="N2553" s="116">
        <v>3249.9</v>
      </c>
      <c r="O2553" s="116">
        <v>3162.4</v>
      </c>
      <c r="P2553" s="116">
        <v>3214.1</v>
      </c>
      <c r="Q2553" s="116">
        <v>3247.3</v>
      </c>
      <c r="R2553">
        <v>3209331</v>
      </c>
    </row>
    <row r="2554" spans="1:18" x14ac:dyDescent="0.25">
      <c r="A2554" s="170">
        <v>45768</v>
      </c>
      <c r="B2554" s="116">
        <v>3290</v>
      </c>
      <c r="C2554" s="116">
        <v>3279.2</v>
      </c>
      <c r="D2554" s="116">
        <v>3223.65</v>
      </c>
      <c r="E2554" s="116">
        <v>3245.05</v>
      </c>
      <c r="F2554" s="116">
        <v>3279.2</v>
      </c>
      <c r="G2554">
        <v>42889</v>
      </c>
      <c r="H2554" s="116"/>
      <c r="I2554" s="116"/>
      <c r="L2554" s="170">
        <v>45768</v>
      </c>
      <c r="M2554" s="116">
        <v>3280.5</v>
      </c>
      <c r="N2554" s="116">
        <v>3290</v>
      </c>
      <c r="O2554" s="116">
        <v>3225.1</v>
      </c>
      <c r="P2554" s="116">
        <v>3249.5</v>
      </c>
      <c r="Q2554" s="116">
        <v>3280.5</v>
      </c>
      <c r="R2554">
        <v>1643003</v>
      </c>
    </row>
    <row r="2555" spans="1:18" x14ac:dyDescent="0.25">
      <c r="A2555" s="170">
        <v>45769</v>
      </c>
      <c r="B2555" s="116">
        <v>3285</v>
      </c>
      <c r="C2555" s="116">
        <v>3259.75</v>
      </c>
      <c r="D2555" s="116">
        <v>3250</v>
      </c>
      <c r="E2555" s="116">
        <v>3279.15</v>
      </c>
      <c r="F2555" s="116">
        <v>3259.75</v>
      </c>
      <c r="G2555">
        <v>45224</v>
      </c>
      <c r="H2555" s="116"/>
      <c r="I2555" s="116"/>
      <c r="L2555" s="170">
        <v>45769</v>
      </c>
      <c r="M2555" s="116">
        <v>3257.8</v>
      </c>
      <c r="N2555" s="116">
        <v>3285</v>
      </c>
      <c r="O2555" s="116">
        <v>3248</v>
      </c>
      <c r="P2555" s="116">
        <v>3280</v>
      </c>
      <c r="Q2555" s="116">
        <v>3257.8</v>
      </c>
      <c r="R2555">
        <v>2060322</v>
      </c>
    </row>
    <row r="2556" spans="1:18" x14ac:dyDescent="0.25">
      <c r="A2556" s="170">
        <v>45770</v>
      </c>
      <c r="B2556" s="116">
        <v>3314.7</v>
      </c>
      <c r="C2556" s="116">
        <v>3299.5</v>
      </c>
      <c r="D2556" s="116">
        <v>3268.3</v>
      </c>
      <c r="E2556" s="116">
        <v>3269.6</v>
      </c>
      <c r="F2556" s="116">
        <v>3299.5</v>
      </c>
      <c r="G2556">
        <v>112420</v>
      </c>
      <c r="H2556" s="116"/>
      <c r="I2556" s="116"/>
      <c r="L2556" s="170">
        <v>45770</v>
      </c>
      <c r="M2556" s="116">
        <v>3301</v>
      </c>
      <c r="N2556" s="116">
        <v>3315</v>
      </c>
      <c r="O2556" s="116">
        <v>3266.7</v>
      </c>
      <c r="P2556" s="116">
        <v>3275.4</v>
      </c>
      <c r="Q2556" s="116">
        <v>3301</v>
      </c>
      <c r="R2556">
        <v>2381699</v>
      </c>
    </row>
    <row r="2557" spans="1:18" x14ac:dyDescent="0.25">
      <c r="A2557" s="170">
        <v>45771</v>
      </c>
      <c r="B2557" s="116">
        <v>3308</v>
      </c>
      <c r="C2557" s="116">
        <v>3300.55</v>
      </c>
      <c r="D2557" s="116">
        <v>3280.1</v>
      </c>
      <c r="E2557" s="116">
        <v>3300.2</v>
      </c>
      <c r="F2557" s="116">
        <v>3300.55</v>
      </c>
      <c r="G2557">
        <v>73889</v>
      </c>
      <c r="H2557" s="116"/>
      <c r="I2557" s="116"/>
      <c r="L2557" s="170">
        <v>45771</v>
      </c>
      <c r="M2557" s="116">
        <v>3300.6</v>
      </c>
      <c r="N2557" s="116">
        <v>3307</v>
      </c>
      <c r="O2557" s="116">
        <v>3280</v>
      </c>
      <c r="P2557" s="116">
        <v>3307</v>
      </c>
      <c r="Q2557" s="116">
        <v>3300.6</v>
      </c>
      <c r="R2557">
        <v>1993448</v>
      </c>
    </row>
    <row r="2558" spans="1:18" x14ac:dyDescent="0.25">
      <c r="A2558" s="170">
        <v>45772</v>
      </c>
      <c r="B2558" s="116">
        <v>3334.85</v>
      </c>
      <c r="C2558" s="116">
        <v>3272.15</v>
      </c>
      <c r="D2558" s="116">
        <v>3231.3</v>
      </c>
      <c r="E2558" s="116">
        <v>3314.65</v>
      </c>
      <c r="F2558" s="116">
        <v>3272.15</v>
      </c>
      <c r="G2558">
        <v>73013</v>
      </c>
      <c r="H2558" s="116"/>
      <c r="I2558" s="116"/>
      <c r="L2558" s="170">
        <v>45772</v>
      </c>
      <c r="M2558" s="116">
        <v>3272.1</v>
      </c>
      <c r="N2558" s="116">
        <v>3335.7</v>
      </c>
      <c r="O2558" s="116">
        <v>3230.1</v>
      </c>
      <c r="P2558" s="116">
        <v>3310</v>
      </c>
      <c r="Q2558" s="116">
        <v>3272.1</v>
      </c>
      <c r="R2558">
        <v>2004819</v>
      </c>
    </row>
    <row r="2559" spans="1:18" x14ac:dyDescent="0.25">
      <c r="A2559" s="170">
        <v>45775</v>
      </c>
      <c r="B2559" s="116">
        <v>3350</v>
      </c>
      <c r="C2559" s="116">
        <v>3327.8</v>
      </c>
      <c r="D2559" s="116">
        <v>3255</v>
      </c>
      <c r="E2559" s="116">
        <v>3260</v>
      </c>
      <c r="F2559" s="116">
        <v>3327.8</v>
      </c>
      <c r="G2559">
        <v>116799</v>
      </c>
      <c r="H2559" s="116"/>
      <c r="I2559" s="116"/>
      <c r="L2559" s="170">
        <v>45775</v>
      </c>
      <c r="M2559" s="116">
        <v>3327.3</v>
      </c>
      <c r="N2559" s="116">
        <v>3350.8</v>
      </c>
      <c r="O2559" s="116">
        <v>3254.8</v>
      </c>
      <c r="P2559" s="116">
        <v>3260</v>
      </c>
      <c r="Q2559" s="116">
        <v>3327.3</v>
      </c>
      <c r="R2559">
        <v>1689485</v>
      </c>
    </row>
    <row r="2560" spans="1:18" x14ac:dyDescent="0.25">
      <c r="A2560" s="170">
        <v>45776</v>
      </c>
      <c r="B2560" s="116">
        <v>3376.45</v>
      </c>
      <c r="C2560" s="116">
        <v>3324.45</v>
      </c>
      <c r="D2560" s="116">
        <v>3315.4</v>
      </c>
      <c r="E2560" s="116">
        <v>3330.45</v>
      </c>
      <c r="F2560" s="116">
        <v>3324.45</v>
      </c>
      <c r="G2560">
        <v>103360</v>
      </c>
      <c r="H2560" s="116"/>
      <c r="I2560" s="116"/>
      <c r="L2560" s="170">
        <v>45776</v>
      </c>
      <c r="M2560" s="116">
        <v>3322.3</v>
      </c>
      <c r="N2560" s="116">
        <v>3376.4</v>
      </c>
      <c r="O2560" s="116">
        <v>3315</v>
      </c>
      <c r="P2560" s="116">
        <v>3335</v>
      </c>
      <c r="Q2560" s="116">
        <v>3322.3</v>
      </c>
      <c r="R2560">
        <v>1843861</v>
      </c>
    </row>
    <row r="2561" spans="1:18" x14ac:dyDescent="0.25">
      <c r="A2561" s="170">
        <v>45777</v>
      </c>
      <c r="B2561" s="116">
        <v>3354.95</v>
      </c>
      <c r="C2561" s="116">
        <v>3340.55</v>
      </c>
      <c r="D2561" s="116">
        <v>3316</v>
      </c>
      <c r="E2561" s="116">
        <v>3322.3</v>
      </c>
      <c r="F2561" s="116">
        <v>3340.55</v>
      </c>
      <c r="G2561">
        <v>62825</v>
      </c>
      <c r="H2561" s="116"/>
      <c r="I2561" s="116"/>
      <c r="L2561" s="170">
        <v>45777</v>
      </c>
      <c r="M2561" s="116">
        <v>3341</v>
      </c>
      <c r="N2561" s="116">
        <v>3355</v>
      </c>
      <c r="O2561" s="116">
        <v>3303.3</v>
      </c>
      <c r="P2561" s="116">
        <v>3324</v>
      </c>
      <c r="Q2561" s="116">
        <v>3341</v>
      </c>
      <c r="R2561">
        <v>1930714</v>
      </c>
    </row>
    <row r="2562" spans="1:18" x14ac:dyDescent="0.25">
      <c r="A2562" s="170">
        <v>45779</v>
      </c>
      <c r="B2562" s="116">
        <v>3375</v>
      </c>
      <c r="C2562" s="116">
        <v>3329.35</v>
      </c>
      <c r="D2562" s="116">
        <v>3320.1</v>
      </c>
      <c r="E2562" s="116">
        <v>3320.35</v>
      </c>
      <c r="F2562" s="116">
        <v>3329.35</v>
      </c>
      <c r="G2562">
        <v>83091</v>
      </c>
      <c r="H2562" s="116"/>
      <c r="I2562" s="116"/>
      <c r="L2562" s="170">
        <v>45779</v>
      </c>
      <c r="M2562" s="116">
        <v>3329.8</v>
      </c>
      <c r="N2562" s="116">
        <v>3374.9</v>
      </c>
      <c r="O2562" s="116">
        <v>3321.5</v>
      </c>
      <c r="P2562" s="116">
        <v>3325</v>
      </c>
      <c r="Q2562" s="116">
        <v>3329.8</v>
      </c>
      <c r="R2562">
        <v>1665574</v>
      </c>
    </row>
    <row r="2563" spans="1:18" x14ac:dyDescent="0.25">
      <c r="A2563" s="170">
        <v>45782</v>
      </c>
      <c r="B2563" s="116">
        <v>3350</v>
      </c>
      <c r="C2563" s="116">
        <v>3328.35</v>
      </c>
      <c r="D2563" s="116">
        <v>3301</v>
      </c>
      <c r="E2563" s="116">
        <v>3350</v>
      </c>
      <c r="F2563" s="116">
        <v>3328.35</v>
      </c>
      <c r="G2563">
        <v>30937</v>
      </c>
      <c r="H2563" s="116"/>
      <c r="I2563" s="116"/>
      <c r="L2563" s="170">
        <v>45782</v>
      </c>
      <c r="M2563" s="116">
        <v>3330.2</v>
      </c>
      <c r="N2563" s="116">
        <v>3350</v>
      </c>
      <c r="O2563" s="116">
        <v>3300.7</v>
      </c>
      <c r="P2563" s="116">
        <v>3350</v>
      </c>
      <c r="Q2563" s="116">
        <v>3330.2</v>
      </c>
      <c r="R2563">
        <v>1947332</v>
      </c>
    </row>
    <row r="2564" spans="1:18" x14ac:dyDescent="0.25">
      <c r="A2564" s="170">
        <v>45783</v>
      </c>
      <c r="B2564" s="116">
        <v>3350</v>
      </c>
      <c r="C2564" s="116">
        <v>3334.45</v>
      </c>
      <c r="D2564" s="116">
        <v>3303</v>
      </c>
      <c r="E2564" s="116">
        <v>3345</v>
      </c>
      <c r="F2564" s="116">
        <v>3334.45</v>
      </c>
      <c r="G2564">
        <v>134207</v>
      </c>
      <c r="H2564" s="116"/>
      <c r="I2564" s="116"/>
      <c r="L2564" s="170">
        <v>45783</v>
      </c>
      <c r="M2564" s="116">
        <v>3334</v>
      </c>
      <c r="N2564" s="116">
        <v>3353</v>
      </c>
      <c r="O2564" s="116">
        <v>3302.8</v>
      </c>
      <c r="P2564" s="116">
        <v>3346</v>
      </c>
      <c r="Q2564" s="116">
        <v>3334</v>
      </c>
      <c r="R2564">
        <v>1695516</v>
      </c>
    </row>
    <row r="2565" spans="1:18" x14ac:dyDescent="0.25">
      <c r="A2565" s="170">
        <v>45784</v>
      </c>
      <c r="B2565" s="116">
        <v>3339.95</v>
      </c>
      <c r="C2565" s="116">
        <v>3322.1</v>
      </c>
      <c r="D2565" s="116">
        <v>3284.6</v>
      </c>
      <c r="E2565" s="116">
        <v>3312.05</v>
      </c>
      <c r="F2565" s="116">
        <v>3322.1</v>
      </c>
      <c r="G2565">
        <v>70071</v>
      </c>
      <c r="H2565" s="116"/>
      <c r="I2565" s="116"/>
      <c r="L2565" s="170">
        <v>45784</v>
      </c>
      <c r="M2565" s="116">
        <v>3321.4</v>
      </c>
      <c r="N2565" s="116">
        <v>3339.8</v>
      </c>
      <c r="O2565" s="116">
        <v>3284.1</v>
      </c>
      <c r="P2565" s="116">
        <v>3332</v>
      </c>
      <c r="Q2565" s="116">
        <v>3321.4</v>
      </c>
      <c r="R2565">
        <v>2422707</v>
      </c>
    </row>
    <row r="2566" spans="1:18" x14ac:dyDescent="0.25">
      <c r="A2566" s="170">
        <v>45785</v>
      </c>
      <c r="B2566" s="116">
        <v>3365.5</v>
      </c>
      <c r="C2566" s="116">
        <v>3320.6</v>
      </c>
      <c r="D2566" s="116">
        <v>3301.6</v>
      </c>
      <c r="E2566" s="116">
        <v>3321.4</v>
      </c>
      <c r="F2566" s="116">
        <v>3320.6</v>
      </c>
      <c r="G2566">
        <v>113150</v>
      </c>
      <c r="H2566" s="116"/>
      <c r="I2566" s="116"/>
      <c r="L2566" s="170">
        <v>45785</v>
      </c>
      <c r="M2566" s="116">
        <v>3323.9</v>
      </c>
      <c r="N2566" s="116">
        <v>3366</v>
      </c>
      <c r="O2566" s="116">
        <v>3299.8</v>
      </c>
      <c r="P2566" s="116">
        <v>3310.1</v>
      </c>
      <c r="Q2566" s="116">
        <v>3323.9</v>
      </c>
      <c r="R2566">
        <v>3204333</v>
      </c>
    </row>
    <row r="2567" spans="1:18" x14ac:dyDescent="0.25">
      <c r="A2567" s="170">
        <v>45786</v>
      </c>
      <c r="B2567" s="116">
        <v>3477.55</v>
      </c>
      <c r="C2567" s="116">
        <v>3445.7</v>
      </c>
      <c r="D2567" s="116">
        <v>3323.95</v>
      </c>
      <c r="E2567" s="116">
        <v>3324</v>
      </c>
      <c r="F2567" s="116">
        <v>3445.7</v>
      </c>
      <c r="G2567">
        <v>204763</v>
      </c>
      <c r="H2567" s="116"/>
      <c r="I2567" s="116"/>
      <c r="L2567" s="170">
        <v>45786</v>
      </c>
      <c r="M2567" s="116">
        <v>3443.9</v>
      </c>
      <c r="N2567" s="116">
        <v>3477</v>
      </c>
      <c r="O2567" s="116">
        <v>3331</v>
      </c>
      <c r="P2567" s="116">
        <v>3331</v>
      </c>
      <c r="Q2567" s="116">
        <v>3443.9</v>
      </c>
      <c r="R2567">
        <v>5637694</v>
      </c>
    </row>
    <row r="2568" spans="1:18" x14ac:dyDescent="0.25">
      <c r="A2568" s="170">
        <v>45789</v>
      </c>
      <c r="B2568" s="116">
        <v>3602.85</v>
      </c>
      <c r="C2568" s="116">
        <v>3586.6</v>
      </c>
      <c r="D2568" s="116">
        <v>3495</v>
      </c>
      <c r="E2568" s="116">
        <v>3503.4</v>
      </c>
      <c r="F2568" s="116">
        <v>3586.6</v>
      </c>
      <c r="G2568">
        <v>175366</v>
      </c>
      <c r="H2568" s="116"/>
      <c r="I2568" s="116"/>
      <c r="L2568" s="170">
        <v>45789</v>
      </c>
      <c r="M2568" s="116">
        <v>3587.2</v>
      </c>
      <c r="N2568" s="116">
        <v>3602.8</v>
      </c>
      <c r="O2568" s="116">
        <v>3490</v>
      </c>
      <c r="P2568" s="116">
        <v>3513</v>
      </c>
      <c r="Q2568" s="116">
        <v>3587.2</v>
      </c>
      <c r="R2568">
        <v>3147384</v>
      </c>
    </row>
    <row r="2569" spans="1:18" x14ac:dyDescent="0.25">
      <c r="A2569" s="170">
        <v>45790</v>
      </c>
      <c r="B2569" s="116">
        <v>3606</v>
      </c>
      <c r="C2569" s="116">
        <v>3567.75</v>
      </c>
      <c r="D2569" s="116">
        <v>3544.25</v>
      </c>
      <c r="E2569" s="116">
        <v>3587</v>
      </c>
      <c r="F2569" s="116">
        <v>3567.75</v>
      </c>
      <c r="G2569">
        <v>154294</v>
      </c>
      <c r="H2569" s="116"/>
      <c r="I2569" s="116"/>
      <c r="L2569" s="170">
        <v>45790</v>
      </c>
      <c r="M2569" s="116">
        <v>3567</v>
      </c>
      <c r="N2569" s="116">
        <v>3606</v>
      </c>
      <c r="O2569" s="116">
        <v>3545</v>
      </c>
      <c r="P2569" s="116">
        <v>3587.2</v>
      </c>
      <c r="Q2569" s="116">
        <v>3567</v>
      </c>
      <c r="R2569">
        <v>2374439</v>
      </c>
    </row>
    <row r="2570" spans="1:18" x14ac:dyDescent="0.25">
      <c r="A2570" s="170">
        <v>45791</v>
      </c>
      <c r="B2570" s="116">
        <v>3617</v>
      </c>
      <c r="C2570" s="116">
        <v>3574.3</v>
      </c>
      <c r="D2570" s="116">
        <v>3567.95</v>
      </c>
      <c r="E2570" s="116">
        <v>3585</v>
      </c>
      <c r="F2570" s="116">
        <v>3574.3</v>
      </c>
      <c r="G2570">
        <v>64576</v>
      </c>
      <c r="H2570" s="116"/>
      <c r="I2570" s="116"/>
      <c r="L2570" s="170">
        <v>45791</v>
      </c>
      <c r="M2570" s="116">
        <v>3573.1</v>
      </c>
      <c r="N2570" s="116">
        <v>3617</v>
      </c>
      <c r="O2570" s="116">
        <v>3567</v>
      </c>
      <c r="P2570" s="116">
        <v>3587</v>
      </c>
      <c r="Q2570" s="116">
        <v>3573.1</v>
      </c>
      <c r="R2570">
        <v>2440116</v>
      </c>
    </row>
    <row r="2571" spans="1:18" x14ac:dyDescent="0.25">
      <c r="A2571" s="170">
        <v>45792</v>
      </c>
      <c r="B2571" s="116">
        <v>3648</v>
      </c>
      <c r="C2571" s="116">
        <v>3618.05</v>
      </c>
      <c r="D2571" s="116">
        <v>3544</v>
      </c>
      <c r="E2571" s="116">
        <v>3575.5</v>
      </c>
      <c r="F2571" s="116">
        <v>3618.05</v>
      </c>
      <c r="G2571">
        <v>89814</v>
      </c>
      <c r="H2571" s="116"/>
      <c r="I2571" s="116"/>
      <c r="L2571" s="170">
        <v>45792</v>
      </c>
      <c r="M2571" s="116">
        <v>3618.2</v>
      </c>
      <c r="N2571" s="116">
        <v>3648.7</v>
      </c>
      <c r="O2571" s="116">
        <v>3543</v>
      </c>
      <c r="P2571" s="116">
        <v>3594</v>
      </c>
      <c r="Q2571" s="116">
        <v>3618.2</v>
      </c>
      <c r="R2571">
        <v>3720879</v>
      </c>
    </row>
    <row r="2572" spans="1:18" x14ac:dyDescent="0.25">
      <c r="A2572" s="170">
        <v>45793</v>
      </c>
      <c r="B2572" s="116">
        <v>3636.55</v>
      </c>
      <c r="C2572" s="116">
        <v>3605.7</v>
      </c>
      <c r="D2572" s="116">
        <v>3600</v>
      </c>
      <c r="E2572" s="116">
        <v>3626.35</v>
      </c>
      <c r="F2572" s="116">
        <v>3605.7</v>
      </c>
      <c r="G2572">
        <v>367421</v>
      </c>
      <c r="H2572" s="116"/>
      <c r="I2572" s="116"/>
      <c r="L2572" s="170">
        <v>45793</v>
      </c>
      <c r="M2572" s="116">
        <v>3604.7</v>
      </c>
      <c r="N2572" s="116">
        <v>3642</v>
      </c>
      <c r="O2572" s="116">
        <v>3600</v>
      </c>
      <c r="P2572" s="116">
        <v>3642</v>
      </c>
      <c r="Q2572" s="116">
        <v>3604.7</v>
      </c>
      <c r="R2572">
        <v>1278520</v>
      </c>
    </row>
    <row r="2573" spans="1:18" x14ac:dyDescent="0.25">
      <c r="A2573" s="170">
        <v>45796</v>
      </c>
      <c r="B2573" s="116">
        <v>3619</v>
      </c>
      <c r="C2573" s="116">
        <v>3600</v>
      </c>
      <c r="D2573" s="116">
        <v>3571.3</v>
      </c>
      <c r="E2573" s="116">
        <v>3604.7</v>
      </c>
      <c r="F2573" s="116">
        <v>3600</v>
      </c>
      <c r="G2573">
        <v>113699</v>
      </c>
      <c r="H2573" s="116"/>
      <c r="I2573" s="116"/>
      <c r="L2573" s="170">
        <v>45796</v>
      </c>
      <c r="M2573" s="116">
        <v>3600.2</v>
      </c>
      <c r="N2573" s="116">
        <v>3619.9</v>
      </c>
      <c r="O2573" s="116">
        <v>3587</v>
      </c>
      <c r="P2573" s="116">
        <v>3604.7</v>
      </c>
      <c r="Q2573" s="116">
        <v>3600.2</v>
      </c>
      <c r="R2573">
        <v>1519244</v>
      </c>
    </row>
    <row r="2574" spans="1:18" x14ac:dyDescent="0.25">
      <c r="A2574" s="170">
        <v>45797</v>
      </c>
      <c r="B2574" s="116">
        <v>3633</v>
      </c>
      <c r="C2574" s="116">
        <v>3566</v>
      </c>
      <c r="D2574" s="116">
        <v>3557.4</v>
      </c>
      <c r="E2574" s="116">
        <v>3595.3</v>
      </c>
      <c r="F2574" s="116">
        <v>3566</v>
      </c>
      <c r="G2574">
        <v>197433</v>
      </c>
      <c r="H2574" s="116"/>
      <c r="I2574" s="116"/>
      <c r="L2574" s="170">
        <v>45797</v>
      </c>
      <c r="M2574" s="116">
        <v>3567.8</v>
      </c>
      <c r="N2574" s="116">
        <v>3634</v>
      </c>
      <c r="O2574" s="116">
        <v>3556</v>
      </c>
      <c r="P2574" s="116">
        <v>3630</v>
      </c>
      <c r="Q2574" s="116">
        <v>3567.8</v>
      </c>
      <c r="R2574">
        <v>1532347</v>
      </c>
    </row>
    <row r="2575" spans="1:18" x14ac:dyDescent="0.25">
      <c r="A2575" s="170">
        <v>45798</v>
      </c>
      <c r="B2575" s="116">
        <v>3610.1</v>
      </c>
      <c r="C2575" s="116">
        <v>3589.6</v>
      </c>
      <c r="D2575" s="116">
        <v>3556.2</v>
      </c>
      <c r="E2575" s="116">
        <v>3570</v>
      </c>
      <c r="F2575" s="116">
        <v>3589.6</v>
      </c>
      <c r="G2575">
        <v>53322</v>
      </c>
      <c r="H2575" s="116"/>
      <c r="I2575" s="116"/>
      <c r="L2575" s="170">
        <v>45798</v>
      </c>
      <c r="M2575" s="116">
        <v>3589</v>
      </c>
      <c r="N2575" s="116">
        <v>3610.5</v>
      </c>
      <c r="O2575" s="116">
        <v>3555</v>
      </c>
      <c r="P2575" s="116">
        <v>3565.7</v>
      </c>
      <c r="Q2575" s="116">
        <v>3589</v>
      </c>
      <c r="R2575">
        <v>1563885</v>
      </c>
    </row>
    <row r="2576" spans="1:18" x14ac:dyDescent="0.25">
      <c r="A2576" s="170">
        <v>45799</v>
      </c>
      <c r="B2576" s="116">
        <v>3592.05</v>
      </c>
      <c r="C2576" s="116">
        <v>3550.7</v>
      </c>
      <c r="D2576" s="116">
        <v>3536.1</v>
      </c>
      <c r="E2576" s="116">
        <v>3592</v>
      </c>
      <c r="F2576" s="116">
        <v>3550.7</v>
      </c>
      <c r="G2576">
        <v>118428</v>
      </c>
      <c r="H2576" s="116"/>
      <c r="I2576" s="116"/>
      <c r="L2576" s="170">
        <v>45799</v>
      </c>
      <c r="M2576" s="116">
        <v>3551.4</v>
      </c>
      <c r="N2576" s="116">
        <v>3592</v>
      </c>
      <c r="O2576" s="116">
        <v>3536.9</v>
      </c>
      <c r="P2576" s="116">
        <v>3585</v>
      </c>
      <c r="Q2576" s="116">
        <v>3551.4</v>
      </c>
      <c r="R2576">
        <v>1597159</v>
      </c>
    </row>
    <row r="2577" spans="1:18" x14ac:dyDescent="0.25">
      <c r="A2577" s="170">
        <v>45800</v>
      </c>
      <c r="B2577" s="116">
        <v>3631</v>
      </c>
      <c r="C2577" s="116">
        <v>3599.95</v>
      </c>
      <c r="D2577" s="116">
        <v>3551</v>
      </c>
      <c r="E2577" s="116">
        <v>3555.3</v>
      </c>
      <c r="F2577" s="116">
        <v>3599.95</v>
      </c>
      <c r="G2577">
        <v>64112</v>
      </c>
      <c r="H2577" s="116"/>
      <c r="I2577" s="116"/>
      <c r="L2577" s="170">
        <v>45800</v>
      </c>
      <c r="M2577" s="116">
        <v>3599.9</v>
      </c>
      <c r="N2577" s="116">
        <v>3631.6</v>
      </c>
      <c r="O2577" s="116">
        <v>3551.2</v>
      </c>
      <c r="P2577" s="116">
        <v>3570</v>
      </c>
      <c r="Q2577" s="116">
        <v>3599.9</v>
      </c>
      <c r="R2577">
        <v>1119217</v>
      </c>
    </row>
    <row r="2578" spans="1:18" x14ac:dyDescent="0.25">
      <c r="A2578" s="170">
        <v>45803</v>
      </c>
      <c r="B2578" s="116">
        <v>3671.8</v>
      </c>
      <c r="C2578" s="116">
        <v>3648.4</v>
      </c>
      <c r="D2578" s="116">
        <v>3610</v>
      </c>
      <c r="E2578" s="116">
        <v>3610.25</v>
      </c>
      <c r="F2578" s="116">
        <v>3648.4</v>
      </c>
      <c r="G2578">
        <v>155759</v>
      </c>
      <c r="H2578" s="116"/>
      <c r="I2578" s="116"/>
      <c r="L2578" s="170">
        <v>45803</v>
      </c>
      <c r="M2578" s="116">
        <v>3648.7</v>
      </c>
      <c r="N2578" s="116">
        <v>3672.5</v>
      </c>
      <c r="O2578" s="116">
        <v>3608.4</v>
      </c>
      <c r="P2578" s="116">
        <v>3615.8</v>
      </c>
      <c r="Q2578" s="116">
        <v>3648.7</v>
      </c>
      <c r="R2578">
        <v>1678934</v>
      </c>
    </row>
    <row r="2579" spans="1:18" x14ac:dyDescent="0.25">
      <c r="A2579" s="170">
        <v>45804</v>
      </c>
      <c r="B2579" s="116">
        <v>3664.8</v>
      </c>
      <c r="C2579" s="116">
        <v>3641.45</v>
      </c>
      <c r="D2579" s="116">
        <v>3600.95</v>
      </c>
      <c r="E2579" s="116">
        <v>3659.8</v>
      </c>
      <c r="F2579" s="116">
        <v>3641.45</v>
      </c>
      <c r="G2579">
        <v>538395</v>
      </c>
      <c r="H2579" s="116"/>
      <c r="I2579" s="116"/>
      <c r="L2579" s="170">
        <v>45804</v>
      </c>
      <c r="M2579" s="116">
        <v>3640</v>
      </c>
      <c r="N2579" s="116">
        <v>3665</v>
      </c>
      <c r="O2579" s="116">
        <v>3603</v>
      </c>
      <c r="P2579" s="116">
        <v>3648.7</v>
      </c>
      <c r="Q2579" s="116">
        <v>3640</v>
      </c>
      <c r="R2579">
        <v>2013954</v>
      </c>
    </row>
    <row r="2580" spans="1:18" x14ac:dyDescent="0.25">
      <c r="A2580" s="170">
        <v>45805</v>
      </c>
      <c r="B2580" s="116">
        <v>3663</v>
      </c>
      <c r="C2580" s="116">
        <v>3645.75</v>
      </c>
      <c r="D2580" s="116">
        <v>3618.65</v>
      </c>
      <c r="E2580" s="116">
        <v>3656</v>
      </c>
      <c r="F2580" s="116">
        <v>3645.75</v>
      </c>
      <c r="G2580">
        <v>50348</v>
      </c>
      <c r="H2580" s="116"/>
      <c r="I2580" s="116"/>
      <c r="L2580" s="170">
        <v>45805</v>
      </c>
      <c r="M2580" s="116">
        <v>3646.3</v>
      </c>
      <c r="N2580" s="116">
        <v>3663</v>
      </c>
      <c r="O2580" s="116">
        <v>3620</v>
      </c>
      <c r="P2580" s="116">
        <v>3660</v>
      </c>
      <c r="Q2580" s="116">
        <v>3646.3</v>
      </c>
      <c r="R2580">
        <v>1293244</v>
      </c>
    </row>
    <row r="2581" spans="1:18" x14ac:dyDescent="0.25">
      <c r="A2581" s="170">
        <v>45806</v>
      </c>
      <c r="B2581" s="116">
        <v>3668</v>
      </c>
      <c r="C2581" s="116">
        <v>3655.1</v>
      </c>
      <c r="D2581" s="116">
        <v>3619</v>
      </c>
      <c r="E2581" s="116">
        <v>3660</v>
      </c>
      <c r="F2581" s="116">
        <v>3655.1</v>
      </c>
      <c r="G2581">
        <v>48552</v>
      </c>
      <c r="H2581" s="116"/>
      <c r="I2581" s="116"/>
      <c r="L2581" s="170">
        <v>45806</v>
      </c>
      <c r="M2581" s="116">
        <v>3655.3</v>
      </c>
      <c r="N2581" s="116">
        <v>3668.9</v>
      </c>
      <c r="O2581" s="116">
        <v>3618</v>
      </c>
      <c r="P2581" s="116">
        <v>3663.9</v>
      </c>
      <c r="Q2581" s="116">
        <v>3655.3</v>
      </c>
      <c r="R2581">
        <v>1972248</v>
      </c>
    </row>
    <row r="2582" spans="1:18" x14ac:dyDescent="0.25">
      <c r="A2582" s="170">
        <v>45807</v>
      </c>
      <c r="B2582" s="116">
        <v>3695.55</v>
      </c>
      <c r="C2582" s="116">
        <v>3675.75</v>
      </c>
      <c r="D2582" s="116">
        <v>3630.5</v>
      </c>
      <c r="E2582" s="116">
        <v>3630.5</v>
      </c>
      <c r="F2582" s="116">
        <v>3675.75</v>
      </c>
      <c r="G2582">
        <v>58880</v>
      </c>
      <c r="H2582" s="116"/>
      <c r="I2582" s="116"/>
      <c r="L2582" s="170">
        <v>45807</v>
      </c>
      <c r="M2582" s="116">
        <v>3675.1</v>
      </c>
      <c r="N2582" s="116">
        <v>3695.3</v>
      </c>
      <c r="O2582" s="116">
        <v>3654.5</v>
      </c>
      <c r="P2582" s="116">
        <v>3655.3</v>
      </c>
      <c r="Q2582" s="116">
        <v>3675.1</v>
      </c>
      <c r="R2582">
        <v>2571304</v>
      </c>
    </row>
    <row r="2583" spans="1:18" x14ac:dyDescent="0.25">
      <c r="A2583" s="170">
        <v>45810</v>
      </c>
      <c r="B2583" s="116">
        <v>3697</v>
      </c>
      <c r="C2583" s="116">
        <v>3683.1</v>
      </c>
      <c r="D2583" s="116">
        <v>3605.9</v>
      </c>
      <c r="E2583" s="116">
        <v>3675.75</v>
      </c>
      <c r="F2583" s="116">
        <v>3683.1</v>
      </c>
      <c r="G2583">
        <v>160671</v>
      </c>
      <c r="H2583" s="116"/>
      <c r="I2583" s="116"/>
      <c r="L2583" s="170">
        <v>45810</v>
      </c>
      <c r="M2583" s="116">
        <v>3679.6</v>
      </c>
      <c r="N2583" s="116">
        <v>3697.3</v>
      </c>
      <c r="O2583" s="116">
        <v>3605.6</v>
      </c>
      <c r="P2583" s="116">
        <v>3675.1</v>
      </c>
      <c r="Q2583" s="116">
        <v>3679.6</v>
      </c>
      <c r="R2583">
        <v>1954517</v>
      </c>
    </row>
    <row r="2584" spans="1:18" x14ac:dyDescent="0.25">
      <c r="A2584" s="170">
        <v>45811</v>
      </c>
      <c r="B2584" s="116">
        <v>3668.4</v>
      </c>
      <c r="C2584" s="116">
        <v>3645.2</v>
      </c>
      <c r="D2584" s="116">
        <v>3617</v>
      </c>
      <c r="E2584" s="116">
        <v>3650</v>
      </c>
      <c r="F2584" s="116">
        <v>3645.2</v>
      </c>
      <c r="G2584">
        <v>832539</v>
      </c>
      <c r="H2584" s="116"/>
      <c r="I2584" s="116"/>
      <c r="L2584" s="170">
        <v>45811</v>
      </c>
      <c r="M2584" s="116">
        <v>3644.8</v>
      </c>
      <c r="N2584" s="116">
        <v>3669.2</v>
      </c>
      <c r="O2584" s="116">
        <v>3615.3</v>
      </c>
      <c r="P2584" s="116">
        <v>3655</v>
      </c>
      <c r="Q2584" s="116">
        <v>3644.8</v>
      </c>
      <c r="R2584">
        <v>2472483</v>
      </c>
    </row>
    <row r="2585" spans="1:18" x14ac:dyDescent="0.25">
      <c r="A2585" s="170">
        <v>45812</v>
      </c>
      <c r="B2585" s="116">
        <v>3661.75</v>
      </c>
      <c r="C2585" s="116">
        <v>3624</v>
      </c>
      <c r="D2585" s="116">
        <v>3615.2</v>
      </c>
      <c r="E2585" s="116">
        <v>3645</v>
      </c>
      <c r="F2585" s="116">
        <v>3624</v>
      </c>
      <c r="G2585">
        <v>54394</v>
      </c>
      <c r="H2585" s="116"/>
      <c r="I2585" s="116"/>
      <c r="L2585" s="170">
        <v>45812</v>
      </c>
      <c r="M2585" s="116">
        <v>3626.5</v>
      </c>
      <c r="N2585" s="116">
        <v>3661.7</v>
      </c>
      <c r="O2585" s="116">
        <v>3615.3</v>
      </c>
      <c r="P2585" s="116">
        <v>3645</v>
      </c>
      <c r="Q2585" s="116">
        <v>3626.5</v>
      </c>
      <c r="R2585">
        <v>1086783</v>
      </c>
    </row>
    <row r="2586" spans="1:18" x14ac:dyDescent="0.25">
      <c r="A2586" s="170">
        <v>45813</v>
      </c>
      <c r="B2586" s="116">
        <v>3675.95</v>
      </c>
      <c r="C2586" s="116">
        <v>3641.75</v>
      </c>
      <c r="D2586" s="116">
        <v>3613.35</v>
      </c>
      <c r="E2586" s="116">
        <v>3625.15</v>
      </c>
      <c r="F2586" s="116">
        <v>3641.75</v>
      </c>
      <c r="G2586">
        <v>49301</v>
      </c>
      <c r="H2586" s="116"/>
      <c r="I2586" s="116"/>
      <c r="L2586" s="170">
        <v>45813</v>
      </c>
      <c r="M2586" s="116">
        <v>3642.6</v>
      </c>
      <c r="N2586" s="116">
        <v>3677.4</v>
      </c>
      <c r="O2586" s="116">
        <v>3612</v>
      </c>
      <c r="P2586" s="116">
        <v>3629.9</v>
      </c>
      <c r="Q2586" s="116">
        <v>3642.6</v>
      </c>
      <c r="R2586">
        <v>1466416</v>
      </c>
    </row>
    <row r="2587" spans="1:18" x14ac:dyDescent="0.25">
      <c r="A2587" s="170">
        <v>45814</v>
      </c>
      <c r="B2587" s="116">
        <v>3666.3</v>
      </c>
      <c r="C2587" s="116">
        <v>3654.1</v>
      </c>
      <c r="D2587" s="116">
        <v>3624.35</v>
      </c>
      <c r="E2587" s="116">
        <v>3655.9</v>
      </c>
      <c r="F2587" s="116">
        <v>3654.1</v>
      </c>
      <c r="G2587">
        <v>146597</v>
      </c>
      <c r="H2587" s="116"/>
      <c r="I2587" s="116"/>
      <c r="L2587" s="170">
        <v>45814</v>
      </c>
      <c r="M2587" s="116">
        <v>3656.3</v>
      </c>
      <c r="N2587" s="116">
        <v>3667</v>
      </c>
      <c r="O2587" s="116">
        <v>3623</v>
      </c>
      <c r="P2587" s="116">
        <v>3645</v>
      </c>
      <c r="Q2587" s="116">
        <v>3656.3</v>
      </c>
      <c r="R2587">
        <v>1172711</v>
      </c>
    </row>
    <row r="2588" spans="1:18" x14ac:dyDescent="0.25">
      <c r="A2588" s="170">
        <v>45817</v>
      </c>
      <c r="B2588" s="116">
        <v>3709</v>
      </c>
      <c r="C2588" s="116">
        <v>3679.65</v>
      </c>
      <c r="D2588" s="116">
        <v>3654.4</v>
      </c>
      <c r="E2588" s="116">
        <v>3654.4</v>
      </c>
      <c r="F2588" s="116">
        <v>3679.65</v>
      </c>
      <c r="G2588">
        <v>73603</v>
      </c>
      <c r="H2588" s="116"/>
      <c r="I2588" s="116"/>
      <c r="L2588" s="170">
        <v>45817</v>
      </c>
      <c r="M2588" s="116">
        <v>3678.9</v>
      </c>
      <c r="N2588" s="116">
        <v>3708.9</v>
      </c>
      <c r="O2588" s="116">
        <v>3662.2</v>
      </c>
      <c r="P2588" s="116">
        <v>3664</v>
      </c>
      <c r="Q2588" s="116">
        <v>3678.9</v>
      </c>
      <c r="R2588">
        <v>898170</v>
      </c>
    </row>
    <row r="2589" spans="1:18" x14ac:dyDescent="0.25">
      <c r="A2589" s="170">
        <v>45818</v>
      </c>
      <c r="B2589" s="116">
        <v>3701.1</v>
      </c>
      <c r="C2589" s="116">
        <v>3679.75</v>
      </c>
      <c r="D2589" s="116">
        <v>3668</v>
      </c>
      <c r="E2589" s="116">
        <v>3700</v>
      </c>
      <c r="F2589" s="116">
        <v>3679.75</v>
      </c>
      <c r="G2589">
        <v>273877</v>
      </c>
      <c r="H2589" s="116"/>
      <c r="I2589" s="116"/>
      <c r="L2589" s="170">
        <v>45818</v>
      </c>
      <c r="M2589" s="116">
        <v>3679.8</v>
      </c>
      <c r="N2589" s="116">
        <v>3704</v>
      </c>
      <c r="O2589" s="116">
        <v>3667.2</v>
      </c>
      <c r="P2589" s="116">
        <v>3704</v>
      </c>
      <c r="Q2589" s="116">
        <v>3679.8</v>
      </c>
      <c r="R2589">
        <v>1454535</v>
      </c>
    </row>
    <row r="2590" spans="1:18" x14ac:dyDescent="0.25">
      <c r="A2590" s="170">
        <v>45819</v>
      </c>
      <c r="B2590" s="116">
        <v>3691.35</v>
      </c>
      <c r="C2590" s="116">
        <v>3684.85</v>
      </c>
      <c r="D2590" s="116">
        <v>3657.05</v>
      </c>
      <c r="E2590" s="116">
        <v>3681.2</v>
      </c>
      <c r="F2590" s="116">
        <v>3684.85</v>
      </c>
      <c r="G2590">
        <v>52980</v>
      </c>
      <c r="H2590" s="116"/>
      <c r="I2590" s="116"/>
      <c r="L2590" s="170">
        <v>45819</v>
      </c>
      <c r="M2590" s="116">
        <v>3684.8</v>
      </c>
      <c r="N2590" s="116">
        <v>3692</v>
      </c>
      <c r="O2590" s="116">
        <v>3656.1</v>
      </c>
      <c r="P2590" s="116">
        <v>3689.9</v>
      </c>
      <c r="Q2590" s="116">
        <v>3684.8</v>
      </c>
      <c r="R2590">
        <v>1265737</v>
      </c>
    </row>
    <row r="2591" spans="1:18" x14ac:dyDescent="0.25">
      <c r="A2591" s="170">
        <v>45820</v>
      </c>
      <c r="B2591" s="116">
        <v>3707</v>
      </c>
      <c r="C2591" s="116">
        <v>3603.65</v>
      </c>
      <c r="D2591" s="116">
        <v>3584.25</v>
      </c>
      <c r="E2591" s="116">
        <v>3680.2</v>
      </c>
      <c r="F2591" s="116">
        <v>3603.65</v>
      </c>
      <c r="G2591">
        <v>63235</v>
      </c>
      <c r="H2591" s="116"/>
      <c r="I2591" s="116"/>
      <c r="L2591" s="170">
        <v>45820</v>
      </c>
      <c r="M2591" s="116">
        <v>3603.9</v>
      </c>
      <c r="N2591" s="116">
        <v>3708</v>
      </c>
      <c r="O2591" s="116">
        <v>3585</v>
      </c>
      <c r="P2591" s="116">
        <v>3684.8</v>
      </c>
      <c r="Q2591" s="116">
        <v>3603.9</v>
      </c>
      <c r="R2591">
        <v>2335718</v>
      </c>
    </row>
    <row r="2592" spans="1:18" x14ac:dyDescent="0.25">
      <c r="A2592" s="170">
        <v>45821</v>
      </c>
      <c r="B2592" s="116">
        <v>3596</v>
      </c>
      <c r="C2592" s="116">
        <v>3588.25</v>
      </c>
      <c r="D2592" s="116">
        <v>3486.6</v>
      </c>
      <c r="E2592" s="116">
        <v>3519.95</v>
      </c>
      <c r="F2592" s="116">
        <v>3588.25</v>
      </c>
      <c r="G2592">
        <v>154350</v>
      </c>
      <c r="H2592" s="116"/>
      <c r="I2592" s="116"/>
      <c r="L2592" s="170">
        <v>45821</v>
      </c>
      <c r="M2592" s="116">
        <v>3587.4</v>
      </c>
      <c r="N2592" s="116">
        <v>3596</v>
      </c>
      <c r="O2592" s="116">
        <v>3485.9</v>
      </c>
      <c r="P2592" s="116">
        <v>3501.2</v>
      </c>
      <c r="Q2592" s="116">
        <v>3587.4</v>
      </c>
      <c r="R2592">
        <v>1981445</v>
      </c>
    </row>
    <row r="2593" spans="1:18" x14ac:dyDescent="0.25">
      <c r="A2593" s="170">
        <v>45824</v>
      </c>
      <c r="B2593" s="116">
        <v>3652.9</v>
      </c>
      <c r="C2593" s="116">
        <v>3629.5</v>
      </c>
      <c r="D2593" s="116">
        <v>3563.55</v>
      </c>
      <c r="E2593" s="116">
        <v>3565.6</v>
      </c>
      <c r="F2593" s="116">
        <v>3629.5</v>
      </c>
      <c r="G2593">
        <v>215997</v>
      </c>
      <c r="H2593" s="116"/>
      <c r="I2593" s="116"/>
      <c r="L2593" s="170">
        <v>45824</v>
      </c>
      <c r="M2593" s="116">
        <v>3628.7</v>
      </c>
      <c r="N2593" s="116">
        <v>3653.7</v>
      </c>
      <c r="O2593" s="116">
        <v>3561.8</v>
      </c>
      <c r="P2593" s="116">
        <v>3575.5</v>
      </c>
      <c r="Q2593" s="116">
        <v>3628.7</v>
      </c>
      <c r="R2593">
        <v>1322630</v>
      </c>
    </row>
    <row r="2594" spans="1:18" x14ac:dyDescent="0.25">
      <c r="A2594" s="170">
        <v>45825</v>
      </c>
      <c r="B2594" s="116">
        <v>3626.95</v>
      </c>
      <c r="C2594" s="116">
        <v>3622.95</v>
      </c>
      <c r="D2594" s="116">
        <v>3601.85</v>
      </c>
      <c r="E2594" s="116">
        <v>3620</v>
      </c>
      <c r="F2594" s="116">
        <v>3622.95</v>
      </c>
      <c r="G2594">
        <v>51532</v>
      </c>
      <c r="H2594" s="116"/>
      <c r="I2594" s="116"/>
      <c r="L2594" s="170">
        <v>45825</v>
      </c>
      <c r="M2594" s="116">
        <v>3622.3</v>
      </c>
      <c r="N2594" s="116">
        <v>3627.6</v>
      </c>
      <c r="O2594" s="116">
        <v>3602</v>
      </c>
      <c r="P2594" s="116">
        <v>3622</v>
      </c>
      <c r="Q2594" s="116">
        <v>3622.3</v>
      </c>
      <c r="R2594">
        <v>930603</v>
      </c>
    </row>
    <row r="2595" spans="1:18" x14ac:dyDescent="0.25">
      <c r="A2595" s="170">
        <v>45826</v>
      </c>
      <c r="B2595" s="116">
        <v>3639</v>
      </c>
      <c r="C2595" s="116">
        <v>3599.7</v>
      </c>
      <c r="D2595" s="116">
        <v>3587.35</v>
      </c>
      <c r="E2595" s="116">
        <v>3605.2</v>
      </c>
      <c r="F2595" s="116">
        <v>3599.7</v>
      </c>
      <c r="G2595">
        <v>37330</v>
      </c>
      <c r="H2595" s="116"/>
      <c r="I2595" s="116"/>
      <c r="L2595" s="170">
        <v>45826</v>
      </c>
      <c r="M2595" s="116">
        <v>3601.5</v>
      </c>
      <c r="N2595" s="116">
        <v>3639.1</v>
      </c>
      <c r="O2595" s="116">
        <v>3587.2</v>
      </c>
      <c r="P2595" s="116">
        <v>3622</v>
      </c>
      <c r="Q2595" s="116">
        <v>3601.5</v>
      </c>
      <c r="R2595">
        <v>743311</v>
      </c>
    </row>
    <row r="2596" spans="1:18" x14ac:dyDescent="0.25">
      <c r="A2596" s="170">
        <v>45827</v>
      </c>
      <c r="B2596" s="116">
        <v>3642.2</v>
      </c>
      <c r="C2596" s="116">
        <v>3620.2</v>
      </c>
      <c r="D2596" s="116">
        <v>3591.05</v>
      </c>
      <c r="E2596" s="116">
        <v>3600</v>
      </c>
      <c r="F2596" s="116">
        <v>3620.2</v>
      </c>
      <c r="G2596">
        <v>24582</v>
      </c>
      <c r="H2596" s="116"/>
      <c r="I2596" s="116"/>
      <c r="L2596" s="170">
        <v>45827</v>
      </c>
      <c r="M2596" s="116">
        <v>3621.1</v>
      </c>
      <c r="N2596" s="116">
        <v>3643</v>
      </c>
      <c r="O2596" s="116">
        <v>3591.1</v>
      </c>
      <c r="P2596" s="116">
        <v>3607</v>
      </c>
      <c r="Q2596" s="116">
        <v>3621.1</v>
      </c>
      <c r="R2596">
        <v>1580819</v>
      </c>
    </row>
    <row r="2597" spans="1:18" x14ac:dyDescent="0.25">
      <c r="A2597" s="170">
        <v>45828</v>
      </c>
      <c r="B2597" s="116">
        <v>3668</v>
      </c>
      <c r="C2597" s="116">
        <v>3660.65</v>
      </c>
      <c r="D2597" s="116">
        <v>3600</v>
      </c>
      <c r="E2597" s="116">
        <v>3600.05</v>
      </c>
      <c r="F2597" s="116">
        <v>3660.65</v>
      </c>
      <c r="G2597">
        <v>103885</v>
      </c>
      <c r="H2597" s="116"/>
      <c r="I2597" s="116"/>
      <c r="L2597" s="170">
        <v>45828</v>
      </c>
      <c r="M2597" s="116">
        <v>3662</v>
      </c>
      <c r="N2597" s="116">
        <v>3669.9</v>
      </c>
      <c r="O2597" s="116">
        <v>3614</v>
      </c>
      <c r="P2597" s="116">
        <v>3614</v>
      </c>
      <c r="Q2597" s="116">
        <v>3662</v>
      </c>
      <c r="R2597">
        <v>2575277</v>
      </c>
    </row>
    <row r="2598" spans="1:18" x14ac:dyDescent="0.25">
      <c r="A2598" s="170">
        <v>45831</v>
      </c>
      <c r="B2598" s="116">
        <v>3660</v>
      </c>
      <c r="C2598" s="116">
        <v>3583.3</v>
      </c>
      <c r="D2598" s="116">
        <v>3575.5</v>
      </c>
      <c r="E2598" s="116">
        <v>3630.1</v>
      </c>
      <c r="F2598" s="116">
        <v>3583.3</v>
      </c>
      <c r="G2598">
        <v>30478</v>
      </c>
      <c r="H2598" s="116"/>
      <c r="I2598" s="116"/>
      <c r="L2598" s="170">
        <v>45831</v>
      </c>
      <c r="M2598" s="116">
        <v>3583.7</v>
      </c>
      <c r="N2598" s="116">
        <v>3660</v>
      </c>
      <c r="O2598" s="116">
        <v>3574.6</v>
      </c>
      <c r="P2598" s="116">
        <v>3645</v>
      </c>
      <c r="Q2598" s="116">
        <v>3583.7</v>
      </c>
      <c r="R2598">
        <v>1867977</v>
      </c>
    </row>
    <row r="2599" spans="1:18" x14ac:dyDescent="0.25">
      <c r="A2599" s="170">
        <v>45832</v>
      </c>
      <c r="B2599" s="116">
        <v>3683.4</v>
      </c>
      <c r="C2599" s="116">
        <v>3604.4</v>
      </c>
      <c r="D2599" s="116">
        <v>3595.65</v>
      </c>
      <c r="E2599" s="116">
        <v>3634.05</v>
      </c>
      <c r="F2599" s="116">
        <v>3604.4</v>
      </c>
      <c r="G2599">
        <v>550131</v>
      </c>
      <c r="H2599" s="116"/>
      <c r="I2599" s="116"/>
      <c r="L2599" s="170">
        <v>45832</v>
      </c>
      <c r="M2599" s="116">
        <v>3604.8</v>
      </c>
      <c r="N2599" s="116">
        <v>3684</v>
      </c>
      <c r="O2599" s="116">
        <v>3597</v>
      </c>
      <c r="P2599" s="116">
        <v>3637.1</v>
      </c>
      <c r="Q2599" s="116">
        <v>3604.8</v>
      </c>
      <c r="R2599">
        <v>2751637</v>
      </c>
    </row>
    <row r="2600" spans="1:18" x14ac:dyDescent="0.25">
      <c r="A2600" s="170">
        <v>45833</v>
      </c>
      <c r="B2600" s="116">
        <v>3640</v>
      </c>
      <c r="C2600" s="116">
        <v>3618.3</v>
      </c>
      <c r="D2600" s="116">
        <v>3609.6</v>
      </c>
      <c r="E2600" s="116">
        <v>3636.05</v>
      </c>
      <c r="F2600" s="116">
        <v>3618.3</v>
      </c>
      <c r="G2600">
        <v>32136</v>
      </c>
      <c r="H2600" s="116"/>
      <c r="I2600" s="116"/>
      <c r="L2600" s="170">
        <v>45833</v>
      </c>
      <c r="M2600" s="116">
        <v>3619.8</v>
      </c>
      <c r="N2600" s="116">
        <v>3642</v>
      </c>
      <c r="O2600" s="116">
        <v>3608.9</v>
      </c>
      <c r="P2600" s="116">
        <v>3640</v>
      </c>
      <c r="Q2600" s="116">
        <v>3619.8</v>
      </c>
      <c r="R2600">
        <v>1405262</v>
      </c>
    </row>
    <row r="2601" spans="1:18" x14ac:dyDescent="0.25">
      <c r="A2601" s="170">
        <v>45834</v>
      </c>
      <c r="B2601" s="116">
        <v>3668</v>
      </c>
      <c r="C2601" s="116">
        <v>3660.6</v>
      </c>
      <c r="D2601" s="116">
        <v>3621.6</v>
      </c>
      <c r="E2601" s="116">
        <v>3639.65</v>
      </c>
      <c r="F2601" s="116">
        <v>3660.6</v>
      </c>
      <c r="G2601">
        <v>27220</v>
      </c>
      <c r="H2601" s="116"/>
      <c r="I2601" s="116"/>
      <c r="L2601" s="170">
        <v>45834</v>
      </c>
      <c r="M2601" s="116">
        <v>3659.6</v>
      </c>
      <c r="N2601" s="116">
        <v>3669</v>
      </c>
      <c r="O2601" s="116">
        <v>3620.1</v>
      </c>
      <c r="P2601" s="116">
        <v>3620.1</v>
      </c>
      <c r="Q2601" s="116">
        <v>3659.6</v>
      </c>
      <c r="R2601">
        <v>2578926</v>
      </c>
    </row>
    <row r="2602" spans="1:18" x14ac:dyDescent="0.25">
      <c r="A2602" s="170">
        <v>45835</v>
      </c>
      <c r="B2602" s="116">
        <v>3730</v>
      </c>
      <c r="C2602" s="116">
        <v>3678.85</v>
      </c>
      <c r="D2602" s="116">
        <v>3660.65</v>
      </c>
      <c r="E2602" s="116">
        <v>3660.65</v>
      </c>
      <c r="F2602" s="116">
        <v>3678.85</v>
      </c>
      <c r="G2602">
        <v>69683</v>
      </c>
      <c r="H2602" s="116"/>
      <c r="I2602" s="116"/>
      <c r="L2602" s="170">
        <v>45835</v>
      </c>
      <c r="M2602" s="116">
        <v>3679.2</v>
      </c>
      <c r="N2602" s="116">
        <v>3731.4</v>
      </c>
      <c r="O2602" s="116">
        <v>3665</v>
      </c>
      <c r="P2602" s="116">
        <v>3665</v>
      </c>
      <c r="Q2602" s="116">
        <v>3679.2</v>
      </c>
      <c r="R2602">
        <v>2720600</v>
      </c>
    </row>
    <row r="2603" spans="1:18" x14ac:dyDescent="0.25">
      <c r="A2603" s="170">
        <v>45838</v>
      </c>
      <c r="B2603" s="116">
        <v>3716.95</v>
      </c>
      <c r="C2603" s="116">
        <v>3668.55</v>
      </c>
      <c r="D2603" s="116">
        <v>3653</v>
      </c>
      <c r="E2603" s="116">
        <v>3680</v>
      </c>
      <c r="F2603" s="116">
        <v>3668.55</v>
      </c>
      <c r="G2603">
        <v>46167</v>
      </c>
      <c r="H2603" s="116"/>
      <c r="I2603" s="116"/>
      <c r="L2603" s="170">
        <v>45838</v>
      </c>
      <c r="M2603" s="116">
        <v>3669.8</v>
      </c>
      <c r="N2603" s="116">
        <v>3717.5</v>
      </c>
      <c r="O2603" s="116">
        <v>3652.7</v>
      </c>
      <c r="P2603" s="116">
        <v>3682</v>
      </c>
      <c r="Q2603" s="116">
        <v>3669.8</v>
      </c>
      <c r="R2603">
        <v>1508882</v>
      </c>
    </row>
    <row r="2604" spans="1:18" x14ac:dyDescent="0.25">
      <c r="A2604" s="170">
        <v>45839</v>
      </c>
      <c r="B2604" s="116">
        <v>3679.85</v>
      </c>
      <c r="C2604" s="116">
        <v>3666.7</v>
      </c>
      <c r="D2604" s="116">
        <v>3645.75</v>
      </c>
      <c r="E2604" s="116">
        <v>3658.75</v>
      </c>
      <c r="F2604" s="116">
        <v>3666.7</v>
      </c>
      <c r="G2604">
        <v>195223</v>
      </c>
      <c r="H2604" s="116"/>
      <c r="I2604" s="116"/>
      <c r="L2604" s="170">
        <v>45839</v>
      </c>
      <c r="M2604" s="116">
        <v>3666.7</v>
      </c>
      <c r="N2604" s="116">
        <v>3678.9</v>
      </c>
      <c r="O2604" s="116">
        <v>3645</v>
      </c>
      <c r="P2604" s="116">
        <v>3669.8</v>
      </c>
      <c r="Q2604" s="116">
        <v>3666.7</v>
      </c>
      <c r="R2604">
        <v>1054380</v>
      </c>
    </row>
    <row r="2605" spans="1:18" x14ac:dyDescent="0.25">
      <c r="A2605" s="170">
        <v>45840</v>
      </c>
      <c r="B2605" s="116">
        <v>3675.25</v>
      </c>
      <c r="C2605" s="116">
        <v>3597.4</v>
      </c>
      <c r="D2605" s="116">
        <v>3585</v>
      </c>
      <c r="E2605" s="116">
        <v>3663.1</v>
      </c>
      <c r="F2605" s="116">
        <v>3597.4</v>
      </c>
      <c r="G2605">
        <v>49027</v>
      </c>
      <c r="H2605" s="116"/>
      <c r="I2605" s="116"/>
      <c r="L2605" s="170">
        <v>45840</v>
      </c>
      <c r="M2605" s="116">
        <v>3596.8</v>
      </c>
      <c r="N2605" s="116">
        <v>3674.2</v>
      </c>
      <c r="O2605" s="116">
        <v>3583.9</v>
      </c>
      <c r="P2605" s="116">
        <v>3666.6</v>
      </c>
      <c r="Q2605" s="116">
        <v>3596.8</v>
      </c>
      <c r="R2605">
        <v>1330176</v>
      </c>
    </row>
    <row r="2606" spans="1:18" x14ac:dyDescent="0.25">
      <c r="A2606" s="170">
        <v>45841</v>
      </c>
      <c r="B2606" s="116">
        <v>3624.9</v>
      </c>
      <c r="C2606" s="116">
        <v>3582.6</v>
      </c>
      <c r="D2606" s="116">
        <v>3576.1</v>
      </c>
      <c r="E2606" s="116">
        <v>3610.1</v>
      </c>
      <c r="F2606" s="116">
        <v>3582.6</v>
      </c>
      <c r="G2606">
        <v>32238</v>
      </c>
      <c r="H2606" s="116"/>
      <c r="I2606" s="116"/>
      <c r="L2606" s="170">
        <v>45841</v>
      </c>
      <c r="M2606" s="116">
        <v>3582.9</v>
      </c>
      <c r="N2606" s="116">
        <v>3625</v>
      </c>
      <c r="O2606" s="116">
        <v>3576</v>
      </c>
      <c r="P2606" s="116">
        <v>3605</v>
      </c>
      <c r="Q2606" s="116">
        <v>3582.9</v>
      </c>
      <c r="R2606">
        <v>1229034</v>
      </c>
    </row>
    <row r="2607" spans="1:18" x14ac:dyDescent="0.25">
      <c r="A2607" s="170">
        <v>45842</v>
      </c>
      <c r="B2607" s="116">
        <v>3598</v>
      </c>
      <c r="C2607" s="116">
        <v>3593.7</v>
      </c>
      <c r="D2607" s="116">
        <v>3571</v>
      </c>
      <c r="E2607" s="116">
        <v>3583.7</v>
      </c>
      <c r="F2607" s="116">
        <v>3593.7</v>
      </c>
      <c r="G2607">
        <v>116501</v>
      </c>
      <c r="H2607" s="116"/>
      <c r="I2607" s="116"/>
      <c r="L2607" s="170">
        <v>45842</v>
      </c>
      <c r="M2607" s="116">
        <v>3594.6</v>
      </c>
      <c r="N2607" s="116">
        <v>3600</v>
      </c>
      <c r="O2607" s="116">
        <v>3570.1</v>
      </c>
      <c r="P2607" s="116">
        <v>3590</v>
      </c>
      <c r="Q2607" s="116">
        <v>3594.6</v>
      </c>
      <c r="R2607">
        <v>696402</v>
      </c>
    </row>
    <row r="2608" spans="1:18" x14ac:dyDescent="0.25">
      <c r="A2608" s="170">
        <v>45845</v>
      </c>
      <c r="B2608" s="116">
        <v>3609</v>
      </c>
      <c r="C2608" s="116">
        <v>3581.2</v>
      </c>
      <c r="D2608" s="116">
        <v>3576</v>
      </c>
      <c r="E2608" s="116">
        <v>3593.9</v>
      </c>
      <c r="F2608" s="116">
        <v>3581.2</v>
      </c>
      <c r="G2608">
        <v>29125</v>
      </c>
      <c r="H2608" s="116"/>
      <c r="I2608" s="116"/>
      <c r="L2608" s="170">
        <v>45845</v>
      </c>
      <c r="M2608" s="116">
        <v>3581.4</v>
      </c>
      <c r="N2608" s="116">
        <v>3609.8</v>
      </c>
      <c r="O2608" s="116">
        <v>3575.1</v>
      </c>
      <c r="P2608" s="116">
        <v>3599.9</v>
      </c>
      <c r="Q2608" s="116">
        <v>3581.4</v>
      </c>
      <c r="R2608">
        <v>719539</v>
      </c>
    </row>
    <row r="2609" spans="1:18" x14ac:dyDescent="0.25">
      <c r="A2609" s="170">
        <v>45846</v>
      </c>
      <c r="B2609" s="116">
        <v>3615.25</v>
      </c>
      <c r="C2609" s="116">
        <v>3605.7</v>
      </c>
      <c r="D2609" s="116">
        <v>3560</v>
      </c>
      <c r="E2609" s="116">
        <v>3580</v>
      </c>
      <c r="F2609" s="116">
        <v>3605.7</v>
      </c>
      <c r="G2609">
        <v>240011</v>
      </c>
      <c r="H2609" s="116"/>
      <c r="I2609" s="116"/>
      <c r="L2609" s="170">
        <v>45846</v>
      </c>
      <c r="M2609" s="116">
        <v>3606.4</v>
      </c>
      <c r="N2609" s="116">
        <v>3614</v>
      </c>
      <c r="O2609" s="116">
        <v>3560</v>
      </c>
      <c r="P2609" s="116">
        <v>3580</v>
      </c>
      <c r="Q2609" s="116">
        <v>3606.4</v>
      </c>
      <c r="R2609">
        <v>1513912</v>
      </c>
    </row>
    <row r="2610" spans="1:18" x14ac:dyDescent="0.25">
      <c r="A2610" s="170">
        <v>45847</v>
      </c>
      <c r="B2610" s="116">
        <v>3613.9</v>
      </c>
      <c r="C2610" s="116">
        <v>3578.1</v>
      </c>
      <c r="D2610" s="116">
        <v>3569</v>
      </c>
      <c r="E2610" s="116">
        <v>3613.9</v>
      </c>
      <c r="F2610" s="116">
        <v>3578.1</v>
      </c>
      <c r="G2610">
        <v>83105</v>
      </c>
      <c r="H2610" s="116"/>
      <c r="I2610" s="116"/>
      <c r="L2610" s="170">
        <v>45847</v>
      </c>
      <c r="M2610" s="116">
        <v>3579.7</v>
      </c>
      <c r="N2610" s="116">
        <v>3605.1</v>
      </c>
      <c r="O2610" s="116">
        <v>3568.2</v>
      </c>
      <c r="P2610" s="116">
        <v>3605</v>
      </c>
      <c r="Q2610" s="116">
        <v>3579.7</v>
      </c>
      <c r="R2610">
        <v>1008876</v>
      </c>
    </row>
    <row r="2611" spans="1:18" x14ac:dyDescent="0.25">
      <c r="A2611" s="170">
        <v>45848</v>
      </c>
      <c r="B2611" s="116">
        <v>3589.55</v>
      </c>
      <c r="C2611" s="116">
        <v>3574.4</v>
      </c>
      <c r="D2611" s="116">
        <v>3570</v>
      </c>
      <c r="E2611" s="116">
        <v>3578.1</v>
      </c>
      <c r="F2611" s="116">
        <v>3574.4</v>
      </c>
      <c r="G2611">
        <v>27370</v>
      </c>
      <c r="H2611" s="116"/>
      <c r="I2611" s="116"/>
      <c r="L2611" s="170">
        <v>45848</v>
      </c>
      <c r="M2611" s="116">
        <v>3574.7</v>
      </c>
      <c r="N2611" s="116">
        <v>3589.9</v>
      </c>
      <c r="O2611" s="116">
        <v>3569</v>
      </c>
      <c r="P2611" s="116">
        <v>3575</v>
      </c>
      <c r="Q2611" s="116">
        <v>3574.7</v>
      </c>
      <c r="R2611">
        <v>1063910</v>
      </c>
    </row>
    <row r="2612" spans="1:18" x14ac:dyDescent="0.25">
      <c r="A2612" s="170">
        <v>45849</v>
      </c>
      <c r="B2612" s="116">
        <v>3587</v>
      </c>
      <c r="C2612" s="116">
        <v>3540.55</v>
      </c>
      <c r="D2612" s="116">
        <v>3536.05</v>
      </c>
      <c r="E2612" s="116">
        <v>3573</v>
      </c>
      <c r="F2612" s="116">
        <v>3540.55</v>
      </c>
      <c r="G2612">
        <v>18605</v>
      </c>
      <c r="H2612" s="116"/>
      <c r="I2612" s="116"/>
      <c r="L2612" s="170">
        <v>45849</v>
      </c>
      <c r="M2612" s="116">
        <v>3540.6</v>
      </c>
      <c r="N2612" s="116">
        <v>3586.6</v>
      </c>
      <c r="O2612" s="116">
        <v>3535.5</v>
      </c>
      <c r="P2612" s="116">
        <v>3575</v>
      </c>
      <c r="Q2612" s="116">
        <v>3540.6</v>
      </c>
      <c r="R2612">
        <v>1439747</v>
      </c>
    </row>
    <row r="2613" spans="1:18" x14ac:dyDescent="0.25">
      <c r="A2613" s="170">
        <v>45852</v>
      </c>
      <c r="B2613" s="116">
        <v>3540.9</v>
      </c>
      <c r="C2613" s="116">
        <v>3496.15</v>
      </c>
      <c r="D2613" s="116">
        <v>3487.35</v>
      </c>
      <c r="E2613" s="116">
        <v>3540.55</v>
      </c>
      <c r="F2613" s="116">
        <v>3496.15</v>
      </c>
      <c r="G2613">
        <v>20872</v>
      </c>
      <c r="H2613" s="116"/>
      <c r="I2613" s="116"/>
      <c r="L2613" s="170">
        <v>45852</v>
      </c>
      <c r="M2613" s="116">
        <v>3495.9</v>
      </c>
      <c r="N2613" s="116">
        <v>3548.7</v>
      </c>
      <c r="O2613" s="116">
        <v>3488</v>
      </c>
      <c r="P2613" s="116">
        <v>3540.6</v>
      </c>
      <c r="Q2613" s="116">
        <v>3495.9</v>
      </c>
      <c r="R2613">
        <v>1358844</v>
      </c>
    </row>
    <row r="2614" spans="1:18" x14ac:dyDescent="0.25">
      <c r="A2614" s="170">
        <v>45853</v>
      </c>
      <c r="B2614" s="116">
        <v>3522.7</v>
      </c>
      <c r="C2614" s="116">
        <v>3494.6</v>
      </c>
      <c r="D2614" s="116">
        <v>3482</v>
      </c>
      <c r="E2614" s="116">
        <v>3522.7</v>
      </c>
      <c r="F2614" s="116">
        <v>3494.6</v>
      </c>
      <c r="G2614">
        <v>55479</v>
      </c>
      <c r="H2614" s="116"/>
      <c r="I2614" s="116"/>
      <c r="L2614" s="170">
        <v>45853</v>
      </c>
      <c r="M2614" s="116">
        <v>3494</v>
      </c>
      <c r="N2614" s="116">
        <v>3521</v>
      </c>
      <c r="O2614" s="116">
        <v>3481.7</v>
      </c>
      <c r="P2614" s="116">
        <v>3519</v>
      </c>
      <c r="Q2614" s="116">
        <v>3494</v>
      </c>
      <c r="R2614">
        <v>1585193</v>
      </c>
    </row>
    <row r="2615" spans="1:18" x14ac:dyDescent="0.25">
      <c r="A2615" s="170">
        <v>45854</v>
      </c>
      <c r="B2615" s="116">
        <v>3514.25</v>
      </c>
      <c r="C2615" s="116">
        <v>3501.7</v>
      </c>
      <c r="D2615" s="116">
        <v>3476.45</v>
      </c>
      <c r="E2615" s="116">
        <v>3500.2</v>
      </c>
      <c r="F2615" s="116">
        <v>3501.7</v>
      </c>
      <c r="G2615">
        <v>124132</v>
      </c>
      <c r="H2615" s="116"/>
      <c r="I2615" s="116"/>
      <c r="L2615" s="170">
        <v>45854</v>
      </c>
      <c r="M2615" s="116">
        <v>3503.8</v>
      </c>
      <c r="N2615" s="116">
        <v>3516</v>
      </c>
      <c r="O2615" s="116">
        <v>3477</v>
      </c>
      <c r="P2615" s="116">
        <v>3504</v>
      </c>
      <c r="Q2615" s="116">
        <v>3503.8</v>
      </c>
      <c r="R2615">
        <v>1266964</v>
      </c>
    </row>
    <row r="2616" spans="1:18" x14ac:dyDescent="0.25">
      <c r="A2616" s="170">
        <v>45855</v>
      </c>
      <c r="B2616" s="116">
        <v>3520</v>
      </c>
      <c r="C2616" s="116">
        <v>3474.3</v>
      </c>
      <c r="D2616" s="116">
        <v>3467.25</v>
      </c>
      <c r="E2616" s="116">
        <v>3520</v>
      </c>
      <c r="F2616" s="116">
        <v>3474.3</v>
      </c>
      <c r="G2616">
        <v>113694</v>
      </c>
      <c r="H2616" s="116"/>
      <c r="I2616" s="116"/>
      <c r="L2616" s="170">
        <v>45855</v>
      </c>
      <c r="M2616" s="116">
        <v>3474</v>
      </c>
      <c r="N2616" s="116">
        <v>3515</v>
      </c>
      <c r="O2616" s="116">
        <v>3467.5</v>
      </c>
      <c r="P2616" s="116">
        <v>3515</v>
      </c>
      <c r="Q2616" s="116">
        <v>3474</v>
      </c>
      <c r="R2616">
        <v>2217275</v>
      </c>
    </row>
    <row r="2617" spans="1:18" x14ac:dyDescent="0.25">
      <c r="A2617" s="170">
        <v>45856</v>
      </c>
      <c r="B2617" s="116">
        <v>3498.95</v>
      </c>
      <c r="C2617" s="116">
        <v>3464.1</v>
      </c>
      <c r="D2617" s="116">
        <v>3450.5</v>
      </c>
      <c r="E2617" s="116">
        <v>3498.95</v>
      </c>
      <c r="F2617" s="116">
        <v>3464.1</v>
      </c>
      <c r="G2617">
        <v>70706</v>
      </c>
      <c r="H2617" s="116"/>
      <c r="I2617" s="116"/>
      <c r="L2617" s="170">
        <v>45856</v>
      </c>
      <c r="M2617" s="116">
        <v>3464.8</v>
      </c>
      <c r="N2617" s="116">
        <v>3499</v>
      </c>
      <c r="O2617" s="116">
        <v>3450</v>
      </c>
      <c r="P2617" s="116">
        <v>3489</v>
      </c>
      <c r="Q2617" s="116">
        <v>3464.8</v>
      </c>
      <c r="R2617">
        <v>1818696</v>
      </c>
    </row>
    <row r="2618" spans="1:18" x14ac:dyDescent="0.25">
      <c r="A2618" s="170">
        <v>45859</v>
      </c>
      <c r="B2618" s="116">
        <v>3507.15</v>
      </c>
      <c r="C2618" s="116">
        <v>3502.75</v>
      </c>
      <c r="D2618" s="116">
        <v>3444.4</v>
      </c>
      <c r="E2618" s="116">
        <v>3460.15</v>
      </c>
      <c r="F2618" s="116">
        <v>3502.75</v>
      </c>
      <c r="G2618">
        <v>115935</v>
      </c>
      <c r="H2618" s="116"/>
      <c r="I2618" s="116"/>
      <c r="L2618" s="170">
        <v>45859</v>
      </c>
      <c r="M2618" s="116">
        <v>3502.8</v>
      </c>
      <c r="N2618" s="116">
        <v>3508.1</v>
      </c>
      <c r="O2618" s="116">
        <v>3444.9</v>
      </c>
      <c r="P2618" s="116">
        <v>3467.6</v>
      </c>
      <c r="Q2618" s="116">
        <v>3502.8</v>
      </c>
      <c r="R2618">
        <v>1521623</v>
      </c>
    </row>
    <row r="2619" spans="1:18" x14ac:dyDescent="0.25">
      <c r="A2619" s="170">
        <v>45860</v>
      </c>
      <c r="B2619" s="116">
        <v>3519.45</v>
      </c>
      <c r="C2619" s="116">
        <v>3465.25</v>
      </c>
      <c r="D2619" s="116">
        <v>3455.85</v>
      </c>
      <c r="E2619" s="116">
        <v>3519.45</v>
      </c>
      <c r="F2619" s="116">
        <v>3465.25</v>
      </c>
      <c r="G2619">
        <v>68509</v>
      </c>
      <c r="H2619" s="116"/>
      <c r="I2619" s="116"/>
      <c r="L2619" s="170">
        <v>45860</v>
      </c>
      <c r="M2619" s="116">
        <v>3464.6</v>
      </c>
      <c r="N2619" s="116">
        <v>3507.6</v>
      </c>
      <c r="O2619" s="116">
        <v>3454.1</v>
      </c>
      <c r="P2619" s="116">
        <v>3502</v>
      </c>
      <c r="Q2619" s="116">
        <v>3464.6</v>
      </c>
      <c r="R2619">
        <v>2586522</v>
      </c>
    </row>
    <row r="2620" spans="1:18" x14ac:dyDescent="0.25">
      <c r="A2620" s="170">
        <v>45861</v>
      </c>
      <c r="B2620" s="116">
        <v>3491.45</v>
      </c>
      <c r="C2620" s="116">
        <v>3485.25</v>
      </c>
      <c r="D2620" s="116">
        <v>3458.65</v>
      </c>
      <c r="E2620" s="116">
        <v>3471.4</v>
      </c>
      <c r="F2620" s="116">
        <v>3485.25</v>
      </c>
      <c r="G2620">
        <v>24527</v>
      </c>
      <c r="H2620" s="116"/>
      <c r="I2620" s="116"/>
      <c r="L2620" s="170">
        <v>45861</v>
      </c>
      <c r="M2620" s="116">
        <v>3484.9</v>
      </c>
      <c r="N2620" s="116">
        <v>3490</v>
      </c>
      <c r="O2620" s="116">
        <v>3458.6</v>
      </c>
      <c r="P2620" s="116">
        <v>3476.2</v>
      </c>
      <c r="Q2620" s="116">
        <v>3484.9</v>
      </c>
      <c r="R2620">
        <v>1192261</v>
      </c>
    </row>
    <row r="2621" spans="1:18" x14ac:dyDescent="0.25">
      <c r="A2621" s="170">
        <v>45862</v>
      </c>
      <c r="B2621" s="116">
        <v>3492.65</v>
      </c>
      <c r="C2621" s="116">
        <v>3478.25</v>
      </c>
      <c r="D2621" s="116">
        <v>3460.55</v>
      </c>
      <c r="E2621" s="116">
        <v>3476.35</v>
      </c>
      <c r="F2621" s="116">
        <v>3478.25</v>
      </c>
      <c r="G2621">
        <v>40732</v>
      </c>
      <c r="H2621" s="116"/>
      <c r="I2621" s="116"/>
      <c r="L2621" s="170">
        <v>45862</v>
      </c>
      <c r="M2621" s="116">
        <v>3477.5</v>
      </c>
      <c r="N2621" s="116">
        <v>3493.4</v>
      </c>
      <c r="O2621" s="116">
        <v>3461</v>
      </c>
      <c r="P2621" s="116">
        <v>3484.9</v>
      </c>
      <c r="Q2621" s="116">
        <v>3477.5</v>
      </c>
      <c r="R2621">
        <v>1083671</v>
      </c>
    </row>
    <row r="2622" spans="1:18" x14ac:dyDescent="0.25">
      <c r="A2622" s="170">
        <v>45863</v>
      </c>
      <c r="B2622" s="116">
        <v>3476.95</v>
      </c>
      <c r="C2622" s="116">
        <v>3443.35</v>
      </c>
      <c r="D2622" s="116">
        <v>3438</v>
      </c>
      <c r="E2622" s="116">
        <v>3466.15</v>
      </c>
      <c r="F2622" s="116">
        <v>3443.35</v>
      </c>
      <c r="G2622">
        <v>46910</v>
      </c>
      <c r="H2622" s="116"/>
      <c r="I2622" s="116"/>
      <c r="L2622" s="170">
        <v>45863</v>
      </c>
      <c r="M2622" s="116">
        <v>3442.9</v>
      </c>
      <c r="N2622" s="116">
        <v>3477</v>
      </c>
      <c r="O2622" s="116">
        <v>3437.4</v>
      </c>
      <c r="P2622" s="116">
        <v>3470</v>
      </c>
      <c r="Q2622" s="116">
        <v>3442.9</v>
      </c>
      <c r="R2622">
        <v>1338744</v>
      </c>
    </row>
    <row r="2623" spans="1:18" x14ac:dyDescent="0.25">
      <c r="A2623" s="170">
        <v>45866</v>
      </c>
      <c r="B2623" s="116">
        <v>3445</v>
      </c>
      <c r="C2623" s="116">
        <v>3422.2</v>
      </c>
      <c r="D2623" s="116">
        <v>3405.3</v>
      </c>
      <c r="E2623" s="116">
        <v>3434.75</v>
      </c>
      <c r="F2623" s="116">
        <v>3422.2</v>
      </c>
      <c r="G2623">
        <v>84286</v>
      </c>
      <c r="H2623" s="116"/>
      <c r="I2623" s="116"/>
      <c r="L2623" s="170">
        <v>45866</v>
      </c>
      <c r="M2623" s="116">
        <v>3422.2</v>
      </c>
      <c r="N2623" s="116">
        <v>3446.1</v>
      </c>
      <c r="O2623" s="116">
        <v>3405.1</v>
      </c>
      <c r="P2623" s="116">
        <v>3430.1</v>
      </c>
      <c r="Q2623" s="116">
        <v>3422.2</v>
      </c>
      <c r="R2623">
        <v>2256080</v>
      </c>
    </row>
    <row r="2624" spans="1:18" x14ac:dyDescent="0.25">
      <c r="A2624" s="170">
        <v>45867</v>
      </c>
      <c r="B2624" s="116">
        <v>3504</v>
      </c>
      <c r="C2624" s="116">
        <v>3495.1</v>
      </c>
      <c r="D2624" s="116">
        <v>3405.5</v>
      </c>
      <c r="E2624" s="116">
        <v>3412.65</v>
      </c>
      <c r="F2624" s="116">
        <v>3495.1</v>
      </c>
      <c r="G2624">
        <v>832451</v>
      </c>
      <c r="H2624" s="116"/>
      <c r="I2624" s="116"/>
      <c r="L2624" s="170">
        <v>45867</v>
      </c>
      <c r="M2624" s="116">
        <v>3495.6</v>
      </c>
      <c r="N2624" s="116">
        <v>3504.3</v>
      </c>
      <c r="O2624" s="116">
        <v>3406.5</v>
      </c>
      <c r="P2624" s="116">
        <v>3418</v>
      </c>
      <c r="Q2624" s="116">
        <v>3495.6</v>
      </c>
      <c r="R2624">
        <v>1241060</v>
      </c>
    </row>
    <row r="2625" spans="1:18" x14ac:dyDescent="0.25">
      <c r="A2625" s="170">
        <v>45868</v>
      </c>
      <c r="B2625" s="116">
        <v>3685</v>
      </c>
      <c r="C2625" s="116">
        <v>3665.15</v>
      </c>
      <c r="D2625" s="116">
        <v>3593.6</v>
      </c>
      <c r="E2625" s="116">
        <v>3617.05</v>
      </c>
      <c r="F2625" s="116">
        <v>3665.15</v>
      </c>
      <c r="G2625">
        <v>251511</v>
      </c>
      <c r="H2625" s="116"/>
      <c r="I2625" s="116"/>
      <c r="L2625" s="170">
        <v>45868</v>
      </c>
      <c r="M2625" s="116">
        <v>3665.1</v>
      </c>
      <c r="N2625" s="116">
        <v>3685.3</v>
      </c>
      <c r="O2625" s="116">
        <v>3590</v>
      </c>
      <c r="P2625" s="116">
        <v>3622</v>
      </c>
      <c r="Q2625" s="116">
        <v>3665.1</v>
      </c>
      <c r="R2625">
        <v>8760659</v>
      </c>
    </row>
    <row r="2626" spans="1:18" x14ac:dyDescent="0.25">
      <c r="A2626" s="170">
        <v>45869</v>
      </c>
      <c r="B2626" s="116">
        <v>3662.9</v>
      </c>
      <c r="C2626" s="116">
        <v>3635.65</v>
      </c>
      <c r="D2626" s="116">
        <v>3610.1</v>
      </c>
      <c r="E2626" s="116">
        <v>3610.1</v>
      </c>
      <c r="F2626" s="116">
        <v>3635.65</v>
      </c>
      <c r="G2626">
        <v>74362</v>
      </c>
      <c r="H2626" s="116"/>
      <c r="I2626" s="116"/>
      <c r="L2626" s="170">
        <v>45869</v>
      </c>
      <c r="M2626" s="116">
        <v>3636.5</v>
      </c>
      <c r="N2626" s="116">
        <v>3662.9</v>
      </c>
      <c r="O2626" s="116">
        <v>3621</v>
      </c>
      <c r="P2626" s="116">
        <v>3625</v>
      </c>
      <c r="Q2626" s="116">
        <v>3636.5</v>
      </c>
      <c r="R2626">
        <v>1927627</v>
      </c>
    </row>
    <row r="2627" spans="1:18" x14ac:dyDescent="0.25">
      <c r="A2627" s="170">
        <v>45870</v>
      </c>
      <c r="B2627" s="116">
        <v>3636.1</v>
      </c>
      <c r="C2627" s="116">
        <v>3589.65</v>
      </c>
      <c r="D2627" s="116">
        <v>3578.8</v>
      </c>
      <c r="E2627" s="116">
        <v>3636</v>
      </c>
      <c r="F2627" s="116">
        <v>3589.65</v>
      </c>
      <c r="G2627">
        <v>37692</v>
      </c>
      <c r="H2627" s="116"/>
      <c r="I2627" s="116"/>
      <c r="L2627" s="170">
        <v>45870</v>
      </c>
      <c r="M2627" s="116">
        <v>3587.3</v>
      </c>
      <c r="N2627" s="116">
        <v>3636</v>
      </c>
      <c r="O2627" s="116">
        <v>3578.1</v>
      </c>
      <c r="P2627" s="116">
        <v>3636</v>
      </c>
      <c r="Q2627" s="116">
        <v>3587.3</v>
      </c>
      <c r="R2627">
        <v>1205945</v>
      </c>
    </row>
    <row r="2628" spans="1:18" x14ac:dyDescent="0.25">
      <c r="A2628" s="170">
        <v>45873</v>
      </c>
      <c r="B2628" s="116">
        <v>3636</v>
      </c>
      <c r="C2628" s="116">
        <v>3630.05</v>
      </c>
      <c r="D2628" s="116">
        <v>3580</v>
      </c>
      <c r="E2628" s="116">
        <v>3589.85</v>
      </c>
      <c r="F2628" s="116">
        <v>3630.05</v>
      </c>
      <c r="G2628">
        <v>41681</v>
      </c>
      <c r="H2628" s="116"/>
      <c r="I2628" s="116"/>
      <c r="L2628" s="170">
        <v>45873</v>
      </c>
      <c r="M2628" s="116">
        <v>3631.1</v>
      </c>
      <c r="N2628" s="116">
        <v>3636.8</v>
      </c>
      <c r="O2628" s="116">
        <v>3577</v>
      </c>
      <c r="P2628" s="116">
        <v>3595.2</v>
      </c>
      <c r="Q2628" s="116">
        <v>3631.1</v>
      </c>
      <c r="R2628">
        <v>1033049</v>
      </c>
    </row>
    <row r="2629" spans="1:18" x14ac:dyDescent="0.25">
      <c r="A2629" s="170">
        <v>45874</v>
      </c>
      <c r="B2629" s="116">
        <v>3657.7</v>
      </c>
      <c r="C2629" s="116">
        <v>3650.8</v>
      </c>
      <c r="D2629" s="116">
        <v>3608.9</v>
      </c>
      <c r="E2629" s="116">
        <v>3630.05</v>
      </c>
      <c r="F2629" s="116">
        <v>3650.8</v>
      </c>
      <c r="G2629">
        <v>43021</v>
      </c>
      <c r="H2629" s="116"/>
      <c r="I2629" s="116"/>
      <c r="L2629" s="170">
        <v>45874</v>
      </c>
      <c r="M2629" s="116">
        <v>3652.6</v>
      </c>
      <c r="N2629" s="116">
        <v>3657.7</v>
      </c>
      <c r="O2629" s="116">
        <v>3608.3</v>
      </c>
      <c r="P2629" s="116">
        <v>3630</v>
      </c>
      <c r="Q2629" s="116">
        <v>3652.6</v>
      </c>
      <c r="R2629">
        <v>1158433</v>
      </c>
    </row>
    <row r="2630" spans="1:18" x14ac:dyDescent="0.25">
      <c r="A2630" s="170">
        <v>45875</v>
      </c>
      <c r="B2630" s="116">
        <v>3670.2</v>
      </c>
      <c r="C2630" s="116">
        <v>3629.25</v>
      </c>
      <c r="D2630" s="116">
        <v>3622.65</v>
      </c>
      <c r="E2630" s="116">
        <v>3636.2</v>
      </c>
      <c r="F2630" s="116">
        <v>3629.25</v>
      </c>
      <c r="G2630">
        <v>73736</v>
      </c>
      <c r="H2630" s="116"/>
      <c r="I2630" s="116"/>
      <c r="L2630" s="170">
        <v>45875</v>
      </c>
      <c r="M2630" s="116">
        <v>3628.4</v>
      </c>
      <c r="N2630" s="116">
        <v>3671</v>
      </c>
      <c r="O2630" s="116">
        <v>3622.2</v>
      </c>
      <c r="P2630" s="116">
        <v>3650</v>
      </c>
      <c r="Q2630" s="116">
        <v>3628.4</v>
      </c>
      <c r="R2630">
        <v>931383</v>
      </c>
    </row>
    <row r="2631" spans="1:18" x14ac:dyDescent="0.25">
      <c r="A2631" s="170">
        <v>45876</v>
      </c>
      <c r="B2631" s="116">
        <v>3646.5</v>
      </c>
      <c r="C2631" s="116">
        <v>3640.25</v>
      </c>
      <c r="D2631" s="116">
        <v>3600</v>
      </c>
      <c r="E2631" s="116">
        <v>3619.9</v>
      </c>
      <c r="F2631" s="116">
        <v>3640.25</v>
      </c>
      <c r="G2631">
        <v>244858</v>
      </c>
      <c r="H2631" s="116"/>
      <c r="I2631" s="116"/>
      <c r="L2631" s="170">
        <v>45876</v>
      </c>
      <c r="M2631" s="116">
        <v>3641.6</v>
      </c>
      <c r="N2631" s="116">
        <v>3649</v>
      </c>
      <c r="O2631" s="116">
        <v>3599.2</v>
      </c>
      <c r="P2631" s="116">
        <v>3610.3</v>
      </c>
      <c r="Q2631" s="116">
        <v>3641.6</v>
      </c>
      <c r="R2631">
        <v>1211790</v>
      </c>
    </row>
    <row r="2632" spans="1:18" x14ac:dyDescent="0.25">
      <c r="A2632" s="170">
        <v>45877</v>
      </c>
      <c r="B2632" s="116">
        <v>3661</v>
      </c>
      <c r="C2632" s="116">
        <v>3606.75</v>
      </c>
      <c r="D2632" s="116">
        <v>3600.7</v>
      </c>
      <c r="E2632" s="116">
        <v>3641</v>
      </c>
      <c r="F2632" s="116">
        <v>3606.75</v>
      </c>
      <c r="G2632">
        <v>58120</v>
      </c>
      <c r="H2632" s="116"/>
      <c r="I2632" s="116"/>
      <c r="L2632" s="170">
        <v>45877</v>
      </c>
      <c r="M2632" s="116">
        <v>3607.6</v>
      </c>
      <c r="N2632" s="116">
        <v>3662.3</v>
      </c>
      <c r="O2632" s="116">
        <v>3600</v>
      </c>
      <c r="P2632" s="116">
        <v>3641.6</v>
      </c>
      <c r="Q2632" s="116">
        <v>3607.6</v>
      </c>
      <c r="R2632">
        <v>1337067</v>
      </c>
    </row>
    <row r="2633" spans="1:18" x14ac:dyDescent="0.25">
      <c r="A2633" s="170">
        <v>45880</v>
      </c>
      <c r="B2633" s="116">
        <v>3676</v>
      </c>
      <c r="C2633" s="116">
        <v>3667.9</v>
      </c>
      <c r="D2633" s="116">
        <v>3606.75</v>
      </c>
      <c r="E2633" s="116">
        <v>3608.1</v>
      </c>
      <c r="F2633" s="116">
        <v>3667.9</v>
      </c>
      <c r="G2633">
        <v>25888</v>
      </c>
      <c r="H2633" s="116"/>
      <c r="I2633" s="116"/>
      <c r="L2633" s="170">
        <v>45880</v>
      </c>
      <c r="M2633" s="116">
        <v>3668.4</v>
      </c>
      <c r="N2633" s="116">
        <v>3676.9</v>
      </c>
      <c r="O2633" s="116">
        <v>3600</v>
      </c>
      <c r="P2633" s="116">
        <v>3610</v>
      </c>
      <c r="Q2633" s="116">
        <v>3668.4</v>
      </c>
      <c r="R2633">
        <v>1822410</v>
      </c>
    </row>
    <row r="2634" spans="1:18" x14ac:dyDescent="0.25">
      <c r="A2634" s="170">
        <v>45881</v>
      </c>
      <c r="B2634" s="116">
        <v>3727</v>
      </c>
      <c r="C2634" s="116">
        <v>3686</v>
      </c>
      <c r="D2634" s="116">
        <v>3674.9</v>
      </c>
      <c r="E2634" s="116">
        <v>3680</v>
      </c>
      <c r="F2634" s="116">
        <v>3686</v>
      </c>
      <c r="G2634">
        <v>62951</v>
      </c>
      <c r="H2634" s="116"/>
      <c r="I2634" s="116"/>
      <c r="L2634" s="170">
        <v>45881</v>
      </c>
      <c r="M2634" s="116">
        <v>3686.1</v>
      </c>
      <c r="N2634" s="116">
        <v>3727.9</v>
      </c>
      <c r="O2634" s="116">
        <v>3673.1</v>
      </c>
      <c r="P2634" s="116">
        <v>3680</v>
      </c>
      <c r="Q2634" s="116">
        <v>3686.1</v>
      </c>
      <c r="R2634">
        <v>2280103</v>
      </c>
    </row>
    <row r="2635" spans="1:18" x14ac:dyDescent="0.25">
      <c r="A2635" s="170">
        <v>45882</v>
      </c>
      <c r="B2635" s="116">
        <v>3715.8</v>
      </c>
      <c r="C2635" s="116">
        <v>3692.75</v>
      </c>
      <c r="D2635" s="116">
        <v>3682.6</v>
      </c>
      <c r="E2635" s="116">
        <v>3691</v>
      </c>
      <c r="F2635" s="116">
        <v>3692.75</v>
      </c>
      <c r="G2635">
        <v>57573</v>
      </c>
      <c r="H2635" s="116"/>
      <c r="I2635" s="116"/>
      <c r="L2635" s="170">
        <v>45882</v>
      </c>
      <c r="M2635" s="116">
        <v>3693.7</v>
      </c>
      <c r="N2635" s="116">
        <v>3716</v>
      </c>
      <c r="O2635" s="116">
        <v>3681.3</v>
      </c>
      <c r="P2635" s="116">
        <v>3696</v>
      </c>
      <c r="Q2635" s="116">
        <v>3693.7</v>
      </c>
      <c r="R2635">
        <v>1227196</v>
      </c>
    </row>
    <row r="2636" spans="1:18" x14ac:dyDescent="0.25">
      <c r="A2636" s="170">
        <v>45883</v>
      </c>
      <c r="B2636" s="116">
        <v>3711.9</v>
      </c>
      <c r="C2636" s="116">
        <v>3677.25</v>
      </c>
      <c r="D2636" s="116">
        <v>3642.15</v>
      </c>
      <c r="E2636" s="116">
        <v>3711.9</v>
      </c>
      <c r="F2636" s="116">
        <v>3677.25</v>
      </c>
      <c r="G2636">
        <v>28054</v>
      </c>
      <c r="H2636" s="116"/>
      <c r="I2636" s="116"/>
      <c r="L2636" s="170">
        <v>45883</v>
      </c>
      <c r="M2636" s="116">
        <v>3677</v>
      </c>
      <c r="N2636" s="116">
        <v>3708.5</v>
      </c>
      <c r="O2636" s="116">
        <v>3641.7</v>
      </c>
      <c r="P2636" s="116">
        <v>3700</v>
      </c>
      <c r="Q2636" s="116">
        <v>3677</v>
      </c>
      <c r="R2636">
        <v>1769702</v>
      </c>
    </row>
    <row r="2637" spans="1:18" x14ac:dyDescent="0.25">
      <c r="A2637" s="170">
        <v>45887</v>
      </c>
      <c r="B2637" s="116">
        <v>3704.35</v>
      </c>
      <c r="C2637" s="116">
        <v>3633.75</v>
      </c>
      <c r="D2637" s="116">
        <v>3622.6</v>
      </c>
      <c r="E2637" s="116">
        <v>3685.2</v>
      </c>
      <c r="F2637" s="116">
        <v>3633.75</v>
      </c>
      <c r="G2637">
        <v>98243</v>
      </c>
      <c r="H2637" s="116"/>
      <c r="I2637" s="116"/>
      <c r="L2637" s="170">
        <v>45887</v>
      </c>
      <c r="M2637" s="116">
        <v>3635.1</v>
      </c>
      <c r="N2637" s="116">
        <v>3701.5</v>
      </c>
      <c r="O2637" s="116">
        <v>3621.7</v>
      </c>
      <c r="P2637" s="116">
        <v>3699</v>
      </c>
      <c r="Q2637" s="116">
        <v>3635.1</v>
      </c>
      <c r="R2637">
        <v>1950151</v>
      </c>
    </row>
    <row r="2638" spans="1:18" x14ac:dyDescent="0.25">
      <c r="A2638" s="170">
        <v>45888</v>
      </c>
      <c r="B2638" s="116">
        <v>3651.65</v>
      </c>
      <c r="C2638" s="116">
        <v>3611.7</v>
      </c>
      <c r="D2638" s="116">
        <v>3607.65</v>
      </c>
      <c r="E2638" s="116">
        <v>3640.3</v>
      </c>
      <c r="F2638" s="116">
        <v>3611.7</v>
      </c>
      <c r="G2638">
        <v>36210</v>
      </c>
      <c r="H2638" s="116"/>
      <c r="I2638" s="116"/>
      <c r="L2638" s="170">
        <v>45888</v>
      </c>
      <c r="M2638" s="116">
        <v>3613</v>
      </c>
      <c r="N2638" s="116">
        <v>3654</v>
      </c>
      <c r="O2638" s="116">
        <v>3608.2</v>
      </c>
      <c r="P2638" s="116">
        <v>3648.9</v>
      </c>
      <c r="Q2638" s="116">
        <v>3613</v>
      </c>
      <c r="R2638">
        <v>1352944</v>
      </c>
    </row>
    <row r="2639" spans="1:18" x14ac:dyDescent="0.25">
      <c r="A2639" s="170">
        <v>45889</v>
      </c>
      <c r="B2639" s="116">
        <v>3634.95</v>
      </c>
      <c r="C2639" s="116">
        <v>3589.35</v>
      </c>
      <c r="D2639" s="116">
        <v>3581.3</v>
      </c>
      <c r="E2639" s="116">
        <v>3634.95</v>
      </c>
      <c r="F2639" s="116">
        <v>3589.35</v>
      </c>
      <c r="G2639">
        <v>45540</v>
      </c>
      <c r="H2639" s="116"/>
      <c r="I2639" s="116"/>
      <c r="L2639" s="170">
        <v>45889</v>
      </c>
      <c r="M2639" s="116">
        <v>3592.3</v>
      </c>
      <c r="N2639" s="116">
        <v>3619.9</v>
      </c>
      <c r="O2639" s="116">
        <v>3580</v>
      </c>
      <c r="P2639" s="116">
        <v>3613.5</v>
      </c>
      <c r="Q2639" s="116">
        <v>3592.3</v>
      </c>
      <c r="R2639">
        <v>1325096</v>
      </c>
    </row>
    <row r="2640" spans="1:18" x14ac:dyDescent="0.25">
      <c r="A2640" s="170">
        <v>45890</v>
      </c>
      <c r="B2640" s="116">
        <v>3648.2</v>
      </c>
      <c r="C2640" s="116">
        <v>3616.75</v>
      </c>
      <c r="D2640" s="116">
        <v>3589.9</v>
      </c>
      <c r="E2640" s="116">
        <v>3593.35</v>
      </c>
      <c r="F2640" s="116">
        <v>3616.75</v>
      </c>
      <c r="G2640">
        <v>105279</v>
      </c>
      <c r="H2640" s="116"/>
      <c r="I2640" s="116"/>
      <c r="L2640" s="170">
        <v>45890</v>
      </c>
      <c r="M2640" s="116">
        <v>3612.6</v>
      </c>
      <c r="N2640" s="116">
        <v>3648</v>
      </c>
      <c r="O2640" s="116">
        <v>3588</v>
      </c>
      <c r="P2640" s="116">
        <v>3599</v>
      </c>
      <c r="Q2640" s="116">
        <v>3612.6</v>
      </c>
      <c r="R2640">
        <v>1624009</v>
      </c>
    </row>
    <row r="2641" spans="1:18" x14ac:dyDescent="0.25">
      <c r="A2641" s="170">
        <v>45891</v>
      </c>
      <c r="B2641" s="116">
        <v>3634</v>
      </c>
      <c r="C2641" s="116">
        <v>3595.45</v>
      </c>
      <c r="D2641" s="116">
        <v>3582</v>
      </c>
      <c r="E2641" s="116">
        <v>3614.95</v>
      </c>
      <c r="F2641" s="116">
        <v>3595.45</v>
      </c>
      <c r="G2641">
        <v>104988</v>
      </c>
      <c r="H2641" s="116"/>
      <c r="I2641" s="116"/>
      <c r="L2641" s="170">
        <v>45891</v>
      </c>
      <c r="M2641" s="116">
        <v>3595.8</v>
      </c>
      <c r="N2641" s="116">
        <v>3634.5</v>
      </c>
      <c r="O2641" s="116">
        <v>3582</v>
      </c>
      <c r="P2641" s="116">
        <v>3610</v>
      </c>
      <c r="Q2641" s="116">
        <v>3595.8</v>
      </c>
      <c r="R2641">
        <v>1060447</v>
      </c>
    </row>
    <row r="2642" spans="1:18" x14ac:dyDescent="0.25">
      <c r="A2642" s="170">
        <v>45894</v>
      </c>
      <c r="B2642" s="116">
        <v>3609.05</v>
      </c>
      <c r="C2642" s="116">
        <v>3603.1</v>
      </c>
      <c r="D2642" s="116">
        <v>3584.05</v>
      </c>
      <c r="E2642" s="116">
        <v>3605</v>
      </c>
      <c r="F2642" s="116">
        <v>3603.1</v>
      </c>
      <c r="G2642">
        <v>95395</v>
      </c>
      <c r="H2642" s="116"/>
      <c r="I2642" s="116"/>
      <c r="L2642" s="170">
        <v>45894</v>
      </c>
      <c r="M2642" s="116">
        <v>3603.1</v>
      </c>
      <c r="N2642" s="116">
        <v>3617.9</v>
      </c>
      <c r="O2642" s="116">
        <v>3584.3</v>
      </c>
      <c r="P2642" s="116">
        <v>3616</v>
      </c>
      <c r="Q2642" s="116">
        <v>3603.1</v>
      </c>
      <c r="R2642">
        <v>980393</v>
      </c>
    </row>
    <row r="2643" spans="1:18" x14ac:dyDescent="0.25">
      <c r="A2643" s="170">
        <v>45895</v>
      </c>
      <c r="B2643" s="116">
        <v>3592.2</v>
      </c>
      <c r="C2643" s="116">
        <v>3539.6</v>
      </c>
      <c r="D2643" s="116">
        <v>3529.45</v>
      </c>
      <c r="E2643" s="116">
        <v>3592.2</v>
      </c>
      <c r="F2643" s="116">
        <v>3539.6</v>
      </c>
      <c r="G2643">
        <v>492538</v>
      </c>
      <c r="H2643" s="116"/>
      <c r="I2643" s="116"/>
      <c r="L2643" s="170">
        <v>45895</v>
      </c>
      <c r="M2643" s="116">
        <v>3541.3</v>
      </c>
      <c r="N2643" s="116">
        <v>3600</v>
      </c>
      <c r="O2643" s="116">
        <v>3531</v>
      </c>
      <c r="P2643" s="116">
        <v>3599</v>
      </c>
      <c r="Q2643" s="116">
        <v>3541.3</v>
      </c>
      <c r="R2643">
        <v>1787363</v>
      </c>
    </row>
    <row r="2644" spans="1:18" x14ac:dyDescent="0.25">
      <c r="A2644" s="170">
        <v>45897</v>
      </c>
      <c r="B2644" s="116">
        <v>3576.8</v>
      </c>
      <c r="C2644" s="116">
        <v>3559.85</v>
      </c>
      <c r="D2644" s="116">
        <v>3526.65</v>
      </c>
      <c r="E2644" s="116">
        <v>3526.65</v>
      </c>
      <c r="F2644" s="116">
        <v>3559.85</v>
      </c>
      <c r="G2644">
        <v>27576</v>
      </c>
      <c r="H2644" s="116"/>
      <c r="I2644" s="116"/>
      <c r="L2644" s="170">
        <v>45897</v>
      </c>
      <c r="M2644" s="116">
        <v>3560.1</v>
      </c>
      <c r="N2644" s="116">
        <v>3576.9</v>
      </c>
      <c r="O2644" s="116">
        <v>3537.2</v>
      </c>
      <c r="P2644" s="116">
        <v>3540</v>
      </c>
      <c r="Q2644" s="116">
        <v>3560.1</v>
      </c>
      <c r="R2644">
        <v>1695226</v>
      </c>
    </row>
    <row r="2645" spans="1:18" x14ac:dyDescent="0.25">
      <c r="A2645" s="170">
        <v>45898</v>
      </c>
      <c r="B2645" s="116">
        <v>3614.45</v>
      </c>
      <c r="C2645" s="116">
        <v>3599.85</v>
      </c>
      <c r="D2645" s="116">
        <v>3540.6</v>
      </c>
      <c r="E2645" s="116">
        <v>3560.75</v>
      </c>
      <c r="F2645" s="116">
        <v>3599.85</v>
      </c>
      <c r="G2645">
        <v>41086</v>
      </c>
      <c r="H2645" s="116"/>
      <c r="I2645" s="116"/>
      <c r="L2645" s="170">
        <v>45898</v>
      </c>
      <c r="M2645" s="116">
        <v>3601</v>
      </c>
      <c r="N2645" s="116">
        <v>3615</v>
      </c>
      <c r="O2645" s="116">
        <v>3540.2</v>
      </c>
      <c r="P2645" s="116">
        <v>3575.6</v>
      </c>
      <c r="Q2645" s="116">
        <v>3601</v>
      </c>
      <c r="R2645">
        <v>1678055</v>
      </c>
    </row>
    <row r="2646" spans="1:18" x14ac:dyDescent="0.25">
      <c r="A2646" s="170">
        <v>45901</v>
      </c>
      <c r="B2646" s="116">
        <v>3625.9</v>
      </c>
      <c r="C2646" s="116">
        <v>3599.25</v>
      </c>
      <c r="D2646" s="116">
        <v>3581.15</v>
      </c>
      <c r="E2646" s="116">
        <v>3600</v>
      </c>
      <c r="F2646" s="116">
        <v>3599.25</v>
      </c>
      <c r="G2646">
        <v>46699</v>
      </c>
      <c r="H2646" s="116"/>
      <c r="I2646" s="116"/>
      <c r="L2646" s="170">
        <v>45901</v>
      </c>
      <c r="M2646" s="116">
        <v>3598.4</v>
      </c>
      <c r="N2646" s="116">
        <v>3628.6</v>
      </c>
      <c r="O2646" s="116">
        <v>3581.9</v>
      </c>
      <c r="P2646" s="116">
        <v>3601</v>
      </c>
      <c r="Q2646" s="116">
        <v>3598.4</v>
      </c>
      <c r="R2646">
        <v>1094155</v>
      </c>
    </row>
    <row r="2647" spans="1:18" x14ac:dyDescent="0.25">
      <c r="A2647" s="170">
        <v>45902</v>
      </c>
      <c r="B2647" s="116">
        <v>3619.9</v>
      </c>
      <c r="C2647" s="116">
        <v>3572.45</v>
      </c>
      <c r="D2647" s="116">
        <v>3561</v>
      </c>
      <c r="E2647" s="116">
        <v>3595</v>
      </c>
      <c r="F2647" s="116">
        <v>3572.45</v>
      </c>
      <c r="G2647">
        <v>57315</v>
      </c>
      <c r="H2647" s="116"/>
      <c r="I2647" s="116"/>
      <c r="L2647" s="170">
        <v>45902</v>
      </c>
      <c r="M2647" s="116">
        <v>3574.9</v>
      </c>
      <c r="N2647" s="116">
        <v>3619.9</v>
      </c>
      <c r="O2647" s="116">
        <v>3560</v>
      </c>
      <c r="P2647" s="116">
        <v>3598.4</v>
      </c>
      <c r="Q2647" s="116">
        <v>3574.9</v>
      </c>
      <c r="R2647">
        <v>1230950</v>
      </c>
    </row>
    <row r="2648" spans="1:18" x14ac:dyDescent="0.25">
      <c r="A2648" s="170">
        <v>45903</v>
      </c>
      <c r="B2648" s="116">
        <v>3606.35</v>
      </c>
      <c r="C2648" s="116">
        <v>3600.25</v>
      </c>
      <c r="D2648" s="116">
        <v>3561</v>
      </c>
      <c r="E2648" s="116">
        <v>3574.25</v>
      </c>
      <c r="F2648" s="116">
        <v>3600.25</v>
      </c>
      <c r="G2648">
        <v>152204</v>
      </c>
      <c r="H2648" s="116"/>
      <c r="I2648" s="116"/>
      <c r="L2648" s="170">
        <v>45903</v>
      </c>
      <c r="M2648" s="116">
        <v>3600.8</v>
      </c>
      <c r="N2648" s="116">
        <v>3606.3</v>
      </c>
      <c r="O2648" s="116">
        <v>3560</v>
      </c>
      <c r="P2648" s="116">
        <v>3594</v>
      </c>
      <c r="Q2648" s="116">
        <v>3600.8</v>
      </c>
      <c r="R2648">
        <v>1314831</v>
      </c>
    </row>
    <row r="2649" spans="1:18" x14ac:dyDescent="0.25">
      <c r="A2649" s="170">
        <v>45904</v>
      </c>
      <c r="B2649" s="116">
        <v>3646.8</v>
      </c>
      <c r="C2649" s="116">
        <v>3592.5</v>
      </c>
      <c r="D2649" s="116">
        <v>3571.65</v>
      </c>
      <c r="E2649" s="116">
        <v>3646.8</v>
      </c>
      <c r="F2649" s="116">
        <v>3592.5</v>
      </c>
      <c r="G2649">
        <v>394358</v>
      </c>
      <c r="H2649" s="116"/>
      <c r="I2649" s="116"/>
      <c r="L2649" s="170">
        <v>45904</v>
      </c>
      <c r="M2649" s="116">
        <v>3592.6</v>
      </c>
      <c r="N2649" s="116">
        <v>3624.9</v>
      </c>
      <c r="O2649" s="116">
        <v>3572.5</v>
      </c>
      <c r="P2649" s="116">
        <v>3622.9</v>
      </c>
      <c r="Q2649" s="116">
        <v>3592.6</v>
      </c>
      <c r="R2649">
        <v>1434998</v>
      </c>
    </row>
    <row r="2650" spans="1:18" x14ac:dyDescent="0.25">
      <c r="A2650" s="170">
        <v>45905</v>
      </c>
      <c r="B2650" s="116">
        <v>3609.1</v>
      </c>
      <c r="C2650" s="116">
        <v>3552.75</v>
      </c>
      <c r="D2650" s="116">
        <v>3550</v>
      </c>
      <c r="E2650" s="116">
        <v>3580.3</v>
      </c>
      <c r="F2650" s="116">
        <v>3552.75</v>
      </c>
      <c r="G2650">
        <v>43496</v>
      </c>
      <c r="H2650" s="116"/>
      <c r="I2650" s="116"/>
      <c r="L2650" s="170">
        <v>45905</v>
      </c>
      <c r="M2650" s="116">
        <v>3553.6</v>
      </c>
      <c r="N2650" s="116">
        <v>3609.1</v>
      </c>
      <c r="O2650" s="116">
        <v>3549.1</v>
      </c>
      <c r="P2650" s="116">
        <v>3592.8</v>
      </c>
      <c r="Q2650" s="116">
        <v>3553.6</v>
      </c>
      <c r="R2650">
        <v>830812</v>
      </c>
    </row>
    <row r="2651" spans="1:18" x14ac:dyDescent="0.25">
      <c r="A2651" s="170">
        <v>45908</v>
      </c>
      <c r="B2651" s="116">
        <v>3578.4</v>
      </c>
      <c r="C2651" s="116">
        <v>3517.75</v>
      </c>
      <c r="D2651" s="116">
        <v>3484.1</v>
      </c>
      <c r="E2651" s="116">
        <v>3576</v>
      </c>
      <c r="F2651" s="116">
        <v>3517.75</v>
      </c>
      <c r="G2651">
        <v>97380</v>
      </c>
      <c r="H2651" s="116"/>
      <c r="I2651" s="116"/>
      <c r="L2651" s="170">
        <v>45908</v>
      </c>
      <c r="M2651" s="116">
        <v>3529.6</v>
      </c>
      <c r="N2651" s="116">
        <v>3579.9</v>
      </c>
      <c r="O2651" s="116">
        <v>3525</v>
      </c>
      <c r="P2651" s="116">
        <v>3570</v>
      </c>
      <c r="Q2651" s="116">
        <v>3529.6</v>
      </c>
      <c r="R2651">
        <v>1039999</v>
      </c>
    </row>
    <row r="2652" spans="1:18" x14ac:dyDescent="0.25">
      <c r="A2652" s="170">
        <v>45909</v>
      </c>
      <c r="B2652" s="116">
        <v>3567.7</v>
      </c>
      <c r="C2652" s="116">
        <v>3521</v>
      </c>
      <c r="D2652" s="116">
        <v>3503.4</v>
      </c>
      <c r="E2652" s="116">
        <v>3567.7</v>
      </c>
      <c r="F2652" s="116">
        <v>3521</v>
      </c>
      <c r="G2652">
        <v>69526</v>
      </c>
      <c r="H2652" s="116"/>
      <c r="I2652" s="116"/>
      <c r="L2652" s="170">
        <v>45909</v>
      </c>
      <c r="M2652" s="116">
        <v>3525</v>
      </c>
      <c r="N2652" s="116">
        <v>3550</v>
      </c>
      <c r="O2652" s="116">
        <v>3516.4</v>
      </c>
      <c r="P2652" s="116">
        <v>3547.2</v>
      </c>
      <c r="Q2652" s="116">
        <v>3525</v>
      </c>
      <c r="R2652">
        <v>1522116</v>
      </c>
    </row>
    <row r="2653" spans="1:18" x14ac:dyDescent="0.25">
      <c r="A2653" s="170">
        <v>45910</v>
      </c>
      <c r="B2653" s="116">
        <v>3577.65</v>
      </c>
      <c r="C2653" s="116">
        <v>3553.25</v>
      </c>
      <c r="D2653" s="116">
        <v>3539.95</v>
      </c>
      <c r="E2653" s="116">
        <v>3555.05</v>
      </c>
      <c r="F2653" s="116">
        <v>3553.25</v>
      </c>
      <c r="G2653">
        <v>114160</v>
      </c>
      <c r="H2653" s="116"/>
      <c r="I2653" s="116"/>
      <c r="L2653" s="170">
        <v>45910</v>
      </c>
      <c r="M2653" s="116">
        <v>3550</v>
      </c>
      <c r="N2653" s="116">
        <v>3577.4</v>
      </c>
      <c r="O2653" s="116">
        <v>3541.1</v>
      </c>
      <c r="P2653" s="116">
        <v>3559</v>
      </c>
      <c r="Q2653" s="116">
        <v>3550</v>
      </c>
      <c r="R2653">
        <v>1136732</v>
      </c>
    </row>
    <row r="2654" spans="1:18" x14ac:dyDescent="0.25">
      <c r="A2654" s="170">
        <v>45911</v>
      </c>
      <c r="B2654" s="116">
        <v>3565.35</v>
      </c>
      <c r="C2654" s="116">
        <v>3539.2</v>
      </c>
      <c r="D2654" s="116">
        <v>3532.5</v>
      </c>
      <c r="E2654" s="116">
        <v>3551.6</v>
      </c>
      <c r="F2654" s="116">
        <v>3539.2</v>
      </c>
      <c r="G2654">
        <v>414283</v>
      </c>
      <c r="H2654" s="116"/>
      <c r="I2654" s="116"/>
      <c r="L2654" s="170">
        <v>45911</v>
      </c>
      <c r="M2654" s="116">
        <v>3539.7</v>
      </c>
      <c r="N2654" s="116">
        <v>3564.7</v>
      </c>
      <c r="O2654" s="116">
        <v>3533</v>
      </c>
      <c r="P2654" s="116">
        <v>3548</v>
      </c>
      <c r="Q2654" s="116">
        <v>3539.7</v>
      </c>
      <c r="R2654">
        <v>1177793</v>
      </c>
    </row>
    <row r="2655" spans="1:18" x14ac:dyDescent="0.25">
      <c r="A2655" s="170">
        <v>45912</v>
      </c>
      <c r="B2655" s="116">
        <v>3595</v>
      </c>
      <c r="C2655" s="116">
        <v>3579.6</v>
      </c>
      <c r="D2655" s="116">
        <v>3550.15</v>
      </c>
      <c r="E2655" s="116">
        <v>3550.15</v>
      </c>
      <c r="F2655" s="116">
        <v>3579.6</v>
      </c>
      <c r="G2655">
        <v>45153</v>
      </c>
      <c r="H2655" s="116"/>
      <c r="I2655" s="116"/>
      <c r="L2655" s="170">
        <v>45912</v>
      </c>
      <c r="M2655" s="116">
        <v>3579.8</v>
      </c>
      <c r="N2655" s="116">
        <v>3595.4</v>
      </c>
      <c r="O2655" s="116">
        <v>3548.1</v>
      </c>
      <c r="P2655" s="116">
        <v>3556.4</v>
      </c>
      <c r="Q2655" s="116">
        <v>3579.8</v>
      </c>
      <c r="R2655">
        <v>1146873</v>
      </c>
    </row>
    <row r="2656" spans="1:18" x14ac:dyDescent="0.25">
      <c r="A2656" s="170">
        <v>45915</v>
      </c>
      <c r="B2656" s="116">
        <v>3607.4</v>
      </c>
      <c r="C2656" s="116">
        <v>3585.35</v>
      </c>
      <c r="D2656" s="116">
        <v>3577</v>
      </c>
      <c r="E2656" s="116">
        <v>3581</v>
      </c>
      <c r="F2656" s="116">
        <v>3585.35</v>
      </c>
      <c r="G2656">
        <v>44659</v>
      </c>
      <c r="H2656" s="116"/>
      <c r="I2656" s="116"/>
      <c r="L2656" s="170">
        <v>45915</v>
      </c>
      <c r="M2656" s="116">
        <v>3586.2</v>
      </c>
      <c r="N2656" s="116">
        <v>3607</v>
      </c>
      <c r="O2656" s="116">
        <v>3575.5</v>
      </c>
      <c r="P2656" s="116">
        <v>3581</v>
      </c>
      <c r="Q2656" s="116">
        <v>3586.2</v>
      </c>
      <c r="R2656">
        <v>1177076</v>
      </c>
    </row>
    <row r="2657" spans="1:18" x14ac:dyDescent="0.25">
      <c r="A2657" s="170">
        <v>45916</v>
      </c>
      <c r="B2657" s="116">
        <v>3675</v>
      </c>
      <c r="C2657" s="116">
        <v>3667.15</v>
      </c>
      <c r="D2657" s="116">
        <v>3596.2</v>
      </c>
      <c r="E2657" s="116">
        <v>3607.65</v>
      </c>
      <c r="F2657" s="116">
        <v>3667.15</v>
      </c>
      <c r="G2657">
        <v>104280</v>
      </c>
      <c r="H2657" s="116"/>
      <c r="I2657" s="116"/>
      <c r="L2657" s="170">
        <v>45916</v>
      </c>
      <c r="M2657" s="116">
        <v>3667.8</v>
      </c>
      <c r="N2657" s="116">
        <v>3674</v>
      </c>
      <c r="O2657" s="116">
        <v>3593.1</v>
      </c>
      <c r="P2657" s="116">
        <v>3603.9</v>
      </c>
      <c r="Q2657" s="116">
        <v>3667.8</v>
      </c>
      <c r="R2657">
        <v>2928060</v>
      </c>
    </row>
    <row r="2658" spans="1:18" x14ac:dyDescent="0.25">
      <c r="A2658" s="170">
        <v>45917</v>
      </c>
      <c r="B2658" s="116">
        <v>3704</v>
      </c>
      <c r="C2658" s="116">
        <v>3685.1</v>
      </c>
      <c r="D2658" s="116">
        <v>3660.85</v>
      </c>
      <c r="E2658" s="116">
        <v>3668.05</v>
      </c>
      <c r="F2658" s="116">
        <v>3685.1</v>
      </c>
      <c r="G2658">
        <v>163719</v>
      </c>
      <c r="H2658" s="116"/>
      <c r="I2658" s="116"/>
      <c r="L2658" s="170">
        <v>45917</v>
      </c>
      <c r="M2658" s="116">
        <v>3685.5</v>
      </c>
      <c r="N2658" s="116">
        <v>3704</v>
      </c>
      <c r="O2658" s="116">
        <v>3662.7</v>
      </c>
      <c r="P2658" s="116">
        <v>3672</v>
      </c>
      <c r="Q2658" s="116">
        <v>3685.5</v>
      </c>
      <c r="R2658">
        <v>1610471</v>
      </c>
    </row>
    <row r="2659" spans="1:18" x14ac:dyDescent="0.25">
      <c r="A2659" s="170">
        <v>45918</v>
      </c>
      <c r="B2659" s="116">
        <v>3701.4</v>
      </c>
      <c r="C2659" s="116">
        <v>3687</v>
      </c>
      <c r="D2659" s="116">
        <v>3672.55</v>
      </c>
      <c r="E2659" s="116">
        <v>3695</v>
      </c>
      <c r="F2659" s="116">
        <v>3687</v>
      </c>
      <c r="G2659">
        <v>386729</v>
      </c>
      <c r="H2659" s="116"/>
      <c r="I2659" s="116"/>
      <c r="L2659" s="170">
        <v>45918</v>
      </c>
      <c r="M2659" s="116">
        <v>3686</v>
      </c>
      <c r="N2659" s="116">
        <v>3700</v>
      </c>
      <c r="O2659" s="116">
        <v>3672.5</v>
      </c>
      <c r="P2659" s="116">
        <v>3691</v>
      </c>
      <c r="Q2659" s="116">
        <v>3686</v>
      </c>
      <c r="R2659">
        <v>1270148</v>
      </c>
    </row>
    <row r="2660" spans="1:18" x14ac:dyDescent="0.25">
      <c r="A2660" s="170">
        <v>45919</v>
      </c>
      <c r="B2660" s="116">
        <v>3704.9</v>
      </c>
      <c r="C2660" s="116">
        <v>3675.85</v>
      </c>
      <c r="D2660" s="116">
        <v>3665.2</v>
      </c>
      <c r="E2660" s="116">
        <v>3665.2</v>
      </c>
      <c r="F2660" s="116">
        <v>3675.85</v>
      </c>
      <c r="G2660">
        <v>89983</v>
      </c>
      <c r="H2660" s="116"/>
      <c r="I2660" s="116"/>
      <c r="L2660" s="170">
        <v>45919</v>
      </c>
      <c r="M2660" s="116">
        <v>3675.4</v>
      </c>
      <c r="N2660" s="116">
        <v>3705</v>
      </c>
      <c r="O2660" s="116">
        <v>3671</v>
      </c>
      <c r="P2660" s="116">
        <v>3679</v>
      </c>
      <c r="Q2660" s="116">
        <v>3675.4</v>
      </c>
      <c r="R2660">
        <v>2227521</v>
      </c>
    </row>
    <row r="2661" spans="1:18" x14ac:dyDescent="0.25">
      <c r="A2661" s="170">
        <v>45922</v>
      </c>
      <c r="B2661" s="116">
        <v>3691.6</v>
      </c>
      <c r="C2661" s="116">
        <v>3642.15</v>
      </c>
      <c r="D2661" s="116">
        <v>3633</v>
      </c>
      <c r="E2661" s="116">
        <v>3678.15</v>
      </c>
      <c r="F2661" s="116">
        <v>3642.15</v>
      </c>
      <c r="G2661">
        <v>58989</v>
      </c>
      <c r="H2661" s="116"/>
      <c r="I2661" s="116"/>
      <c r="L2661" s="170">
        <v>45922</v>
      </c>
      <c r="M2661" s="116">
        <v>3644.5</v>
      </c>
      <c r="N2661" s="116">
        <v>3693.6</v>
      </c>
      <c r="O2661" s="116">
        <v>3633.9</v>
      </c>
      <c r="P2661" s="116">
        <v>3693.6</v>
      </c>
      <c r="Q2661" s="116">
        <v>3644.5</v>
      </c>
      <c r="R2661">
        <v>839430</v>
      </c>
    </row>
    <row r="2662" spans="1:18" x14ac:dyDescent="0.25">
      <c r="A2662" s="170">
        <v>45923</v>
      </c>
      <c r="B2662" s="116">
        <v>3672.25</v>
      </c>
      <c r="C2662" s="116">
        <v>3658.3</v>
      </c>
      <c r="D2662" s="116">
        <v>3615</v>
      </c>
      <c r="E2662" s="116">
        <v>3640.05</v>
      </c>
      <c r="F2662" s="116">
        <v>3658.3</v>
      </c>
      <c r="G2662">
        <v>36656</v>
      </c>
      <c r="H2662" s="116"/>
      <c r="I2662" s="116"/>
      <c r="L2662" s="170">
        <v>45923</v>
      </c>
      <c r="M2662" s="116">
        <v>3657.6</v>
      </c>
      <c r="N2662" s="116">
        <v>3673.5</v>
      </c>
      <c r="O2662" s="116">
        <v>3613.2</v>
      </c>
      <c r="P2662" s="116">
        <v>3646.9</v>
      </c>
      <c r="Q2662" s="116">
        <v>3657.6</v>
      </c>
      <c r="R2662">
        <v>1262120</v>
      </c>
    </row>
    <row r="2663" spans="1:18" x14ac:dyDescent="0.25">
      <c r="A2663" s="170">
        <v>45924</v>
      </c>
      <c r="B2663" s="116">
        <v>3708.35</v>
      </c>
      <c r="C2663" s="116">
        <v>3678.4</v>
      </c>
      <c r="D2663" s="116">
        <v>3636.85</v>
      </c>
      <c r="E2663" s="116">
        <v>3661.85</v>
      </c>
      <c r="F2663" s="116">
        <v>3678.4</v>
      </c>
      <c r="G2663">
        <v>113508</v>
      </c>
      <c r="H2663" s="116"/>
      <c r="I2663" s="116"/>
      <c r="L2663" s="170">
        <v>45924</v>
      </c>
      <c r="M2663" s="116">
        <v>3673.8</v>
      </c>
      <c r="N2663" s="116">
        <v>3709.2</v>
      </c>
      <c r="O2663" s="116">
        <v>3637.1</v>
      </c>
      <c r="P2663" s="116">
        <v>3657.6</v>
      </c>
      <c r="Q2663" s="116">
        <v>3673.8</v>
      </c>
      <c r="R2663">
        <v>1745130</v>
      </c>
    </row>
    <row r="2664" spans="1:18" x14ac:dyDescent="0.25">
      <c r="A2664" s="170">
        <v>45925</v>
      </c>
      <c r="B2664" s="116">
        <v>3703.85</v>
      </c>
      <c r="C2664" s="116">
        <v>3644.2</v>
      </c>
      <c r="D2664" s="116">
        <v>3634.2</v>
      </c>
      <c r="E2664" s="116">
        <v>3681</v>
      </c>
      <c r="F2664" s="116">
        <v>3644.2</v>
      </c>
      <c r="G2664">
        <v>331750</v>
      </c>
      <c r="H2664" s="116"/>
      <c r="I2664" s="116"/>
      <c r="L2664" s="170">
        <v>45925</v>
      </c>
      <c r="M2664" s="116">
        <v>3644.4</v>
      </c>
      <c r="N2664" s="116">
        <v>3704</v>
      </c>
      <c r="O2664" s="116">
        <v>3635.7</v>
      </c>
      <c r="P2664" s="116">
        <v>3684</v>
      </c>
      <c r="Q2664" s="116">
        <v>3644.4</v>
      </c>
      <c r="R2664">
        <v>1999071</v>
      </c>
    </row>
    <row r="2665" spans="1:18" x14ac:dyDescent="0.25">
      <c r="A2665" s="170">
        <v>45926</v>
      </c>
      <c r="B2665" s="116">
        <v>3794.7</v>
      </c>
      <c r="C2665" s="116">
        <v>3731.1</v>
      </c>
      <c r="D2665" s="116">
        <v>3653.05</v>
      </c>
      <c r="E2665" s="116">
        <v>3653.05</v>
      </c>
      <c r="F2665" s="116">
        <v>3731.1</v>
      </c>
      <c r="G2665">
        <v>241587</v>
      </c>
      <c r="H2665" s="116"/>
      <c r="I2665" s="116"/>
      <c r="L2665" s="170">
        <v>45926</v>
      </c>
      <c r="M2665" s="116">
        <v>3729.5</v>
      </c>
      <c r="N2665" s="116">
        <v>3794.9</v>
      </c>
      <c r="O2665" s="116">
        <v>3661</v>
      </c>
      <c r="P2665" s="116">
        <v>3664</v>
      </c>
      <c r="Q2665" s="116">
        <v>3729.5</v>
      </c>
      <c r="R2665">
        <v>5870301</v>
      </c>
    </row>
    <row r="2666" spans="1:18" x14ac:dyDescent="0.25">
      <c r="A2666" s="170">
        <v>45929</v>
      </c>
      <c r="B2666" s="116">
        <v>3748.95</v>
      </c>
      <c r="C2666" s="116">
        <v>3687.6</v>
      </c>
      <c r="D2666" s="116">
        <v>3678.65</v>
      </c>
      <c r="E2666" s="116">
        <v>3748.95</v>
      </c>
      <c r="F2666" s="116">
        <v>3687.6</v>
      </c>
      <c r="G2666">
        <v>120973</v>
      </c>
      <c r="H2666" s="116"/>
      <c r="I2666" s="116"/>
      <c r="L2666" s="170">
        <v>45929</v>
      </c>
      <c r="M2666" s="116">
        <v>3688.4</v>
      </c>
      <c r="N2666" s="116">
        <v>3740</v>
      </c>
      <c r="O2666" s="116">
        <v>3679.6</v>
      </c>
      <c r="P2666" s="116">
        <v>3738</v>
      </c>
      <c r="Q2666" s="116">
        <v>3688.4</v>
      </c>
      <c r="R2666">
        <v>2599630</v>
      </c>
    </row>
    <row r="2667" spans="1:18" x14ac:dyDescent="0.25">
      <c r="A2667" s="170">
        <v>45930</v>
      </c>
      <c r="B2667" s="116">
        <v>3704.3</v>
      </c>
      <c r="C2667" s="116">
        <v>3658.8</v>
      </c>
      <c r="D2667" s="116">
        <v>3649</v>
      </c>
      <c r="E2667" s="116">
        <v>3704.3</v>
      </c>
      <c r="F2667" s="116">
        <v>3658.8</v>
      </c>
      <c r="G2667">
        <v>62756</v>
      </c>
      <c r="H2667" s="116"/>
      <c r="I2667" s="116"/>
      <c r="L2667" s="170">
        <v>45930</v>
      </c>
      <c r="M2667" s="116">
        <v>3659</v>
      </c>
      <c r="N2667" s="116">
        <v>3696.6</v>
      </c>
      <c r="O2667" s="116">
        <v>3648</v>
      </c>
      <c r="P2667" s="116">
        <v>3695</v>
      </c>
      <c r="Q2667" s="116">
        <v>3659</v>
      </c>
      <c r="R2667">
        <v>1676302</v>
      </c>
    </row>
    <row r="2668" spans="1:18" x14ac:dyDescent="0.25">
      <c r="A2668" s="170">
        <v>45931</v>
      </c>
      <c r="B2668" s="116">
        <v>3681</v>
      </c>
      <c r="C2668" s="116">
        <v>3670.15</v>
      </c>
      <c r="D2668" s="116">
        <v>3614.8</v>
      </c>
      <c r="E2668" s="116">
        <v>3646.2</v>
      </c>
      <c r="F2668" s="116">
        <v>3670.15</v>
      </c>
      <c r="G2668">
        <v>634560</v>
      </c>
      <c r="H2668" s="116"/>
      <c r="I2668" s="116"/>
      <c r="L2668" s="170">
        <v>45931</v>
      </c>
      <c r="M2668" s="116">
        <v>3670.3</v>
      </c>
      <c r="N2668" s="116">
        <v>3688</v>
      </c>
      <c r="O2668" s="116">
        <v>3615</v>
      </c>
      <c r="P2668" s="116">
        <v>3658.9</v>
      </c>
      <c r="Q2668" s="116">
        <v>3670.3</v>
      </c>
      <c r="R2668">
        <v>2005028</v>
      </c>
    </row>
    <row r="2669" spans="1:18" x14ac:dyDescent="0.25">
      <c r="A2669" s="170">
        <v>45933</v>
      </c>
      <c r="B2669" s="116">
        <v>3744.85</v>
      </c>
      <c r="C2669" s="116">
        <v>3732.35</v>
      </c>
      <c r="D2669" s="116">
        <v>3667.3</v>
      </c>
      <c r="E2669" s="116">
        <v>3685</v>
      </c>
      <c r="F2669" s="116">
        <v>3732.35</v>
      </c>
      <c r="G2669">
        <v>81874</v>
      </c>
      <c r="H2669" s="116"/>
      <c r="I2669" s="116"/>
      <c r="L2669" s="170">
        <v>45933</v>
      </c>
      <c r="M2669" s="116">
        <v>3733.1</v>
      </c>
      <c r="N2669" s="116">
        <v>3746</v>
      </c>
      <c r="O2669" s="116">
        <v>3666.3</v>
      </c>
      <c r="P2669" s="116">
        <v>3690</v>
      </c>
      <c r="Q2669" s="116">
        <v>3733.1</v>
      </c>
      <c r="R2669">
        <v>1959124</v>
      </c>
    </row>
    <row r="2670" spans="1:18" x14ac:dyDescent="0.25">
      <c r="A2670" s="170">
        <v>45936</v>
      </c>
      <c r="B2670" s="116">
        <v>3767.45</v>
      </c>
      <c r="C2670" s="116">
        <v>3736.2</v>
      </c>
      <c r="D2670" s="116">
        <v>3703.05</v>
      </c>
      <c r="E2670" s="116">
        <v>3731.35</v>
      </c>
      <c r="F2670" s="116">
        <v>3736.2</v>
      </c>
      <c r="G2670">
        <v>117471</v>
      </c>
      <c r="H2670" s="116"/>
      <c r="I2670" s="116"/>
      <c r="L2670" s="170">
        <v>45936</v>
      </c>
      <c r="M2670" s="116">
        <v>3737</v>
      </c>
      <c r="N2670" s="116">
        <v>3767</v>
      </c>
      <c r="O2670" s="116">
        <v>3703</v>
      </c>
      <c r="P2670" s="116">
        <v>3720</v>
      </c>
      <c r="Q2670" s="116">
        <v>3737</v>
      </c>
      <c r="R2670">
        <v>1581506</v>
      </c>
    </row>
    <row r="2671" spans="1:18" x14ac:dyDescent="0.25">
      <c r="A2671" s="170">
        <v>45937</v>
      </c>
      <c r="B2671" s="116">
        <v>3765</v>
      </c>
      <c r="C2671" s="116">
        <v>3730.7</v>
      </c>
      <c r="D2671" s="116">
        <v>3725.7</v>
      </c>
      <c r="E2671" s="116">
        <v>3764.45</v>
      </c>
      <c r="F2671" s="116">
        <v>3730.7</v>
      </c>
      <c r="G2671">
        <v>113675</v>
      </c>
      <c r="H2671" s="116"/>
      <c r="I2671" s="116"/>
      <c r="L2671" s="170">
        <v>45937</v>
      </c>
      <c r="M2671" s="116">
        <v>3729.7</v>
      </c>
      <c r="N2671" s="116">
        <v>3766</v>
      </c>
      <c r="O2671" s="116">
        <v>3725</v>
      </c>
      <c r="P2671" s="116">
        <v>3748</v>
      </c>
      <c r="Q2671" s="116">
        <v>3729.7</v>
      </c>
      <c r="R2671">
        <v>1673945</v>
      </c>
    </row>
    <row r="2672" spans="1:18" x14ac:dyDescent="0.25">
      <c r="A2672" s="170">
        <v>45938</v>
      </c>
      <c r="B2672" s="116">
        <v>3759.75</v>
      </c>
      <c r="C2672" s="116">
        <v>3728</v>
      </c>
      <c r="D2672" s="116">
        <v>3714.15</v>
      </c>
      <c r="E2672" s="116">
        <v>3728.5</v>
      </c>
      <c r="F2672" s="116">
        <v>3728</v>
      </c>
      <c r="G2672">
        <v>93633</v>
      </c>
      <c r="H2672" s="116"/>
      <c r="I2672" s="116"/>
      <c r="L2672" s="170">
        <v>45938</v>
      </c>
      <c r="M2672" s="116">
        <v>3729.8</v>
      </c>
      <c r="N2672" s="116">
        <v>3760</v>
      </c>
      <c r="O2672" s="116">
        <v>3715</v>
      </c>
      <c r="P2672" s="116">
        <v>3730</v>
      </c>
      <c r="Q2672" s="116">
        <v>3729.8</v>
      </c>
      <c r="R2672">
        <v>1424633</v>
      </c>
    </row>
    <row r="2673" spans="1:18" x14ac:dyDescent="0.25">
      <c r="A2673" s="170">
        <v>45939</v>
      </c>
      <c r="B2673" s="116">
        <v>3795</v>
      </c>
      <c r="C2673" s="116">
        <v>3769.35</v>
      </c>
      <c r="D2673" s="116">
        <v>3730</v>
      </c>
      <c r="E2673" s="116">
        <v>3730</v>
      </c>
      <c r="F2673" s="116">
        <v>3769.35</v>
      </c>
      <c r="G2673">
        <v>322537</v>
      </c>
      <c r="H2673" s="116"/>
      <c r="I2673" s="116"/>
      <c r="L2673" s="170">
        <v>45939</v>
      </c>
      <c r="M2673" s="116">
        <v>3769.2</v>
      </c>
      <c r="N2673" s="116">
        <v>3796.4</v>
      </c>
      <c r="O2673" s="116">
        <v>3730.1</v>
      </c>
      <c r="P2673" s="116">
        <v>3735.5</v>
      </c>
      <c r="Q2673" s="116">
        <v>3769.2</v>
      </c>
      <c r="R2673">
        <v>1827249</v>
      </c>
    </row>
    <row r="2674" spans="1:18" x14ac:dyDescent="0.25">
      <c r="A2674" s="170">
        <v>45940</v>
      </c>
      <c r="B2674" s="116">
        <v>3798.5</v>
      </c>
      <c r="C2674" s="116">
        <v>3783.3</v>
      </c>
      <c r="D2674" s="116">
        <v>3760.5</v>
      </c>
      <c r="E2674" s="116">
        <v>3768.8</v>
      </c>
      <c r="F2674" s="116">
        <v>3783.3</v>
      </c>
      <c r="G2674">
        <v>73446</v>
      </c>
      <c r="H2674" s="116"/>
      <c r="I2674" s="116"/>
      <c r="L2674" s="170">
        <v>45940</v>
      </c>
      <c r="M2674" s="116">
        <v>3784</v>
      </c>
      <c r="N2674" s="116">
        <v>3799</v>
      </c>
      <c r="O2674" s="116">
        <v>3760</v>
      </c>
      <c r="P2674" s="116">
        <v>3765</v>
      </c>
      <c r="Q2674" s="116">
        <v>3784</v>
      </c>
      <c r="R2674">
        <v>1129678</v>
      </c>
    </row>
    <row r="2675" spans="1:18" x14ac:dyDescent="0.25">
      <c r="A2675" s="170">
        <v>45943</v>
      </c>
      <c r="B2675" s="116">
        <v>3783.3</v>
      </c>
      <c r="C2675" s="116">
        <v>3770.35</v>
      </c>
      <c r="D2675" s="116">
        <v>3746.75</v>
      </c>
      <c r="E2675" s="116">
        <v>3782.95</v>
      </c>
      <c r="F2675" s="116">
        <v>3770.35</v>
      </c>
      <c r="G2675">
        <v>93052</v>
      </c>
      <c r="H2675" s="116"/>
      <c r="I2675" s="116"/>
      <c r="L2675" s="170">
        <v>45943</v>
      </c>
      <c r="M2675" s="116">
        <v>3769.5</v>
      </c>
      <c r="N2675" s="116">
        <v>3784</v>
      </c>
      <c r="O2675" s="116">
        <v>3745</v>
      </c>
      <c r="P2675" s="116">
        <v>3780</v>
      </c>
      <c r="Q2675" s="116">
        <v>3769.5</v>
      </c>
      <c r="R2675">
        <v>1191248</v>
      </c>
    </row>
    <row r="2676" spans="1:18" x14ac:dyDescent="0.25">
      <c r="A2676" s="170">
        <v>45944</v>
      </c>
      <c r="B2676" s="116">
        <v>3788.8</v>
      </c>
      <c r="C2676" s="116">
        <v>3741.3</v>
      </c>
      <c r="D2676" s="116">
        <v>3731</v>
      </c>
      <c r="E2676" s="116">
        <v>3750.05</v>
      </c>
      <c r="F2676" s="116">
        <v>3741.3</v>
      </c>
      <c r="G2676">
        <v>103190</v>
      </c>
      <c r="H2676" s="116"/>
      <c r="I2676" s="116"/>
      <c r="L2676" s="170">
        <v>45944</v>
      </c>
      <c r="M2676" s="116">
        <v>3744.3</v>
      </c>
      <c r="N2676" s="116">
        <v>3786.8</v>
      </c>
      <c r="O2676" s="116">
        <v>3730.2</v>
      </c>
      <c r="P2676" s="116">
        <v>3775</v>
      </c>
      <c r="Q2676" s="116">
        <v>3744.3</v>
      </c>
      <c r="R2676">
        <v>1364583</v>
      </c>
    </row>
    <row r="2677" spans="1:18" x14ac:dyDescent="0.25">
      <c r="A2677" s="170">
        <v>45945</v>
      </c>
      <c r="B2677" s="116">
        <v>3842.95</v>
      </c>
      <c r="C2677" s="116">
        <v>3824.65</v>
      </c>
      <c r="D2677" s="116">
        <v>3744.6</v>
      </c>
      <c r="E2677" s="116">
        <v>3748</v>
      </c>
      <c r="F2677" s="116">
        <v>3824.65</v>
      </c>
      <c r="G2677">
        <v>219934</v>
      </c>
      <c r="H2677" s="116"/>
      <c r="I2677" s="116"/>
      <c r="L2677" s="170">
        <v>45945</v>
      </c>
      <c r="M2677" s="116">
        <v>3828.7</v>
      </c>
      <c r="N2677" s="116">
        <v>3843.9</v>
      </c>
      <c r="O2677" s="116">
        <v>3744.3</v>
      </c>
      <c r="P2677" s="116">
        <v>3747</v>
      </c>
      <c r="Q2677" s="116">
        <v>3828.7</v>
      </c>
      <c r="R2677">
        <v>2575918</v>
      </c>
    </row>
    <row r="2678" spans="1:18" x14ac:dyDescent="0.25">
      <c r="A2678" s="170">
        <v>45946</v>
      </c>
      <c r="B2678" s="116">
        <v>3885.45</v>
      </c>
      <c r="C2678" s="116">
        <v>3861.9</v>
      </c>
      <c r="D2678" s="116">
        <v>3831</v>
      </c>
      <c r="E2678" s="116">
        <v>3837.85</v>
      </c>
      <c r="F2678" s="116">
        <v>3861.9</v>
      </c>
      <c r="G2678">
        <v>316182</v>
      </c>
      <c r="H2678" s="116"/>
      <c r="I2678" s="116"/>
      <c r="L2678" s="170">
        <v>45946</v>
      </c>
      <c r="M2678" s="116">
        <v>3861.8</v>
      </c>
      <c r="N2678" s="116">
        <v>3885.9</v>
      </c>
      <c r="O2678" s="116">
        <v>3830</v>
      </c>
      <c r="P2678" s="116">
        <v>3830.3</v>
      </c>
      <c r="Q2678" s="116">
        <v>3861.8</v>
      </c>
      <c r="R2678">
        <v>2330283</v>
      </c>
    </row>
    <row r="2679" spans="1:18" x14ac:dyDescent="0.25">
      <c r="A2679" s="170">
        <v>45947</v>
      </c>
      <c r="B2679" s="116">
        <v>3868.75</v>
      </c>
      <c r="C2679" s="116">
        <v>3839.1</v>
      </c>
      <c r="D2679" s="116">
        <v>3830.1</v>
      </c>
      <c r="E2679" s="116">
        <v>3853.4</v>
      </c>
      <c r="F2679" s="116">
        <v>3839.1</v>
      </c>
      <c r="G2679">
        <v>99441</v>
      </c>
      <c r="H2679" s="116"/>
      <c r="I2679" s="116"/>
      <c r="L2679" s="170">
        <v>45947</v>
      </c>
      <c r="M2679" s="116">
        <v>3839.4</v>
      </c>
      <c r="N2679" s="116">
        <v>3869.5</v>
      </c>
      <c r="O2679" s="116">
        <v>3830.1</v>
      </c>
      <c r="P2679" s="116">
        <v>3860</v>
      </c>
      <c r="Q2679" s="116">
        <v>3839.4</v>
      </c>
      <c r="R2679">
        <v>1337364</v>
      </c>
    </row>
    <row r="2680" spans="1:18" x14ac:dyDescent="0.25">
      <c r="A2680" s="170">
        <v>45950</v>
      </c>
      <c r="B2680" s="116">
        <v>3886.15</v>
      </c>
      <c r="C2680" s="116">
        <v>3873.7</v>
      </c>
      <c r="D2680" s="116">
        <v>3845.05</v>
      </c>
      <c r="E2680" s="116">
        <v>3860</v>
      </c>
      <c r="F2680" s="116">
        <v>3873.7</v>
      </c>
      <c r="G2680">
        <v>41002</v>
      </c>
      <c r="H2680" s="116"/>
      <c r="I2680" s="116"/>
      <c r="L2680" s="170">
        <v>45950</v>
      </c>
      <c r="M2680" s="116">
        <v>3872.7</v>
      </c>
      <c r="N2680" s="116">
        <v>3887.6</v>
      </c>
      <c r="O2680" s="116">
        <v>3845.4</v>
      </c>
      <c r="P2680" s="116">
        <v>3862</v>
      </c>
      <c r="Q2680" s="116">
        <v>3872.7</v>
      </c>
      <c r="R2680">
        <v>1223232</v>
      </c>
    </row>
    <row r="2681" spans="1:18" x14ac:dyDescent="0.25">
      <c r="A2681" s="170">
        <v>45951</v>
      </c>
      <c r="B2681" s="116">
        <v>3893.5</v>
      </c>
      <c r="C2681" s="116">
        <v>3887.1</v>
      </c>
      <c r="D2681" s="116">
        <v>3873.75</v>
      </c>
      <c r="E2681" s="116">
        <v>3873.75</v>
      </c>
      <c r="F2681" s="116">
        <v>3887.1</v>
      </c>
      <c r="G2681">
        <v>36984</v>
      </c>
      <c r="H2681" s="116"/>
      <c r="I2681" s="116"/>
      <c r="L2681" s="170">
        <v>45951</v>
      </c>
      <c r="M2681" s="116">
        <v>3888.2</v>
      </c>
      <c r="N2681" s="116">
        <v>3895</v>
      </c>
      <c r="O2681" s="116">
        <v>3877.2</v>
      </c>
      <c r="P2681" s="116">
        <v>3892</v>
      </c>
      <c r="Q2681" s="116">
        <v>3888.2</v>
      </c>
      <c r="R2681">
        <v>260327</v>
      </c>
    </row>
    <row r="2682" spans="1:18" x14ac:dyDescent="0.25">
      <c r="A2682" s="170">
        <v>45953</v>
      </c>
      <c r="B2682" s="116">
        <v>3966.2</v>
      </c>
      <c r="C2682" s="116">
        <v>3918</v>
      </c>
      <c r="D2682" s="116">
        <v>3889.3</v>
      </c>
      <c r="E2682" s="116">
        <v>3898.95</v>
      </c>
      <c r="F2682" s="116">
        <v>3918</v>
      </c>
      <c r="G2682">
        <v>279876</v>
      </c>
      <c r="H2682" s="116"/>
      <c r="I2682" s="116"/>
      <c r="L2682" s="170">
        <v>45953</v>
      </c>
      <c r="M2682" s="116">
        <v>3918.7</v>
      </c>
      <c r="N2682" s="116">
        <v>3966.2</v>
      </c>
      <c r="O2682" s="116">
        <v>3890</v>
      </c>
      <c r="P2682" s="116">
        <v>3890</v>
      </c>
      <c r="Q2682" s="116">
        <v>3918.7</v>
      </c>
      <c r="R2682">
        <v>2815778</v>
      </c>
    </row>
    <row r="2683" spans="1:18" x14ac:dyDescent="0.25">
      <c r="A2683" s="170">
        <v>45954</v>
      </c>
      <c r="B2683" s="116">
        <v>3939.9</v>
      </c>
      <c r="C2683" s="116">
        <v>3904.35</v>
      </c>
      <c r="D2683" s="116">
        <v>3897.95</v>
      </c>
      <c r="E2683" s="116">
        <v>3925.35</v>
      </c>
      <c r="F2683" s="116">
        <v>3904.35</v>
      </c>
      <c r="G2683">
        <v>25157</v>
      </c>
      <c r="H2683" s="116"/>
      <c r="I2683" s="116"/>
      <c r="L2683" s="170">
        <v>45954</v>
      </c>
      <c r="M2683" s="116">
        <v>3904.9</v>
      </c>
      <c r="N2683" s="116">
        <v>3939.9</v>
      </c>
      <c r="O2683" s="116">
        <v>3897.5</v>
      </c>
      <c r="P2683" s="116">
        <v>3929.3</v>
      </c>
      <c r="Q2683" s="116">
        <v>3904.9</v>
      </c>
      <c r="R2683">
        <v>1146636</v>
      </c>
    </row>
    <row r="2684" spans="1:18" x14ac:dyDescent="0.25">
      <c r="A2684" s="170">
        <v>45957</v>
      </c>
      <c r="B2684" s="116">
        <v>3947.25</v>
      </c>
      <c r="C2684" s="116">
        <v>3924.7</v>
      </c>
      <c r="D2684" s="116">
        <v>3907.05</v>
      </c>
      <c r="E2684" s="116">
        <v>3907.05</v>
      </c>
      <c r="F2684" s="116">
        <v>3924.7</v>
      </c>
      <c r="G2684">
        <v>50665</v>
      </c>
      <c r="H2684" s="116"/>
      <c r="I2684" s="116"/>
      <c r="L2684" s="170">
        <v>45957</v>
      </c>
      <c r="M2684" s="116">
        <v>3923.8</v>
      </c>
      <c r="N2684" s="116">
        <v>3948</v>
      </c>
      <c r="O2684" s="116">
        <v>3907</v>
      </c>
      <c r="P2684" s="116">
        <v>3912</v>
      </c>
      <c r="Q2684" s="116">
        <v>3923.8</v>
      </c>
      <c r="R2684">
        <v>1057688</v>
      </c>
    </row>
    <row r="2685" spans="1:18" x14ac:dyDescent="0.25">
      <c r="A2685" s="170">
        <v>45958</v>
      </c>
      <c r="B2685" s="116">
        <v>3985</v>
      </c>
      <c r="C2685" s="116">
        <v>3972.85</v>
      </c>
      <c r="D2685" s="116">
        <v>3918.15</v>
      </c>
      <c r="E2685" s="116">
        <v>3918.15</v>
      </c>
      <c r="F2685" s="116">
        <v>3972.85</v>
      </c>
      <c r="G2685">
        <v>326789</v>
      </c>
      <c r="H2685" s="116"/>
      <c r="I2685" s="116"/>
      <c r="L2685" s="170">
        <v>45958</v>
      </c>
      <c r="M2685" s="116">
        <v>3972.8</v>
      </c>
      <c r="N2685" s="116">
        <v>3986</v>
      </c>
      <c r="O2685" s="116">
        <v>3917.3</v>
      </c>
      <c r="P2685" s="116">
        <v>3922.1</v>
      </c>
      <c r="Q2685" s="116">
        <v>3972.8</v>
      </c>
      <c r="R2685">
        <v>3391806</v>
      </c>
    </row>
    <row r="2686" spans="1:18" x14ac:dyDescent="0.25">
      <c r="A2686" s="170">
        <v>45959</v>
      </c>
      <c r="B2686" s="116">
        <v>4016.9</v>
      </c>
      <c r="C2686" s="116">
        <v>3951.7</v>
      </c>
      <c r="D2686" s="116">
        <v>3920</v>
      </c>
      <c r="E2686" s="116">
        <v>3993.9</v>
      </c>
      <c r="F2686" s="116">
        <v>3951.7</v>
      </c>
      <c r="G2686">
        <v>156990</v>
      </c>
      <c r="H2686" s="116"/>
      <c r="I2686" s="116"/>
      <c r="L2686" s="170">
        <v>45959</v>
      </c>
      <c r="M2686" s="116">
        <v>3958.1</v>
      </c>
      <c r="N2686" s="116">
        <v>4016.7</v>
      </c>
      <c r="O2686" s="116">
        <v>3920</v>
      </c>
      <c r="P2686" s="116">
        <v>3988</v>
      </c>
      <c r="Q2686" s="116">
        <v>3958.1</v>
      </c>
      <c r="R2686">
        <v>2563641</v>
      </c>
    </row>
    <row r="2687" spans="1:18" x14ac:dyDescent="0.25">
      <c r="A2687" s="170">
        <v>45960</v>
      </c>
      <c r="B2687" s="116">
        <v>4062.5</v>
      </c>
      <c r="C2687" s="116">
        <v>3987.8</v>
      </c>
      <c r="D2687" s="116">
        <v>3976.7</v>
      </c>
      <c r="E2687" s="116">
        <v>3994</v>
      </c>
      <c r="F2687" s="116">
        <v>3987.8</v>
      </c>
      <c r="G2687">
        <v>843770</v>
      </c>
      <c r="H2687" s="116"/>
      <c r="I2687" s="116"/>
      <c r="L2687" s="170">
        <v>45960</v>
      </c>
      <c r="M2687" s="116">
        <v>3987.5</v>
      </c>
      <c r="N2687" s="116">
        <v>4062.6</v>
      </c>
      <c r="O2687" s="116">
        <v>3975.6</v>
      </c>
      <c r="P2687" s="116">
        <v>3980</v>
      </c>
      <c r="Q2687" s="116">
        <v>3987.5</v>
      </c>
      <c r="R2687">
        <v>4959400</v>
      </c>
    </row>
    <row r="2688" spans="1:18" x14ac:dyDescent="0.25">
      <c r="A2688" s="170">
        <v>45961</v>
      </c>
      <c r="B2688" s="116">
        <v>4045.05</v>
      </c>
      <c r="C2688" s="116">
        <v>4031.2</v>
      </c>
      <c r="D2688" s="116">
        <v>3982.9</v>
      </c>
      <c r="E2688" s="116">
        <v>3998.7</v>
      </c>
      <c r="F2688" s="116">
        <v>4031.2</v>
      </c>
      <c r="G2688">
        <v>91056</v>
      </c>
      <c r="H2688" s="116"/>
      <c r="I2688" s="116"/>
      <c r="L2688" s="170">
        <v>45961</v>
      </c>
      <c r="M2688" s="116">
        <v>4030.9</v>
      </c>
      <c r="N2688" s="116">
        <v>4045.9</v>
      </c>
      <c r="O2688" s="116">
        <v>3980.2</v>
      </c>
      <c r="P2688" s="116">
        <v>4001.1</v>
      </c>
      <c r="Q2688" s="116">
        <v>4030.9</v>
      </c>
      <c r="R2688">
        <v>2328183</v>
      </c>
    </row>
    <row r="2689" spans="1:18" x14ac:dyDescent="0.25">
      <c r="A2689" s="170">
        <v>45964</v>
      </c>
      <c r="B2689" s="116">
        <v>4039.8</v>
      </c>
      <c r="C2689" s="116">
        <v>3980.1</v>
      </c>
      <c r="D2689" s="116">
        <v>3975</v>
      </c>
      <c r="E2689" s="116">
        <v>4025.2</v>
      </c>
      <c r="F2689" s="116">
        <v>3980.1</v>
      </c>
      <c r="G2689">
        <v>68908</v>
      </c>
      <c r="H2689" s="116"/>
      <c r="I2689" s="116"/>
      <c r="L2689" s="170">
        <v>45964</v>
      </c>
      <c r="M2689" s="116">
        <v>3980.5</v>
      </c>
      <c r="N2689" s="116">
        <v>4041</v>
      </c>
      <c r="O2689" s="116">
        <v>3974.9</v>
      </c>
      <c r="P2689" s="116">
        <v>4030</v>
      </c>
      <c r="Q2689" s="116">
        <v>3980.5</v>
      </c>
      <c r="R2689">
        <v>1154072</v>
      </c>
    </row>
    <row r="2690" spans="1:18" x14ac:dyDescent="0.25">
      <c r="A2690" s="170">
        <v>45965</v>
      </c>
      <c r="B2690" s="116">
        <v>3990.35</v>
      </c>
      <c r="C2690" s="116">
        <v>3921.2</v>
      </c>
      <c r="D2690" s="116">
        <v>3917.85</v>
      </c>
      <c r="E2690" s="116">
        <v>3985</v>
      </c>
      <c r="F2690" s="116">
        <v>3921.2</v>
      </c>
      <c r="G2690">
        <v>123633</v>
      </c>
      <c r="H2690" s="116"/>
      <c r="I2690" s="116"/>
      <c r="L2690" s="170">
        <v>45965</v>
      </c>
      <c r="M2690" s="116">
        <v>3924.4</v>
      </c>
      <c r="N2690" s="116">
        <v>3990</v>
      </c>
      <c r="O2690" s="116">
        <v>3916.8</v>
      </c>
      <c r="P2690" s="116">
        <v>3985</v>
      </c>
      <c r="Q2690" s="116">
        <v>3924.4</v>
      </c>
      <c r="R2690">
        <v>2042881</v>
      </c>
    </row>
    <row r="2691" spans="1:18" x14ac:dyDescent="0.25">
      <c r="A2691" s="170">
        <v>45967</v>
      </c>
      <c r="B2691" s="116">
        <v>3975</v>
      </c>
      <c r="C2691" s="116">
        <v>3880.8</v>
      </c>
      <c r="D2691" s="116">
        <v>3871.1</v>
      </c>
      <c r="E2691" s="116">
        <v>3940</v>
      </c>
      <c r="F2691" s="116">
        <v>3880.8</v>
      </c>
      <c r="G2691">
        <v>415683</v>
      </c>
      <c r="H2691" s="116"/>
      <c r="I2691" s="116"/>
      <c r="L2691" s="170">
        <v>45967</v>
      </c>
      <c r="M2691" s="116">
        <v>3881.6</v>
      </c>
      <c r="N2691" s="116">
        <v>3978</v>
      </c>
      <c r="O2691" s="116">
        <v>3872.1</v>
      </c>
      <c r="P2691" s="116">
        <v>3945</v>
      </c>
      <c r="Q2691" s="116">
        <v>3881.6</v>
      </c>
      <c r="R2691">
        <v>1749063</v>
      </c>
    </row>
    <row r="2692" spans="1:18" x14ac:dyDescent="0.25">
      <c r="A2692" s="170">
        <v>45968</v>
      </c>
      <c r="B2692" s="116">
        <v>3892.7</v>
      </c>
      <c r="C2692" s="116">
        <v>3881.65</v>
      </c>
      <c r="D2692" s="116">
        <v>3831.75</v>
      </c>
      <c r="E2692" s="116">
        <v>3880.8</v>
      </c>
      <c r="F2692" s="116">
        <v>3881.65</v>
      </c>
      <c r="G2692">
        <v>82729</v>
      </c>
      <c r="H2692" s="116"/>
      <c r="I2692" s="116"/>
      <c r="L2692" s="170">
        <v>45968</v>
      </c>
      <c r="M2692" s="116">
        <v>3882.5</v>
      </c>
      <c r="N2692" s="116">
        <v>3892.9</v>
      </c>
      <c r="O2692" s="116">
        <v>3831.1</v>
      </c>
      <c r="P2692" s="116">
        <v>3877.1</v>
      </c>
      <c r="Q2692" s="116">
        <v>3882.5</v>
      </c>
      <c r="R2692">
        <v>1577294</v>
      </c>
    </row>
    <row r="2693" spans="1:18" x14ac:dyDescent="0.25">
      <c r="A2693" s="170">
        <v>45971</v>
      </c>
      <c r="B2693" s="116">
        <v>3943</v>
      </c>
      <c r="C2693" s="116">
        <v>3919.05</v>
      </c>
      <c r="D2693" s="116">
        <v>3885.25</v>
      </c>
      <c r="E2693" s="116">
        <v>3885.25</v>
      </c>
      <c r="F2693" s="116">
        <v>3919.05</v>
      </c>
      <c r="G2693">
        <v>81045</v>
      </c>
      <c r="H2693" s="116"/>
      <c r="I2693" s="116"/>
      <c r="L2693" s="170">
        <v>45971</v>
      </c>
      <c r="M2693" s="116">
        <v>3918.5</v>
      </c>
      <c r="N2693" s="116">
        <v>3943.8</v>
      </c>
      <c r="O2693" s="116">
        <v>3894</v>
      </c>
      <c r="P2693" s="116">
        <v>3895</v>
      </c>
      <c r="Q2693" s="116">
        <v>3918.5</v>
      </c>
      <c r="R2693">
        <v>1397176</v>
      </c>
    </row>
    <row r="2694" spans="1:18" x14ac:dyDescent="0.25">
      <c r="A2694" s="170">
        <v>45972</v>
      </c>
      <c r="B2694" s="116">
        <v>3966.3</v>
      </c>
      <c r="C2694" s="116">
        <v>3953.35</v>
      </c>
      <c r="D2694" s="116">
        <v>3896.5</v>
      </c>
      <c r="E2694" s="116">
        <v>3921.5</v>
      </c>
      <c r="F2694" s="116">
        <v>3953.35</v>
      </c>
      <c r="G2694">
        <v>43248</v>
      </c>
      <c r="H2694" s="116"/>
      <c r="I2694" s="116"/>
      <c r="L2694" s="170">
        <v>45972</v>
      </c>
      <c r="M2694" s="116">
        <v>3955</v>
      </c>
      <c r="N2694" s="116">
        <v>3966.8</v>
      </c>
      <c r="O2694" s="116">
        <v>3897</v>
      </c>
      <c r="P2694" s="116">
        <v>3929</v>
      </c>
      <c r="Q2694" s="116">
        <v>3955</v>
      </c>
      <c r="R2694">
        <v>1775462</v>
      </c>
    </row>
    <row r="2695" spans="1:18" x14ac:dyDescent="0.25">
      <c r="A2695" s="170">
        <v>45973</v>
      </c>
      <c r="B2695" s="116">
        <v>3973.45</v>
      </c>
      <c r="C2695" s="116">
        <v>3953.35</v>
      </c>
      <c r="D2695" s="116">
        <v>3937.6</v>
      </c>
      <c r="E2695" s="116">
        <v>3970</v>
      </c>
      <c r="F2695" s="116">
        <v>3953.35</v>
      </c>
      <c r="G2695">
        <v>47364</v>
      </c>
      <c r="H2695" s="116"/>
      <c r="I2695" s="116"/>
      <c r="L2695" s="170">
        <v>45973</v>
      </c>
      <c r="M2695" s="116">
        <v>3954.6</v>
      </c>
      <c r="N2695" s="116">
        <v>3973.8</v>
      </c>
      <c r="O2695" s="116">
        <v>3936.9</v>
      </c>
      <c r="P2695" s="116">
        <v>3970</v>
      </c>
      <c r="Q2695" s="116">
        <v>3954.6</v>
      </c>
      <c r="R2695">
        <v>981350</v>
      </c>
    </row>
    <row r="2696" spans="1:18" x14ac:dyDescent="0.25">
      <c r="A2696" s="170">
        <v>45974</v>
      </c>
      <c r="B2696" s="116">
        <v>4022.7</v>
      </c>
      <c r="C2696" s="116">
        <v>4001.95</v>
      </c>
      <c r="D2696" s="116">
        <v>3927.1</v>
      </c>
      <c r="E2696" s="116">
        <v>3953.4</v>
      </c>
      <c r="F2696" s="116">
        <v>4001.95</v>
      </c>
      <c r="G2696">
        <v>311885</v>
      </c>
      <c r="H2696" s="116"/>
      <c r="I2696" s="116"/>
      <c r="L2696" s="170">
        <v>45974</v>
      </c>
      <c r="M2696" s="116">
        <v>4002.5</v>
      </c>
      <c r="N2696" s="116">
        <v>4022.9</v>
      </c>
      <c r="O2696" s="116">
        <v>3925.6</v>
      </c>
      <c r="P2696" s="116">
        <v>3954.6</v>
      </c>
      <c r="Q2696" s="116">
        <v>4002.5</v>
      </c>
      <c r="R2696">
        <v>1834962</v>
      </c>
    </row>
    <row r="2697" spans="1:18" x14ac:dyDescent="0.25">
      <c r="A2697" s="170">
        <v>45975</v>
      </c>
      <c r="B2697" s="116">
        <v>4010.1</v>
      </c>
      <c r="C2697" s="116">
        <v>3995.3</v>
      </c>
      <c r="D2697" s="116">
        <v>3971.5</v>
      </c>
      <c r="E2697" s="116">
        <v>4000</v>
      </c>
      <c r="F2697" s="116">
        <v>3995.3</v>
      </c>
      <c r="G2697">
        <v>39035</v>
      </c>
      <c r="H2697" s="116"/>
      <c r="I2697" s="116"/>
      <c r="L2697" s="170">
        <v>45975</v>
      </c>
      <c r="M2697" s="116">
        <v>4004.4</v>
      </c>
      <c r="N2697" s="116">
        <v>4011.5</v>
      </c>
      <c r="O2697" s="116">
        <v>3971.6</v>
      </c>
      <c r="P2697" s="116">
        <v>4002</v>
      </c>
      <c r="Q2697" s="116">
        <v>4004.4</v>
      </c>
      <c r="R2697">
        <v>1916910</v>
      </c>
    </row>
    <row r="2698" spans="1:18" x14ac:dyDescent="0.25">
      <c r="A2698" s="170">
        <v>45978</v>
      </c>
      <c r="B2698" s="116">
        <v>4030</v>
      </c>
      <c r="C2698" s="116">
        <v>4028.1</v>
      </c>
      <c r="D2698" s="116">
        <v>4001.75</v>
      </c>
      <c r="E2698" s="116">
        <v>4008</v>
      </c>
      <c r="F2698" s="116">
        <v>4028.1</v>
      </c>
      <c r="G2698">
        <v>29993</v>
      </c>
      <c r="H2698" s="116"/>
      <c r="I2698" s="116"/>
      <c r="L2698" s="170">
        <v>45978</v>
      </c>
      <c r="M2698" s="116">
        <v>4027.7</v>
      </c>
      <c r="N2698" s="116">
        <v>4030</v>
      </c>
      <c r="O2698" s="116">
        <v>4000.1</v>
      </c>
      <c r="P2698" s="116">
        <v>4004.4</v>
      </c>
      <c r="Q2698" s="116">
        <v>4027.7</v>
      </c>
      <c r="R2698">
        <v>1206133</v>
      </c>
    </row>
    <row r="2699" spans="1:18" x14ac:dyDescent="0.25">
      <c r="A2699" s="170">
        <v>45979</v>
      </c>
      <c r="B2699" s="116">
        <v>4022.9</v>
      </c>
      <c r="C2699" s="116">
        <v>3998.95</v>
      </c>
      <c r="D2699" s="116">
        <v>3977.4</v>
      </c>
      <c r="E2699" s="116">
        <v>4022</v>
      </c>
      <c r="F2699" s="116">
        <v>3998.95</v>
      </c>
      <c r="G2699">
        <v>25526</v>
      </c>
      <c r="H2699" s="116"/>
      <c r="I2699" s="116"/>
      <c r="L2699" s="170">
        <v>45979</v>
      </c>
      <c r="M2699" s="116">
        <v>3999.6</v>
      </c>
      <c r="N2699" s="116">
        <v>4026.8</v>
      </c>
      <c r="O2699" s="116">
        <v>3978.9</v>
      </c>
      <c r="P2699" s="116">
        <v>4020</v>
      </c>
      <c r="Q2699" s="116">
        <v>3999.6</v>
      </c>
      <c r="R2699">
        <v>1748928</v>
      </c>
    </row>
    <row r="2700" spans="1:18" x14ac:dyDescent="0.25">
      <c r="A2700" s="170">
        <v>45980</v>
      </c>
      <c r="B2700" s="116">
        <v>4025.95</v>
      </c>
      <c r="C2700" s="116">
        <v>4019.3</v>
      </c>
      <c r="D2700" s="116">
        <v>3982.45</v>
      </c>
      <c r="E2700" s="116">
        <v>3998.95</v>
      </c>
      <c r="F2700" s="116">
        <v>4019.3</v>
      </c>
      <c r="G2700">
        <v>49161</v>
      </c>
      <c r="H2700" s="116"/>
      <c r="I2700" s="116"/>
      <c r="L2700" s="170">
        <v>45980</v>
      </c>
      <c r="M2700" s="116">
        <v>4019.6</v>
      </c>
      <c r="N2700" s="116">
        <v>4026.5</v>
      </c>
      <c r="O2700" s="116">
        <v>3980.3</v>
      </c>
      <c r="P2700" s="116">
        <v>4007</v>
      </c>
      <c r="Q2700" s="116">
        <v>4019.6</v>
      </c>
      <c r="R2700">
        <v>923032</v>
      </c>
    </row>
    <row r="2701" spans="1:18" x14ac:dyDescent="0.25">
      <c r="A2701" s="170">
        <v>45981</v>
      </c>
      <c r="B2701" s="116">
        <v>4048.25</v>
      </c>
      <c r="C2701" s="116">
        <v>4037.7</v>
      </c>
      <c r="D2701" s="116">
        <v>4009.3</v>
      </c>
      <c r="E2701" s="116">
        <v>4031.4</v>
      </c>
      <c r="F2701" s="116">
        <v>4037.7</v>
      </c>
      <c r="G2701">
        <v>304677</v>
      </c>
      <c r="H2701" s="116"/>
      <c r="I2701" s="116"/>
      <c r="L2701" s="170">
        <v>45981</v>
      </c>
      <c r="M2701" s="116">
        <v>4037.4</v>
      </c>
      <c r="N2701" s="116">
        <v>4048</v>
      </c>
      <c r="O2701" s="116">
        <v>4007.7</v>
      </c>
      <c r="P2701" s="116">
        <v>4035</v>
      </c>
      <c r="Q2701" s="116">
        <v>4037.4</v>
      </c>
      <c r="R2701">
        <v>1463574</v>
      </c>
    </row>
    <row r="2702" spans="1:18" x14ac:dyDescent="0.25">
      <c r="A2702" s="170">
        <v>45982</v>
      </c>
      <c r="B2702" s="116">
        <v>4056</v>
      </c>
      <c r="C2702" s="116">
        <v>4023.5</v>
      </c>
      <c r="D2702" s="116">
        <v>4016.45</v>
      </c>
      <c r="E2702" s="116">
        <v>4025</v>
      </c>
      <c r="F2702" s="116">
        <v>4023.5</v>
      </c>
      <c r="G2702">
        <v>42194</v>
      </c>
      <c r="H2702" s="116"/>
      <c r="I2702" s="116"/>
      <c r="L2702" s="170">
        <v>45982</v>
      </c>
      <c r="M2702" s="116">
        <v>4024.9</v>
      </c>
      <c r="N2702" s="116">
        <v>4057</v>
      </c>
      <c r="O2702" s="116">
        <v>4015.2</v>
      </c>
      <c r="P2702" s="116">
        <v>4026</v>
      </c>
      <c r="Q2702" s="116">
        <v>4024.9</v>
      </c>
      <c r="R2702">
        <v>1241149</v>
      </c>
    </row>
    <row r="2703" spans="1:18" x14ac:dyDescent="0.25">
      <c r="A2703" s="170">
        <v>45985</v>
      </c>
      <c r="B2703" s="116">
        <v>4039.6</v>
      </c>
      <c r="C2703" s="116">
        <v>4013.3</v>
      </c>
      <c r="D2703" s="116">
        <v>4004</v>
      </c>
      <c r="E2703" s="116">
        <v>4023.5</v>
      </c>
      <c r="F2703" s="116">
        <v>4013.3</v>
      </c>
      <c r="G2703">
        <v>21563</v>
      </c>
      <c r="H2703" s="116"/>
      <c r="I2703" s="116"/>
      <c r="L2703" s="170">
        <v>45985</v>
      </c>
      <c r="M2703" s="116">
        <v>4013.3</v>
      </c>
      <c r="N2703" s="116">
        <v>4038</v>
      </c>
      <c r="O2703" s="116">
        <v>4003.7</v>
      </c>
      <c r="P2703" s="116">
        <v>4025</v>
      </c>
      <c r="Q2703" s="116">
        <v>4013.3</v>
      </c>
      <c r="R2703">
        <v>1584741</v>
      </c>
    </row>
    <row r="2704" spans="1:18" x14ac:dyDescent="0.25">
      <c r="A2704" s="170">
        <v>45986</v>
      </c>
      <c r="B2704" s="116">
        <v>4054.65</v>
      </c>
      <c r="C2704" s="116">
        <v>3995.8</v>
      </c>
      <c r="D2704" s="116">
        <v>3980.65</v>
      </c>
      <c r="E2704" s="116">
        <v>4003.2</v>
      </c>
      <c r="F2704" s="116">
        <v>3995.8</v>
      </c>
      <c r="G2704">
        <v>42398</v>
      </c>
      <c r="H2704" s="116"/>
      <c r="I2704" s="116"/>
      <c r="L2704" s="170">
        <v>45986</v>
      </c>
      <c r="M2704" s="116">
        <v>3996.7</v>
      </c>
      <c r="N2704" s="116">
        <v>4055.5</v>
      </c>
      <c r="O2704" s="116">
        <v>3981.6</v>
      </c>
      <c r="P2704" s="116">
        <v>4013</v>
      </c>
      <c r="Q2704" s="116">
        <v>3996.7</v>
      </c>
      <c r="R2704">
        <v>1749083</v>
      </c>
    </row>
    <row r="2705" spans="1:18" x14ac:dyDescent="0.25">
      <c r="A2705" s="170">
        <v>45987</v>
      </c>
      <c r="B2705" s="116">
        <v>4075.55</v>
      </c>
      <c r="C2705" s="116">
        <v>4061.1</v>
      </c>
      <c r="D2705" s="116">
        <v>4000</v>
      </c>
      <c r="E2705" s="116">
        <v>4002.9</v>
      </c>
      <c r="F2705" s="116">
        <v>4061.1</v>
      </c>
      <c r="G2705">
        <v>194577</v>
      </c>
      <c r="H2705" s="116"/>
      <c r="I2705" s="116"/>
      <c r="L2705" s="170">
        <v>45987</v>
      </c>
      <c r="M2705" s="116">
        <v>4062</v>
      </c>
      <c r="N2705" s="116">
        <v>4074.6</v>
      </c>
      <c r="O2705" s="116">
        <v>3998</v>
      </c>
      <c r="P2705" s="116">
        <v>3999</v>
      </c>
      <c r="Q2705" s="116">
        <v>4062</v>
      </c>
      <c r="R2705">
        <v>2058237</v>
      </c>
    </row>
    <row r="2706" spans="1:18" x14ac:dyDescent="0.25">
      <c r="A2706" s="170">
        <v>45988</v>
      </c>
      <c r="B2706" s="116">
        <v>4139</v>
      </c>
      <c r="C2706" s="116">
        <v>4082.05</v>
      </c>
      <c r="D2706" s="116">
        <v>4061.1</v>
      </c>
      <c r="E2706" s="116">
        <v>4063.45</v>
      </c>
      <c r="F2706" s="116">
        <v>4082.05</v>
      </c>
      <c r="G2706">
        <v>480414</v>
      </c>
      <c r="H2706" s="116"/>
      <c r="I2706" s="116"/>
      <c r="L2706" s="170">
        <v>45988</v>
      </c>
      <c r="M2706" s="116">
        <v>4081.3</v>
      </c>
      <c r="N2706" s="116">
        <v>4140</v>
      </c>
      <c r="O2706" s="116">
        <v>4059.6</v>
      </c>
      <c r="P2706" s="116">
        <v>4071</v>
      </c>
      <c r="Q2706" s="116">
        <v>4081.3</v>
      </c>
      <c r="R2706">
        <v>2225064</v>
      </c>
    </row>
    <row r="2707" spans="1:18" x14ac:dyDescent="0.25">
      <c r="A2707" s="170">
        <v>45989</v>
      </c>
      <c r="B2707" s="116">
        <v>4103.6000000000004</v>
      </c>
      <c r="C2707" s="116">
        <v>4068.5</v>
      </c>
      <c r="D2707" s="116">
        <v>4055</v>
      </c>
      <c r="E2707" s="116">
        <v>4093.95</v>
      </c>
      <c r="F2707" s="116">
        <v>4068.5</v>
      </c>
      <c r="G2707">
        <v>42061</v>
      </c>
      <c r="H2707" s="116"/>
      <c r="I2707" s="116"/>
      <c r="L2707" s="170">
        <v>45989</v>
      </c>
      <c r="M2707" s="116">
        <v>4069.6</v>
      </c>
      <c r="N2707" s="116">
        <v>4104.2</v>
      </c>
      <c r="O2707" s="116">
        <v>4054.7</v>
      </c>
      <c r="P2707" s="116">
        <v>4085</v>
      </c>
      <c r="Q2707" s="116">
        <v>4069.6</v>
      </c>
      <c r="R2707">
        <v>1318133</v>
      </c>
    </row>
    <row r="2708" spans="1:18" x14ac:dyDescent="0.25">
      <c r="A2708" s="170">
        <v>45992</v>
      </c>
      <c r="B2708" s="116">
        <v>4103</v>
      </c>
      <c r="C2708" s="116">
        <v>4071.1</v>
      </c>
      <c r="D2708" s="116">
        <v>4050.5</v>
      </c>
      <c r="E2708" s="116">
        <v>4099.8</v>
      </c>
      <c r="F2708" s="116">
        <v>4071.1</v>
      </c>
      <c r="G2708">
        <v>34532</v>
      </c>
      <c r="H2708" s="116"/>
      <c r="I2708" s="116"/>
      <c r="L2708" s="170">
        <v>45992</v>
      </c>
      <c r="M2708" s="116">
        <v>4073.2</v>
      </c>
      <c r="N2708" s="116">
        <v>4103.3999999999996</v>
      </c>
      <c r="O2708" s="116">
        <v>4050</v>
      </c>
      <c r="P2708" s="116">
        <v>4087</v>
      </c>
      <c r="Q2708" s="116">
        <v>4073.2</v>
      </c>
      <c r="R2708">
        <v>1251770</v>
      </c>
    </row>
    <row r="2709" spans="1:18" x14ac:dyDescent="0.25">
      <c r="A2709" s="170">
        <v>45993</v>
      </c>
      <c r="B2709">
        <v>4085.95</v>
      </c>
      <c r="C2709">
        <v>4030.8</v>
      </c>
      <c r="D2709">
        <v>4026.1</v>
      </c>
      <c r="E2709">
        <v>4071.1</v>
      </c>
      <c r="F2709">
        <v>4030.8</v>
      </c>
      <c r="G2709">
        <v>20725</v>
      </c>
      <c r="H2709" s="116"/>
      <c r="I2709" s="116"/>
      <c r="L2709" s="170">
        <v>45993</v>
      </c>
      <c r="M2709" s="116">
        <v>4030.5</v>
      </c>
      <c r="N2709" s="116">
        <v>4088.6</v>
      </c>
      <c r="O2709" s="116">
        <v>4023.8</v>
      </c>
      <c r="P2709" s="116">
        <v>4066.5</v>
      </c>
      <c r="Q2709" s="116">
        <v>4030.5</v>
      </c>
      <c r="R2709">
        <v>1490917</v>
      </c>
    </row>
    <row r="2710" spans="1:18" x14ac:dyDescent="0.25">
      <c r="A2710" s="170">
        <v>45994</v>
      </c>
      <c r="B2710">
        <v>4048.65</v>
      </c>
      <c r="C2710">
        <v>3987.45</v>
      </c>
      <c r="D2710">
        <v>3970</v>
      </c>
      <c r="E2710">
        <v>4048.65</v>
      </c>
      <c r="F2710">
        <v>3987.45</v>
      </c>
      <c r="G2710">
        <v>73459</v>
      </c>
      <c r="H2710" s="116"/>
      <c r="I2710" s="116"/>
      <c r="L2710" s="170">
        <v>45994</v>
      </c>
      <c r="M2710" s="116">
        <v>3988</v>
      </c>
      <c r="N2710" s="116">
        <v>4046.9</v>
      </c>
      <c r="O2710" s="116">
        <v>3970.1</v>
      </c>
      <c r="P2710" s="116">
        <v>4032</v>
      </c>
      <c r="Q2710" s="116">
        <v>3988</v>
      </c>
      <c r="R2710">
        <v>1123990</v>
      </c>
    </row>
    <row r="2711" spans="1:18" x14ac:dyDescent="0.25">
      <c r="A2711" s="170">
        <v>45995</v>
      </c>
      <c r="B2711">
        <v>4009.85</v>
      </c>
      <c r="C2711">
        <v>3985</v>
      </c>
      <c r="D2711">
        <v>3963.1</v>
      </c>
      <c r="E2711">
        <v>3989.15</v>
      </c>
      <c r="F2711">
        <v>3985</v>
      </c>
      <c r="G2711">
        <v>419960</v>
      </c>
      <c r="H2711" s="116"/>
      <c r="I2711" s="116"/>
      <c r="L2711" s="170">
        <v>45995</v>
      </c>
      <c r="M2711" s="116">
        <v>3983.6</v>
      </c>
      <c r="N2711" s="116">
        <v>4009.2</v>
      </c>
      <c r="O2711" s="116">
        <v>3961.7</v>
      </c>
      <c r="P2711" s="116">
        <v>3990</v>
      </c>
      <c r="Q2711" s="116">
        <v>3983.6</v>
      </c>
      <c r="R2711">
        <v>1026968</v>
      </c>
    </row>
    <row r="2712" spans="1:18" x14ac:dyDescent="0.25">
      <c r="A2712" s="170">
        <v>45996</v>
      </c>
      <c r="B2712">
        <v>4047.25</v>
      </c>
      <c r="C2712">
        <v>4038</v>
      </c>
      <c r="D2712">
        <v>3976.75</v>
      </c>
      <c r="E2712">
        <v>3999</v>
      </c>
      <c r="F2712">
        <v>4038</v>
      </c>
      <c r="G2712">
        <v>59772</v>
      </c>
      <c r="H2712" s="116"/>
      <c r="I2712" s="116"/>
      <c r="L2712" s="170">
        <v>45996</v>
      </c>
      <c r="M2712" s="116">
        <v>4038.2</v>
      </c>
      <c r="N2712" s="116">
        <v>4048</v>
      </c>
      <c r="O2712" s="116">
        <v>3975.1</v>
      </c>
      <c r="P2712" s="116">
        <v>3999</v>
      </c>
      <c r="Q2712" s="116">
        <v>4038.2</v>
      </c>
      <c r="R2712">
        <v>1073758</v>
      </c>
    </row>
    <row r="2713" spans="1:18" x14ac:dyDescent="0.25">
      <c r="A2713" s="170">
        <v>45999</v>
      </c>
      <c r="B2713">
        <v>4045.9</v>
      </c>
      <c r="C2713">
        <v>3995.7</v>
      </c>
      <c r="D2713">
        <v>3978.05</v>
      </c>
      <c r="E2713">
        <v>4045</v>
      </c>
      <c r="F2713">
        <v>3995.7</v>
      </c>
      <c r="G2713">
        <v>22419</v>
      </c>
      <c r="H2713" s="116"/>
      <c r="I2713" s="116"/>
      <c r="L2713" s="170">
        <v>45999</v>
      </c>
      <c r="M2713" s="116">
        <v>3996.7</v>
      </c>
      <c r="N2713" s="116">
        <v>4047.9</v>
      </c>
      <c r="O2713" s="116">
        <v>3976.9</v>
      </c>
      <c r="P2713" s="116">
        <v>4047</v>
      </c>
      <c r="Q2713" s="116">
        <v>3996.7</v>
      </c>
      <c r="R2713">
        <v>1127841</v>
      </c>
    </row>
    <row r="2714" spans="1:18" x14ac:dyDescent="0.25">
      <c r="A2714" s="170">
        <v>46000</v>
      </c>
      <c r="B2714">
        <v>4017</v>
      </c>
      <c r="C2714">
        <v>3998.1</v>
      </c>
      <c r="D2714">
        <v>3948.05</v>
      </c>
      <c r="E2714">
        <v>3969.55</v>
      </c>
      <c r="F2714">
        <v>3998.1</v>
      </c>
      <c r="G2714">
        <v>39822</v>
      </c>
      <c r="H2714" s="116"/>
      <c r="I2714" s="116"/>
      <c r="L2714" s="170">
        <v>46000</v>
      </c>
      <c r="M2714" s="116">
        <v>3997.5</v>
      </c>
      <c r="N2714" s="116">
        <v>4019.9</v>
      </c>
      <c r="O2714" s="116">
        <v>3949.1</v>
      </c>
      <c r="P2714" s="116">
        <v>3990</v>
      </c>
      <c r="Q2714" s="116">
        <v>3997.5</v>
      </c>
      <c r="R2714">
        <v>1788464</v>
      </c>
    </row>
    <row r="2715" spans="1:18" x14ac:dyDescent="0.25">
      <c r="A2715" s="170">
        <v>46001</v>
      </c>
      <c r="B2715">
        <v>4030</v>
      </c>
      <c r="C2715">
        <v>3989.05</v>
      </c>
      <c r="D2715">
        <v>3968.85</v>
      </c>
      <c r="E2715">
        <v>4000</v>
      </c>
      <c r="F2715">
        <v>3989.05</v>
      </c>
      <c r="G2715">
        <v>128426</v>
      </c>
      <c r="H2715" s="116"/>
      <c r="I2715" s="116"/>
      <c r="L2715" s="170">
        <v>46001</v>
      </c>
      <c r="M2715" s="116">
        <v>3991.3</v>
      </c>
      <c r="N2715" s="116">
        <v>4030</v>
      </c>
      <c r="O2715" s="116">
        <v>3970</v>
      </c>
      <c r="P2715" s="116">
        <v>4000</v>
      </c>
      <c r="Q2715" s="116">
        <v>3991.3</v>
      </c>
      <c r="R2715">
        <v>957277</v>
      </c>
    </row>
    <row r="2716" spans="1:18" x14ac:dyDescent="0.25">
      <c r="A2716" s="170">
        <v>46002</v>
      </c>
      <c r="B2716">
        <v>4014.85</v>
      </c>
      <c r="C2716">
        <v>4005.2</v>
      </c>
      <c r="D2716">
        <v>3985.55</v>
      </c>
      <c r="E2716">
        <v>3989.1</v>
      </c>
      <c r="F2716">
        <v>4005.2</v>
      </c>
      <c r="G2716">
        <v>358628</v>
      </c>
      <c r="H2716" s="116"/>
      <c r="I2716" s="116"/>
      <c r="L2716" s="170">
        <v>46002</v>
      </c>
      <c r="M2716" s="116">
        <v>4003.9</v>
      </c>
      <c r="N2716" s="116">
        <v>4015</v>
      </c>
      <c r="O2716" s="116">
        <v>3984.6</v>
      </c>
      <c r="P2716" s="116">
        <v>3993.2</v>
      </c>
      <c r="Q2716" s="116">
        <v>4003.9</v>
      </c>
      <c r="R2716">
        <v>841371</v>
      </c>
    </row>
    <row r="2717" spans="1:18" x14ac:dyDescent="0.25">
      <c r="A2717" s="170">
        <v>46003</v>
      </c>
      <c r="B2717">
        <v>4109</v>
      </c>
      <c r="C2717">
        <v>4073.7</v>
      </c>
      <c r="D2717">
        <v>4048.05</v>
      </c>
      <c r="E2717">
        <v>4055.6</v>
      </c>
      <c r="F2717">
        <v>4073.7</v>
      </c>
      <c r="G2717">
        <v>145450</v>
      </c>
      <c r="H2717" s="116"/>
      <c r="I2717" s="116"/>
      <c r="L2717" s="170">
        <v>46003</v>
      </c>
      <c r="M2717" s="116">
        <v>4074.1</v>
      </c>
      <c r="N2717" s="116">
        <v>4114</v>
      </c>
      <c r="O2717" s="116">
        <v>4048.6</v>
      </c>
      <c r="P2717" s="116">
        <v>4061</v>
      </c>
      <c r="Q2717" s="116">
        <v>4074.1</v>
      </c>
      <c r="R2717">
        <v>2207898</v>
      </c>
    </row>
    <row r="2718" spans="1:18" x14ac:dyDescent="0.25">
      <c r="A2718" s="170">
        <v>46006</v>
      </c>
      <c r="B2718">
        <v>4094.95</v>
      </c>
      <c r="C2718">
        <v>4090.95</v>
      </c>
      <c r="D2718">
        <v>4062.05</v>
      </c>
      <c r="E2718">
        <v>4084.35</v>
      </c>
      <c r="F2718">
        <v>4090.95</v>
      </c>
      <c r="G2718">
        <v>17700</v>
      </c>
      <c r="H2718" s="116"/>
      <c r="I2718" s="116"/>
      <c r="L2718" s="170">
        <v>46006</v>
      </c>
      <c r="M2718" s="116">
        <v>4092.3</v>
      </c>
      <c r="N2718" s="116">
        <v>4096</v>
      </c>
      <c r="O2718" s="116">
        <v>4063.8</v>
      </c>
      <c r="P2718" s="116">
        <v>4072.8</v>
      </c>
      <c r="Q2718" s="116">
        <v>4092.3</v>
      </c>
      <c r="R2718">
        <v>1064975</v>
      </c>
    </row>
    <row r="2719" spans="1:18" x14ac:dyDescent="0.25">
      <c r="A2719" s="170">
        <v>46007</v>
      </c>
      <c r="B2719">
        <v>4099</v>
      </c>
      <c r="C2719">
        <v>4062.35</v>
      </c>
      <c r="D2719">
        <v>4043.45</v>
      </c>
      <c r="E2719">
        <v>4088.35</v>
      </c>
      <c r="F2719">
        <v>4062.35</v>
      </c>
      <c r="G2719">
        <v>24133</v>
      </c>
      <c r="H2719" s="116"/>
      <c r="I2719" s="116"/>
      <c r="L2719" s="170">
        <v>46007</v>
      </c>
      <c r="M2719" s="116">
        <v>4063.8</v>
      </c>
      <c r="N2719" s="116">
        <v>4103.8</v>
      </c>
      <c r="O2719" s="116">
        <v>4051.2</v>
      </c>
      <c r="P2719" s="116">
        <v>4083.7</v>
      </c>
      <c r="Q2719" s="116">
        <v>4063.8</v>
      </c>
      <c r="R2719">
        <v>2199214</v>
      </c>
    </row>
    <row r="2720" spans="1:18" x14ac:dyDescent="0.25">
      <c r="A2720" s="170">
        <v>46008</v>
      </c>
      <c r="B2720">
        <v>4081.5</v>
      </c>
      <c r="C2720">
        <v>4062.6</v>
      </c>
      <c r="D2720">
        <v>4039</v>
      </c>
      <c r="E2720">
        <v>4081.5</v>
      </c>
      <c r="F2720">
        <v>4062.6</v>
      </c>
      <c r="G2720">
        <v>16331</v>
      </c>
      <c r="H2720" s="116"/>
      <c r="I2720" s="116"/>
      <c r="L2720" s="170">
        <v>46008</v>
      </c>
      <c r="M2720" s="116">
        <v>4062.4</v>
      </c>
      <c r="N2720" s="116">
        <v>4079</v>
      </c>
      <c r="O2720" s="116">
        <v>4040</v>
      </c>
      <c r="P2720" s="116">
        <v>4079</v>
      </c>
      <c r="Q2720" s="116">
        <v>4062.4</v>
      </c>
      <c r="R2720">
        <v>1087334</v>
      </c>
    </row>
    <row r="2721" spans="1:18" x14ac:dyDescent="0.25">
      <c r="A2721" s="170">
        <v>46009</v>
      </c>
      <c r="B2721">
        <v>4074.65</v>
      </c>
      <c r="C2721">
        <v>4032</v>
      </c>
      <c r="D2721">
        <v>4022.75</v>
      </c>
      <c r="E2721">
        <v>4074.65</v>
      </c>
      <c r="F2721">
        <v>4032</v>
      </c>
      <c r="G2721">
        <v>234376</v>
      </c>
      <c r="H2721" s="116"/>
      <c r="I2721" s="116"/>
      <c r="L2721" s="170">
        <v>46009</v>
      </c>
      <c r="M2721" s="116">
        <v>4031.1</v>
      </c>
      <c r="N2721" s="116">
        <v>4071.8</v>
      </c>
      <c r="O2721" s="116">
        <v>4023.4</v>
      </c>
      <c r="P2721" s="116">
        <v>4067</v>
      </c>
      <c r="Q2721" s="116">
        <v>4031.1</v>
      </c>
      <c r="R2721">
        <v>1004303</v>
      </c>
    </row>
    <row r="2722" spans="1:18" x14ac:dyDescent="0.25">
      <c r="A2722" s="170">
        <v>46010</v>
      </c>
      <c r="B2722">
        <v>4091</v>
      </c>
      <c r="C2722">
        <v>4074.2</v>
      </c>
      <c r="D2722">
        <v>4036.05</v>
      </c>
      <c r="E2722">
        <v>4036.05</v>
      </c>
      <c r="F2722">
        <v>4074.2</v>
      </c>
      <c r="G2722">
        <v>228276</v>
      </c>
      <c r="H2722" s="116"/>
      <c r="I2722" s="116"/>
      <c r="L2722" s="170">
        <v>46010</v>
      </c>
      <c r="M2722" s="116">
        <v>4073.5</v>
      </c>
      <c r="N2722" s="116">
        <v>4091.5</v>
      </c>
      <c r="O2722" s="116">
        <v>4040.1</v>
      </c>
      <c r="P2722" s="116">
        <v>4040.1</v>
      </c>
      <c r="Q2722" s="116">
        <v>4073.5</v>
      </c>
      <c r="R2722">
        <v>1327935</v>
      </c>
    </row>
    <row r="2723" spans="1:18" x14ac:dyDescent="0.25">
      <c r="A2723" s="170">
        <v>46013</v>
      </c>
      <c r="B2723">
        <v>4096.55</v>
      </c>
      <c r="C2723">
        <v>4071.5</v>
      </c>
      <c r="D2723">
        <v>4068.05</v>
      </c>
      <c r="E2723">
        <v>4074.2</v>
      </c>
      <c r="F2723">
        <v>4071.5</v>
      </c>
      <c r="G2723">
        <v>35659</v>
      </c>
      <c r="H2723" s="116"/>
      <c r="I2723" s="116"/>
      <c r="L2723" s="170">
        <v>46013</v>
      </c>
      <c r="M2723" s="116">
        <v>4072.4</v>
      </c>
      <c r="N2723" s="116">
        <v>4098.5</v>
      </c>
      <c r="O2723" s="116">
        <v>4068.5</v>
      </c>
      <c r="P2723" s="116">
        <v>4081</v>
      </c>
      <c r="Q2723" s="116">
        <v>4072.4</v>
      </c>
      <c r="R2723">
        <v>764774</v>
      </c>
    </row>
    <row r="2724" spans="1:18" x14ac:dyDescent="0.25">
      <c r="A2724" s="170">
        <v>46014</v>
      </c>
      <c r="B2724">
        <v>4095</v>
      </c>
      <c r="C2724">
        <v>4059.15</v>
      </c>
      <c r="D2724">
        <v>4053.75</v>
      </c>
      <c r="E2724">
        <v>4073.15</v>
      </c>
      <c r="F2724">
        <v>4059.15</v>
      </c>
      <c r="G2724">
        <v>44203</v>
      </c>
      <c r="H2724" s="116"/>
      <c r="I2724" s="116"/>
      <c r="L2724" s="170">
        <v>46014</v>
      </c>
      <c r="M2724" s="116">
        <v>4058.8</v>
      </c>
      <c r="N2724" s="116">
        <v>4095</v>
      </c>
      <c r="O2724" s="116">
        <v>4053.3</v>
      </c>
      <c r="P2724" s="116">
        <v>4089</v>
      </c>
      <c r="Q2724" s="116">
        <v>4058.8</v>
      </c>
      <c r="R2724">
        <v>1867147</v>
      </c>
    </row>
    <row r="2725" spans="1:18" x14ac:dyDescent="0.25">
      <c r="A2725" s="170">
        <v>46015</v>
      </c>
      <c r="B2725">
        <v>4079.95</v>
      </c>
      <c r="C2725">
        <v>4052.8</v>
      </c>
      <c r="D2725">
        <v>4047.25</v>
      </c>
      <c r="E2725">
        <v>4059.35</v>
      </c>
      <c r="F2725">
        <v>4052.8</v>
      </c>
      <c r="G2725">
        <v>134881</v>
      </c>
      <c r="H2725" s="116"/>
      <c r="I2725" s="116"/>
      <c r="L2725" s="170">
        <v>46015</v>
      </c>
      <c r="M2725" s="116">
        <v>4053.6</v>
      </c>
      <c r="N2725" s="116">
        <v>4080.7</v>
      </c>
      <c r="O2725" s="116">
        <v>4048.1</v>
      </c>
      <c r="P2725" s="116">
        <v>4065</v>
      </c>
      <c r="Q2725" s="116">
        <v>4053.6</v>
      </c>
      <c r="R2725">
        <v>1021436</v>
      </c>
    </row>
    <row r="2726" spans="1:18" x14ac:dyDescent="0.25">
      <c r="A2726" s="170">
        <v>46017</v>
      </c>
      <c r="B2726">
        <v>4057.75</v>
      </c>
      <c r="C2726">
        <v>4045.1</v>
      </c>
      <c r="D2726">
        <v>4028.95</v>
      </c>
      <c r="E2726">
        <v>4045.4</v>
      </c>
      <c r="F2726">
        <v>4045.1</v>
      </c>
      <c r="G2726">
        <v>17106</v>
      </c>
      <c r="H2726" s="116"/>
      <c r="I2726" s="116"/>
      <c r="L2726" s="170">
        <v>46017</v>
      </c>
      <c r="M2726" s="116">
        <v>4047.3</v>
      </c>
      <c r="N2726" s="116">
        <v>4061.5</v>
      </c>
      <c r="O2726" s="116">
        <v>4030.2</v>
      </c>
      <c r="P2726" s="116">
        <v>4052</v>
      </c>
      <c r="Q2726" s="116">
        <v>4047.3</v>
      </c>
      <c r="R2726">
        <v>594330</v>
      </c>
    </row>
    <row r="2727" spans="1:18" x14ac:dyDescent="0.25">
      <c r="A2727" s="170">
        <v>46020</v>
      </c>
      <c r="B2727">
        <v>4060.5</v>
      </c>
      <c r="C2727">
        <v>4038.15</v>
      </c>
      <c r="D2727">
        <v>4032.8</v>
      </c>
      <c r="E2727">
        <v>4032.8</v>
      </c>
      <c r="F2727">
        <v>4038.15</v>
      </c>
      <c r="G2727">
        <v>45511</v>
      </c>
      <c r="H2727" s="116"/>
      <c r="I2727" s="116"/>
      <c r="L2727" s="170">
        <v>46020</v>
      </c>
      <c r="M2727" s="116">
        <v>4038.7</v>
      </c>
      <c r="N2727" s="116">
        <v>4061.1</v>
      </c>
      <c r="O2727" s="116">
        <v>4033.4</v>
      </c>
      <c r="P2727" s="116">
        <v>4053</v>
      </c>
      <c r="Q2727" s="116">
        <v>4038.7</v>
      </c>
      <c r="R2727">
        <v>952143</v>
      </c>
    </row>
    <row r="2728" spans="1:18" x14ac:dyDescent="0.25">
      <c r="A2728" s="170">
        <v>46021</v>
      </c>
      <c r="B2728">
        <v>4063</v>
      </c>
      <c r="C2728">
        <v>4051.8</v>
      </c>
      <c r="D2728">
        <v>4008.05</v>
      </c>
      <c r="E2728">
        <v>4048.3</v>
      </c>
      <c r="F2728">
        <v>4051.8</v>
      </c>
      <c r="G2728">
        <v>92850</v>
      </c>
      <c r="H2728" s="116"/>
      <c r="I2728" s="116"/>
      <c r="L2728" s="170">
        <v>46021</v>
      </c>
      <c r="M2728" s="116">
        <v>4052</v>
      </c>
      <c r="N2728" s="116">
        <v>4063.9</v>
      </c>
      <c r="O2728" s="116">
        <v>4006.2</v>
      </c>
      <c r="P2728" s="116">
        <v>4039</v>
      </c>
      <c r="Q2728" s="116">
        <v>4052</v>
      </c>
      <c r="R2728">
        <v>1362208</v>
      </c>
    </row>
    <row r="2729" spans="1:18" x14ac:dyDescent="0.25">
      <c r="A2729" s="170">
        <v>46022</v>
      </c>
      <c r="B2729">
        <v>4094.7</v>
      </c>
      <c r="C2729">
        <v>4083.1</v>
      </c>
      <c r="D2729">
        <v>4047</v>
      </c>
      <c r="E2729">
        <v>4060</v>
      </c>
      <c r="F2729">
        <v>4083.1</v>
      </c>
      <c r="G2729">
        <v>65582</v>
      </c>
      <c r="H2729" s="116"/>
      <c r="I2729" s="116"/>
      <c r="L2729" s="170">
        <v>46022</v>
      </c>
      <c r="M2729" s="116">
        <v>4083.5</v>
      </c>
      <c r="N2729" s="116">
        <v>4094.5</v>
      </c>
      <c r="O2729" s="116">
        <v>4048</v>
      </c>
      <c r="P2729" s="116">
        <v>4058</v>
      </c>
      <c r="Q2729" s="116">
        <v>4083.5</v>
      </c>
      <c r="R2729">
        <v>1160164</v>
      </c>
    </row>
    <row r="2730" spans="1:18" x14ac:dyDescent="0.25">
      <c r="A2730" s="170">
        <v>46023</v>
      </c>
      <c r="B2730">
        <v>4148</v>
      </c>
      <c r="C2730">
        <v>4139.45</v>
      </c>
      <c r="D2730">
        <v>4084.8</v>
      </c>
      <c r="E2730">
        <v>4084.8</v>
      </c>
      <c r="F2730">
        <v>4139.45</v>
      </c>
      <c r="G2730">
        <v>182641</v>
      </c>
      <c r="H2730" s="116"/>
      <c r="I2730" s="116"/>
      <c r="L2730" s="170">
        <v>46023</v>
      </c>
      <c r="M2730" s="116">
        <v>4140.3999999999996</v>
      </c>
      <c r="N2730" s="116">
        <v>4146.8</v>
      </c>
      <c r="O2730" s="116">
        <v>4088.3</v>
      </c>
      <c r="P2730" s="116">
        <v>4090</v>
      </c>
      <c r="Q2730" s="116">
        <v>4140.3999999999996</v>
      </c>
      <c r="R2730">
        <v>1360716</v>
      </c>
    </row>
    <row r="2731" spans="1:18" x14ac:dyDescent="0.25">
      <c r="A2731" s="170">
        <v>46024</v>
      </c>
      <c r="B2731">
        <v>4172.8999999999996</v>
      </c>
      <c r="C2731">
        <v>4162.8999999999996</v>
      </c>
      <c r="D2731">
        <v>4128.7</v>
      </c>
      <c r="E2731">
        <v>4140.3999999999996</v>
      </c>
      <c r="F2731">
        <v>4162.8999999999996</v>
      </c>
      <c r="G2731">
        <v>83138</v>
      </c>
      <c r="H2731" s="116"/>
      <c r="I2731" s="116"/>
      <c r="L2731" s="170">
        <v>46024</v>
      </c>
      <c r="M2731" s="116">
        <v>4163.3999999999996</v>
      </c>
      <c r="N2731" s="116">
        <v>4172.7</v>
      </c>
      <c r="O2731" s="116">
        <v>4127.1000000000004</v>
      </c>
      <c r="P2731" s="116">
        <v>4138.1000000000004</v>
      </c>
      <c r="Q2731" s="116">
        <v>4163.3999999999996</v>
      </c>
      <c r="R2731">
        <v>984027</v>
      </c>
    </row>
    <row r="2732" spans="1:18" x14ac:dyDescent="0.25">
      <c r="A2732" s="170">
        <v>46027</v>
      </c>
      <c r="B2732">
        <v>4194.7</v>
      </c>
      <c r="C2732">
        <v>4148.8500000000004</v>
      </c>
      <c r="D2732">
        <v>4133.8999999999996</v>
      </c>
      <c r="E2732">
        <v>4164.3999999999996</v>
      </c>
      <c r="F2732">
        <v>4148.8500000000004</v>
      </c>
      <c r="G2732">
        <v>26252</v>
      </c>
      <c r="H2732" s="116"/>
      <c r="I2732" s="116"/>
      <c r="L2732" s="170">
        <v>46027</v>
      </c>
      <c r="M2732" s="116">
        <v>4150.3999999999996</v>
      </c>
      <c r="N2732" s="116">
        <v>4195</v>
      </c>
      <c r="O2732" s="116">
        <v>4132.8</v>
      </c>
      <c r="P2732" s="116">
        <v>4162.8999999999996</v>
      </c>
      <c r="Q2732" s="116">
        <v>4150.3999999999996</v>
      </c>
      <c r="R2732">
        <v>1167460</v>
      </c>
    </row>
    <row r="2733" spans="1:18" x14ac:dyDescent="0.25">
      <c r="A2733" s="170">
        <v>46028</v>
      </c>
      <c r="B2733">
        <v>4184.8999999999996</v>
      </c>
      <c r="C2733">
        <v>4141.3</v>
      </c>
      <c r="D2733">
        <v>4132</v>
      </c>
      <c r="E2733">
        <v>4149.6499999999996</v>
      </c>
      <c r="F2733">
        <v>4141.3</v>
      </c>
      <c r="G2733">
        <v>29506</v>
      </c>
      <c r="H2733" s="116"/>
      <c r="I2733" s="116"/>
      <c r="L2733" s="170">
        <v>46028</v>
      </c>
      <c r="M2733" s="116">
        <v>4140.6000000000004</v>
      </c>
      <c r="N2733" s="116">
        <v>4185</v>
      </c>
      <c r="O2733" s="116">
        <v>4129.8999999999996</v>
      </c>
      <c r="P2733" s="116">
        <v>4153</v>
      </c>
      <c r="Q2733" s="116">
        <v>4140.6000000000004</v>
      </c>
      <c r="R2733">
        <v>1205337</v>
      </c>
    </row>
    <row r="2734" spans="1:18" x14ac:dyDescent="0.25">
      <c r="A2734" s="170">
        <v>46029</v>
      </c>
      <c r="B2734">
        <v>4176</v>
      </c>
      <c r="C2734">
        <v>4167.8</v>
      </c>
      <c r="D2734">
        <v>4093.35</v>
      </c>
      <c r="E2734">
        <v>4110</v>
      </c>
      <c r="F2734">
        <v>4167.8</v>
      </c>
      <c r="G2734">
        <v>81750</v>
      </c>
      <c r="H2734" s="116"/>
      <c r="I2734" s="116"/>
      <c r="L2734" s="170">
        <v>46029</v>
      </c>
      <c r="M2734" s="116">
        <v>4157</v>
      </c>
      <c r="N2734" s="116">
        <v>4180</v>
      </c>
      <c r="O2734" s="116">
        <v>4094</v>
      </c>
      <c r="P2734" s="116">
        <v>4106</v>
      </c>
      <c r="Q2734" s="116">
        <v>4157</v>
      </c>
      <c r="R2734">
        <v>1213160</v>
      </c>
    </row>
    <row r="2735" spans="1:18" x14ac:dyDescent="0.25">
      <c r="A2735" s="170">
        <v>46030</v>
      </c>
      <c r="B2735">
        <v>4170.1499999999996</v>
      </c>
      <c r="C2735">
        <v>4028</v>
      </c>
      <c r="D2735">
        <v>3990.5</v>
      </c>
      <c r="E2735">
        <v>4151.25</v>
      </c>
      <c r="F2735">
        <v>4028</v>
      </c>
      <c r="G2735">
        <v>320528</v>
      </c>
      <c r="H2735" s="116"/>
      <c r="I2735" s="116"/>
      <c r="L2735" s="170">
        <v>46030</v>
      </c>
      <c r="M2735" s="116">
        <v>4028.4</v>
      </c>
      <c r="N2735" s="116">
        <v>4169.8999999999996</v>
      </c>
      <c r="O2735" s="116">
        <v>3991.3</v>
      </c>
      <c r="P2735" s="116">
        <v>4160</v>
      </c>
      <c r="Q2735" s="116">
        <v>4028.4</v>
      </c>
      <c r="R2735">
        <v>2328813</v>
      </c>
    </row>
    <row r="2736" spans="1:18" x14ac:dyDescent="0.25">
      <c r="A2736" s="170">
        <v>46031</v>
      </c>
      <c r="B2736">
        <v>4092.7</v>
      </c>
      <c r="C2736">
        <v>4026.75</v>
      </c>
      <c r="D2736">
        <v>4006.15</v>
      </c>
      <c r="E2736">
        <v>4020.15</v>
      </c>
      <c r="F2736">
        <v>4026.75</v>
      </c>
      <c r="G2736">
        <v>41867</v>
      </c>
      <c r="H2736" s="116"/>
      <c r="I2736" s="116"/>
      <c r="L2736" s="170">
        <v>46031</v>
      </c>
      <c r="M2736" s="116">
        <v>4025.2</v>
      </c>
      <c r="N2736" s="116">
        <v>4094</v>
      </c>
      <c r="O2736" s="116">
        <v>4006.2</v>
      </c>
      <c r="P2736" s="116">
        <v>4029</v>
      </c>
      <c r="Q2736" s="116">
        <v>4025.2</v>
      </c>
      <c r="R2736">
        <v>1718127</v>
      </c>
    </row>
    <row r="2737" spans="1:18" x14ac:dyDescent="0.25">
      <c r="A2737" s="170">
        <v>46034</v>
      </c>
      <c r="B2737">
        <v>4026.6</v>
      </c>
      <c r="C2737">
        <v>4018.5</v>
      </c>
      <c r="D2737">
        <v>3944</v>
      </c>
      <c r="E2737">
        <v>4013.8</v>
      </c>
      <c r="F2737">
        <v>4018.5</v>
      </c>
      <c r="G2737">
        <v>60678</v>
      </c>
      <c r="H2737" s="116"/>
      <c r="I2737" s="116"/>
      <c r="L2737" s="170">
        <v>46034</v>
      </c>
      <c r="M2737" s="116">
        <v>4019</v>
      </c>
      <c r="N2737" s="116">
        <v>4026.9</v>
      </c>
      <c r="O2737" s="116">
        <v>3944.3</v>
      </c>
      <c r="P2737" s="116">
        <v>4026</v>
      </c>
      <c r="Q2737" s="116">
        <v>4019</v>
      </c>
      <c r="R2737">
        <v>1386513</v>
      </c>
    </row>
    <row r="2738" spans="1:18" x14ac:dyDescent="0.25">
      <c r="A2738" s="170">
        <v>46035</v>
      </c>
      <c r="B2738">
        <v>4020.9</v>
      </c>
      <c r="C2738">
        <v>3888.05</v>
      </c>
      <c r="D2738">
        <v>3836.35</v>
      </c>
      <c r="E2738">
        <v>4020.85</v>
      </c>
      <c r="F2738">
        <v>3888.05</v>
      </c>
      <c r="G2738">
        <v>180112</v>
      </c>
      <c r="H2738" s="116"/>
      <c r="I2738" s="116"/>
      <c r="L2738" s="170">
        <v>46035</v>
      </c>
      <c r="M2738" s="116">
        <v>3887.4</v>
      </c>
      <c r="N2738" s="116">
        <v>4028</v>
      </c>
      <c r="O2738" s="116">
        <v>3837</v>
      </c>
      <c r="P2738" s="116">
        <v>4028</v>
      </c>
      <c r="Q2738" s="116">
        <v>3887.4</v>
      </c>
      <c r="R2738">
        <v>4978634</v>
      </c>
    </row>
    <row r="2739" spans="1:18" x14ac:dyDescent="0.25">
      <c r="A2739" s="170">
        <v>46036</v>
      </c>
      <c r="B2739">
        <v>3903.85</v>
      </c>
      <c r="C2739">
        <v>3865.5</v>
      </c>
      <c r="D2739">
        <v>3857</v>
      </c>
      <c r="E2739">
        <v>3898.25</v>
      </c>
      <c r="F2739">
        <v>3865.5</v>
      </c>
      <c r="G2739">
        <v>240516</v>
      </c>
      <c r="H2739" s="116"/>
      <c r="I2739" s="116"/>
      <c r="L2739" s="170">
        <v>46036</v>
      </c>
      <c r="M2739" s="116">
        <v>3865.8</v>
      </c>
      <c r="N2739" s="116">
        <v>3904.9</v>
      </c>
      <c r="O2739" s="116">
        <v>3856.6</v>
      </c>
      <c r="P2739" s="116">
        <v>3900</v>
      </c>
      <c r="Q2739" s="116">
        <v>3865.8</v>
      </c>
      <c r="R2739">
        <v>1914244</v>
      </c>
    </row>
    <row r="2740" spans="1:18" x14ac:dyDescent="0.25">
      <c r="A2740" s="170">
        <v>46038</v>
      </c>
      <c r="B2740">
        <v>3914</v>
      </c>
      <c r="C2740">
        <v>3855.9</v>
      </c>
      <c r="D2740">
        <v>3850</v>
      </c>
      <c r="E2740">
        <v>3868.55</v>
      </c>
      <c r="F2740">
        <v>3855.9</v>
      </c>
      <c r="G2740">
        <v>49003</v>
      </c>
      <c r="H2740" s="116"/>
      <c r="I2740" s="116"/>
      <c r="L2740" s="170">
        <v>46038</v>
      </c>
      <c r="M2740" s="116">
        <v>3856.4</v>
      </c>
      <c r="N2740" s="116">
        <v>3914</v>
      </c>
      <c r="O2740" s="116">
        <v>3848.7</v>
      </c>
      <c r="P2740" s="116">
        <v>3890</v>
      </c>
      <c r="Q2740" s="116">
        <v>3856.4</v>
      </c>
      <c r="R2740">
        <v>1807300</v>
      </c>
    </row>
    <row r="2741" spans="1:18" x14ac:dyDescent="0.25">
      <c r="A2741" s="170">
        <v>46041</v>
      </c>
      <c r="B2741">
        <v>3876.95</v>
      </c>
      <c r="C2741">
        <v>3867.4</v>
      </c>
      <c r="D2741">
        <v>3808.75</v>
      </c>
      <c r="E2741">
        <v>3834</v>
      </c>
      <c r="F2741">
        <v>3867.4</v>
      </c>
      <c r="G2741">
        <v>139561</v>
      </c>
      <c r="H2741" s="116"/>
      <c r="I2741" s="116"/>
      <c r="L2741" s="170">
        <v>46041</v>
      </c>
      <c r="M2741" s="116">
        <v>3869.8</v>
      </c>
      <c r="N2741" s="116">
        <v>3878.4</v>
      </c>
      <c r="O2741" s="116">
        <v>3808.5</v>
      </c>
      <c r="P2741" s="116">
        <v>3820</v>
      </c>
      <c r="Q2741" s="116">
        <v>3869.8</v>
      </c>
      <c r="R2741">
        <v>1709380</v>
      </c>
    </row>
    <row r="2742" spans="1:18" x14ac:dyDescent="0.25">
      <c r="A2742" s="170">
        <v>46042</v>
      </c>
      <c r="B2742">
        <v>3874</v>
      </c>
      <c r="C2742">
        <v>3808</v>
      </c>
      <c r="D2742">
        <v>3800</v>
      </c>
      <c r="E2742">
        <v>3842.9</v>
      </c>
      <c r="F2742">
        <v>3808</v>
      </c>
      <c r="G2742">
        <v>117893</v>
      </c>
      <c r="H2742" s="116"/>
      <c r="I2742" s="116"/>
      <c r="L2742" s="170">
        <v>46042</v>
      </c>
      <c r="M2742" s="116">
        <v>3810.5</v>
      </c>
      <c r="N2742" s="116">
        <v>3874.3</v>
      </c>
      <c r="O2742" s="116">
        <v>3800</v>
      </c>
      <c r="P2742" s="116">
        <v>3858</v>
      </c>
      <c r="Q2742" s="116">
        <v>3810.5</v>
      </c>
      <c r="R2742">
        <v>1658119</v>
      </c>
    </row>
    <row r="2743" spans="1:18" x14ac:dyDescent="0.25">
      <c r="A2743" s="170">
        <v>46043</v>
      </c>
      <c r="B2743">
        <v>3828</v>
      </c>
      <c r="C2743">
        <v>3767.15</v>
      </c>
      <c r="D2743">
        <v>3722.25</v>
      </c>
      <c r="E2743">
        <v>3791.95</v>
      </c>
      <c r="F2743">
        <v>3767.15</v>
      </c>
      <c r="G2743">
        <v>106266</v>
      </c>
      <c r="H2743" s="116"/>
      <c r="I2743" s="116"/>
      <c r="L2743" s="170">
        <v>46043</v>
      </c>
      <c r="M2743" s="116">
        <v>3766.5</v>
      </c>
      <c r="N2743" s="116">
        <v>3830</v>
      </c>
      <c r="O2743" s="116">
        <v>3722</v>
      </c>
      <c r="P2743" s="116">
        <v>3800</v>
      </c>
      <c r="Q2743" s="116">
        <v>3766.5</v>
      </c>
      <c r="R2743">
        <v>2537185</v>
      </c>
    </row>
    <row r="2744" spans="1:18" x14ac:dyDescent="0.25">
      <c r="A2744" s="170">
        <v>46044</v>
      </c>
      <c r="B2744">
        <v>3800</v>
      </c>
      <c r="C2744">
        <v>3794.3</v>
      </c>
      <c r="D2744">
        <v>3753.75</v>
      </c>
      <c r="E2744">
        <v>3800</v>
      </c>
      <c r="F2744">
        <v>3794.3</v>
      </c>
      <c r="G2744">
        <v>159756</v>
      </c>
      <c r="H2744" s="116"/>
      <c r="I2744" s="116"/>
      <c r="L2744" s="170">
        <v>46044</v>
      </c>
      <c r="M2744" s="116">
        <v>3793.8</v>
      </c>
      <c r="N2744" s="116">
        <v>3801.3</v>
      </c>
      <c r="O2744" s="116">
        <v>3755.1</v>
      </c>
      <c r="P2744" s="116">
        <v>3798.9</v>
      </c>
      <c r="Q2744" s="116">
        <v>3793.8</v>
      </c>
      <c r="R2744">
        <v>1856812</v>
      </c>
    </row>
    <row r="2745" spans="1:18" x14ac:dyDescent="0.25">
      <c r="A2745" s="170">
        <v>46045</v>
      </c>
      <c r="B2745">
        <v>3803</v>
      </c>
      <c r="C2745">
        <v>3745.05</v>
      </c>
      <c r="D2745">
        <v>3721</v>
      </c>
      <c r="E2745">
        <v>3794.5</v>
      </c>
      <c r="F2745">
        <v>3745.05</v>
      </c>
      <c r="G2745">
        <v>183174</v>
      </c>
      <c r="H2745" s="116"/>
      <c r="I2745" s="116"/>
      <c r="L2745" s="170">
        <v>46045</v>
      </c>
      <c r="M2745" s="116">
        <v>3743.8</v>
      </c>
      <c r="N2745" s="116">
        <v>3799.4</v>
      </c>
      <c r="O2745" s="116">
        <v>3720.1</v>
      </c>
      <c r="P2745" s="116">
        <v>3798</v>
      </c>
      <c r="Q2745" s="116">
        <v>3743.8</v>
      </c>
      <c r="R2745">
        <v>1898703</v>
      </c>
    </row>
    <row r="2746" spans="1:18" x14ac:dyDescent="0.25">
      <c r="A2746" s="170">
        <v>46049</v>
      </c>
      <c r="B2746">
        <v>3805</v>
      </c>
      <c r="C2746">
        <v>3790</v>
      </c>
      <c r="D2746">
        <v>3731.3</v>
      </c>
      <c r="E2746">
        <v>3731.3</v>
      </c>
      <c r="F2746">
        <v>3790</v>
      </c>
      <c r="G2746">
        <v>699848</v>
      </c>
      <c r="H2746" s="116"/>
      <c r="I2746" s="116"/>
      <c r="L2746" s="170">
        <v>46049</v>
      </c>
      <c r="M2746" s="116">
        <v>3787.8</v>
      </c>
      <c r="N2746" s="116">
        <v>3815</v>
      </c>
      <c r="O2746" s="116">
        <v>3739</v>
      </c>
      <c r="P2746" s="116">
        <v>3743.8</v>
      </c>
      <c r="Q2746" s="116">
        <v>3787.8</v>
      </c>
      <c r="R2746">
        <v>2162193</v>
      </c>
    </row>
    <row r="2747" spans="1:18" x14ac:dyDescent="0.25">
      <c r="A2747" s="170">
        <v>46050</v>
      </c>
      <c r="B2747">
        <v>3829.45</v>
      </c>
      <c r="C2747">
        <v>3793.65</v>
      </c>
      <c r="D2747">
        <v>3768.75</v>
      </c>
      <c r="E2747">
        <v>3792.65</v>
      </c>
      <c r="F2747">
        <v>3793.65</v>
      </c>
      <c r="G2747">
        <v>221107</v>
      </c>
      <c r="H2747" s="116"/>
      <c r="I2747" s="116"/>
      <c r="L2747" s="170">
        <v>46050</v>
      </c>
      <c r="M2747" s="116">
        <v>3794</v>
      </c>
      <c r="N2747" s="116">
        <v>3828.2</v>
      </c>
      <c r="O2747" s="116">
        <v>3769.1</v>
      </c>
      <c r="P2747" s="116">
        <v>3804.3</v>
      </c>
      <c r="Q2747" s="116">
        <v>3794</v>
      </c>
      <c r="R2747">
        <v>2111741</v>
      </c>
    </row>
    <row r="2748" spans="1:18" x14ac:dyDescent="0.25">
      <c r="A2748" s="170">
        <v>46051</v>
      </c>
      <c r="B2748">
        <v>3960</v>
      </c>
      <c r="C2748">
        <v>3932.45</v>
      </c>
      <c r="D2748">
        <v>3850</v>
      </c>
      <c r="E2748">
        <v>3877.6</v>
      </c>
      <c r="F2748">
        <v>3932.45</v>
      </c>
      <c r="G2748">
        <v>220526</v>
      </c>
      <c r="H2748" s="116"/>
      <c r="I2748" s="116"/>
      <c r="L2748" s="170">
        <v>46051</v>
      </c>
      <c r="M2748" s="116">
        <v>3932.9</v>
      </c>
      <c r="N2748" s="116">
        <v>3960.9</v>
      </c>
      <c r="O2748" s="116">
        <v>3843.6</v>
      </c>
      <c r="P2748" s="116">
        <v>3860</v>
      </c>
      <c r="Q2748" s="116">
        <v>3932.9</v>
      </c>
      <c r="R2748">
        <v>4227139</v>
      </c>
    </row>
    <row r="2749" spans="1:18" x14ac:dyDescent="0.25">
      <c r="A2749" s="170">
        <v>46052</v>
      </c>
      <c r="B2749">
        <v>3941.05</v>
      </c>
      <c r="C2749">
        <v>3933.45</v>
      </c>
      <c r="D2749">
        <v>3894.05</v>
      </c>
      <c r="E2749">
        <v>3905</v>
      </c>
      <c r="F2749">
        <v>3933.45</v>
      </c>
      <c r="G2749">
        <v>78386</v>
      </c>
      <c r="H2749" s="116"/>
      <c r="I2749" s="116"/>
      <c r="L2749" s="170">
        <v>46052</v>
      </c>
      <c r="M2749" s="116">
        <v>3932.3</v>
      </c>
      <c r="N2749" s="116">
        <v>3942.4</v>
      </c>
      <c r="O2749" s="116">
        <v>3891.8</v>
      </c>
      <c r="P2749" s="116">
        <v>3902.5</v>
      </c>
      <c r="Q2749" s="116">
        <v>3932.3</v>
      </c>
      <c r="R2749">
        <v>2208465</v>
      </c>
    </row>
    <row r="2750" spans="1:18" x14ac:dyDescent="0.25">
      <c r="A2750" s="170">
        <v>46054</v>
      </c>
      <c r="B2750">
        <v>4043.15</v>
      </c>
      <c r="C2750">
        <v>3813</v>
      </c>
      <c r="D2750">
        <v>3759.65</v>
      </c>
      <c r="E2750">
        <v>3968.75</v>
      </c>
      <c r="F2750">
        <v>3813</v>
      </c>
      <c r="G2750">
        <v>194816</v>
      </c>
      <c r="H2750" s="116"/>
      <c r="I2750" s="116"/>
      <c r="L2750" s="170">
        <v>46054</v>
      </c>
      <c r="M2750" s="116">
        <v>3814</v>
      </c>
      <c r="N2750" s="116">
        <v>4042.8</v>
      </c>
      <c r="O2750" s="116">
        <v>3756</v>
      </c>
      <c r="P2750" s="116">
        <v>3953</v>
      </c>
      <c r="Q2750" s="116">
        <v>3814</v>
      </c>
      <c r="R2750">
        <v>2654727</v>
      </c>
    </row>
    <row r="2751" spans="1:18" x14ac:dyDescent="0.25">
      <c r="A2751" s="170">
        <v>46055</v>
      </c>
      <c r="B2751">
        <v>3935</v>
      </c>
      <c r="C2751">
        <v>3922</v>
      </c>
      <c r="D2751">
        <v>3820.1</v>
      </c>
      <c r="E2751">
        <v>3820.1</v>
      </c>
      <c r="F2751">
        <v>3922</v>
      </c>
      <c r="G2751">
        <v>105066</v>
      </c>
      <c r="H2751" s="116"/>
      <c r="I2751" s="116"/>
      <c r="L2751" s="170">
        <v>46055</v>
      </c>
      <c r="M2751" s="116">
        <v>3921.3</v>
      </c>
      <c r="N2751" s="116">
        <v>3934.8</v>
      </c>
      <c r="O2751" s="116">
        <v>3825</v>
      </c>
      <c r="P2751" s="116">
        <v>3830.7</v>
      </c>
      <c r="Q2751" s="116">
        <v>3921.3</v>
      </c>
      <c r="R2751">
        <v>3034613</v>
      </c>
    </row>
    <row r="2752" spans="1:18" x14ac:dyDescent="0.25">
      <c r="A2752" s="170">
        <v>46056</v>
      </c>
      <c r="B2752">
        <v>4119.95</v>
      </c>
      <c r="C2752">
        <v>4037.65</v>
      </c>
      <c r="D2752">
        <v>4029.1</v>
      </c>
      <c r="E2752">
        <v>4053.8</v>
      </c>
      <c r="F2752">
        <v>4037.65</v>
      </c>
      <c r="G2752">
        <v>212843</v>
      </c>
      <c r="H2752" s="116"/>
      <c r="I2752" s="116"/>
      <c r="L2752" s="170">
        <v>46056</v>
      </c>
      <c r="M2752" s="116">
        <v>4038.8</v>
      </c>
      <c r="N2752" s="116">
        <v>4122</v>
      </c>
      <c r="O2752" s="116">
        <v>4030.6</v>
      </c>
      <c r="P2752" s="116">
        <v>4117</v>
      </c>
      <c r="Q2752" s="116">
        <v>4038.8</v>
      </c>
      <c r="R2752">
        <v>3742190</v>
      </c>
    </row>
    <row r="2753" spans="1:18" x14ac:dyDescent="0.25">
      <c r="A2753" s="170">
        <v>46057</v>
      </c>
      <c r="B2753">
        <v>4108</v>
      </c>
      <c r="C2753">
        <v>4086.5</v>
      </c>
      <c r="D2753">
        <v>3980.85</v>
      </c>
      <c r="E2753">
        <v>3980.85</v>
      </c>
      <c r="F2753">
        <v>4086.5</v>
      </c>
      <c r="G2753">
        <v>91505</v>
      </c>
      <c r="H2753" s="116"/>
      <c r="I2753" s="116"/>
      <c r="L2753" s="170">
        <v>46057</v>
      </c>
      <c r="M2753" s="116">
        <v>4087.1</v>
      </c>
      <c r="N2753" s="116">
        <v>4107</v>
      </c>
      <c r="O2753" s="116">
        <v>4016.9</v>
      </c>
      <c r="P2753" s="116">
        <v>4029</v>
      </c>
      <c r="Q2753" s="116">
        <v>4087.1</v>
      </c>
      <c r="R2753">
        <v>1403373</v>
      </c>
    </row>
    <row r="2754" spans="1:18" x14ac:dyDescent="0.25">
      <c r="A2754" s="170">
        <v>46058</v>
      </c>
      <c r="B2754">
        <v>4093.25</v>
      </c>
      <c r="C2754">
        <v>4060.2</v>
      </c>
      <c r="D2754">
        <v>4038</v>
      </c>
      <c r="E2754">
        <v>4093.25</v>
      </c>
      <c r="F2754">
        <v>4060.2</v>
      </c>
      <c r="G2754">
        <v>165101</v>
      </c>
      <c r="H2754" s="116"/>
      <c r="I2754" s="116"/>
      <c r="L2754" s="170">
        <v>46058</v>
      </c>
      <c r="M2754" s="116">
        <v>4063.3</v>
      </c>
      <c r="N2754" s="116">
        <v>4088.5</v>
      </c>
      <c r="O2754" s="116">
        <v>4035.9</v>
      </c>
      <c r="P2754" s="116">
        <v>4088</v>
      </c>
      <c r="Q2754" s="116">
        <v>4063.3</v>
      </c>
      <c r="R2754">
        <v>1433240</v>
      </c>
    </row>
    <row r="2755" spans="1:18" x14ac:dyDescent="0.25">
      <c r="A2755" s="170">
        <v>46059</v>
      </c>
      <c r="B2755">
        <v>4076.1</v>
      </c>
      <c r="C2755">
        <v>4067.7</v>
      </c>
      <c r="D2755">
        <v>4042.2</v>
      </c>
      <c r="E2755">
        <v>4053.8</v>
      </c>
      <c r="F2755">
        <v>4067.7</v>
      </c>
      <c r="G2755">
        <v>48644</v>
      </c>
      <c r="H2755" s="116"/>
      <c r="I2755" s="116"/>
      <c r="L2755" s="170">
        <v>46059</v>
      </c>
      <c r="M2755" s="116">
        <v>4068.1</v>
      </c>
      <c r="N2755" s="116">
        <v>4078</v>
      </c>
      <c r="O2755" s="116">
        <v>4042.3</v>
      </c>
      <c r="P2755" s="116">
        <v>4055</v>
      </c>
      <c r="Q2755" s="116">
        <v>4068.1</v>
      </c>
      <c r="R2755">
        <v>1630836</v>
      </c>
    </row>
    <row r="2756" spans="1:18" x14ac:dyDescent="0.25">
      <c r="A2756" s="170">
        <v>46062</v>
      </c>
      <c r="B2756">
        <v>4125</v>
      </c>
      <c r="C2756">
        <v>4113.45</v>
      </c>
      <c r="D2756">
        <v>4061.25</v>
      </c>
      <c r="E2756">
        <v>4070</v>
      </c>
      <c r="F2756">
        <v>4113.45</v>
      </c>
      <c r="G2756">
        <v>126267</v>
      </c>
      <c r="H2756" s="116"/>
      <c r="I2756" s="116"/>
      <c r="L2756" s="170">
        <v>46062</v>
      </c>
      <c r="M2756" s="116">
        <v>4113.6000000000004</v>
      </c>
      <c r="N2756" s="116">
        <v>4124.7</v>
      </c>
      <c r="O2756" s="116">
        <v>4062.4</v>
      </c>
      <c r="P2756" s="116">
        <v>4073.9</v>
      </c>
      <c r="Q2756" s="116">
        <v>4113.6000000000004</v>
      </c>
      <c r="R2756">
        <v>1830267</v>
      </c>
    </row>
    <row r="2757" spans="1:18" x14ac:dyDescent="0.25">
      <c r="A2757" s="170">
        <v>46063</v>
      </c>
      <c r="B2757">
        <v>4173.8</v>
      </c>
      <c r="C2757">
        <v>4169.3999999999996</v>
      </c>
      <c r="D2757">
        <v>4123.05</v>
      </c>
      <c r="E2757">
        <v>4135.05</v>
      </c>
      <c r="F2757">
        <v>4169.3999999999996</v>
      </c>
      <c r="G2757">
        <v>119734</v>
      </c>
      <c r="H2757" s="116"/>
      <c r="I2757" s="116"/>
      <c r="L2757" s="170">
        <v>46063</v>
      </c>
      <c r="M2757" s="116">
        <v>4169</v>
      </c>
      <c r="N2757" s="116">
        <v>4174.6000000000004</v>
      </c>
      <c r="O2757" s="116">
        <v>4122.3999999999996</v>
      </c>
      <c r="P2757" s="116">
        <v>4140</v>
      </c>
      <c r="Q2757" s="116">
        <v>4169</v>
      </c>
      <c r="R2757">
        <v>1890409</v>
      </c>
    </row>
    <row r="2758" spans="1:18" x14ac:dyDescent="0.25">
      <c r="A2758" s="170">
        <v>46064</v>
      </c>
      <c r="B2758">
        <v>4188.7</v>
      </c>
      <c r="C2758">
        <v>4169.95</v>
      </c>
      <c r="D2758">
        <v>4139.95</v>
      </c>
      <c r="E2758">
        <v>4158.55</v>
      </c>
      <c r="F2758">
        <v>4169.95</v>
      </c>
      <c r="G2758">
        <v>823426</v>
      </c>
      <c r="H2758" s="116"/>
      <c r="I2758" s="116"/>
      <c r="L2758" s="170">
        <v>46064</v>
      </c>
      <c r="M2758" s="116">
        <v>4170.3999999999996</v>
      </c>
      <c r="N2758" s="116">
        <v>4187.7</v>
      </c>
      <c r="O2758" s="116">
        <v>4140.3</v>
      </c>
      <c r="P2758" s="116">
        <v>4172.8999999999996</v>
      </c>
      <c r="Q2758" s="116">
        <v>4170.3999999999996</v>
      </c>
      <c r="R2758">
        <v>1689489</v>
      </c>
    </row>
    <row r="2759" spans="1:18" x14ac:dyDescent="0.25">
      <c r="A2759" s="170">
        <v>46065</v>
      </c>
      <c r="B2759">
        <v>4198.75</v>
      </c>
      <c r="C2759">
        <v>4185.3999999999996</v>
      </c>
      <c r="D2759">
        <v>4159.55</v>
      </c>
      <c r="E2759">
        <v>4170.6499999999996</v>
      </c>
      <c r="F2759">
        <v>4185.3999999999996</v>
      </c>
      <c r="G2759">
        <v>57797</v>
      </c>
      <c r="H2759" s="116"/>
      <c r="I2759" s="116"/>
      <c r="L2759" s="170">
        <v>46065</v>
      </c>
      <c r="M2759" s="116">
        <v>4185.8999999999996</v>
      </c>
      <c r="N2759" s="116">
        <v>4199</v>
      </c>
      <c r="O2759" s="116">
        <v>4160.8999999999996</v>
      </c>
      <c r="P2759" s="116">
        <v>4187.8999999999996</v>
      </c>
      <c r="Q2759" s="116">
        <v>4185.8999999999996</v>
      </c>
      <c r="R2759">
        <v>2006458</v>
      </c>
    </row>
    <row r="2760" spans="1:18" x14ac:dyDescent="0.25">
      <c r="A2760" s="170">
        <v>46066</v>
      </c>
      <c r="B2760">
        <v>4198.7</v>
      </c>
      <c r="C2760">
        <v>4172.8999999999996</v>
      </c>
      <c r="D2760">
        <v>4135</v>
      </c>
      <c r="E2760">
        <v>4185.25</v>
      </c>
      <c r="F2760">
        <v>4172.8999999999996</v>
      </c>
      <c r="G2760">
        <v>534995</v>
      </c>
      <c r="H2760" s="116"/>
      <c r="I2760" s="116"/>
      <c r="L2760" s="170">
        <v>46066</v>
      </c>
      <c r="M2760" s="116">
        <v>4173.8999999999996</v>
      </c>
      <c r="N2760" s="116">
        <v>4199</v>
      </c>
      <c r="O2760" s="116">
        <v>4134.1000000000004</v>
      </c>
      <c r="P2760" s="116">
        <v>4174.1000000000004</v>
      </c>
      <c r="Q2760" s="116">
        <v>4173.8999999999996</v>
      </c>
      <c r="R2760">
        <v>2234376</v>
      </c>
    </row>
    <row r="2761" spans="1:18" x14ac:dyDescent="0.25">
      <c r="A2761" s="170">
        <v>46069</v>
      </c>
      <c r="B2761">
        <v>4205</v>
      </c>
      <c r="C2761">
        <v>4202.1000000000004</v>
      </c>
      <c r="D2761">
        <v>4138</v>
      </c>
      <c r="E2761">
        <v>4164</v>
      </c>
      <c r="F2761">
        <v>4202.1000000000004</v>
      </c>
      <c r="G2761">
        <v>275564</v>
      </c>
      <c r="H2761" s="116"/>
      <c r="I2761" s="116"/>
      <c r="L2761" s="170">
        <v>46069</v>
      </c>
      <c r="M2761" s="116">
        <v>4201.5</v>
      </c>
      <c r="N2761" s="116">
        <v>4206</v>
      </c>
      <c r="O2761" s="116">
        <v>4135.3</v>
      </c>
      <c r="P2761" s="116">
        <v>4170</v>
      </c>
      <c r="Q2761" s="116">
        <v>4201.5</v>
      </c>
      <c r="R2761">
        <v>852552</v>
      </c>
    </row>
    <row r="2762" spans="1:18" x14ac:dyDescent="0.25">
      <c r="A2762" s="170">
        <v>46070</v>
      </c>
      <c r="B2762">
        <v>4286.3999999999996</v>
      </c>
      <c r="C2762">
        <v>4279.3500000000004</v>
      </c>
      <c r="D2762">
        <v>4189.5</v>
      </c>
      <c r="E2762">
        <v>4205.05</v>
      </c>
      <c r="F2762">
        <v>4279.3500000000004</v>
      </c>
      <c r="G2762">
        <v>481062</v>
      </c>
      <c r="H2762" s="116"/>
      <c r="I2762" s="116"/>
      <c r="L2762" s="170">
        <v>46070</v>
      </c>
      <c r="M2762" s="116">
        <v>4279.8</v>
      </c>
      <c r="N2762" s="116">
        <v>4287</v>
      </c>
      <c r="O2762" s="116">
        <v>4190.1000000000004</v>
      </c>
      <c r="P2762" s="116">
        <v>4210.1000000000004</v>
      </c>
      <c r="Q2762" s="116">
        <v>4279.8</v>
      </c>
      <c r="R2762">
        <v>1763048</v>
      </c>
    </row>
    <row r="2763" spans="1:18" x14ac:dyDescent="0.25">
      <c r="A2763" s="170">
        <v>46071</v>
      </c>
      <c r="B2763">
        <v>4335</v>
      </c>
      <c r="C2763">
        <v>4324.8500000000004</v>
      </c>
      <c r="D2763">
        <v>4262</v>
      </c>
      <c r="E2763">
        <v>4290</v>
      </c>
      <c r="F2763">
        <v>4324.8500000000004</v>
      </c>
      <c r="G2763">
        <v>47045</v>
      </c>
      <c r="H2763" s="116"/>
      <c r="I2763" s="116"/>
      <c r="L2763" s="170">
        <v>46071</v>
      </c>
      <c r="M2763" s="116">
        <v>4325.8999999999996</v>
      </c>
      <c r="N2763" s="116">
        <v>4335</v>
      </c>
      <c r="O2763" s="116">
        <v>4261.1000000000004</v>
      </c>
      <c r="P2763" s="116">
        <v>4290.5</v>
      </c>
      <c r="Q2763" s="116">
        <v>4325.8999999999996</v>
      </c>
      <c r="R2763">
        <v>2042626</v>
      </c>
    </row>
    <row r="2764" spans="1:18" x14ac:dyDescent="0.25">
      <c r="A2764" s="170">
        <v>46072</v>
      </c>
      <c r="B2764">
        <v>4333.8999999999996</v>
      </c>
      <c r="C2764">
        <v>4278.8</v>
      </c>
      <c r="D2764">
        <v>4263.3999999999996</v>
      </c>
      <c r="E2764">
        <v>4326</v>
      </c>
      <c r="F2764">
        <v>4278.8</v>
      </c>
      <c r="G2764">
        <v>429524</v>
      </c>
      <c r="H2764" s="116"/>
      <c r="I2764" s="116"/>
      <c r="L2764" s="170">
        <v>46072</v>
      </c>
      <c r="M2764" s="116">
        <v>4280.5</v>
      </c>
      <c r="N2764" s="116">
        <v>4334</v>
      </c>
      <c r="O2764" s="116">
        <v>4261.8999999999996</v>
      </c>
      <c r="P2764" s="116">
        <v>4326.1000000000004</v>
      </c>
      <c r="Q2764" s="116">
        <v>4280.5</v>
      </c>
      <c r="R2764">
        <v>2007080</v>
      </c>
    </row>
    <row r="2765" spans="1:18" x14ac:dyDescent="0.25">
      <c r="A2765" s="170">
        <v>46073</v>
      </c>
      <c r="B2765">
        <v>4390</v>
      </c>
      <c r="C2765">
        <v>4380.25</v>
      </c>
      <c r="D2765">
        <v>4272.5</v>
      </c>
      <c r="E2765">
        <v>4278.6000000000004</v>
      </c>
      <c r="F2765">
        <v>4380.25</v>
      </c>
      <c r="G2765">
        <v>232848</v>
      </c>
      <c r="H2765" s="116"/>
      <c r="I2765" s="116"/>
      <c r="L2765" s="170">
        <v>46073</v>
      </c>
      <c r="M2765" s="116">
        <v>4380.6000000000004</v>
      </c>
      <c r="N2765" s="116">
        <v>4390</v>
      </c>
      <c r="O2765" s="116">
        <v>4267.1000000000004</v>
      </c>
      <c r="P2765" s="116">
        <v>4267.1000000000004</v>
      </c>
      <c r="Q2765" s="116">
        <v>4380.6000000000004</v>
      </c>
      <c r="R2765">
        <v>2542442</v>
      </c>
    </row>
    <row r="2766" spans="1:18" x14ac:dyDescent="0.25">
      <c r="A2766" s="170">
        <v>46076</v>
      </c>
      <c r="B2766">
        <v>4431</v>
      </c>
      <c r="C2766">
        <v>4417.1499999999996</v>
      </c>
      <c r="D2766">
        <v>4373.7</v>
      </c>
      <c r="E2766">
        <v>4386.2</v>
      </c>
      <c r="F2766">
        <v>4417.1499999999996</v>
      </c>
      <c r="G2766">
        <v>131235</v>
      </c>
      <c r="H2766" s="116"/>
      <c r="I2766" s="116"/>
      <c r="L2766" s="170">
        <v>46076</v>
      </c>
      <c r="M2766" s="116">
        <v>4418.1000000000004</v>
      </c>
      <c r="N2766" s="116">
        <v>4431.6000000000004</v>
      </c>
      <c r="O2766" s="116">
        <v>4371.7</v>
      </c>
      <c r="P2766" s="116">
        <v>4395.6000000000004</v>
      </c>
      <c r="Q2766" s="116">
        <v>4418.1000000000004</v>
      </c>
      <c r="R2766">
        <v>2122782</v>
      </c>
    </row>
    <row r="2767" spans="1:18" x14ac:dyDescent="0.25">
      <c r="A2767" s="170">
        <v>46077</v>
      </c>
      <c r="B2767">
        <v>4440</v>
      </c>
      <c r="C2767">
        <v>4258.5</v>
      </c>
      <c r="D2767">
        <v>4228.7</v>
      </c>
      <c r="E2767">
        <v>4419.8999999999996</v>
      </c>
      <c r="F2767">
        <v>4258.5</v>
      </c>
      <c r="G2767">
        <v>1976107</v>
      </c>
      <c r="H2767" s="116"/>
      <c r="I2767" s="116"/>
      <c r="L2767" s="170">
        <v>46077</v>
      </c>
      <c r="M2767" s="116">
        <v>4259.2</v>
      </c>
      <c r="N2767" s="116">
        <v>4440</v>
      </c>
      <c r="O2767" s="116">
        <v>4228.1000000000004</v>
      </c>
      <c r="P2767" s="116">
        <v>4415.5</v>
      </c>
      <c r="Q2767" s="116">
        <v>4259.2</v>
      </c>
      <c r="R2767">
        <v>3673070</v>
      </c>
    </row>
    <row r="2768" spans="1:18" x14ac:dyDescent="0.25">
      <c r="A2768" s="170">
        <v>46078</v>
      </c>
      <c r="B2768">
        <v>4344.8</v>
      </c>
      <c r="C2768">
        <v>4299.7</v>
      </c>
      <c r="D2768">
        <v>4255</v>
      </c>
      <c r="E2768">
        <v>4287.3999999999996</v>
      </c>
      <c r="F2768">
        <v>4299.7</v>
      </c>
      <c r="G2768">
        <v>646951</v>
      </c>
      <c r="H2768" s="116"/>
      <c r="I2768" s="116"/>
      <c r="L2768" s="170">
        <v>46078</v>
      </c>
      <c r="M2768" s="116">
        <v>4298.5</v>
      </c>
      <c r="N2768" s="116">
        <v>4344.8999999999996</v>
      </c>
      <c r="O2768" s="116">
        <v>4254.2</v>
      </c>
      <c r="P2768" s="116">
        <v>4270</v>
      </c>
      <c r="Q2768" s="116">
        <v>4298.5</v>
      </c>
      <c r="R2768">
        <v>2481469</v>
      </c>
    </row>
    <row r="2769" spans="1:18" x14ac:dyDescent="0.25">
      <c r="A2769" s="170">
        <v>46079</v>
      </c>
      <c r="B2769">
        <v>4338.95</v>
      </c>
      <c r="C2769">
        <v>4285.8999999999996</v>
      </c>
      <c r="D2769">
        <v>4276.95</v>
      </c>
      <c r="E2769">
        <v>4297.25</v>
      </c>
      <c r="F2769">
        <v>4285.8999999999996</v>
      </c>
      <c r="G2769">
        <v>142044</v>
      </c>
      <c r="H2769" s="116"/>
      <c r="I2769" s="116"/>
      <c r="L2769" s="170">
        <v>46079</v>
      </c>
      <c r="M2769" s="116">
        <v>4286.5</v>
      </c>
      <c r="N2769" s="116">
        <v>4340</v>
      </c>
      <c r="O2769" s="116">
        <v>4278.3</v>
      </c>
      <c r="P2769" s="116">
        <v>4304.8999999999996</v>
      </c>
      <c r="Q2769" s="116">
        <v>4286.5</v>
      </c>
      <c r="R2769">
        <v>2370148</v>
      </c>
    </row>
    <row r="2770" spans="1:18" x14ac:dyDescent="0.25">
      <c r="A2770" s="170">
        <v>46080</v>
      </c>
      <c r="B2770">
        <v>4302</v>
      </c>
      <c r="C2770">
        <v>4280.55</v>
      </c>
      <c r="D2770">
        <v>4260.3</v>
      </c>
      <c r="E2770">
        <v>4280.1000000000004</v>
      </c>
      <c r="F2770">
        <v>4280.55</v>
      </c>
      <c r="G2770">
        <v>288160</v>
      </c>
      <c r="H2770" s="116"/>
      <c r="I2770" s="116"/>
      <c r="L2770" s="170">
        <v>46080</v>
      </c>
      <c r="M2770" s="116">
        <v>4278.3</v>
      </c>
      <c r="N2770" s="116">
        <v>4304.7</v>
      </c>
      <c r="O2770" s="116">
        <v>4254.3999999999996</v>
      </c>
      <c r="P2770" s="116">
        <v>4288.8999999999996</v>
      </c>
      <c r="Q2770" s="116">
        <v>4278.3</v>
      </c>
      <c r="R2770">
        <v>2357853</v>
      </c>
    </row>
    <row r="2771" spans="1:18" x14ac:dyDescent="0.25">
      <c r="A2771" s="170">
        <v>46083</v>
      </c>
      <c r="B2771">
        <v>4142.3</v>
      </c>
      <c r="C2771">
        <v>4066.45</v>
      </c>
      <c r="D2771">
        <v>3960.2</v>
      </c>
      <c r="E2771">
        <v>3960.2</v>
      </c>
      <c r="F2771">
        <v>4066.45</v>
      </c>
      <c r="G2771">
        <v>350621</v>
      </c>
      <c r="H2771" s="116"/>
      <c r="I2771" s="116"/>
      <c r="L2771" s="170">
        <v>46083</v>
      </c>
      <c r="M2771" s="116">
        <v>4066.7</v>
      </c>
      <c r="N2771" s="116">
        <v>4141.3999999999996</v>
      </c>
      <c r="O2771" s="116">
        <v>3975.4</v>
      </c>
      <c r="P2771" s="116">
        <v>4061</v>
      </c>
      <c r="Q2771" s="116">
        <v>4066.7</v>
      </c>
      <c r="R2771">
        <v>6542141</v>
      </c>
    </row>
    <row r="2772" spans="1:18" x14ac:dyDescent="0.25">
      <c r="A2772" s="170">
        <v>46085</v>
      </c>
      <c r="B2772">
        <v>3981</v>
      </c>
      <c r="C2772">
        <v>3882.15</v>
      </c>
      <c r="D2772">
        <v>3760.1</v>
      </c>
      <c r="E2772">
        <v>3981</v>
      </c>
      <c r="F2772">
        <v>3882.15</v>
      </c>
      <c r="G2772">
        <v>345091</v>
      </c>
      <c r="H2772" s="116"/>
      <c r="I2772" s="116"/>
      <c r="L2772" s="170">
        <v>46085</v>
      </c>
      <c r="M2772" s="116">
        <v>3882.6</v>
      </c>
      <c r="N2772" s="116">
        <v>3959</v>
      </c>
      <c r="O2772" s="116">
        <v>3760</v>
      </c>
      <c r="P2772" s="116">
        <v>3950</v>
      </c>
      <c r="Q2772" s="116">
        <v>3882.6</v>
      </c>
      <c r="R2772">
        <v>7635350</v>
      </c>
    </row>
    <row r="2773" spans="1:18" x14ac:dyDescent="0.25">
      <c r="A2773" s="170">
        <v>46086</v>
      </c>
      <c r="B2773">
        <v>4072</v>
      </c>
      <c r="C2773">
        <v>4032.95</v>
      </c>
      <c r="D2773">
        <v>3907.75</v>
      </c>
      <c r="E2773">
        <v>3927</v>
      </c>
      <c r="F2773">
        <v>4032.95</v>
      </c>
      <c r="G2773">
        <v>194484</v>
      </c>
      <c r="H2773" s="116"/>
      <c r="I2773" s="116"/>
      <c r="L2773" s="170">
        <v>46086</v>
      </c>
      <c r="M2773" s="116">
        <v>4038.7</v>
      </c>
      <c r="N2773" s="116">
        <v>4072.9</v>
      </c>
      <c r="O2773" s="116">
        <v>3908.9</v>
      </c>
      <c r="P2773" s="116">
        <v>3924.2</v>
      </c>
      <c r="Q2773" s="116">
        <v>4038.7</v>
      </c>
      <c r="R2773">
        <v>4996312</v>
      </c>
    </row>
    <row r="2774" spans="1:18" x14ac:dyDescent="0.25">
      <c r="A2774" s="170">
        <v>46087</v>
      </c>
      <c r="B2774">
        <v>4020.75</v>
      </c>
      <c r="C2774">
        <v>3948.85</v>
      </c>
      <c r="D2774">
        <v>3941.5</v>
      </c>
      <c r="E2774">
        <v>4020</v>
      </c>
      <c r="F2774">
        <v>3948.85</v>
      </c>
      <c r="G2774">
        <v>97217</v>
      </c>
      <c r="H2774" s="116"/>
      <c r="I2774" s="116"/>
      <c r="L2774" s="170">
        <v>46087</v>
      </c>
      <c r="M2774" s="116">
        <v>3949.8</v>
      </c>
      <c r="N2774" s="116">
        <v>4015</v>
      </c>
      <c r="O2774" s="116">
        <v>3941</v>
      </c>
      <c r="P2774" s="116">
        <v>4015</v>
      </c>
      <c r="Q2774" s="116">
        <v>3949.8</v>
      </c>
      <c r="R2774">
        <v>2379314</v>
      </c>
    </row>
    <row r="2775" spans="1:18" x14ac:dyDescent="0.25">
      <c r="A2775" s="170">
        <v>46090</v>
      </c>
      <c r="B2775">
        <v>3852.8</v>
      </c>
      <c r="C2775">
        <v>3840</v>
      </c>
      <c r="D2775">
        <v>3744.5</v>
      </c>
      <c r="E2775">
        <v>3848</v>
      </c>
      <c r="F2775">
        <v>3840</v>
      </c>
      <c r="G2775">
        <v>165826</v>
      </c>
      <c r="H2775" s="116"/>
      <c r="I2775" s="116"/>
      <c r="L2775" s="170">
        <v>46090</v>
      </c>
      <c r="M2775" s="116">
        <v>3842.1</v>
      </c>
      <c r="N2775" s="116">
        <v>3852</v>
      </c>
      <c r="O2775" s="116">
        <v>3743</v>
      </c>
      <c r="P2775" s="116">
        <v>3850</v>
      </c>
      <c r="Q2775" s="116">
        <v>3842.1</v>
      </c>
      <c r="R2775">
        <v>4248784</v>
      </c>
    </row>
    <row r="2776" spans="1:18" x14ac:dyDescent="0.25">
      <c r="A2776" s="170">
        <v>46091</v>
      </c>
      <c r="B2776">
        <v>3974.85</v>
      </c>
      <c r="C2776">
        <v>3875.7</v>
      </c>
      <c r="D2776">
        <v>3851</v>
      </c>
      <c r="E2776">
        <v>3940</v>
      </c>
      <c r="F2776">
        <v>3875.7</v>
      </c>
      <c r="G2776">
        <v>91901</v>
      </c>
      <c r="H2776" s="116"/>
      <c r="I2776" s="116"/>
      <c r="L2776" s="170">
        <v>46091</v>
      </c>
      <c r="M2776" s="116">
        <v>3876</v>
      </c>
      <c r="N2776" s="116">
        <v>3972</v>
      </c>
      <c r="O2776" s="116">
        <v>3851</v>
      </c>
      <c r="P2776" s="116">
        <v>3936</v>
      </c>
      <c r="Q2776" s="116">
        <v>3876</v>
      </c>
      <c r="R2776">
        <v>3330102</v>
      </c>
    </row>
    <row r="2777" spans="1:18" x14ac:dyDescent="0.25">
      <c r="A2777" s="170">
        <v>46092</v>
      </c>
      <c r="B2777">
        <v>3896.9</v>
      </c>
      <c r="C2777">
        <v>3838.25</v>
      </c>
      <c r="D2777">
        <v>3831.5</v>
      </c>
      <c r="E2777">
        <v>3875.75</v>
      </c>
      <c r="F2777">
        <v>3838.25</v>
      </c>
      <c r="G2777">
        <v>100719</v>
      </c>
      <c r="H2777" s="116"/>
      <c r="I2777" s="116"/>
      <c r="L2777" s="170">
        <v>46092</v>
      </c>
      <c r="M2777" s="116">
        <v>3838.8</v>
      </c>
      <c r="N2777" s="116">
        <v>3896.7</v>
      </c>
      <c r="O2777" s="116">
        <v>3832</v>
      </c>
      <c r="P2777" s="116">
        <v>3879.7</v>
      </c>
      <c r="Q2777" s="116">
        <v>3838.8</v>
      </c>
      <c r="R2777">
        <v>2066473</v>
      </c>
    </row>
    <row r="2778" spans="1:18" x14ac:dyDescent="0.25">
      <c r="A2778" s="170">
        <v>46093</v>
      </c>
      <c r="B2778">
        <v>3825</v>
      </c>
      <c r="C2778">
        <v>3720.95</v>
      </c>
      <c r="D2778">
        <v>3705.25</v>
      </c>
      <c r="E2778">
        <v>3825</v>
      </c>
      <c r="F2778">
        <v>3720.95</v>
      </c>
      <c r="G2778">
        <v>371909</v>
      </c>
      <c r="H2778" s="116"/>
      <c r="I2778" s="116"/>
      <c r="L2778" s="170">
        <v>46093</v>
      </c>
      <c r="M2778" s="116">
        <v>3719.5</v>
      </c>
      <c r="N2778" s="116">
        <v>3830</v>
      </c>
      <c r="O2778" s="116">
        <v>3704.9</v>
      </c>
      <c r="P2778" s="116">
        <v>3825</v>
      </c>
      <c r="Q2778" s="116">
        <v>3719.5</v>
      </c>
      <c r="R2778">
        <v>4255443</v>
      </c>
    </row>
    <row r="2779" spans="1:18" x14ac:dyDescent="0.25">
      <c r="A2779" s="170">
        <v>46094</v>
      </c>
      <c r="B2779">
        <v>3705</v>
      </c>
      <c r="C2779">
        <v>3440.95</v>
      </c>
      <c r="D2779">
        <v>3425</v>
      </c>
      <c r="E2779">
        <v>3705</v>
      </c>
      <c r="F2779">
        <v>3440.95</v>
      </c>
      <c r="G2779">
        <v>1291358</v>
      </c>
      <c r="H2779" s="116"/>
      <c r="I2779" s="116"/>
      <c r="L2779" s="170">
        <v>46094</v>
      </c>
      <c r="M2779" s="116">
        <v>3439</v>
      </c>
      <c r="N2779" s="116">
        <v>3697</v>
      </c>
      <c r="O2779" s="116">
        <v>3424.5</v>
      </c>
      <c r="P2779" s="116">
        <v>3696</v>
      </c>
      <c r="Q2779" s="116">
        <v>3439</v>
      </c>
      <c r="R2779">
        <v>10778730</v>
      </c>
    </row>
    <row r="2780" spans="1:18" x14ac:dyDescent="0.25">
      <c r="A2780" s="170">
        <v>46097</v>
      </c>
      <c r="B2780">
        <v>3493.5</v>
      </c>
      <c r="C2780">
        <v>3463.85</v>
      </c>
      <c r="D2780">
        <v>3396.6</v>
      </c>
      <c r="E2780">
        <v>3441.05</v>
      </c>
      <c r="F2780">
        <v>3463.85</v>
      </c>
      <c r="G2780">
        <v>553512</v>
      </c>
      <c r="H2780" s="116"/>
      <c r="I2780" s="116"/>
      <c r="L2780" s="170">
        <v>46097</v>
      </c>
      <c r="M2780" s="116">
        <v>3469.4</v>
      </c>
      <c r="N2780" s="116">
        <v>3494.8</v>
      </c>
      <c r="O2780" s="116">
        <v>3396.6</v>
      </c>
      <c r="P2780" s="116">
        <v>3453.5</v>
      </c>
      <c r="Q2780" s="116">
        <v>3469.4</v>
      </c>
      <c r="R2780">
        <v>8459233</v>
      </c>
    </row>
    <row r="2781" spans="1:18" x14ac:dyDescent="0.25">
      <c r="A2781" s="170">
        <v>46098</v>
      </c>
      <c r="B2781">
        <v>3549.95</v>
      </c>
      <c r="C2781">
        <v>3543.1</v>
      </c>
      <c r="D2781">
        <v>3451</v>
      </c>
      <c r="E2781">
        <v>3481.95</v>
      </c>
      <c r="F2781">
        <v>3543.1</v>
      </c>
      <c r="G2781">
        <v>167128</v>
      </c>
      <c r="H2781" s="116"/>
      <c r="I2781" s="116"/>
      <c r="L2781" s="170">
        <v>46098</v>
      </c>
      <c r="M2781" s="116">
        <v>3542.8</v>
      </c>
      <c r="N2781" s="116">
        <v>3550</v>
      </c>
      <c r="O2781" s="116">
        <v>3450</v>
      </c>
      <c r="P2781" s="116">
        <v>3478</v>
      </c>
      <c r="Q2781" s="116">
        <v>3542.8</v>
      </c>
      <c r="R2781">
        <v>5003418</v>
      </c>
    </row>
    <row r="2782" spans="1:18" x14ac:dyDescent="0.25">
      <c r="A2782" s="170">
        <v>46099</v>
      </c>
      <c r="B2782">
        <v>3639</v>
      </c>
      <c r="C2782">
        <v>3605.25</v>
      </c>
      <c r="D2782">
        <v>3555</v>
      </c>
      <c r="E2782">
        <v>3573.85</v>
      </c>
      <c r="F2782">
        <v>3605.25</v>
      </c>
      <c r="G2782">
        <v>1097082</v>
      </c>
      <c r="H2782" s="116"/>
      <c r="I2782" s="116"/>
      <c r="L2782" s="170">
        <v>46099</v>
      </c>
      <c r="M2782" s="116">
        <v>3607.9</v>
      </c>
      <c r="N2782" s="116">
        <v>3638.8</v>
      </c>
      <c r="O2782" s="116">
        <v>3555</v>
      </c>
      <c r="P2782" s="116">
        <v>3569</v>
      </c>
      <c r="Q2782" s="116">
        <v>3607.9</v>
      </c>
      <c r="R2782">
        <v>4190485</v>
      </c>
    </row>
    <row r="2783" spans="1:18" x14ac:dyDescent="0.25">
      <c r="A2783" s="170">
        <v>46100</v>
      </c>
      <c r="B2783">
        <v>3535.7</v>
      </c>
      <c r="C2783">
        <v>3435.25</v>
      </c>
      <c r="D2783">
        <v>3422.35</v>
      </c>
      <c r="E2783">
        <v>3535.7</v>
      </c>
      <c r="F2783">
        <v>3435.25</v>
      </c>
      <c r="G2783">
        <v>355913</v>
      </c>
      <c r="H2783" s="116"/>
      <c r="I2783" s="116"/>
      <c r="L2783" s="170">
        <v>46100</v>
      </c>
      <c r="M2783" s="116">
        <v>3434.5</v>
      </c>
      <c r="N2783" s="116">
        <v>3528.3</v>
      </c>
      <c r="O2783" s="116">
        <v>3422</v>
      </c>
      <c r="P2783" s="116">
        <v>3526.7</v>
      </c>
      <c r="Q2783" s="116">
        <v>3434.5</v>
      </c>
      <c r="R2783">
        <v>4898518</v>
      </c>
    </row>
    <row r="2784" spans="1:18" x14ac:dyDescent="0.25">
      <c r="A2784" s="170">
        <v>46101</v>
      </c>
      <c r="B2784">
        <v>3523.85</v>
      </c>
      <c r="C2784">
        <v>3434.8</v>
      </c>
      <c r="D2784">
        <v>3409.05</v>
      </c>
      <c r="E2784">
        <v>3470.05</v>
      </c>
      <c r="F2784">
        <v>3434.8</v>
      </c>
      <c r="G2784">
        <v>148514</v>
      </c>
      <c r="H2784" s="116"/>
      <c r="I2784" s="116"/>
      <c r="L2784" s="170">
        <v>46101</v>
      </c>
      <c r="M2784" s="116">
        <v>3434.8</v>
      </c>
      <c r="N2784" s="116">
        <v>3524</v>
      </c>
      <c r="O2784" s="116">
        <v>3410</v>
      </c>
      <c r="P2784" s="116">
        <v>3475</v>
      </c>
      <c r="Q2784" s="116">
        <v>3434.8</v>
      </c>
      <c r="R2784">
        <v>4743217</v>
      </c>
    </row>
    <row r="2785" spans="1:18" x14ac:dyDescent="0.25">
      <c r="A2785" s="170">
        <v>46104</v>
      </c>
      <c r="B2785">
        <v>3419.95</v>
      </c>
      <c r="C2785">
        <v>3341.9</v>
      </c>
      <c r="D2785">
        <v>3288.65</v>
      </c>
      <c r="E2785">
        <v>3419.95</v>
      </c>
      <c r="F2785">
        <v>3341.9</v>
      </c>
      <c r="G2785">
        <v>353536</v>
      </c>
      <c r="H2785" s="116"/>
      <c r="I2785" s="116"/>
      <c r="L2785" s="170">
        <v>46104</v>
      </c>
      <c r="M2785" s="116">
        <v>3342.4</v>
      </c>
      <c r="N2785" s="116">
        <v>3409.9</v>
      </c>
      <c r="O2785" s="116">
        <v>3288.1</v>
      </c>
      <c r="P2785" s="116">
        <v>3405.1</v>
      </c>
      <c r="Q2785" s="116">
        <v>3342.4</v>
      </c>
      <c r="R2785">
        <v>5645839</v>
      </c>
    </row>
    <row r="2786" spans="1:18" x14ac:dyDescent="0.25">
      <c r="A2786" s="170">
        <v>46105</v>
      </c>
      <c r="B2786">
        <v>3548</v>
      </c>
      <c r="C2786">
        <v>3515.35</v>
      </c>
      <c r="D2786">
        <v>3390</v>
      </c>
      <c r="E2786">
        <v>3443.2</v>
      </c>
      <c r="F2786">
        <v>3515.35</v>
      </c>
      <c r="G2786">
        <v>208093</v>
      </c>
      <c r="H2786" s="116"/>
      <c r="I2786" s="116"/>
      <c r="L2786" s="170">
        <v>46105</v>
      </c>
      <c r="M2786" s="116">
        <v>3516.8</v>
      </c>
      <c r="N2786" s="116">
        <v>3547.1</v>
      </c>
      <c r="O2786" s="116">
        <v>3390.5</v>
      </c>
      <c r="P2786" s="116">
        <v>3440</v>
      </c>
      <c r="Q2786" s="116">
        <v>3516.8</v>
      </c>
      <c r="R2786">
        <v>6037848</v>
      </c>
    </row>
    <row r="2787" spans="1:18" x14ac:dyDescent="0.25">
      <c r="A2787" s="170">
        <v>46106</v>
      </c>
      <c r="B2787">
        <v>3658.6</v>
      </c>
      <c r="C2787">
        <v>3648.85</v>
      </c>
      <c r="D2787">
        <v>3547.3</v>
      </c>
      <c r="E2787">
        <v>3568</v>
      </c>
      <c r="F2787">
        <v>3648.85</v>
      </c>
      <c r="G2787">
        <v>697512</v>
      </c>
      <c r="H2787" s="116"/>
      <c r="I2787" s="116"/>
      <c r="L2787" s="170">
        <v>46106</v>
      </c>
      <c r="M2787" s="116">
        <v>3649.3</v>
      </c>
      <c r="N2787" s="116">
        <v>3660</v>
      </c>
      <c r="O2787" s="116">
        <v>3546</v>
      </c>
      <c r="P2787" s="116">
        <v>3569.9</v>
      </c>
      <c r="Q2787" s="116">
        <v>3649.3</v>
      </c>
      <c r="R2787">
        <v>5090205</v>
      </c>
    </row>
    <row r="2788" spans="1:18" x14ac:dyDescent="0.25">
      <c r="A2788" s="170">
        <v>46108</v>
      </c>
      <c r="B2788">
        <v>3647.7</v>
      </c>
      <c r="C2788">
        <v>3565.95</v>
      </c>
      <c r="D2788">
        <v>3546.45</v>
      </c>
      <c r="E2788">
        <v>3647.7</v>
      </c>
      <c r="F2788">
        <v>3565.95</v>
      </c>
      <c r="G2788">
        <v>211479</v>
      </c>
      <c r="H2788" s="116"/>
      <c r="I2788" s="116"/>
      <c r="L2788" s="170">
        <v>46108</v>
      </c>
      <c r="M2788" s="116">
        <v>3564.1</v>
      </c>
      <c r="N2788" s="116">
        <v>3640</v>
      </c>
      <c r="O2788" s="116">
        <v>3547</v>
      </c>
      <c r="P2788" s="116">
        <v>3640</v>
      </c>
      <c r="Q2788" s="116">
        <v>3564.1</v>
      </c>
      <c r="R2788">
        <v>3991388</v>
      </c>
    </row>
    <row r="2789" spans="1:18" x14ac:dyDescent="0.25">
      <c r="A2789" s="170">
        <v>46111</v>
      </c>
      <c r="B2789">
        <v>3542</v>
      </c>
      <c r="C2789">
        <v>3504.3</v>
      </c>
      <c r="D2789">
        <v>3489.2</v>
      </c>
      <c r="E2789">
        <v>3496.05</v>
      </c>
      <c r="F2789">
        <v>3504.3</v>
      </c>
      <c r="G2789">
        <v>228457</v>
      </c>
      <c r="H2789" s="116"/>
      <c r="I2789" s="116"/>
      <c r="L2789" s="170">
        <v>46111</v>
      </c>
      <c r="M2789" s="116">
        <v>3504.1</v>
      </c>
      <c r="N2789" s="116">
        <v>3543.6</v>
      </c>
      <c r="O2789" s="116">
        <v>3491.1</v>
      </c>
      <c r="P2789" s="116">
        <v>3500</v>
      </c>
      <c r="Q2789" s="116">
        <v>3504.1</v>
      </c>
      <c r="R2789">
        <v>3549203</v>
      </c>
    </row>
    <row r="2790" spans="1:18" x14ac:dyDescent="0.25">
      <c r="A2790" s="170">
        <v>46113</v>
      </c>
      <c r="B2790">
        <v>3681.25</v>
      </c>
      <c r="C2790">
        <v>3607.55</v>
      </c>
      <c r="D2790">
        <v>3598</v>
      </c>
      <c r="E2790">
        <v>3650.25</v>
      </c>
      <c r="F2790">
        <v>3607.55</v>
      </c>
      <c r="G2790">
        <v>303364</v>
      </c>
      <c r="H2790" s="116"/>
      <c r="I2790" s="116"/>
      <c r="L2790" s="170">
        <v>46113</v>
      </c>
      <c r="M2790" s="116">
        <v>3607.5</v>
      </c>
      <c r="N2790" s="116">
        <v>3682.9</v>
      </c>
      <c r="O2790" s="116">
        <v>3597.3</v>
      </c>
      <c r="P2790" s="116">
        <v>3655</v>
      </c>
      <c r="Q2790" s="116">
        <v>3607.5</v>
      </c>
      <c r="R2790">
        <v>4099786</v>
      </c>
    </row>
    <row r="2791" spans="1:18" x14ac:dyDescent="0.25">
      <c r="A2791" s="170">
        <v>46114</v>
      </c>
      <c r="B2791">
        <v>3629.65</v>
      </c>
      <c r="C2791">
        <v>3613.75</v>
      </c>
      <c r="D2791">
        <v>3470</v>
      </c>
      <c r="E2791">
        <v>3535.4</v>
      </c>
      <c r="F2791">
        <v>3613.75</v>
      </c>
      <c r="G2791">
        <v>392609</v>
      </c>
      <c r="H2791" s="116"/>
      <c r="I2791" s="116"/>
      <c r="L2791" s="170">
        <v>46114</v>
      </c>
      <c r="M2791" s="116">
        <v>3613.1</v>
      </c>
      <c r="N2791" s="116">
        <v>3629</v>
      </c>
      <c r="O2791" s="116">
        <v>3470</v>
      </c>
      <c r="P2791" s="116">
        <v>3539.3</v>
      </c>
      <c r="Q2791" s="116">
        <v>3613.1</v>
      </c>
      <c r="R2791">
        <v>4121638</v>
      </c>
    </row>
    <row r="2792" spans="1:18" x14ac:dyDescent="0.25">
      <c r="A2792" s="170">
        <v>46118</v>
      </c>
      <c r="B2792">
        <v>3736.2</v>
      </c>
      <c r="C2792">
        <v>3728.85</v>
      </c>
      <c r="D2792">
        <v>3575.3</v>
      </c>
      <c r="E2792">
        <v>3613</v>
      </c>
      <c r="F2792">
        <v>3728.85</v>
      </c>
      <c r="G2792">
        <v>203746</v>
      </c>
      <c r="H2792" s="116"/>
      <c r="I2792" s="116"/>
      <c r="L2792" s="170">
        <v>46118</v>
      </c>
      <c r="M2792" s="116">
        <v>3727.7</v>
      </c>
      <c r="N2792" s="116">
        <v>3737</v>
      </c>
      <c r="O2792" s="116">
        <v>3577</v>
      </c>
      <c r="P2792" s="116">
        <v>3616.6</v>
      </c>
      <c r="Q2792" s="116">
        <v>3727.7</v>
      </c>
      <c r="R2792">
        <v>3353246</v>
      </c>
    </row>
    <row r="2793" spans="1:18" x14ac:dyDescent="0.25">
      <c r="A2793" s="170">
        <v>46119</v>
      </c>
      <c r="B2793">
        <v>3736.6</v>
      </c>
      <c r="C2793">
        <v>3723</v>
      </c>
      <c r="D2793">
        <v>3658.25</v>
      </c>
      <c r="E2793">
        <v>3675.05</v>
      </c>
      <c r="F2793">
        <v>3723</v>
      </c>
      <c r="G2793">
        <v>162665</v>
      </c>
      <c r="H2793" s="116"/>
      <c r="I2793" s="116"/>
      <c r="L2793" s="170">
        <v>46119</v>
      </c>
      <c r="M2793" s="116">
        <v>3723.3</v>
      </c>
      <c r="N2793" s="116">
        <v>3736.2</v>
      </c>
      <c r="O2793" s="116">
        <v>3658</v>
      </c>
      <c r="P2793" s="116">
        <v>3680</v>
      </c>
      <c r="Q2793" s="116">
        <v>3723.3</v>
      </c>
      <c r="R2793">
        <v>3083714</v>
      </c>
    </row>
    <row r="2794" spans="1:18" x14ac:dyDescent="0.25">
      <c r="A2794" s="170">
        <v>46120</v>
      </c>
      <c r="B2794">
        <v>4031.5</v>
      </c>
      <c r="C2794">
        <v>4007.35</v>
      </c>
      <c r="D2794">
        <v>3930.1</v>
      </c>
      <c r="E2794">
        <v>3969.95</v>
      </c>
      <c r="F2794">
        <v>4007.35</v>
      </c>
      <c r="G2794">
        <v>341935</v>
      </c>
      <c r="H2794" s="116"/>
      <c r="I2794" s="116"/>
      <c r="L2794" s="170">
        <v>46120</v>
      </c>
      <c r="M2794" s="116">
        <v>4005.9</v>
      </c>
      <c r="N2794" s="116">
        <v>4032</v>
      </c>
      <c r="O2794" s="116">
        <v>3931</v>
      </c>
      <c r="P2794" s="116">
        <v>3948</v>
      </c>
      <c r="Q2794" s="116">
        <v>4005.9</v>
      </c>
      <c r="R2794">
        <v>7368477</v>
      </c>
    </row>
    <row r="2795" spans="1:18" x14ac:dyDescent="0.25">
      <c r="A2795" s="170">
        <v>46121</v>
      </c>
      <c r="B2795">
        <v>3994</v>
      </c>
      <c r="C2795">
        <v>3897.2</v>
      </c>
      <c r="D2795">
        <v>3885.05</v>
      </c>
      <c r="E2795">
        <v>3994</v>
      </c>
      <c r="F2795">
        <v>3897.2</v>
      </c>
      <c r="G2795">
        <v>521136</v>
      </c>
      <c r="H2795" s="116"/>
      <c r="I2795" s="116"/>
      <c r="L2795" s="170">
        <v>46121</v>
      </c>
      <c r="M2795" s="116">
        <v>3896.2</v>
      </c>
      <c r="N2795" s="116">
        <v>3988</v>
      </c>
      <c r="O2795" s="116">
        <v>3885.6</v>
      </c>
      <c r="P2795" s="116">
        <v>3988</v>
      </c>
      <c r="Q2795" s="116">
        <v>3896.2</v>
      </c>
      <c r="R2795">
        <v>4415151</v>
      </c>
    </row>
    <row r="2796" spans="1:18" x14ac:dyDescent="0.25">
      <c r="A2796" s="170">
        <v>46122</v>
      </c>
      <c r="B2796">
        <v>3966</v>
      </c>
      <c r="C2796">
        <v>3959.9</v>
      </c>
      <c r="D2796">
        <v>3910.35</v>
      </c>
      <c r="E2796">
        <v>3910.35</v>
      </c>
      <c r="F2796">
        <v>3959.9</v>
      </c>
      <c r="G2796">
        <v>156322</v>
      </c>
      <c r="H2796" s="116"/>
      <c r="I2796" s="116"/>
      <c r="L2796" s="170">
        <v>46122</v>
      </c>
      <c r="M2796" s="116">
        <v>3959.9</v>
      </c>
      <c r="N2796" s="116">
        <v>3965</v>
      </c>
      <c r="O2796" s="116">
        <v>3915.6</v>
      </c>
      <c r="P2796" s="116">
        <v>3932</v>
      </c>
      <c r="Q2796" s="116">
        <v>3959.9</v>
      </c>
      <c r="R2796">
        <v>2822017</v>
      </c>
    </row>
    <row r="2797" spans="1:18" x14ac:dyDescent="0.25">
      <c r="A2797" s="170">
        <v>46125</v>
      </c>
      <c r="B2797">
        <v>3974.05</v>
      </c>
      <c r="C2797">
        <v>3953.9</v>
      </c>
      <c r="D2797">
        <v>3806.6</v>
      </c>
      <c r="E2797">
        <v>3806.6</v>
      </c>
      <c r="F2797">
        <v>3953.9</v>
      </c>
      <c r="G2797">
        <v>942698</v>
      </c>
      <c r="H2797" s="116"/>
      <c r="I2797" s="116"/>
      <c r="L2797" s="170">
        <v>46125</v>
      </c>
      <c r="M2797" s="116">
        <v>3954.3</v>
      </c>
      <c r="N2797" s="116">
        <v>3971.7</v>
      </c>
      <c r="O2797" s="116">
        <v>3815.6</v>
      </c>
      <c r="P2797" s="116">
        <v>3825</v>
      </c>
      <c r="Q2797" s="116">
        <v>3954.3</v>
      </c>
      <c r="R2797">
        <v>4897563</v>
      </c>
    </row>
    <row r="2798" spans="1:18" x14ac:dyDescent="0.25">
      <c r="A2798" s="170">
        <v>46127</v>
      </c>
      <c r="B2798">
        <v>4105</v>
      </c>
      <c r="C2798">
        <v>4075.85</v>
      </c>
      <c r="D2798">
        <v>4035</v>
      </c>
      <c r="E2798">
        <v>4050</v>
      </c>
      <c r="F2798">
        <v>4075.85</v>
      </c>
      <c r="G2798">
        <v>271363</v>
      </c>
      <c r="H2798" s="116"/>
      <c r="I2798" s="116"/>
      <c r="L2798" s="170">
        <v>46127</v>
      </c>
      <c r="M2798" s="116">
        <v>4076.3</v>
      </c>
      <c r="N2798" s="116">
        <v>4104</v>
      </c>
      <c r="O2798" s="116">
        <v>4031.1</v>
      </c>
      <c r="P2798" s="116">
        <v>4045.4</v>
      </c>
      <c r="Q2798" s="116">
        <v>4076.3</v>
      </c>
      <c r="R2798">
        <v>4562142</v>
      </c>
    </row>
    <row r="2799" spans="1:18" x14ac:dyDescent="0.25">
      <c r="A2799" s="170">
        <v>46128</v>
      </c>
      <c r="B2799">
        <v>4149.55</v>
      </c>
      <c r="C2799">
        <v>4117.3500000000004</v>
      </c>
      <c r="D2799">
        <v>4090</v>
      </c>
      <c r="E2799">
        <v>4128</v>
      </c>
      <c r="F2799">
        <v>4117.3500000000004</v>
      </c>
      <c r="G2799">
        <v>433753</v>
      </c>
      <c r="H2799" s="116"/>
      <c r="I2799" s="116"/>
      <c r="L2799" s="170">
        <v>46128</v>
      </c>
      <c r="M2799" s="116">
        <v>4119.8</v>
      </c>
      <c r="N2799" s="116">
        <v>4149</v>
      </c>
      <c r="O2799" s="116">
        <v>4089</v>
      </c>
      <c r="P2799" s="116">
        <v>4128</v>
      </c>
      <c r="Q2799" s="116">
        <v>4119.8</v>
      </c>
      <c r="R2799">
        <v>5092608</v>
      </c>
    </row>
    <row r="2800" spans="1:18" x14ac:dyDescent="0.25">
      <c r="A2800" s="170">
        <v>46129</v>
      </c>
      <c r="B2800">
        <v>4141</v>
      </c>
      <c r="C2800">
        <v>4094.95</v>
      </c>
      <c r="D2800">
        <v>4072.2</v>
      </c>
      <c r="E2800">
        <v>4135.8999999999996</v>
      </c>
      <c r="F2800">
        <v>4094.95</v>
      </c>
      <c r="G2800">
        <v>143835</v>
      </c>
      <c r="H2800" s="116"/>
      <c r="I2800" s="116"/>
      <c r="L2800" s="170">
        <v>46129</v>
      </c>
      <c r="M2800" s="116">
        <v>4096.1000000000004</v>
      </c>
      <c r="N2800" s="116">
        <v>4142.8999999999996</v>
      </c>
      <c r="O2800" s="116">
        <v>4072.8</v>
      </c>
      <c r="P2800" s="116">
        <v>4134</v>
      </c>
      <c r="Q2800" s="116">
        <v>4096.1000000000004</v>
      </c>
      <c r="R2800">
        <v>2796673</v>
      </c>
    </row>
    <row r="2801" spans="1:18" x14ac:dyDescent="0.25">
      <c r="A2801" s="170">
        <v>46132</v>
      </c>
      <c r="B2801">
        <v>4130.95</v>
      </c>
      <c r="C2801">
        <v>4050</v>
      </c>
      <c r="D2801">
        <v>4026</v>
      </c>
      <c r="E2801">
        <v>4096.3500000000004</v>
      </c>
      <c r="F2801">
        <v>4050</v>
      </c>
      <c r="G2801">
        <v>130644</v>
      </c>
      <c r="H2801" s="116"/>
      <c r="I2801" s="116"/>
      <c r="L2801" s="170">
        <v>46132</v>
      </c>
      <c r="M2801" s="116">
        <v>4051</v>
      </c>
      <c r="N2801" s="116">
        <v>4130</v>
      </c>
      <c r="O2801" s="116">
        <v>4024</v>
      </c>
      <c r="P2801" s="116">
        <v>4100</v>
      </c>
      <c r="Q2801" s="116">
        <v>4051</v>
      </c>
      <c r="R2801">
        <v>3545024</v>
      </c>
    </row>
    <row r="2802" spans="1:18" x14ac:dyDescent="0.25">
      <c r="A2802" s="170">
        <v>46133</v>
      </c>
      <c r="B2802">
        <v>4092.6</v>
      </c>
      <c r="C2802">
        <v>4075.75</v>
      </c>
      <c r="D2802">
        <v>4039</v>
      </c>
      <c r="E2802">
        <v>4047.8</v>
      </c>
      <c r="F2802">
        <v>4075.75</v>
      </c>
      <c r="G2802">
        <v>90297</v>
      </c>
      <c r="H2802" s="116"/>
      <c r="I2802" s="116"/>
      <c r="L2802" s="170">
        <v>46133</v>
      </c>
      <c r="M2802" s="116">
        <v>4075.4</v>
      </c>
      <c r="N2802" s="116">
        <v>4091.8</v>
      </c>
      <c r="O2802" s="116">
        <v>4032</v>
      </c>
      <c r="P2802" s="116">
        <v>4039</v>
      </c>
      <c r="Q2802" s="116">
        <v>4075.4</v>
      </c>
      <c r="R2802">
        <v>2426718</v>
      </c>
    </row>
    <row r="2803" spans="1:18" x14ac:dyDescent="0.25">
      <c r="A2803" s="170">
        <v>46134</v>
      </c>
      <c r="B2803">
        <v>4070.95</v>
      </c>
      <c r="C2803">
        <v>4022.15</v>
      </c>
      <c r="D2803">
        <v>4010.8</v>
      </c>
      <c r="E2803">
        <v>4050.35</v>
      </c>
      <c r="F2803">
        <v>4022.15</v>
      </c>
      <c r="G2803">
        <v>229798</v>
      </c>
      <c r="H2803" s="116"/>
      <c r="I2803" s="116"/>
      <c r="L2803" s="170">
        <v>46134</v>
      </c>
      <c r="M2803" s="116">
        <v>4021.1</v>
      </c>
      <c r="N2803" s="116">
        <v>4070</v>
      </c>
      <c r="O2803" s="116">
        <v>4011</v>
      </c>
      <c r="P2803" s="116">
        <v>4070</v>
      </c>
      <c r="Q2803" s="116">
        <v>4021.1</v>
      </c>
      <c r="R2803">
        <v>2178082</v>
      </c>
    </row>
    <row r="2804" spans="1:18" x14ac:dyDescent="0.25">
      <c r="A2804" s="170">
        <v>46135</v>
      </c>
      <c r="B2804">
        <v>4063.7</v>
      </c>
      <c r="C2804">
        <v>4054</v>
      </c>
      <c r="D2804">
        <v>3980</v>
      </c>
      <c r="E2804">
        <v>4000.4</v>
      </c>
      <c r="F2804">
        <v>4054</v>
      </c>
      <c r="G2804">
        <v>279094</v>
      </c>
      <c r="H2804" s="116"/>
      <c r="I2804" s="116"/>
      <c r="L2804" s="170">
        <v>46135</v>
      </c>
      <c r="M2804" s="116">
        <v>4054.1</v>
      </c>
      <c r="N2804" s="116">
        <v>4064</v>
      </c>
      <c r="O2804" s="116">
        <v>3978.5</v>
      </c>
      <c r="P2804" s="116">
        <v>4009.9</v>
      </c>
      <c r="Q2804" s="116">
        <v>4054.1</v>
      </c>
      <c r="R2804">
        <v>2229134</v>
      </c>
    </row>
    <row r="2805" spans="1:18" x14ac:dyDescent="0.25">
      <c r="A2805" s="170">
        <v>46136</v>
      </c>
      <c r="B2805">
        <v>4085.45</v>
      </c>
      <c r="C2805">
        <v>4013.95</v>
      </c>
      <c r="D2805">
        <v>3981.8</v>
      </c>
      <c r="E2805">
        <v>4072</v>
      </c>
      <c r="F2805">
        <v>4013.95</v>
      </c>
      <c r="G2805">
        <v>69976</v>
      </c>
      <c r="H2805" s="116"/>
      <c r="I2805" s="116"/>
      <c r="L2805" s="170">
        <v>46136</v>
      </c>
      <c r="M2805" s="116">
        <v>4014.3</v>
      </c>
      <c r="N2805" s="116">
        <v>4088.1</v>
      </c>
      <c r="O2805" s="116">
        <v>3983.2</v>
      </c>
      <c r="P2805" s="116">
        <v>4072</v>
      </c>
      <c r="Q2805" s="116">
        <v>4014.3</v>
      </c>
      <c r="R2805">
        <v>2162213</v>
      </c>
    </row>
    <row r="2806" spans="1:18" x14ac:dyDescent="0.25">
      <c r="A2806" s="170">
        <v>46139</v>
      </c>
      <c r="B2806">
        <v>4089</v>
      </c>
      <c r="C2806">
        <v>4050.85</v>
      </c>
      <c r="D2806">
        <v>4037.4</v>
      </c>
      <c r="E2806">
        <v>4050.35</v>
      </c>
      <c r="F2806">
        <v>4050.85</v>
      </c>
      <c r="G2806">
        <v>78779</v>
      </c>
      <c r="H2806" s="116"/>
      <c r="I2806" s="116"/>
      <c r="L2806" s="170">
        <v>46139</v>
      </c>
      <c r="M2806" s="116">
        <v>4053.6</v>
      </c>
      <c r="N2806" s="116">
        <v>4089.5</v>
      </c>
      <c r="O2806" s="116">
        <v>4030.2</v>
      </c>
      <c r="P2806" s="116">
        <v>4058</v>
      </c>
      <c r="Q2806" s="116">
        <v>4053.6</v>
      </c>
      <c r="R2806">
        <v>2000348</v>
      </c>
    </row>
    <row r="2807" spans="1:18" x14ac:dyDescent="0.25">
      <c r="A2807" s="170">
        <v>46140</v>
      </c>
      <c r="B2807">
        <v>4088</v>
      </c>
      <c r="C2807">
        <v>4037.05</v>
      </c>
      <c r="D2807">
        <v>4025</v>
      </c>
      <c r="E2807">
        <v>4050</v>
      </c>
      <c r="F2807">
        <v>4037.05</v>
      </c>
      <c r="G2807">
        <v>43230</v>
      </c>
      <c r="H2807" s="116"/>
      <c r="I2807" s="116"/>
      <c r="L2807" s="170">
        <v>46140</v>
      </c>
      <c r="M2807" s="116">
        <v>4037.7</v>
      </c>
      <c r="N2807" s="116">
        <v>4087.9</v>
      </c>
      <c r="O2807" s="116">
        <v>4023.9</v>
      </c>
      <c r="P2807" s="116">
        <v>4060</v>
      </c>
      <c r="Q2807" s="116">
        <v>4037.7</v>
      </c>
      <c r="R2807">
        <v>1750237</v>
      </c>
    </row>
    <row r="2808" spans="1:18" x14ac:dyDescent="0.25">
      <c r="A2808" s="170">
        <v>46141</v>
      </c>
      <c r="B2808">
        <v>4125</v>
      </c>
      <c r="C2808">
        <v>4095.75</v>
      </c>
      <c r="D2808">
        <v>4055.6</v>
      </c>
      <c r="E2808">
        <v>4068.7</v>
      </c>
      <c r="F2808">
        <v>4095.75</v>
      </c>
      <c r="G2808">
        <v>220062</v>
      </c>
      <c r="H2808" s="116"/>
      <c r="I2808" s="116"/>
      <c r="L2808" s="170">
        <v>46141</v>
      </c>
      <c r="M2808" s="116">
        <v>4096.1000000000004</v>
      </c>
      <c r="N2808" s="116">
        <v>4126</v>
      </c>
      <c r="O2808" s="116">
        <v>4051.3</v>
      </c>
      <c r="P2808" s="116">
        <v>4060</v>
      </c>
      <c r="Q2808" s="116">
        <v>4096.1000000000004</v>
      </c>
      <c r="R2808">
        <v>2175030</v>
      </c>
    </row>
    <row r="2809" spans="1:18" x14ac:dyDescent="0.25">
      <c r="A2809" s="170">
        <v>46142</v>
      </c>
      <c r="B2809">
        <v>4095.75</v>
      </c>
      <c r="C2809">
        <v>4012.65</v>
      </c>
      <c r="D2809">
        <v>3989.6</v>
      </c>
      <c r="E2809">
        <v>4071.8</v>
      </c>
      <c r="F2809">
        <v>4012.65</v>
      </c>
      <c r="G2809">
        <v>249548</v>
      </c>
      <c r="H2809" s="116"/>
      <c r="I2809" s="116"/>
      <c r="L2809" s="170">
        <v>46142</v>
      </c>
      <c r="M2809" s="116">
        <v>4014</v>
      </c>
      <c r="N2809" s="116">
        <v>4100</v>
      </c>
      <c r="O2809" s="116">
        <v>3990</v>
      </c>
      <c r="P2809" s="116">
        <v>4083</v>
      </c>
      <c r="Q2809" s="116">
        <v>4014</v>
      </c>
      <c r="R2809">
        <v>2569328</v>
      </c>
    </row>
    <row r="2810" spans="1:18" x14ac:dyDescent="0.25">
      <c r="A2810" s="170">
        <v>46146</v>
      </c>
      <c r="B2810">
        <v>4138.95</v>
      </c>
      <c r="C2810">
        <v>4100.2</v>
      </c>
      <c r="D2810">
        <v>4029.55</v>
      </c>
      <c r="E2810">
        <v>4029.6</v>
      </c>
      <c r="F2810">
        <v>4100.2</v>
      </c>
      <c r="G2810">
        <v>80157</v>
      </c>
      <c r="H2810" s="116"/>
      <c r="I2810" s="116"/>
      <c r="L2810" s="170">
        <v>46146</v>
      </c>
      <c r="M2810" s="116">
        <v>4100.8</v>
      </c>
      <c r="N2810" s="116">
        <v>4139.5</v>
      </c>
      <c r="O2810" s="116">
        <v>4026</v>
      </c>
      <c r="P2810" s="116">
        <v>4026</v>
      </c>
      <c r="Q2810" s="116">
        <v>4100.8</v>
      </c>
      <c r="R2810">
        <v>2173027</v>
      </c>
    </row>
    <row r="2811" spans="1:18" x14ac:dyDescent="0.25">
      <c r="A2811" s="170">
        <v>46147</v>
      </c>
      <c r="B2811">
        <v>4097.7</v>
      </c>
      <c r="C2811">
        <v>4056.15</v>
      </c>
      <c r="D2811">
        <v>4024.05</v>
      </c>
      <c r="E2811">
        <v>4097.7</v>
      </c>
      <c r="F2811">
        <v>4056.15</v>
      </c>
      <c r="G2811">
        <v>121110</v>
      </c>
      <c r="H2811" s="116"/>
      <c r="I2811" s="116"/>
      <c r="L2811" s="170">
        <v>46147</v>
      </c>
      <c r="M2811" s="116">
        <v>4054.5</v>
      </c>
      <c r="N2811" s="116">
        <v>4090</v>
      </c>
      <c r="O2811" s="116">
        <v>4024</v>
      </c>
      <c r="P2811" s="116">
        <v>4085</v>
      </c>
      <c r="Q2811" s="116">
        <v>4054.5</v>
      </c>
      <c r="R2811">
        <v>3849402</v>
      </c>
    </row>
    <row r="2812" spans="1:18" x14ac:dyDescent="0.25">
      <c r="A2812" s="170">
        <v>46148</v>
      </c>
      <c r="B2812">
        <v>4021</v>
      </c>
      <c r="C2812">
        <v>4008.35</v>
      </c>
      <c r="D2812">
        <v>3900</v>
      </c>
      <c r="E2812">
        <v>3984.95</v>
      </c>
      <c r="F2812">
        <v>4008.35</v>
      </c>
      <c r="G2812">
        <v>757260</v>
      </c>
      <c r="H2812" s="116"/>
      <c r="I2812" s="116"/>
      <c r="L2812" s="170">
        <v>46148</v>
      </c>
      <c r="M2812" s="116">
        <v>4008.5</v>
      </c>
      <c r="N2812" s="116">
        <v>4021</v>
      </c>
      <c r="O2812" s="116">
        <v>3900</v>
      </c>
      <c r="P2812" s="116">
        <v>3974</v>
      </c>
      <c r="Q2812" s="116">
        <v>4008.5</v>
      </c>
      <c r="R2812">
        <v>9540104</v>
      </c>
    </row>
    <row r="2813" spans="1:18" x14ac:dyDescent="0.25">
      <c r="A2813" s="170">
        <v>46149</v>
      </c>
      <c r="B2813">
        <v>4066.15</v>
      </c>
      <c r="C2813">
        <v>4022.5</v>
      </c>
      <c r="D2813">
        <v>3991</v>
      </c>
      <c r="E2813">
        <v>4056.35</v>
      </c>
      <c r="F2813">
        <v>4022.5</v>
      </c>
      <c r="G2813">
        <v>324848</v>
      </c>
      <c r="H2813" s="116"/>
      <c r="I2813" s="116"/>
      <c r="L2813" s="170">
        <v>46149</v>
      </c>
      <c r="M2813" s="116">
        <v>4023</v>
      </c>
      <c r="N2813" s="116">
        <v>4065.8</v>
      </c>
      <c r="O2813" s="116">
        <v>3991</v>
      </c>
      <c r="P2813" s="116">
        <v>4028</v>
      </c>
      <c r="Q2813" s="116">
        <v>4023</v>
      </c>
      <c r="R2813">
        <v>3477185</v>
      </c>
    </row>
    <row r="2814" spans="1:18" x14ac:dyDescent="0.25">
      <c r="A2814" s="170">
        <v>46150</v>
      </c>
      <c r="B2814">
        <v>4019.8</v>
      </c>
      <c r="C2814">
        <v>3973.6</v>
      </c>
      <c r="D2814">
        <v>3961.8</v>
      </c>
      <c r="E2814">
        <v>4019.8</v>
      </c>
      <c r="F2814">
        <v>3973.6</v>
      </c>
      <c r="G2814">
        <v>65709</v>
      </c>
      <c r="H2814" s="116"/>
      <c r="I2814" s="116"/>
      <c r="L2814" s="170">
        <v>46150</v>
      </c>
      <c r="M2814" s="116">
        <v>3974.5</v>
      </c>
      <c r="N2814" s="116">
        <v>4014</v>
      </c>
      <c r="O2814" s="116">
        <v>3960</v>
      </c>
      <c r="P2814" s="116">
        <v>4010</v>
      </c>
      <c r="Q2814" s="116">
        <v>3974.5</v>
      </c>
      <c r="R2814">
        <v>1620273</v>
      </c>
    </row>
    <row r="2815" spans="1:18" x14ac:dyDescent="0.25">
      <c r="A2815" s="170">
        <v>46153</v>
      </c>
      <c r="B2815">
        <v>3953.95</v>
      </c>
      <c r="C2815">
        <v>3940</v>
      </c>
      <c r="D2815">
        <v>3886.45</v>
      </c>
      <c r="E2815">
        <v>3953.95</v>
      </c>
      <c r="F2815">
        <v>3940</v>
      </c>
      <c r="G2815">
        <v>85957</v>
      </c>
      <c r="H2815" s="116"/>
      <c r="I2815" s="116"/>
      <c r="L2815" s="170">
        <v>46153</v>
      </c>
      <c r="M2815" s="116">
        <v>3940.2</v>
      </c>
      <c r="N2815" s="116">
        <v>3953.5</v>
      </c>
      <c r="O2815" s="116">
        <v>3886.1</v>
      </c>
      <c r="P2815" s="116">
        <v>3948</v>
      </c>
      <c r="Q2815" s="116">
        <v>3940.2</v>
      </c>
      <c r="R2815">
        <v>2027769</v>
      </c>
    </row>
    <row r="2816" spans="1:18" x14ac:dyDescent="0.25">
      <c r="A2816" s="170">
        <v>46154</v>
      </c>
      <c r="B2816">
        <v>3940.75</v>
      </c>
      <c r="C2816">
        <v>3856.6</v>
      </c>
      <c r="D2816">
        <v>3847.75</v>
      </c>
      <c r="E2816">
        <v>3937.7</v>
      </c>
      <c r="F2816">
        <v>3856.6</v>
      </c>
      <c r="G2816">
        <v>62843</v>
      </c>
      <c r="H2816" s="116"/>
      <c r="I2816" s="116"/>
      <c r="L2816" s="170">
        <v>46154</v>
      </c>
      <c r="M2816" s="116">
        <v>3856.5</v>
      </c>
      <c r="N2816" s="116">
        <v>3940</v>
      </c>
      <c r="O2816" s="116">
        <v>3847</v>
      </c>
      <c r="P2816" s="116">
        <v>3925.1</v>
      </c>
      <c r="Q2816" s="116">
        <v>3856.5</v>
      </c>
      <c r="R2816">
        <v>2255075</v>
      </c>
    </row>
    <row r="2817" spans="1:18" x14ac:dyDescent="0.25">
      <c r="A2817" s="170">
        <v>46155</v>
      </c>
      <c r="B2817">
        <v>3953</v>
      </c>
      <c r="C2817">
        <v>3916.7</v>
      </c>
      <c r="D2817">
        <v>3840.4</v>
      </c>
      <c r="E2817">
        <v>3840.4</v>
      </c>
      <c r="F2817">
        <v>3916.7</v>
      </c>
      <c r="G2817">
        <v>793129</v>
      </c>
      <c r="H2817" s="116"/>
      <c r="I2817" s="116"/>
      <c r="L2817" s="170">
        <v>46155</v>
      </c>
      <c r="M2817" s="116">
        <v>3915.8</v>
      </c>
      <c r="N2817" s="116">
        <v>3953</v>
      </c>
      <c r="O2817" s="116">
        <v>3848</v>
      </c>
      <c r="P2817" s="116">
        <v>3848</v>
      </c>
      <c r="Q2817" s="116">
        <v>3915.8</v>
      </c>
      <c r="R2817">
        <v>2486330</v>
      </c>
    </row>
    <row r="2818" spans="1:18" x14ac:dyDescent="0.25">
      <c r="A2818" s="170">
        <v>46156</v>
      </c>
      <c r="B2818">
        <v>3987.45</v>
      </c>
      <c r="C2818">
        <v>3941.05</v>
      </c>
      <c r="D2818">
        <v>3925</v>
      </c>
      <c r="E2818">
        <v>3945.25</v>
      </c>
      <c r="F2818">
        <v>3941.05</v>
      </c>
      <c r="G2818">
        <v>686487</v>
      </c>
      <c r="H2818" s="116"/>
      <c r="I2818" s="116"/>
      <c r="L2818" s="170">
        <v>46156</v>
      </c>
      <c r="M2818" s="116">
        <v>3940.4</v>
      </c>
      <c r="N2818" s="116">
        <v>3988</v>
      </c>
      <c r="O2818" s="116">
        <v>3925</v>
      </c>
      <c r="P2818" s="116">
        <v>3942</v>
      </c>
      <c r="Q2818" s="116">
        <v>3940.4</v>
      </c>
      <c r="R2818">
        <v>2982228</v>
      </c>
    </row>
    <row r="2819" spans="1:18" x14ac:dyDescent="0.25">
      <c r="A2819" s="170">
        <v>46157</v>
      </c>
      <c r="B2819">
        <v>3963.75</v>
      </c>
      <c r="C2819">
        <v>3907.5</v>
      </c>
      <c r="D2819">
        <v>3894.15</v>
      </c>
      <c r="E2819">
        <v>3963.75</v>
      </c>
      <c r="F2819">
        <v>3907.5</v>
      </c>
      <c r="G2819">
        <v>354498</v>
      </c>
      <c r="H2819" s="116"/>
      <c r="I2819" s="116"/>
      <c r="L2819" s="170">
        <v>46157</v>
      </c>
      <c r="M2819" s="116">
        <v>3909</v>
      </c>
      <c r="N2819" s="116">
        <v>3949.4</v>
      </c>
      <c r="O2819" s="116">
        <v>3893</v>
      </c>
      <c r="P2819" s="116">
        <v>3949.4</v>
      </c>
      <c r="Q2819" s="116">
        <v>3909</v>
      </c>
      <c r="R2819">
        <v>1339185</v>
      </c>
    </row>
    <row r="2820" spans="1:18" x14ac:dyDescent="0.25">
      <c r="A2820" s="170">
        <v>46160</v>
      </c>
      <c r="B2820">
        <v>3924.75</v>
      </c>
      <c r="C2820">
        <v>3918.95</v>
      </c>
      <c r="D2820">
        <v>3853</v>
      </c>
      <c r="E2820">
        <v>3893.55</v>
      </c>
      <c r="F2820">
        <v>3918.95</v>
      </c>
      <c r="G2820">
        <v>287192</v>
      </c>
      <c r="H2820" s="116"/>
      <c r="I2820" s="116"/>
      <c r="L2820" s="170">
        <v>46160</v>
      </c>
      <c r="M2820" s="116">
        <v>3917.8</v>
      </c>
      <c r="N2820" s="116">
        <v>3924.7</v>
      </c>
      <c r="O2820" s="116">
        <v>3852</v>
      </c>
      <c r="P2820" s="116">
        <v>3873.9</v>
      </c>
      <c r="Q2820" s="116">
        <v>3917.8</v>
      </c>
      <c r="R2820">
        <v>1771638</v>
      </c>
    </row>
    <row r="2821" spans="1:18" x14ac:dyDescent="0.25">
      <c r="A2821" s="170">
        <v>46161</v>
      </c>
      <c r="B2821">
        <v>3958.95</v>
      </c>
      <c r="C2821">
        <v>3918</v>
      </c>
      <c r="D2821">
        <v>3903.6</v>
      </c>
      <c r="E2821">
        <v>3935.5</v>
      </c>
      <c r="F2821">
        <v>3918</v>
      </c>
      <c r="G2821">
        <v>59408</v>
      </c>
      <c r="H2821" s="116"/>
      <c r="I2821" s="116"/>
      <c r="L2821" s="170">
        <v>46161</v>
      </c>
      <c r="M2821" s="116">
        <v>3921</v>
      </c>
      <c r="N2821" s="116">
        <v>3960</v>
      </c>
      <c r="O2821" s="116">
        <v>3900</v>
      </c>
      <c r="P2821" s="116">
        <v>3940.9</v>
      </c>
      <c r="Q2821" s="116">
        <v>3921</v>
      </c>
      <c r="R2821">
        <v>2318170</v>
      </c>
    </row>
    <row r="2822" spans="1:18" x14ac:dyDescent="0.25">
      <c r="A2822" s="170">
        <v>46162</v>
      </c>
      <c r="B2822">
        <v>3943.65</v>
      </c>
      <c r="C2822">
        <v>3912.15</v>
      </c>
      <c r="D2822">
        <v>3884.4</v>
      </c>
      <c r="E2822">
        <v>3900</v>
      </c>
      <c r="F2822">
        <v>3912.15</v>
      </c>
      <c r="G2822">
        <v>57431</v>
      </c>
      <c r="H2822" s="116"/>
      <c r="I2822" s="116"/>
      <c r="L2822" s="170">
        <v>46162</v>
      </c>
      <c r="M2822" s="116">
        <v>3910.7</v>
      </c>
      <c r="N2822" s="116">
        <v>3943.5</v>
      </c>
      <c r="O2822" s="116">
        <v>3883.1</v>
      </c>
      <c r="P2822" s="116">
        <v>3901.6</v>
      </c>
      <c r="Q2822" s="116">
        <v>3910.7</v>
      </c>
      <c r="R2822">
        <v>1972259</v>
      </c>
    </row>
    <row r="2823" spans="1:18" x14ac:dyDescent="0.25">
      <c r="A2823" s="170">
        <v>46163</v>
      </c>
      <c r="B2823">
        <v>3963.4</v>
      </c>
      <c r="C2823">
        <v>3928.2</v>
      </c>
      <c r="D2823">
        <v>3913.05</v>
      </c>
      <c r="E2823">
        <v>3920</v>
      </c>
      <c r="F2823">
        <v>3928.2</v>
      </c>
      <c r="G2823">
        <v>200695</v>
      </c>
      <c r="H2823" s="116"/>
      <c r="I2823" s="116"/>
      <c r="L2823" s="170">
        <v>46163</v>
      </c>
      <c r="M2823" s="116">
        <v>3928.5</v>
      </c>
      <c r="N2823" s="116">
        <v>3970</v>
      </c>
      <c r="O2823" s="116">
        <v>3912.7</v>
      </c>
      <c r="P2823" s="116">
        <v>3970</v>
      </c>
      <c r="Q2823" s="116">
        <v>3928.5</v>
      </c>
      <c r="R2823">
        <v>1624945</v>
      </c>
    </row>
    <row r="2824" spans="1:18" x14ac:dyDescent="0.25">
      <c r="A2824" s="170">
        <v>46164</v>
      </c>
      <c r="B2824">
        <v>3959.25</v>
      </c>
      <c r="C2824">
        <v>3926.85</v>
      </c>
      <c r="D2824">
        <v>3900.6</v>
      </c>
      <c r="E2824">
        <v>3909</v>
      </c>
      <c r="F2824">
        <v>3926.85</v>
      </c>
      <c r="G2824">
        <v>98982</v>
      </c>
      <c r="H2824" s="116"/>
      <c r="I2824" s="116"/>
      <c r="L2824" s="170">
        <v>46164</v>
      </c>
      <c r="M2824" s="116">
        <v>3926.6</v>
      </c>
      <c r="N2824" s="116">
        <v>3960</v>
      </c>
      <c r="O2824" s="116">
        <v>3900.1</v>
      </c>
      <c r="P2824" s="116">
        <v>3907</v>
      </c>
      <c r="Q2824" s="116">
        <v>3926.6</v>
      </c>
      <c r="R2824">
        <v>1330428</v>
      </c>
    </row>
    <row r="2825" spans="1:18" x14ac:dyDescent="0.25">
      <c r="A2825" s="170">
        <v>46167</v>
      </c>
      <c r="B2825">
        <v>4037.5</v>
      </c>
      <c r="C2825">
        <v>4033.3</v>
      </c>
      <c r="D2825">
        <v>3960.35</v>
      </c>
      <c r="E2825">
        <v>3960.35</v>
      </c>
      <c r="F2825">
        <v>4033.3</v>
      </c>
      <c r="G2825">
        <v>173046</v>
      </c>
      <c r="H2825" s="116"/>
      <c r="I2825" s="116"/>
      <c r="L2825" s="170">
        <v>46167</v>
      </c>
      <c r="M2825" s="116">
        <v>4033.4</v>
      </c>
      <c r="N2825" s="116">
        <v>4038.4</v>
      </c>
      <c r="O2825" s="116">
        <v>3961.5</v>
      </c>
      <c r="P2825" s="116">
        <v>3970</v>
      </c>
      <c r="Q2825" s="116">
        <v>4033.4</v>
      </c>
      <c r="R2825">
        <v>2099927</v>
      </c>
    </row>
    <row r="2826" spans="1:18" x14ac:dyDescent="0.25">
      <c r="A2826" s="170">
        <v>46168</v>
      </c>
      <c r="B2826">
        <v>4052</v>
      </c>
      <c r="C2826">
        <v>4037.7</v>
      </c>
      <c r="D2826">
        <v>4012.65</v>
      </c>
      <c r="E2826">
        <v>4031</v>
      </c>
      <c r="F2826">
        <v>4037.7</v>
      </c>
      <c r="G2826">
        <v>49114</v>
      </c>
      <c r="H2826" s="116"/>
      <c r="I2826" s="116"/>
      <c r="L2826" s="170">
        <v>46168</v>
      </c>
      <c r="M2826" s="116">
        <v>4037.8</v>
      </c>
      <c r="N2826" s="116">
        <v>4052.9</v>
      </c>
      <c r="O2826" s="116">
        <v>4014.2</v>
      </c>
      <c r="P2826" s="116">
        <v>4029.6</v>
      </c>
      <c r="Q2826" s="116">
        <v>4037.8</v>
      </c>
      <c r="R2826">
        <v>1552847</v>
      </c>
    </row>
    <row r="2827" spans="1:18" x14ac:dyDescent="0.25">
      <c r="A2827" s="170">
        <v>46169</v>
      </c>
      <c r="B2827">
        <v>4069</v>
      </c>
      <c r="C2827">
        <v>4045.8</v>
      </c>
      <c r="D2827">
        <v>4016.75</v>
      </c>
      <c r="E2827">
        <v>4048.9</v>
      </c>
      <c r="F2827">
        <v>4045.8</v>
      </c>
      <c r="G2827">
        <v>1411526</v>
      </c>
      <c r="H2827" s="116"/>
      <c r="I2827" s="116"/>
      <c r="L2827" s="170">
        <v>46169</v>
      </c>
      <c r="M2827" s="116">
        <v>4047.5</v>
      </c>
      <c r="N2827" s="116">
        <v>4069.9</v>
      </c>
      <c r="O2827" s="116">
        <v>4017.9</v>
      </c>
      <c r="P2827" s="116">
        <v>4043</v>
      </c>
      <c r="Q2827" s="116">
        <v>4047.5</v>
      </c>
      <c r="R2827">
        <v>1607028</v>
      </c>
    </row>
    <row r="2828" spans="1:18" x14ac:dyDescent="0.25">
      <c r="A2828" s="170">
        <v>46171</v>
      </c>
      <c r="B2828">
        <v>4128</v>
      </c>
      <c r="C2828">
        <v>4076.65</v>
      </c>
      <c r="D2828">
        <v>4045</v>
      </c>
      <c r="E2828">
        <v>4059.8</v>
      </c>
      <c r="F2828">
        <v>4076.65</v>
      </c>
      <c r="G2828">
        <v>143819</v>
      </c>
      <c r="H2828" s="116"/>
      <c r="I2828" s="116"/>
      <c r="L2828" s="170">
        <v>46171</v>
      </c>
      <c r="M2828" s="116">
        <v>4076.5</v>
      </c>
      <c r="N2828" s="116">
        <v>4128</v>
      </c>
      <c r="O2828" s="116">
        <v>4045</v>
      </c>
      <c r="P2828" s="116">
        <v>4045.8</v>
      </c>
      <c r="Q2828" s="116">
        <v>4076.5</v>
      </c>
      <c r="R2828">
        <v>4882940</v>
      </c>
    </row>
    <row r="2829" spans="1:18" x14ac:dyDescent="0.25">
      <c r="A2829" s="170">
        <v>46174</v>
      </c>
      <c r="B2829">
        <v>4104.75</v>
      </c>
      <c r="C2829">
        <v>4009.35</v>
      </c>
      <c r="D2829">
        <v>4003.75</v>
      </c>
      <c r="E2829">
        <v>4097</v>
      </c>
      <c r="F2829">
        <v>4009.35</v>
      </c>
      <c r="G2829">
        <v>71546</v>
      </c>
      <c r="H2829" s="116"/>
      <c r="I2829" s="116"/>
      <c r="L2829" s="170">
        <v>46174</v>
      </c>
      <c r="M2829" s="116">
        <v>4010.8</v>
      </c>
      <c r="N2829" s="116">
        <v>4105.8</v>
      </c>
      <c r="O2829" s="116">
        <v>4002.1</v>
      </c>
      <c r="P2829" s="116">
        <v>4089</v>
      </c>
      <c r="Q2829" s="116">
        <v>4010.8</v>
      </c>
      <c r="R2829">
        <v>1409388</v>
      </c>
    </row>
    <row r="2830" spans="1:18" x14ac:dyDescent="0.25">
      <c r="A2830" s="170">
        <v>46175</v>
      </c>
      <c r="B2830">
        <v>4015.75</v>
      </c>
      <c r="C2830">
        <v>4001.6</v>
      </c>
      <c r="D2830">
        <v>3925</v>
      </c>
      <c r="E2830">
        <v>3994.1</v>
      </c>
      <c r="F2830">
        <v>4001.6</v>
      </c>
      <c r="G2830">
        <v>59386</v>
      </c>
      <c r="H2830" s="116"/>
      <c r="I2830" s="116"/>
      <c r="L2830" s="170">
        <v>46175</v>
      </c>
      <c r="M2830" s="116">
        <v>4000.9</v>
      </c>
      <c r="N2830" s="116">
        <v>4017</v>
      </c>
      <c r="O2830" s="116">
        <v>3923.5</v>
      </c>
      <c r="P2830" s="116">
        <v>3980</v>
      </c>
      <c r="Q2830" s="116">
        <v>4000.9</v>
      </c>
      <c r="R2830">
        <v>2085054</v>
      </c>
    </row>
    <row r="2831" spans="1:18" x14ac:dyDescent="0.25">
      <c r="A2831" s="170">
        <v>46176</v>
      </c>
      <c r="B2831">
        <v>4008</v>
      </c>
      <c r="C2831">
        <v>3953.9</v>
      </c>
      <c r="D2831">
        <v>3895</v>
      </c>
      <c r="E2831">
        <v>4001.6</v>
      </c>
      <c r="F2831">
        <v>3953.9</v>
      </c>
      <c r="G2831">
        <v>82275</v>
      </c>
      <c r="H2831" s="116"/>
      <c r="I2831" s="116"/>
      <c r="L2831" s="170">
        <v>46176</v>
      </c>
      <c r="M2831" s="116">
        <v>3953.2</v>
      </c>
      <c r="N2831" s="116">
        <v>4008</v>
      </c>
      <c r="O2831" s="116">
        <v>3894</v>
      </c>
      <c r="P2831" s="116">
        <v>4000.9</v>
      </c>
      <c r="Q2831" s="116">
        <v>3953.2</v>
      </c>
      <c r="R2831">
        <v>1872929</v>
      </c>
    </row>
    <row r="2832" spans="1:18" x14ac:dyDescent="0.25">
      <c r="A2832" s="170">
        <v>46177</v>
      </c>
      <c r="B2832">
        <v>3975</v>
      </c>
      <c r="C2832">
        <v>3939.5</v>
      </c>
      <c r="D2832">
        <v>3930.15</v>
      </c>
      <c r="E2832">
        <v>3940.1</v>
      </c>
      <c r="F2832">
        <v>3939.5</v>
      </c>
      <c r="G2832">
        <v>141679</v>
      </c>
      <c r="H2832" s="116"/>
      <c r="I2832" s="116"/>
      <c r="L2832" s="170">
        <v>46177</v>
      </c>
      <c r="M2832" s="116">
        <v>3942.1</v>
      </c>
      <c r="N2832" s="116">
        <v>3974.9</v>
      </c>
      <c r="O2832" s="116">
        <v>3930.1</v>
      </c>
      <c r="P2832" s="116">
        <v>3945</v>
      </c>
      <c r="Q2832" s="116">
        <v>3942.1</v>
      </c>
      <c r="R2832">
        <v>1398297</v>
      </c>
    </row>
    <row r="2833" spans="1:18" x14ac:dyDescent="0.25">
      <c r="A2833" s="170">
        <v>46178</v>
      </c>
      <c r="B2833">
        <v>3977</v>
      </c>
      <c r="C2833">
        <v>3953.95</v>
      </c>
      <c r="D2833">
        <v>3923.75</v>
      </c>
      <c r="E2833">
        <v>3968.15</v>
      </c>
      <c r="F2833">
        <v>3953.95</v>
      </c>
      <c r="G2833">
        <v>60327</v>
      </c>
      <c r="H2833" s="116"/>
      <c r="I2833" s="116"/>
      <c r="L2833" s="170">
        <v>46178</v>
      </c>
      <c r="M2833" s="116">
        <v>3953.2</v>
      </c>
      <c r="N2833" s="116">
        <v>3978</v>
      </c>
      <c r="O2833" s="116">
        <v>3923.9</v>
      </c>
      <c r="P2833" s="116">
        <v>3960</v>
      </c>
      <c r="Q2833" s="116">
        <v>3953.2</v>
      </c>
      <c r="R2833">
        <v>1278243</v>
      </c>
    </row>
    <row r="2834" spans="1:18" x14ac:dyDescent="0.25">
      <c r="A2834" s="170">
        <v>46181</v>
      </c>
      <c r="B2834">
        <v>3923.1</v>
      </c>
      <c r="C2834">
        <v>3874.95</v>
      </c>
      <c r="D2834">
        <v>3863.95</v>
      </c>
      <c r="E2834">
        <v>3923.1</v>
      </c>
      <c r="F2834">
        <v>3874.95</v>
      </c>
      <c r="G2834">
        <v>147205</v>
      </c>
      <c r="H2834" s="116"/>
      <c r="I2834" s="116"/>
      <c r="L2834" s="170">
        <v>46181</v>
      </c>
      <c r="M2834" s="116">
        <v>3875.5</v>
      </c>
      <c r="N2834" s="116">
        <v>3916.7</v>
      </c>
      <c r="O2834" s="116">
        <v>3863.1</v>
      </c>
      <c r="P2834" s="116">
        <v>3901.1</v>
      </c>
      <c r="Q2834" s="116">
        <v>3875.5</v>
      </c>
      <c r="R2834">
        <v>1678709</v>
      </c>
    </row>
    <row r="2835" spans="1:18" x14ac:dyDescent="0.25">
      <c r="A2835" s="170">
        <v>46182</v>
      </c>
      <c r="B2835">
        <v>3921.2</v>
      </c>
      <c r="C2835">
        <v>3900.5</v>
      </c>
      <c r="D2835">
        <v>3889.25</v>
      </c>
      <c r="E2835">
        <v>3911.4</v>
      </c>
      <c r="F2835">
        <v>3900.5</v>
      </c>
      <c r="G2835">
        <v>42129</v>
      </c>
      <c r="H2835" s="116"/>
      <c r="I2835" s="116"/>
      <c r="L2835" s="170">
        <v>46182</v>
      </c>
      <c r="M2835" s="116">
        <v>3900.6</v>
      </c>
      <c r="N2835" s="116">
        <v>3924.9</v>
      </c>
      <c r="O2835" s="116">
        <v>3885</v>
      </c>
      <c r="P2835" s="116">
        <v>3924.9</v>
      </c>
      <c r="Q2835" s="116">
        <v>3900.6</v>
      </c>
      <c r="R2835">
        <v>1506501</v>
      </c>
    </row>
    <row r="2836" spans="1:18" x14ac:dyDescent="0.25">
      <c r="A2836" s="170">
        <v>46183</v>
      </c>
      <c r="B2836">
        <v>3962</v>
      </c>
      <c r="C2836">
        <v>3917.35</v>
      </c>
      <c r="D2836">
        <v>3900.15</v>
      </c>
      <c r="E2836">
        <v>3922.5</v>
      </c>
      <c r="F2836">
        <v>3917.35</v>
      </c>
      <c r="G2836">
        <v>48591</v>
      </c>
      <c r="H2836" s="116"/>
      <c r="I2836" s="116"/>
      <c r="L2836" s="170">
        <v>46183</v>
      </c>
      <c r="M2836" s="116">
        <v>3917.5</v>
      </c>
      <c r="N2836" s="116">
        <v>3962.8</v>
      </c>
      <c r="O2836" s="116">
        <v>3900</v>
      </c>
      <c r="P2836" s="116">
        <v>3904</v>
      </c>
      <c r="Q2836" s="116">
        <v>3917.5</v>
      </c>
      <c r="R2836">
        <v>2033070</v>
      </c>
    </row>
    <row r="2837" spans="1:18" x14ac:dyDescent="0.25">
      <c r="A2837" s="170">
        <v>46184</v>
      </c>
      <c r="B2837">
        <v>3909.8</v>
      </c>
      <c r="C2837">
        <v>3859.45</v>
      </c>
      <c r="D2837">
        <v>3853.25</v>
      </c>
      <c r="E2837">
        <v>3902.35</v>
      </c>
      <c r="F2837">
        <v>3859.45</v>
      </c>
      <c r="G2837">
        <v>304618</v>
      </c>
      <c r="H2837" s="116"/>
      <c r="I2837" s="116"/>
      <c r="L2837" s="170">
        <v>46184</v>
      </c>
      <c r="M2837" s="116">
        <v>3862</v>
      </c>
      <c r="N2837" s="116">
        <v>3909.8</v>
      </c>
      <c r="O2837" s="116">
        <v>3854.4</v>
      </c>
      <c r="P2837" s="116">
        <v>3900</v>
      </c>
      <c r="Q2837" s="116">
        <v>3862</v>
      </c>
      <c r="R2837">
        <v>2224659</v>
      </c>
    </row>
    <row r="2838" spans="1:18" x14ac:dyDescent="0.25">
      <c r="A2838" s="170">
        <v>46185</v>
      </c>
      <c r="B2838">
        <v>4059.55</v>
      </c>
      <c r="C2838">
        <v>4050.2</v>
      </c>
      <c r="D2838">
        <v>3922</v>
      </c>
      <c r="E2838">
        <v>3936.5</v>
      </c>
      <c r="F2838">
        <v>4050.2</v>
      </c>
      <c r="G2838">
        <v>158734</v>
      </c>
      <c r="H2838" s="116"/>
      <c r="I2838" s="116"/>
      <c r="L2838" s="170">
        <v>46185</v>
      </c>
      <c r="M2838" s="116">
        <v>4049.3</v>
      </c>
      <c r="N2838" s="116">
        <v>4059.8</v>
      </c>
      <c r="O2838" s="116">
        <v>3921</v>
      </c>
      <c r="P2838" s="116">
        <v>3930</v>
      </c>
      <c r="Q2838" s="116">
        <v>4049.3</v>
      </c>
      <c r="R2838">
        <v>3065790</v>
      </c>
    </row>
    <row r="2839" spans="1:18" x14ac:dyDescent="0.25">
      <c r="A2839" s="170">
        <v>46188</v>
      </c>
      <c r="B2839">
        <v>4214.3</v>
      </c>
      <c r="C2839">
        <v>4171.45</v>
      </c>
      <c r="D2839">
        <v>4131.95</v>
      </c>
      <c r="E2839">
        <v>4149.45</v>
      </c>
      <c r="F2839">
        <v>4171.45</v>
      </c>
      <c r="G2839">
        <v>267180</v>
      </c>
      <c r="H2839" s="116"/>
      <c r="I2839" s="116"/>
      <c r="L2839" s="170">
        <v>46188</v>
      </c>
      <c r="M2839" s="116">
        <v>4169.8</v>
      </c>
      <c r="N2839" s="116">
        <v>4214.8999999999996</v>
      </c>
      <c r="O2839" s="116">
        <v>4130</v>
      </c>
      <c r="P2839" s="116">
        <v>4130</v>
      </c>
      <c r="Q2839" s="116">
        <v>4169.8</v>
      </c>
      <c r="R2839">
        <v>3978153</v>
      </c>
    </row>
    <row r="2840" spans="1:18" x14ac:dyDescent="0.25">
      <c r="A2840" s="170">
        <v>46189</v>
      </c>
      <c r="B2840">
        <v>4235</v>
      </c>
      <c r="C2840">
        <v>4185.7</v>
      </c>
      <c r="D2840">
        <v>4178.05</v>
      </c>
      <c r="E2840">
        <v>4200.05</v>
      </c>
      <c r="F2840">
        <v>4185.7</v>
      </c>
      <c r="G2840">
        <v>158811</v>
      </c>
      <c r="H2840" s="116"/>
      <c r="I2840" s="116"/>
      <c r="L2840" s="170">
        <v>46189</v>
      </c>
      <c r="M2840" s="116">
        <v>4186.3999999999996</v>
      </c>
      <c r="N2840" s="116">
        <v>4235.3999999999996</v>
      </c>
      <c r="O2840" s="116">
        <v>4177.1000000000004</v>
      </c>
      <c r="P2840" s="116">
        <v>4205</v>
      </c>
      <c r="Q2840" s="116">
        <v>4186.3999999999996</v>
      </c>
      <c r="R2840">
        <v>2647549</v>
      </c>
    </row>
    <row r="2841" spans="1:18" x14ac:dyDescent="0.25">
      <c r="A2841" s="170">
        <v>46190</v>
      </c>
      <c r="B2841">
        <v>4214</v>
      </c>
      <c r="C2841">
        <v>4206.95</v>
      </c>
      <c r="D2841">
        <v>4171.55</v>
      </c>
      <c r="E2841">
        <v>4198</v>
      </c>
      <c r="F2841">
        <v>4206.95</v>
      </c>
      <c r="G2841">
        <v>51155</v>
      </c>
      <c r="H2841" s="116"/>
      <c r="I2841" s="116"/>
      <c r="L2841" s="170">
        <v>46190</v>
      </c>
      <c r="M2841" s="116">
        <v>4207.7</v>
      </c>
      <c r="N2841" s="116">
        <v>4214.7</v>
      </c>
      <c r="O2841" s="116">
        <v>4172</v>
      </c>
      <c r="P2841" s="116">
        <v>4200.1000000000004</v>
      </c>
      <c r="Q2841" s="116">
        <v>4207.7</v>
      </c>
      <c r="R2841">
        <v>1312925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2026-06-17T15:20:33Z</dcterms:modified>
  <cp:category/>
  <cp:contentStatus/>
</cp:coreProperties>
</file>